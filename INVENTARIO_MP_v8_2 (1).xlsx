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515AA4D-F662-4BC7-A3BF-DAC04C35C8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ARIO" sheetId="1" r:id="rId1"/>
    <sheet name="MOVIMIENTOS" sheetId="2" r:id="rId2"/>
    <sheet name="ALERTAS" sheetId="3" r:id="rId3"/>
  </sheets>
  <definedNames>
    <definedName name="_xlnm._FilterDatabase" localSheetId="0" hidden="1">INVENTARIO!$A$5:$N$410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15" i="1" l="1"/>
  <c r="I415" i="1"/>
  <c r="M414" i="1"/>
  <c r="I414" i="1"/>
  <c r="M413" i="1"/>
  <c r="I413" i="1"/>
  <c r="M412" i="1"/>
  <c r="I412" i="1"/>
  <c r="M411" i="1"/>
  <c r="I411" i="1"/>
  <c r="M410" i="1"/>
  <c r="I410" i="1"/>
  <c r="M409" i="1"/>
  <c r="I409" i="1"/>
  <c r="M408" i="1"/>
  <c r="I408" i="1"/>
  <c r="M407" i="1"/>
  <c r="I407" i="1"/>
  <c r="M406" i="1"/>
  <c r="I406" i="1"/>
  <c r="M405" i="1"/>
  <c r="I405" i="1"/>
  <c r="M404" i="1"/>
  <c r="I404" i="1"/>
  <c r="M403" i="1"/>
  <c r="I403" i="1"/>
  <c r="M402" i="1"/>
  <c r="I402" i="1"/>
  <c r="M401" i="1"/>
  <c r="I401" i="1"/>
  <c r="M400" i="1"/>
  <c r="I400" i="1"/>
  <c r="M399" i="1"/>
  <c r="I399" i="1"/>
  <c r="M398" i="1"/>
  <c r="I398" i="1"/>
  <c r="M397" i="1"/>
  <c r="I397" i="1"/>
  <c r="M396" i="1"/>
  <c r="I396" i="1"/>
  <c r="M395" i="1"/>
  <c r="I395" i="1"/>
  <c r="M394" i="1"/>
  <c r="I394" i="1"/>
  <c r="M393" i="1"/>
  <c r="I393" i="1"/>
  <c r="M392" i="1"/>
  <c r="I392" i="1"/>
  <c r="M391" i="1"/>
  <c r="I391" i="1"/>
  <c r="M390" i="1"/>
  <c r="I390" i="1"/>
  <c r="M389" i="1"/>
  <c r="I389" i="1"/>
  <c r="M388" i="1"/>
  <c r="I388" i="1"/>
  <c r="M387" i="1"/>
  <c r="I387" i="1"/>
  <c r="M386" i="1"/>
  <c r="I386" i="1"/>
  <c r="M385" i="1"/>
  <c r="I385" i="1"/>
  <c r="M384" i="1"/>
  <c r="I384" i="1"/>
  <c r="M383" i="1"/>
  <c r="I383" i="1"/>
  <c r="M382" i="1"/>
  <c r="I382" i="1"/>
  <c r="M381" i="1"/>
  <c r="I381" i="1"/>
  <c r="M380" i="1"/>
  <c r="I380" i="1"/>
  <c r="M379" i="1"/>
  <c r="I379" i="1"/>
  <c r="M378" i="1"/>
  <c r="I378" i="1"/>
  <c r="M377" i="1"/>
  <c r="I377" i="1"/>
  <c r="M376" i="1"/>
  <c r="I376" i="1"/>
  <c r="M375" i="1"/>
  <c r="I375" i="1"/>
  <c r="M374" i="1"/>
  <c r="I374" i="1"/>
  <c r="M373" i="1"/>
  <c r="I373" i="1"/>
  <c r="M372" i="1"/>
  <c r="I372" i="1"/>
  <c r="M371" i="1"/>
  <c r="I371" i="1"/>
  <c r="M370" i="1"/>
  <c r="I370" i="1"/>
  <c r="M369" i="1"/>
  <c r="I369" i="1"/>
  <c r="M368" i="1"/>
  <c r="I368" i="1"/>
  <c r="M367" i="1"/>
  <c r="I367" i="1"/>
  <c r="M366" i="1"/>
  <c r="I366" i="1"/>
  <c r="M365" i="1"/>
  <c r="I365" i="1"/>
  <c r="M364" i="1"/>
  <c r="I364" i="1"/>
  <c r="M363" i="1"/>
  <c r="I363" i="1"/>
  <c r="M362" i="1"/>
  <c r="I362" i="1"/>
  <c r="M361" i="1"/>
  <c r="I361" i="1"/>
  <c r="M360" i="1"/>
  <c r="I360" i="1"/>
  <c r="M359" i="1"/>
  <c r="I359" i="1"/>
  <c r="M358" i="1"/>
  <c r="I358" i="1"/>
  <c r="M357" i="1"/>
  <c r="I357" i="1"/>
  <c r="M356" i="1"/>
  <c r="I356" i="1"/>
  <c r="M355" i="1"/>
  <c r="I355" i="1"/>
  <c r="M354" i="1"/>
  <c r="I354" i="1"/>
  <c r="M353" i="1"/>
  <c r="I353" i="1"/>
  <c r="M352" i="1"/>
  <c r="I352" i="1"/>
  <c r="M351" i="1"/>
  <c r="I351" i="1"/>
  <c r="M350" i="1"/>
  <c r="I350" i="1"/>
  <c r="M349" i="1"/>
  <c r="I349" i="1"/>
  <c r="M348" i="1"/>
  <c r="I348" i="1"/>
  <c r="M347" i="1"/>
  <c r="I347" i="1"/>
  <c r="M346" i="1"/>
  <c r="I346" i="1"/>
  <c r="M345" i="1"/>
  <c r="I345" i="1"/>
  <c r="M344" i="1"/>
  <c r="I344" i="1"/>
  <c r="M343" i="1"/>
  <c r="I343" i="1"/>
  <c r="M342" i="1"/>
  <c r="I342" i="1"/>
  <c r="M341" i="1"/>
  <c r="I341" i="1"/>
  <c r="M340" i="1"/>
  <c r="I340" i="1"/>
  <c r="M339" i="1"/>
  <c r="I339" i="1"/>
  <c r="M338" i="1"/>
  <c r="I338" i="1"/>
  <c r="M337" i="1"/>
  <c r="I337" i="1"/>
  <c r="M336" i="1"/>
  <c r="I336" i="1"/>
  <c r="M335" i="1"/>
  <c r="I335" i="1"/>
  <c r="M334" i="1"/>
  <c r="I334" i="1"/>
  <c r="M333" i="1"/>
  <c r="I333" i="1"/>
  <c r="M332" i="1"/>
  <c r="I332" i="1"/>
  <c r="M331" i="1"/>
  <c r="I331" i="1"/>
  <c r="M330" i="1"/>
  <c r="I330" i="1"/>
  <c r="M329" i="1"/>
  <c r="I329" i="1"/>
  <c r="M328" i="1"/>
  <c r="I328" i="1"/>
  <c r="M327" i="1"/>
  <c r="I327" i="1"/>
  <c r="M326" i="1"/>
  <c r="I326" i="1"/>
  <c r="M325" i="1"/>
  <c r="I325" i="1"/>
  <c r="M324" i="1"/>
  <c r="I324" i="1"/>
  <c r="M323" i="1"/>
  <c r="I323" i="1"/>
  <c r="M322" i="1"/>
  <c r="I322" i="1"/>
  <c r="M321" i="1"/>
  <c r="I321" i="1"/>
  <c r="M320" i="1"/>
  <c r="I320" i="1"/>
  <c r="M319" i="1"/>
  <c r="I319" i="1"/>
  <c r="M318" i="1"/>
  <c r="I318" i="1"/>
  <c r="M317" i="1"/>
  <c r="I317" i="1"/>
  <c r="M316" i="1"/>
  <c r="I316" i="1"/>
  <c r="M315" i="1"/>
  <c r="I315" i="1"/>
  <c r="M314" i="1"/>
  <c r="I314" i="1"/>
  <c r="M313" i="1"/>
  <c r="I313" i="1"/>
  <c r="M312" i="1"/>
  <c r="I312" i="1"/>
  <c r="M311" i="1"/>
  <c r="I311" i="1"/>
  <c r="M310" i="1"/>
  <c r="I310" i="1"/>
  <c r="M309" i="1"/>
  <c r="I309" i="1"/>
  <c r="M308" i="1"/>
  <c r="I308" i="1"/>
  <c r="M307" i="1"/>
  <c r="I307" i="1"/>
  <c r="M306" i="1"/>
  <c r="I306" i="1"/>
  <c r="M305" i="1"/>
  <c r="I305" i="1"/>
  <c r="M304" i="1"/>
  <c r="I304" i="1"/>
  <c r="M303" i="1"/>
  <c r="I303" i="1"/>
  <c r="M302" i="1"/>
  <c r="I302" i="1"/>
  <c r="M301" i="1"/>
  <c r="I301" i="1"/>
  <c r="M300" i="1"/>
  <c r="I300" i="1"/>
  <c r="M299" i="1"/>
  <c r="I299" i="1"/>
  <c r="M298" i="1"/>
  <c r="I298" i="1"/>
  <c r="M297" i="1"/>
  <c r="I297" i="1"/>
  <c r="M296" i="1"/>
  <c r="I296" i="1"/>
  <c r="M295" i="1"/>
  <c r="I295" i="1"/>
  <c r="M294" i="1"/>
  <c r="I294" i="1"/>
  <c r="M293" i="1"/>
  <c r="I293" i="1"/>
  <c r="M292" i="1"/>
  <c r="I292" i="1"/>
  <c r="M291" i="1"/>
  <c r="I291" i="1"/>
  <c r="M290" i="1"/>
  <c r="I290" i="1"/>
  <c r="M289" i="1"/>
  <c r="I289" i="1"/>
  <c r="M288" i="1"/>
  <c r="I288" i="1"/>
  <c r="M287" i="1"/>
  <c r="I287" i="1"/>
  <c r="M286" i="1"/>
  <c r="I286" i="1"/>
  <c r="M285" i="1"/>
  <c r="I285" i="1"/>
  <c r="M284" i="1"/>
  <c r="I284" i="1"/>
  <c r="M283" i="1"/>
  <c r="I283" i="1"/>
  <c r="M282" i="1"/>
  <c r="I282" i="1"/>
  <c r="M281" i="1"/>
  <c r="I281" i="1"/>
  <c r="M280" i="1"/>
  <c r="I280" i="1"/>
  <c r="M279" i="1"/>
  <c r="I279" i="1"/>
  <c r="M278" i="1"/>
  <c r="I278" i="1"/>
  <c r="M277" i="1"/>
  <c r="I277" i="1"/>
  <c r="M276" i="1"/>
  <c r="I276" i="1"/>
  <c r="M275" i="1"/>
  <c r="I275" i="1"/>
  <c r="M274" i="1"/>
  <c r="I274" i="1"/>
  <c r="M273" i="1"/>
  <c r="I273" i="1"/>
  <c r="M272" i="1"/>
  <c r="I272" i="1"/>
  <c r="M271" i="1"/>
  <c r="I271" i="1"/>
  <c r="M270" i="1"/>
  <c r="I270" i="1"/>
  <c r="M269" i="1"/>
  <c r="I269" i="1"/>
  <c r="M268" i="1"/>
  <c r="I268" i="1"/>
  <c r="M267" i="1"/>
  <c r="I267" i="1"/>
  <c r="M266" i="1"/>
  <c r="I266" i="1"/>
  <c r="M265" i="1"/>
  <c r="I265" i="1"/>
  <c r="M264" i="1"/>
  <c r="I264" i="1"/>
  <c r="M263" i="1"/>
  <c r="I263" i="1"/>
  <c r="M262" i="1"/>
  <c r="I262" i="1"/>
  <c r="M261" i="1"/>
  <c r="I261" i="1"/>
  <c r="M260" i="1"/>
  <c r="I260" i="1"/>
  <c r="M259" i="1"/>
  <c r="I259" i="1"/>
  <c r="M258" i="1"/>
  <c r="I258" i="1"/>
  <c r="M257" i="1"/>
  <c r="I257" i="1"/>
  <c r="M256" i="1"/>
  <c r="I256" i="1"/>
  <c r="M255" i="1"/>
  <c r="I255" i="1"/>
  <c r="M254" i="1"/>
  <c r="I254" i="1"/>
  <c r="M253" i="1"/>
  <c r="I253" i="1"/>
  <c r="M252" i="1"/>
  <c r="I252" i="1"/>
  <c r="M251" i="1"/>
  <c r="I251" i="1"/>
  <c r="M250" i="1"/>
  <c r="I250" i="1"/>
  <c r="M249" i="1"/>
  <c r="I249" i="1"/>
  <c r="M248" i="1"/>
  <c r="I248" i="1"/>
  <c r="M247" i="1"/>
  <c r="I247" i="1"/>
  <c r="M246" i="1"/>
  <c r="I246" i="1"/>
  <c r="M245" i="1"/>
  <c r="I245" i="1"/>
  <c r="M244" i="1"/>
  <c r="I244" i="1"/>
  <c r="M243" i="1"/>
  <c r="I243" i="1"/>
  <c r="M242" i="1"/>
  <c r="I242" i="1"/>
  <c r="M241" i="1"/>
  <c r="I241" i="1"/>
  <c r="M240" i="1"/>
  <c r="I240" i="1"/>
  <c r="M239" i="1"/>
  <c r="I239" i="1"/>
  <c r="M238" i="1"/>
  <c r="I238" i="1"/>
  <c r="M237" i="1"/>
  <c r="I237" i="1"/>
  <c r="M236" i="1"/>
  <c r="I236" i="1"/>
  <c r="M235" i="1"/>
  <c r="I235" i="1"/>
  <c r="M234" i="1"/>
  <c r="I234" i="1"/>
  <c r="M233" i="1"/>
  <c r="I233" i="1"/>
  <c r="M232" i="1"/>
  <c r="I232" i="1"/>
  <c r="M231" i="1"/>
  <c r="I231" i="1"/>
  <c r="M230" i="1"/>
  <c r="I230" i="1"/>
  <c r="M229" i="1"/>
  <c r="I229" i="1"/>
  <c r="M228" i="1"/>
  <c r="I228" i="1"/>
  <c r="M227" i="1"/>
  <c r="I227" i="1"/>
  <c r="M226" i="1"/>
  <c r="I226" i="1"/>
  <c r="M225" i="1"/>
  <c r="I225" i="1"/>
  <c r="M224" i="1"/>
  <c r="I224" i="1"/>
  <c r="M223" i="1"/>
  <c r="I223" i="1"/>
  <c r="M222" i="1"/>
  <c r="I222" i="1"/>
  <c r="M221" i="1"/>
  <c r="I221" i="1"/>
  <c r="M220" i="1"/>
  <c r="I220" i="1"/>
  <c r="M219" i="1"/>
  <c r="I219" i="1"/>
  <c r="M218" i="1"/>
  <c r="I218" i="1"/>
  <c r="M217" i="1"/>
  <c r="I217" i="1"/>
  <c r="M216" i="1"/>
  <c r="I216" i="1"/>
  <c r="M215" i="1"/>
  <c r="I215" i="1"/>
  <c r="M214" i="1"/>
  <c r="I214" i="1"/>
  <c r="M213" i="1"/>
  <c r="I213" i="1"/>
  <c r="M212" i="1"/>
  <c r="I212" i="1"/>
  <c r="M211" i="1"/>
  <c r="I211" i="1"/>
  <c r="M210" i="1"/>
  <c r="I210" i="1"/>
  <c r="M209" i="1"/>
  <c r="I209" i="1"/>
  <c r="M208" i="1"/>
  <c r="I208" i="1"/>
  <c r="M207" i="1"/>
  <c r="I207" i="1"/>
  <c r="M206" i="1"/>
  <c r="I206" i="1"/>
  <c r="M205" i="1"/>
  <c r="I205" i="1"/>
  <c r="M204" i="1"/>
  <c r="I204" i="1"/>
  <c r="M203" i="1"/>
  <c r="I203" i="1"/>
  <c r="M202" i="1"/>
  <c r="I202" i="1"/>
  <c r="M201" i="1"/>
  <c r="I201" i="1"/>
  <c r="M200" i="1"/>
  <c r="I200" i="1"/>
  <c r="M199" i="1"/>
  <c r="I199" i="1"/>
  <c r="M198" i="1"/>
  <c r="I198" i="1"/>
  <c r="M197" i="1"/>
  <c r="I197" i="1"/>
  <c r="M196" i="1"/>
  <c r="I196" i="1"/>
  <c r="M195" i="1"/>
  <c r="I195" i="1"/>
  <c r="M194" i="1"/>
  <c r="I194" i="1"/>
  <c r="M193" i="1"/>
  <c r="I193" i="1"/>
  <c r="M192" i="1"/>
  <c r="I192" i="1"/>
  <c r="M191" i="1"/>
  <c r="I191" i="1"/>
  <c r="M190" i="1"/>
  <c r="I190" i="1"/>
  <c r="M189" i="1"/>
  <c r="I189" i="1"/>
  <c r="M188" i="1"/>
  <c r="I188" i="1"/>
  <c r="M187" i="1"/>
  <c r="I187" i="1"/>
  <c r="M186" i="1"/>
  <c r="I186" i="1"/>
  <c r="M185" i="1"/>
  <c r="I185" i="1"/>
  <c r="M184" i="1"/>
  <c r="I184" i="1"/>
  <c r="M183" i="1"/>
  <c r="I183" i="1"/>
  <c r="M182" i="1"/>
  <c r="I182" i="1"/>
  <c r="M181" i="1"/>
  <c r="I181" i="1"/>
  <c r="M180" i="1"/>
  <c r="I180" i="1"/>
  <c r="M179" i="1"/>
  <c r="I179" i="1"/>
  <c r="M178" i="1"/>
  <c r="I178" i="1"/>
  <c r="M177" i="1"/>
  <c r="I177" i="1"/>
  <c r="M176" i="1"/>
  <c r="I176" i="1"/>
  <c r="M175" i="1"/>
  <c r="I175" i="1"/>
  <c r="M174" i="1"/>
  <c r="I174" i="1"/>
  <c r="M173" i="1"/>
  <c r="I173" i="1"/>
  <c r="M172" i="1"/>
  <c r="I172" i="1"/>
  <c r="M171" i="1"/>
  <c r="I171" i="1"/>
  <c r="M170" i="1"/>
  <c r="I170" i="1"/>
  <c r="M169" i="1"/>
  <c r="I169" i="1"/>
  <c r="M168" i="1"/>
  <c r="I168" i="1"/>
  <c r="M167" i="1"/>
  <c r="I167" i="1"/>
  <c r="M166" i="1"/>
  <c r="I166" i="1"/>
  <c r="M165" i="1"/>
  <c r="I165" i="1"/>
  <c r="M164" i="1"/>
  <c r="I164" i="1"/>
  <c r="M163" i="1"/>
  <c r="I163" i="1"/>
  <c r="M162" i="1"/>
  <c r="I162" i="1"/>
  <c r="M161" i="1"/>
  <c r="I161" i="1"/>
  <c r="M160" i="1"/>
  <c r="I160" i="1"/>
  <c r="M159" i="1"/>
  <c r="I159" i="1"/>
  <c r="M158" i="1"/>
  <c r="I158" i="1"/>
  <c r="M157" i="1"/>
  <c r="I157" i="1"/>
  <c r="M156" i="1"/>
  <c r="I156" i="1"/>
  <c r="M155" i="1"/>
  <c r="I155" i="1"/>
  <c r="M154" i="1"/>
  <c r="I154" i="1"/>
  <c r="M153" i="1"/>
  <c r="I153" i="1"/>
  <c r="M152" i="1"/>
  <c r="I152" i="1"/>
  <c r="M151" i="1"/>
  <c r="I151" i="1"/>
  <c r="M150" i="1"/>
  <c r="I150" i="1"/>
  <c r="M149" i="1"/>
  <c r="I149" i="1"/>
  <c r="M148" i="1"/>
  <c r="I148" i="1"/>
  <c r="M147" i="1"/>
  <c r="I147" i="1"/>
  <c r="M146" i="1"/>
  <c r="I146" i="1"/>
  <c r="M145" i="1"/>
  <c r="I145" i="1"/>
  <c r="M144" i="1"/>
  <c r="I144" i="1"/>
  <c r="M143" i="1"/>
  <c r="I143" i="1"/>
  <c r="M142" i="1"/>
  <c r="I142" i="1"/>
  <c r="M141" i="1"/>
  <c r="I141" i="1"/>
  <c r="M140" i="1"/>
  <c r="I140" i="1"/>
  <c r="M139" i="1"/>
  <c r="I139" i="1"/>
  <c r="M138" i="1"/>
  <c r="I138" i="1"/>
  <c r="M137" i="1"/>
  <c r="I137" i="1"/>
  <c r="M136" i="1"/>
  <c r="I136" i="1"/>
  <c r="M135" i="1"/>
  <c r="I135" i="1"/>
  <c r="M134" i="1"/>
  <c r="I134" i="1"/>
  <c r="M133" i="1"/>
  <c r="I133" i="1"/>
  <c r="M132" i="1"/>
  <c r="I132" i="1"/>
  <c r="M131" i="1"/>
  <c r="I131" i="1"/>
  <c r="M130" i="1"/>
  <c r="I130" i="1"/>
  <c r="M129" i="1"/>
  <c r="I129" i="1"/>
  <c r="M128" i="1"/>
  <c r="I128" i="1"/>
  <c r="M127" i="1"/>
  <c r="I127" i="1"/>
  <c r="M126" i="1"/>
  <c r="I126" i="1"/>
  <c r="M125" i="1"/>
  <c r="I125" i="1"/>
  <c r="M124" i="1"/>
  <c r="I124" i="1"/>
  <c r="M123" i="1"/>
  <c r="I123" i="1"/>
  <c r="M122" i="1"/>
  <c r="I122" i="1"/>
  <c r="M121" i="1"/>
  <c r="I121" i="1"/>
  <c r="M120" i="1"/>
  <c r="I120" i="1"/>
  <c r="M119" i="1"/>
  <c r="I119" i="1"/>
  <c r="M118" i="1"/>
  <c r="I118" i="1"/>
  <c r="M117" i="1"/>
  <c r="I117" i="1"/>
  <c r="M116" i="1"/>
  <c r="I116" i="1"/>
  <c r="M115" i="1"/>
  <c r="I115" i="1"/>
  <c r="M114" i="1"/>
  <c r="I114" i="1"/>
  <c r="M113" i="1"/>
  <c r="I113" i="1"/>
  <c r="M112" i="1"/>
  <c r="I112" i="1"/>
  <c r="M111" i="1"/>
  <c r="I111" i="1"/>
  <c r="M110" i="1"/>
  <c r="I110" i="1"/>
  <c r="M109" i="1"/>
  <c r="I109" i="1"/>
  <c r="M108" i="1"/>
  <c r="I108" i="1"/>
  <c r="M107" i="1"/>
  <c r="I107" i="1"/>
  <c r="M106" i="1"/>
  <c r="I106" i="1"/>
  <c r="M105" i="1"/>
  <c r="I105" i="1"/>
  <c r="M104" i="1"/>
  <c r="I104" i="1"/>
  <c r="M103" i="1"/>
  <c r="I103" i="1"/>
  <c r="M102" i="1"/>
  <c r="I102" i="1"/>
  <c r="M101" i="1"/>
  <c r="I101" i="1"/>
  <c r="M100" i="1"/>
  <c r="I100" i="1"/>
  <c r="M99" i="1"/>
  <c r="I99" i="1"/>
  <c r="M98" i="1"/>
  <c r="I98" i="1"/>
  <c r="M97" i="1"/>
  <c r="I97" i="1"/>
  <c r="M96" i="1"/>
  <c r="I96" i="1"/>
  <c r="M95" i="1"/>
  <c r="I95" i="1"/>
  <c r="M94" i="1"/>
  <c r="I94" i="1"/>
  <c r="M93" i="1"/>
  <c r="I93" i="1"/>
  <c r="M92" i="1"/>
  <c r="I92" i="1"/>
  <c r="M91" i="1"/>
  <c r="I91" i="1"/>
  <c r="M90" i="1"/>
  <c r="I90" i="1"/>
  <c r="M89" i="1"/>
  <c r="I89" i="1"/>
  <c r="M88" i="1"/>
  <c r="I88" i="1"/>
  <c r="M87" i="1"/>
  <c r="I87" i="1"/>
  <c r="M86" i="1"/>
  <c r="I86" i="1"/>
  <c r="M85" i="1"/>
  <c r="I85" i="1"/>
  <c r="M84" i="1"/>
  <c r="I84" i="1"/>
  <c r="M83" i="1"/>
  <c r="I83" i="1"/>
  <c r="M82" i="1"/>
  <c r="I82" i="1"/>
  <c r="M81" i="1"/>
  <c r="I81" i="1"/>
  <c r="M80" i="1"/>
  <c r="I80" i="1"/>
  <c r="M79" i="1"/>
  <c r="I79" i="1"/>
  <c r="M78" i="1"/>
  <c r="I78" i="1"/>
  <c r="M77" i="1"/>
  <c r="I77" i="1"/>
  <c r="M76" i="1"/>
  <c r="I76" i="1"/>
  <c r="M75" i="1"/>
  <c r="I75" i="1"/>
  <c r="M74" i="1"/>
  <c r="I74" i="1"/>
  <c r="M73" i="1"/>
  <c r="I73" i="1"/>
  <c r="M72" i="1"/>
  <c r="I72" i="1"/>
  <c r="M71" i="1"/>
  <c r="I71" i="1"/>
  <c r="M70" i="1"/>
  <c r="I70" i="1"/>
  <c r="M69" i="1"/>
  <c r="I69" i="1"/>
  <c r="M68" i="1"/>
  <c r="I68" i="1"/>
  <c r="M67" i="1"/>
  <c r="I67" i="1"/>
  <c r="M66" i="1"/>
  <c r="I66" i="1"/>
  <c r="M65" i="1"/>
  <c r="I65" i="1"/>
  <c r="M64" i="1"/>
  <c r="I64" i="1"/>
  <c r="M63" i="1"/>
  <c r="I63" i="1"/>
  <c r="M62" i="1"/>
  <c r="I62" i="1"/>
  <c r="M61" i="1"/>
  <c r="I61" i="1"/>
  <c r="M60" i="1"/>
  <c r="I60" i="1"/>
  <c r="M59" i="1"/>
  <c r="I59" i="1"/>
  <c r="M58" i="1"/>
  <c r="I58" i="1"/>
  <c r="M57" i="1"/>
  <c r="I57" i="1"/>
  <c r="M56" i="1"/>
  <c r="I56" i="1"/>
  <c r="M55" i="1"/>
  <c r="I55" i="1"/>
  <c r="M54" i="1"/>
  <c r="I54" i="1"/>
  <c r="M53" i="1"/>
  <c r="I53" i="1"/>
  <c r="M52" i="1"/>
  <c r="I52" i="1"/>
  <c r="M51" i="1"/>
  <c r="I51" i="1"/>
  <c r="M50" i="1"/>
  <c r="I50" i="1"/>
  <c r="M49" i="1"/>
  <c r="I49" i="1"/>
  <c r="M48" i="1"/>
  <c r="I48" i="1"/>
  <c r="M47" i="1"/>
  <c r="I47" i="1"/>
  <c r="M46" i="1"/>
  <c r="I46" i="1"/>
  <c r="M45" i="1"/>
  <c r="I45" i="1"/>
  <c r="M44" i="1"/>
  <c r="I44" i="1"/>
  <c r="M43" i="1"/>
  <c r="I43" i="1"/>
  <c r="M42" i="1"/>
  <c r="I42" i="1"/>
  <c r="M41" i="1"/>
  <c r="I41" i="1"/>
  <c r="M40" i="1"/>
  <c r="I40" i="1"/>
  <c r="M39" i="1"/>
  <c r="I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I27" i="1"/>
  <c r="M26" i="1"/>
  <c r="I26" i="1"/>
  <c r="M25" i="1"/>
  <c r="I25" i="1"/>
  <c r="M24" i="1"/>
  <c r="I24" i="1"/>
  <c r="M23" i="1"/>
  <c r="I23" i="1"/>
  <c r="M22" i="1"/>
  <c r="I22" i="1"/>
  <c r="M21" i="1"/>
  <c r="I21" i="1"/>
  <c r="M20" i="1"/>
  <c r="I20" i="1"/>
  <c r="M19" i="1"/>
  <c r="I19" i="1"/>
  <c r="M18" i="1"/>
  <c r="I18" i="1"/>
  <c r="M17" i="1"/>
  <c r="I17" i="1"/>
  <c r="M16" i="1"/>
  <c r="I16" i="1"/>
  <c r="M15" i="1"/>
  <c r="I15" i="1"/>
  <c r="M14" i="1"/>
  <c r="I14" i="1"/>
  <c r="M13" i="1"/>
  <c r="I13" i="1"/>
  <c r="M12" i="1"/>
  <c r="I12" i="1"/>
  <c r="M11" i="1"/>
  <c r="I11" i="1"/>
  <c r="M10" i="1"/>
  <c r="I10" i="1"/>
  <c r="M9" i="1"/>
  <c r="I9" i="1"/>
  <c r="M8" i="1"/>
  <c r="I8" i="1"/>
  <c r="M7" i="1"/>
  <c r="I7" i="1"/>
  <c r="M6" i="1"/>
  <c r="I6" i="1"/>
</calcChain>
</file>

<file path=xl/sharedStrings.xml><?xml version="1.0" encoding="utf-8"?>
<sst xmlns="http://schemas.openxmlformats.org/spreadsheetml/2006/main" count="3036" uniqueCount="1281">
  <si>
    <t>INVENTARIO DE MATERIAS PRIMAS</t>
  </si>
  <si>
    <t>Lotes: 405   |   MPs: 294   |   Confirmadas: 285   |   INCI pendiente: 5   |   Sin revisar: 4   |   Vencidos: 15   |   Críticos: 3   |   Stock total: 1,492,541 g</t>
  </si>
  <si>
    <t>Azul = confirmado   |   Naranja = pendiente de revisión   |   Rojo = INCI pendiente   |   Fila roja/amarilla = alerta vencimiento</t>
  </si>
  <si>
    <t>MATERIA PRIMA</t>
  </si>
  <si>
    <t>LOTE</t>
  </si>
  <si>
    <t>CÓDIGO MP</t>
  </si>
  <si>
    <t>NOMBRE INCI</t>
  </si>
  <si>
    <t>NOMBRE COMERCIAL</t>
  </si>
  <si>
    <t>TIPO</t>
  </si>
  <si>
    <t>PROVEEDOR</t>
  </si>
  <si>
    <t>STOCK MÍN.(g)</t>
  </si>
  <si>
    <t>N° LOTE</t>
  </si>
  <si>
    <t>CANT.
CONTEO(g)</t>
  </si>
  <si>
    <t>CANT.
ACTUAL(g)</t>
  </si>
  <si>
    <t>ESTANTERÍA</t>
  </si>
  <si>
    <t>POS.</t>
  </si>
  <si>
    <t>FECHA VENC.</t>
  </si>
  <si>
    <t>DÍAS</t>
  </si>
  <si>
    <t>ESTADO</t>
  </si>
  <si>
    <t>MP00186</t>
  </si>
  <si>
    <t>4-BUTYLRESORCINOL</t>
  </si>
  <si>
    <t>4-Butyl resorcinol</t>
  </si>
  <si>
    <t>Lyphar</t>
  </si>
  <si>
    <t>LYPH250727</t>
  </si>
  <si>
    <t>10</t>
  </si>
  <si>
    <t>B</t>
  </si>
  <si>
    <t>VIGENTE</t>
  </si>
  <si>
    <t>MP00183</t>
  </si>
  <si>
    <t>ALPHA-ARBUTIN</t>
  </si>
  <si>
    <t>Alpha arbutina</t>
  </si>
  <si>
    <t>LYPH251012</t>
  </si>
  <si>
    <t>9</t>
  </si>
  <si>
    <t>MP00117</t>
  </si>
  <si>
    <t>COCOS NUCIFERA OIL</t>
  </si>
  <si>
    <t>Aceite de coco</t>
  </si>
  <si>
    <t>Inchemical</t>
  </si>
  <si>
    <t>AVC25062025AC</t>
  </si>
  <si>
    <t>4</t>
  </si>
  <si>
    <t>MP00138</t>
  </si>
  <si>
    <t>LACTIC ACID</t>
  </si>
  <si>
    <t>Ácido láctico</t>
  </si>
  <si>
    <t>L2506221532</t>
  </si>
  <si>
    <t>5</t>
  </si>
  <si>
    <t>L2509132207</t>
  </si>
  <si>
    <t>MP00235</t>
  </si>
  <si>
    <t>NICOTINAMIDE ADENINE DINUCLEOTIDE</t>
  </si>
  <si>
    <t>NAD</t>
  </si>
  <si>
    <t>LYPH251116</t>
  </si>
  <si>
    <t>nevera</t>
  </si>
  <si>
    <t>MP00275</t>
  </si>
  <si>
    <t>NICOTINAMIDE MONONUCLEOTIDE</t>
  </si>
  <si>
    <t>NMN</t>
  </si>
  <si>
    <t>YTBIO</t>
  </si>
  <si>
    <t>YT-M20250309</t>
  </si>
  <si>
    <t>MP00189</t>
  </si>
  <si>
    <t>ACETYL ZINGERONE</t>
  </si>
  <si>
    <t>Acetil zingerone</t>
  </si>
  <si>
    <t>LYPH250806</t>
  </si>
  <si>
    <t>MP00152</t>
  </si>
  <si>
    <t>ADENOSINE</t>
  </si>
  <si>
    <t>Adenosina</t>
  </si>
  <si>
    <t>LYPH251025</t>
  </si>
  <si>
    <t>LYPH260111</t>
  </si>
  <si>
    <t>MP00223</t>
  </si>
  <si>
    <t>SODIUM DNA</t>
  </si>
  <si>
    <t>ADN vegetal (PDRN)</t>
  </si>
  <si>
    <t>2128525</t>
  </si>
  <si>
    <t>11</t>
  </si>
  <si>
    <t>MP00085</t>
  </si>
  <si>
    <t>MELALEUCA ALTERNIFOLIA LEAF OIL</t>
  </si>
  <si>
    <t>Aceite esencial árbol de té</t>
  </si>
  <si>
    <t>171248525</t>
  </si>
  <si>
    <t>E</t>
  </si>
  <si>
    <t>91021525</t>
  </si>
  <si>
    <t>MP00088</t>
  </si>
  <si>
    <t>PELARGONIUM GRAVEOLENS FLOWER OIL</t>
  </si>
  <si>
    <t>Aceite esencial de geranio</t>
  </si>
  <si>
    <t>YT20250815</t>
  </si>
  <si>
    <t>MP00096</t>
  </si>
  <si>
    <t>BOSWELLIA CARTERII RESIN OIL</t>
  </si>
  <si>
    <t>Aceite esencial de incienso</t>
  </si>
  <si>
    <t>L34523</t>
  </si>
  <si>
    <t>MP00104</t>
  </si>
  <si>
    <t>JASMINUM OFFICINALE OIL</t>
  </si>
  <si>
    <t>Aceite esencial de jazmín</t>
  </si>
  <si>
    <t>2025112601</t>
  </si>
  <si>
    <t>MP00039</t>
  </si>
  <si>
    <t>LAVANDULA ANGUSTIFOLIA OIL</t>
  </si>
  <si>
    <t>Aceite esencial de lavanda</t>
  </si>
  <si>
    <t>L17923</t>
  </si>
  <si>
    <t>MP00091</t>
  </si>
  <si>
    <t>MATRICARIA CHAMOMILLA FLOWER OIL</t>
  </si>
  <si>
    <t>Aceite esencial de manzanilla</t>
  </si>
  <si>
    <t>20072525AM</t>
  </si>
  <si>
    <t>MP00025</t>
  </si>
  <si>
    <t>CITRUS AURANTIUM AMARA FLOWER OIL</t>
  </si>
  <si>
    <t>Aceite de neroli</t>
  </si>
  <si>
    <t>18290925</t>
  </si>
  <si>
    <t>MP00139</t>
  </si>
  <si>
    <t>ROSMARINUS OFFICINALIS LEAF OIL</t>
  </si>
  <si>
    <t>Aceite esencial de romero</t>
  </si>
  <si>
    <t>2030125</t>
  </si>
  <si>
    <t>MP00101</t>
  </si>
  <si>
    <t>VANILLA PLANIFOLIA FRUIT OIL</t>
  </si>
  <si>
    <t>Aceite esencial de vainilla</t>
  </si>
  <si>
    <t>2073425AV</t>
  </si>
  <si>
    <t>MP00192</t>
  </si>
  <si>
    <t>ACETYL HEXAPEPTIDE-8</t>
  </si>
  <si>
    <t>Acetyl hexapeptide-8</t>
  </si>
  <si>
    <t>LYPH251122</t>
  </si>
  <si>
    <t>MP00047</t>
  </si>
  <si>
    <t>ALLANTOIN</t>
  </si>
  <si>
    <t>Alantoína</t>
  </si>
  <si>
    <t>20241202</t>
  </si>
  <si>
    <t>7</t>
  </si>
  <si>
    <t>C</t>
  </si>
  <si>
    <t>20250724</t>
  </si>
  <si>
    <t>MP00158</t>
  </si>
  <si>
    <t>LACTOBIONIC ACID</t>
  </si>
  <si>
    <t>Ácido lactobiónico</t>
  </si>
  <si>
    <t>LYPH250603</t>
  </si>
  <si>
    <t>2</t>
  </si>
  <si>
    <t>MP00044</t>
  </si>
  <si>
    <t>ETHANOL</t>
  </si>
  <si>
    <t>Alcohol etílico 95-96%</t>
  </si>
  <si>
    <t>48151253</t>
  </si>
  <si>
    <t>MP00133</t>
  </si>
  <si>
    <t>ISOPROPYL ALCOHOL</t>
  </si>
  <si>
    <t>Alcohol isopropílico</t>
  </si>
  <si>
    <t>IPA250210</t>
  </si>
  <si>
    <t>VENCIDO</t>
  </si>
  <si>
    <t>MP00216</t>
  </si>
  <si>
    <t>ALOE BARBADENSIS LEAF JUICE POWDER</t>
  </si>
  <si>
    <t>Aloe vera polvo</t>
  </si>
  <si>
    <t>YT20241005</t>
  </si>
  <si>
    <t>MP00217</t>
  </si>
  <si>
    <t>Aloe vera 200X polvo</t>
  </si>
  <si>
    <t>YT20240802</t>
  </si>
  <si>
    <t>MPANAC01</t>
  </si>
  <si>
    <t>P-ANISIC ACID</t>
  </si>
  <si>
    <t>P-anisic acid</t>
  </si>
  <si>
    <t>Bolite</t>
  </si>
  <si>
    <t>2025051601</t>
  </si>
  <si>
    <t>12</t>
  </si>
  <si>
    <t>MP00165</t>
  </si>
  <si>
    <t>ANEMARRHENA ASPHODELOIDES ROOT EXTRACT</t>
  </si>
  <si>
    <t>Anemarrhena root extract</t>
  </si>
  <si>
    <t>LYPH250621</t>
  </si>
  <si>
    <t>MP00234</t>
  </si>
  <si>
    <t>APIGENIN</t>
  </si>
  <si>
    <t>Apigenin</t>
  </si>
  <si>
    <t>YTA20250325</t>
  </si>
  <si>
    <t>MP00230</t>
  </si>
  <si>
    <t>ASCORBIC ACID</t>
  </si>
  <si>
    <t>Vitamina C</t>
  </si>
  <si>
    <t>DY2230112024</t>
  </si>
  <si>
    <t>estibas</t>
  </si>
  <si>
    <t>YT20250315</t>
  </si>
  <si>
    <t>F</t>
  </si>
  <si>
    <t>MP00156</t>
  </si>
  <si>
    <t>ASCORBYL PALMITATE</t>
  </si>
  <si>
    <t>Ascorbyl palmitate</t>
  </si>
  <si>
    <t>LYPH250528</t>
  </si>
  <si>
    <t>8</t>
  </si>
  <si>
    <t>MP00238</t>
  </si>
  <si>
    <t>ASCORBYL GLUCOSIDE</t>
  </si>
  <si>
    <t>Ascorbyl glucoside</t>
  </si>
  <si>
    <t>LYPH251203</t>
  </si>
  <si>
    <t>MP00185</t>
  </si>
  <si>
    <t>ASIATICOSIDE</t>
  </si>
  <si>
    <t>Asiaticoside 95%</t>
  </si>
  <si>
    <t>LYPH251221</t>
  </si>
  <si>
    <t>YT20250615</t>
  </si>
  <si>
    <t>MP00170</t>
  </si>
  <si>
    <t>ACETYL TETRAPEPTIDE-3</t>
  </si>
  <si>
    <t>Acetyl tetrapeptide-3</t>
  </si>
  <si>
    <t>LYPH251128</t>
  </si>
  <si>
    <t>MP00178</t>
  </si>
  <si>
    <t>ACETYL TETRAPEPTIDE-40</t>
  </si>
  <si>
    <t>Acetyl tetrapeptide-40</t>
  </si>
  <si>
    <t>LYPH251215</t>
  </si>
  <si>
    <t>MP00175</t>
  </si>
  <si>
    <t>ACETYL TETRAPEPTIDE-5</t>
  </si>
  <si>
    <t>Acetyl tetrapeptide-5</t>
  </si>
  <si>
    <t>LYPH250913</t>
  </si>
  <si>
    <t>MPATSG01</t>
  </si>
  <si>
    <t>MALEATED SOYBEAN OIL GLYCERYL/OCTYLDODECANOL ESTERS</t>
  </si>
  <si>
    <t>Antaron Soja Glyceride</t>
  </si>
  <si>
    <t>0002706633</t>
  </si>
  <si>
    <t>14</t>
  </si>
  <si>
    <t>MP00218</t>
  </si>
  <si>
    <t>ASTAXANTHIN</t>
  </si>
  <si>
    <t>Astaxantina</t>
  </si>
  <si>
    <t>YT20240805</t>
  </si>
  <si>
    <t>MP00221</t>
  </si>
  <si>
    <t>AZELAIC ACID</t>
  </si>
  <si>
    <t>Ácido azelaico</t>
  </si>
  <si>
    <t>LYPH251109</t>
  </si>
  <si>
    <t>MP00284</t>
  </si>
  <si>
    <t>POTASSIUM AZELOYL DIGLYCINATE (AND) WATER</t>
  </si>
  <si>
    <t>Azeclair</t>
  </si>
  <si>
    <t>2040725IN</t>
  </si>
  <si>
    <t>MPBADM01</t>
  </si>
  <si>
    <t>BIS-AMINOPROPYL DIGLYCOL DIMALATE</t>
  </si>
  <si>
    <t>Bis-aminopropyl diglycol dimalate</t>
  </si>
  <si>
    <t>YT20250707</t>
  </si>
  <si>
    <t>MP00264</t>
  </si>
  <si>
    <t>BETA-CYCLODEXTRIN</t>
  </si>
  <si>
    <t>Beta-cyclodextrin</t>
  </si>
  <si>
    <t>YT-BC20250319</t>
  </si>
  <si>
    <t>MP00052</t>
  </si>
  <si>
    <t>BIS-DIGLYCERYL POLYACYLADIPATE-2</t>
  </si>
  <si>
    <t>Bis-diglyceryl polyacyladipate-2</t>
  </si>
  <si>
    <t>Greenway</t>
  </si>
  <si>
    <t>20250715</t>
  </si>
  <si>
    <t>MP00267</t>
  </si>
  <si>
    <t>BIS-ETHYLHEXYLOXYPHENOL METHOXYPHENYL TRIAZINE</t>
  </si>
  <si>
    <t>Bis-ethyloxyphenol methoxyphenyl triazine</t>
  </si>
  <si>
    <t>YT20250616</t>
  </si>
  <si>
    <t>MPBENJ01</t>
  </si>
  <si>
    <t>STYRAX BENZOIN RESIN</t>
  </si>
  <si>
    <t>Benjuí tintura</t>
  </si>
  <si>
    <t>ZB826001</t>
  </si>
  <si>
    <t>MP00263</t>
  </si>
  <si>
    <t>BETAINE SALICYLATE</t>
  </si>
  <si>
    <t>Betaine salicylate</t>
  </si>
  <si>
    <t>YT-BS20250615</t>
  </si>
  <si>
    <t>MP00215</t>
  </si>
  <si>
    <t>BETAINE</t>
  </si>
  <si>
    <t>Betaína</t>
  </si>
  <si>
    <t>LYPH260109</t>
  </si>
  <si>
    <t>D</t>
  </si>
  <si>
    <t>MP00214</t>
  </si>
  <si>
    <t>BETA-GLUCAN</t>
  </si>
  <si>
    <t>Betaglucano</t>
  </si>
  <si>
    <t>YT20241011</t>
  </si>
  <si>
    <t>MPBHTC01</t>
  </si>
  <si>
    <t>BEHENTRIMONIUM CHLORIDE</t>
  </si>
  <si>
    <t>Behentrimonium chloride</t>
  </si>
  <si>
    <t>YT-20250723</t>
  </si>
  <si>
    <t>13</t>
  </si>
  <si>
    <t>MP00067</t>
  </si>
  <si>
    <t>BUTYLHYDROXYTOLUENE</t>
  </si>
  <si>
    <t>Antioxidante BHT</t>
  </si>
  <si>
    <t>232404169</t>
  </si>
  <si>
    <t>CRÍTICO</t>
  </si>
  <si>
    <t>MP00173</t>
  </si>
  <si>
    <t>BAKUCHIOL</t>
  </si>
  <si>
    <t>Bakuchiol</t>
  </si>
  <si>
    <t>LYPH251208</t>
  </si>
  <si>
    <t>MP00128</t>
  </si>
  <si>
    <t>CYCLOPENTASILOXANE (AND) DIMETHICONE CROSSPOLYMER</t>
  </si>
  <si>
    <t>BM-600</t>
  </si>
  <si>
    <t>211026025</t>
  </si>
  <si>
    <t>GCD2M062406141</t>
  </si>
  <si>
    <t>PRÓXIMO</t>
  </si>
  <si>
    <t>MP00184</t>
  </si>
  <si>
    <t>PEG-12 DIMETHICONE</t>
  </si>
  <si>
    <t>BM-939</t>
  </si>
  <si>
    <t>109625</t>
  </si>
  <si>
    <t>SCB1R042410142</t>
  </si>
  <si>
    <t>MP00129</t>
  </si>
  <si>
    <t>CYCLOPENTASILOXANE</t>
  </si>
  <si>
    <t>BM-945</t>
  </si>
  <si>
    <t>F5491124</t>
  </si>
  <si>
    <t>MP00127</t>
  </si>
  <si>
    <t>PHENYL TRIMETHICONE</t>
  </si>
  <si>
    <t>BM-956</t>
  </si>
  <si>
    <t>211026525</t>
  </si>
  <si>
    <t>GCD200088042141</t>
  </si>
  <si>
    <t>MP00293</t>
  </si>
  <si>
    <t>DIMETHICONE</t>
  </si>
  <si>
    <t>BM 96-350</t>
  </si>
  <si>
    <t>250206-350</t>
  </si>
  <si>
    <t>MP00087</t>
  </si>
  <si>
    <t>EUTERPE OLERACEA FRUIT OIL</t>
  </si>
  <si>
    <t>Beauty Oil Acaí</t>
  </si>
  <si>
    <t>1871724BACC</t>
  </si>
  <si>
    <t>MP00137</t>
  </si>
  <si>
    <t>ARGANIA SPINOSA KERNEL OIL</t>
  </si>
  <si>
    <t>Beauty Oil Argán</t>
  </si>
  <si>
    <t>2111425</t>
  </si>
  <si>
    <t>MP00099</t>
  </si>
  <si>
    <t>ARNICA MONTANA FLOWER EXTRACT</t>
  </si>
  <si>
    <t>Beauty Oil Árnica</t>
  </si>
  <si>
    <t>2054425BA</t>
  </si>
  <si>
    <t>MP00037</t>
  </si>
  <si>
    <t>ADANSONIA DIGITATA SEED OIL</t>
  </si>
  <si>
    <t>Beauty Oil Baobab</t>
  </si>
  <si>
    <t>2090125</t>
  </si>
  <si>
    <t>MP00038</t>
  </si>
  <si>
    <t>MAURITIA FLEXUOSA FRUIT OIL</t>
  </si>
  <si>
    <t>Beauty Oil Buriti</t>
  </si>
  <si>
    <t>2100325</t>
  </si>
  <si>
    <t>MP00097</t>
  </si>
  <si>
    <t>THEOBROMA CACAO SEED OIL</t>
  </si>
  <si>
    <t>Beauty Oil Cacao</t>
  </si>
  <si>
    <t>2042325BC</t>
  </si>
  <si>
    <t>MP00102</t>
  </si>
  <si>
    <t>CENTELLA ASIATICA EXTRACT</t>
  </si>
  <si>
    <t>Beauty Oil Centella Asiatica</t>
  </si>
  <si>
    <t>24062024BCA</t>
  </si>
  <si>
    <t>MP00034</t>
  </si>
  <si>
    <t>COFFEA ARABICA SEED OIL</t>
  </si>
  <si>
    <t>Beauty Oil Café</t>
  </si>
  <si>
    <t>2071725</t>
  </si>
  <si>
    <t>MP00029</t>
  </si>
  <si>
    <t>BACTRIS GASIPAES FRUIT OIL</t>
  </si>
  <si>
    <t>Beauty Oil Chontaduro</t>
  </si>
  <si>
    <t>2052025</t>
  </si>
  <si>
    <t>MP00100</t>
  </si>
  <si>
    <t>CAMELLIA OLEIFERA SEED OIL</t>
  </si>
  <si>
    <t>Beauty Oil Camelia</t>
  </si>
  <si>
    <t>2067225C</t>
  </si>
  <si>
    <t>MPBOCO01</t>
  </si>
  <si>
    <t>COPAIFERA OFFICINALIS RESIN OIL</t>
  </si>
  <si>
    <t>Beauty Oil Copaiba</t>
  </si>
  <si>
    <t>2011425CP</t>
  </si>
  <si>
    <t>MP00103</t>
  </si>
  <si>
    <t>CERAMIDE NP</t>
  </si>
  <si>
    <t>Beauty Oil Cerámidas</t>
  </si>
  <si>
    <t>2083425C</t>
  </si>
  <si>
    <t>MP00136</t>
  </si>
  <si>
    <t>SIMMONDSIA CHINENSIS SEED OIL</t>
  </si>
  <si>
    <t>Beauty Oil Jojoba</t>
  </si>
  <si>
    <t>.005326</t>
  </si>
  <si>
    <t>2146425</t>
  </si>
  <si>
    <t>MP00098</t>
  </si>
  <si>
    <t>ORBIGNYA OLEIFERA SEED OIL</t>
  </si>
  <si>
    <t>Beauty Oil Kakaí</t>
  </si>
  <si>
    <t>2046825KA</t>
  </si>
  <si>
    <t>MP00032</t>
  </si>
  <si>
    <t>PASSIFLORA INCARNATA SEED OIL</t>
  </si>
  <si>
    <t>Beauty Oil Maracuyá</t>
  </si>
  <si>
    <t>2068825</t>
  </si>
  <si>
    <t>MP00043</t>
  </si>
  <si>
    <t>PROPANEDIOL</t>
  </si>
  <si>
    <t>Beauty Propanediol</t>
  </si>
  <si>
    <t>MP00105</t>
  </si>
  <si>
    <t>ROSA CANINA FRUIT OIL</t>
  </si>
  <si>
    <t>Beauty Oil Rosa mosqueta</t>
  </si>
  <si>
    <t>2085425RM</t>
  </si>
  <si>
    <t>MP00036</t>
  </si>
  <si>
    <t>VITIS VINIFERA SEED OIL</t>
  </si>
  <si>
    <t>Beauty Oil Pepita de uva</t>
  </si>
  <si>
    <t>2081625</t>
  </si>
  <si>
    <t>MP00031</t>
  </si>
  <si>
    <t>DAUCUS CAROTA SATIVA ROOT EXTRACT</t>
  </si>
  <si>
    <t>Beauty Oil Zanahoria</t>
  </si>
  <si>
    <t>2060625</t>
  </si>
  <si>
    <t>MP00122</t>
  </si>
  <si>
    <t>HDI/TRIMETHYLOL HEXYLLACTONE CROSSPOLYMER (AND) SILICA</t>
  </si>
  <si>
    <t>BPD-500W</t>
  </si>
  <si>
    <t>Colquímicos</t>
  </si>
  <si>
    <t>DA892</t>
  </si>
  <si>
    <t>MP00203</t>
  </si>
  <si>
    <t>PENDIENTE INCI</t>
  </si>
  <si>
    <t>BRO-IIS2</t>
  </si>
  <si>
    <t>QD4541</t>
  </si>
  <si>
    <t>3</t>
  </si>
  <si>
    <t>MPBSBL01</t>
  </si>
  <si>
    <t>BISABOLOL</t>
  </si>
  <si>
    <t>Bisabolol</t>
  </si>
  <si>
    <t>YT20250706</t>
  </si>
  <si>
    <t>MP00068</t>
  </si>
  <si>
    <t>PHENOXYETHANOL (AND) ETHYLHEXYLGLYCERIN</t>
  </si>
  <si>
    <t>Biosure FE</t>
  </si>
  <si>
    <t>250127005</t>
  </si>
  <si>
    <t>250306006</t>
  </si>
  <si>
    <t>MP00206</t>
  </si>
  <si>
    <t>BTD-IIS2</t>
  </si>
  <si>
    <t>SH2159</t>
  </si>
  <si>
    <t>MP00258</t>
  </si>
  <si>
    <t>BUTYLENE GLYCOL</t>
  </si>
  <si>
    <t>Butilenglicol</t>
  </si>
  <si>
    <t>FHD-240820-60</t>
  </si>
  <si>
    <t>YT20251015</t>
  </si>
  <si>
    <t>A</t>
  </si>
  <si>
    <t>YT20251225</t>
  </si>
  <si>
    <t>MP00030</t>
  </si>
  <si>
    <t>PROPYL HEPTYL CAPRYLATE</t>
  </si>
  <si>
    <t>Bauty Sensof</t>
  </si>
  <si>
    <t>2052325</t>
  </si>
  <si>
    <t>MP00193</t>
  </si>
  <si>
    <t>BIOTINOYL TRIPEPTIDE-1</t>
  </si>
  <si>
    <t>Biotinoyl tripeptide-1</t>
  </si>
  <si>
    <t>LYPH251214</t>
  </si>
  <si>
    <t>MP00135</t>
  </si>
  <si>
    <t>BY0-IIS2</t>
  </si>
  <si>
    <t>K2617</t>
  </si>
  <si>
    <t>MP00253</t>
  </si>
  <si>
    <t>BENZYL NICOTINATE</t>
  </si>
  <si>
    <t>Benzyl nicotinate</t>
  </si>
  <si>
    <t>YT20250723</t>
  </si>
  <si>
    <t>MPCAAW01</t>
  </si>
  <si>
    <t>CITRUS AURANTIUM AMARA FLOWER WATER</t>
  </si>
  <si>
    <t>Citrus aurantium amara water</t>
  </si>
  <si>
    <t>YT20250625</t>
  </si>
  <si>
    <t>MP00118</t>
  </si>
  <si>
    <t>CAFFEINE</t>
  </si>
  <si>
    <t>Cafeína anhidra</t>
  </si>
  <si>
    <t>CB-228399</t>
  </si>
  <si>
    <t>6</t>
  </si>
  <si>
    <t>MP00254</t>
  </si>
  <si>
    <t>C13-15 ALKANE</t>
  </si>
  <si>
    <t>C13-C15 Alkane</t>
  </si>
  <si>
    <t>20260103</t>
  </si>
  <si>
    <t>YT202501220</t>
  </si>
  <si>
    <t>YT20250726</t>
  </si>
  <si>
    <t>MP00008</t>
  </si>
  <si>
    <t>CARBOMER</t>
  </si>
  <si>
    <t>Carbopol</t>
  </si>
  <si>
    <t>08256091PE</t>
  </si>
  <si>
    <t>231254</t>
  </si>
  <si>
    <t>MP00246</t>
  </si>
  <si>
    <t>CAPRYLOYL SALICYLIC ACID</t>
  </si>
  <si>
    <t>Capryloyl salicylic acid</t>
  </si>
  <si>
    <t>YT20250905</t>
  </si>
  <si>
    <t>YT20251215</t>
  </si>
  <si>
    <t>MP00176</t>
  </si>
  <si>
    <t>Centella asiatica triterpenes 80%</t>
  </si>
  <si>
    <t>LYPH250715</t>
  </si>
  <si>
    <t>LYPH251228</t>
  </si>
  <si>
    <t>MP00084</t>
  </si>
  <si>
    <t>COCAMIDOPROPYL BETAINE</t>
  </si>
  <si>
    <t>Probetaína</t>
  </si>
  <si>
    <t>014930-26</t>
  </si>
  <si>
    <t>031348-25</t>
  </si>
  <si>
    <t>093588-25</t>
  </si>
  <si>
    <t>114537-25</t>
  </si>
  <si>
    <t>MP00058</t>
  </si>
  <si>
    <t>EUPHORBIA CERIFERA CERA</t>
  </si>
  <si>
    <t>Candelilla wax</t>
  </si>
  <si>
    <t>20250728</t>
  </si>
  <si>
    <t>28072-24</t>
  </si>
  <si>
    <t>BLT061611</t>
  </si>
  <si>
    <t>MP00208</t>
  </si>
  <si>
    <t>CERA ALBA</t>
  </si>
  <si>
    <t>Cera de abejas</t>
  </si>
  <si>
    <t>SOSCA150324</t>
  </si>
  <si>
    <t>MP00126</t>
  </si>
  <si>
    <t>CELLULOSE</t>
  </si>
  <si>
    <t>Celulosa</t>
  </si>
  <si>
    <t>F203O6Q237</t>
  </si>
  <si>
    <t>MP00201</t>
  </si>
  <si>
    <t>CETYL ALCOHOL</t>
  </si>
  <si>
    <t>Alcohol cetílico</t>
  </si>
  <si>
    <t>P4-320-HX</t>
  </si>
  <si>
    <t>MP00240</t>
  </si>
  <si>
    <t>CETYL TRANEXAMATE MESYLATE</t>
  </si>
  <si>
    <t>Cetyl tranexamate</t>
  </si>
  <si>
    <t>YT20250606</t>
  </si>
  <si>
    <t>YT20250906</t>
  </si>
  <si>
    <t>YT20251221</t>
  </si>
  <si>
    <t>MP00041</t>
  </si>
  <si>
    <t>CERESIN</t>
  </si>
  <si>
    <t>Ceresine wax</t>
  </si>
  <si>
    <t>20250802</t>
  </si>
  <si>
    <t>28746/25</t>
  </si>
  <si>
    <t>BLT061612</t>
  </si>
  <si>
    <t>MP00181</t>
  </si>
  <si>
    <t>Centella asiatica extract</t>
  </si>
  <si>
    <t>LYPH250724</t>
  </si>
  <si>
    <t>MP00220</t>
  </si>
  <si>
    <t>CHITOSAN</t>
  </si>
  <si>
    <t>Chitosan</t>
  </si>
  <si>
    <t>YT20241205</t>
  </si>
  <si>
    <t>MPCHLV01</t>
  </si>
  <si>
    <t>CHOLESTEROL</t>
  </si>
  <si>
    <t>Cholesterol vegetal</t>
  </si>
  <si>
    <t>YT20250614</t>
  </si>
  <si>
    <t>MP00065</t>
  </si>
  <si>
    <t>CITRIC ACID</t>
  </si>
  <si>
    <t>Ácido cítrico</t>
  </si>
  <si>
    <t>40600308</t>
  </si>
  <si>
    <t>A32501011</t>
  </si>
  <si>
    <t>A32502031</t>
  </si>
  <si>
    <t>MPCMLW01</t>
  </si>
  <si>
    <t>CAMELLIA SINENSIS LEAF WATER</t>
  </si>
  <si>
    <t>Camellia sinensis leaf water</t>
  </si>
  <si>
    <t>YT20250609</t>
  </si>
  <si>
    <t>MPCOCP01</t>
  </si>
  <si>
    <t>COCO-CAPRYLATE</t>
  </si>
  <si>
    <t>Coco caprylate</t>
  </si>
  <si>
    <t>S/L</t>
  </si>
  <si>
    <t>MP00050</t>
  </si>
  <si>
    <t>CAPRYLYL/CAPRYL GLUCOSIDE</t>
  </si>
  <si>
    <t>Caprylyl/capryl glucoside</t>
  </si>
  <si>
    <t>20250708</t>
  </si>
  <si>
    <t>MPCRCO01</t>
  </si>
  <si>
    <t>COCOS NUCIFERA WAX</t>
  </si>
  <si>
    <t>Cera de coco</t>
  </si>
  <si>
    <t>CW250702001</t>
  </si>
  <si>
    <t>MP00017</t>
  </si>
  <si>
    <t>CI 77288</t>
  </si>
  <si>
    <t>Chromium Oxide Green</t>
  </si>
  <si>
    <t>250625</t>
  </si>
  <si>
    <t>MP00076</t>
  </si>
  <si>
    <t>GLYCINE SOJA WAX</t>
  </si>
  <si>
    <t>Cera de soja</t>
  </si>
  <si>
    <t>SW-H250806001</t>
  </si>
  <si>
    <t>MP00059</t>
  </si>
  <si>
    <t>COPERNICIA CERIFERA CERA</t>
  </si>
  <si>
    <t>Carnauba wax</t>
  </si>
  <si>
    <t>148T3F24CE</t>
  </si>
  <si>
    <t>20250729</t>
  </si>
  <si>
    <t>BLT061613</t>
  </si>
  <si>
    <t>MPCTLH01</t>
  </si>
  <si>
    <t>PEG-7 GLYCERYL COCOATE</t>
  </si>
  <si>
    <t>Cetiol HE (BASF/IMCD)</t>
  </si>
  <si>
    <t>BASF</t>
  </si>
  <si>
    <t>201024925</t>
  </si>
  <si>
    <t>MP00040</t>
  </si>
  <si>
    <t>DICAPRYLYL CARBONATE</t>
  </si>
  <si>
    <t>Cetiol</t>
  </si>
  <si>
    <t>201024025</t>
  </si>
  <si>
    <t>8095325</t>
  </si>
  <si>
    <t>MP00194</t>
  </si>
  <si>
    <t>COPPER TRIPEPTIDE-1</t>
  </si>
  <si>
    <t>Copper tripeptide-1</t>
  </si>
  <si>
    <t>LYPH251209</t>
  </si>
  <si>
    <t>DIETHYLHEXYL BUTAMIDO TRIAZONE</t>
  </si>
  <si>
    <t>Diethylhexyl butamido triazone</t>
  </si>
  <si>
    <t>YT-PHT20240824</t>
  </si>
  <si>
    <t>MP00268</t>
  </si>
  <si>
    <t>DIETHYLAMINO HYDROXYBENZOYL HEXYL BENZOATE</t>
  </si>
  <si>
    <t>Diethylamino hydroxybenzoyl hexyl benzoate</t>
  </si>
  <si>
    <t>YT-PHH20240826</t>
  </si>
  <si>
    <t>MP00266</t>
  </si>
  <si>
    <t>DIBUTYL ADIPATE</t>
  </si>
  <si>
    <t>Dibutyl adipate</t>
  </si>
  <si>
    <t>YT-D20250919</t>
  </si>
  <si>
    <t>MP00048</t>
  </si>
  <si>
    <t>DIISOSTEARYL MALATE</t>
  </si>
  <si>
    <t>Diisostearyl malate (Greenway)</t>
  </si>
  <si>
    <t>20250702</t>
  </si>
  <si>
    <t>20250722</t>
  </si>
  <si>
    <t>BLT0628-01</t>
  </si>
  <si>
    <t>MP00259</t>
  </si>
  <si>
    <t>DIMETHYL ISOSORBIDE</t>
  </si>
  <si>
    <t>Dimethyl isosorbide</t>
  </si>
  <si>
    <t>YT20251016</t>
  </si>
  <si>
    <t>YT20251226</t>
  </si>
  <si>
    <t>MP00179</t>
  </si>
  <si>
    <t>DIPEPTIDE DIAMINOBUTYROYL BENZYLAMIDE DIACETATE</t>
  </si>
  <si>
    <t>Dipeptide diaminobutyroyl benzylamide diacetate</t>
  </si>
  <si>
    <t>LYPH251016-260112</t>
  </si>
  <si>
    <t>MP00010</t>
  </si>
  <si>
    <t>CI 15850</t>
  </si>
  <si>
    <t>D&amp;C Red 6 Barium Lake</t>
  </si>
  <si>
    <t>MPDSHC01</t>
  </si>
  <si>
    <t>DISTEARDIMONIUM HECTORITE</t>
  </si>
  <si>
    <t>Disteardimonium hectorite</t>
  </si>
  <si>
    <t>20260105</t>
  </si>
  <si>
    <t>MP00226</t>
  </si>
  <si>
    <t>ECTOIN</t>
  </si>
  <si>
    <t>Ectoin</t>
  </si>
  <si>
    <t>LYPH251224</t>
  </si>
  <si>
    <t>LYPHA250922</t>
  </si>
  <si>
    <t>YT20251023</t>
  </si>
  <si>
    <t>MP00046</t>
  </si>
  <si>
    <t>DISODIUM EDTA</t>
  </si>
  <si>
    <t>EDTA disódico</t>
  </si>
  <si>
    <t>20240815</t>
  </si>
  <si>
    <t>MP00150</t>
  </si>
  <si>
    <t>ERGOTHIONEINE</t>
  </si>
  <si>
    <t>Ergotioneína</t>
  </si>
  <si>
    <t>LYPH250522</t>
  </si>
  <si>
    <t>LYPH251108</t>
  </si>
  <si>
    <t>MPEHGL01</t>
  </si>
  <si>
    <t>ETHYLHEXYLGLYCERIN</t>
  </si>
  <si>
    <t>Ethylhexylglycerin</t>
  </si>
  <si>
    <t>2025060801</t>
  </si>
  <si>
    <t>MP00269</t>
  </si>
  <si>
    <t>ETHYLHEXYL TRIAZONE</t>
  </si>
  <si>
    <t>Ethylhexyl triazone</t>
  </si>
  <si>
    <t>YT-ET20240812</t>
  </si>
  <si>
    <t>MPELSS01</t>
  </si>
  <si>
    <t>SODIUM LAUROYL SARCOSINATE</t>
  </si>
  <si>
    <t>Eversoft S12 (Inchemical)</t>
  </si>
  <si>
    <t>2102825</t>
  </si>
  <si>
    <t>MP00116</t>
  </si>
  <si>
    <t>AZELAMIDOPROPYL DIMETHYL AMINE (AND) WATER (AND) BUTYLENE GLYCOL</t>
  </si>
  <si>
    <t>Epi-On</t>
  </si>
  <si>
    <t>AR198401</t>
  </si>
  <si>
    <t>MP00160</t>
  </si>
  <si>
    <t>3-O-ETHYL ASCORBIC ACID</t>
  </si>
  <si>
    <t>Etil ascórbico acid</t>
  </si>
  <si>
    <t>LYPH250809</t>
  </si>
  <si>
    <t>LYPH251029</t>
  </si>
  <si>
    <t>MP00256</t>
  </si>
  <si>
    <t>ETHOXYDIGLYCOL</t>
  </si>
  <si>
    <t>Etoxidiglicol</t>
  </si>
  <si>
    <t>YT-E20251003</t>
  </si>
  <si>
    <t>YT-E20251213</t>
  </si>
  <si>
    <t>MP00089</t>
  </si>
  <si>
    <t>CALENDULA OFFICINALIS FLOWER EXTRACT</t>
  </si>
  <si>
    <t>Extracto de caléndula</t>
  </si>
  <si>
    <t>1999925EC</t>
  </si>
  <si>
    <t>Extracto de centella asiatica</t>
  </si>
  <si>
    <t>20800825C5</t>
  </si>
  <si>
    <t>MP00026</t>
  </si>
  <si>
    <t>PANAX GINSENG ROOT EXTRACT</t>
  </si>
  <si>
    <t>Extracto de ginseng</t>
  </si>
  <si>
    <t>N.A</t>
  </si>
  <si>
    <t>MP00242</t>
  </si>
  <si>
    <t>ROSMARINUS OFFICINALIS LEAF EXTRACT</t>
  </si>
  <si>
    <t>Extracto CO2 de romero</t>
  </si>
  <si>
    <t>20240911001</t>
  </si>
  <si>
    <t>MP00094</t>
  </si>
  <si>
    <t>SALVIA OFFICINALIS LEAF EXTRACT</t>
  </si>
  <si>
    <t>Extracto de salvia</t>
  </si>
  <si>
    <t>2035925V3</t>
  </si>
  <si>
    <t>MP00035</t>
  </si>
  <si>
    <t>CAMELLIA SINENSIS LEAF EXTRACT</t>
  </si>
  <si>
    <t>Extracto de té verde</t>
  </si>
  <si>
    <t>2078725</t>
  </si>
  <si>
    <t>MP00300</t>
  </si>
  <si>
    <t>SODIUM COCOYL GLYCINATE</t>
  </si>
  <si>
    <t>Eversoft YCS-30S (Inchemical)</t>
  </si>
  <si>
    <t>C250525YCS</t>
  </si>
  <si>
    <t>MP00011</t>
  </si>
  <si>
    <t>CI 42090</t>
  </si>
  <si>
    <t>FD&amp;C Blue 1 Aluminum Lake</t>
  </si>
  <si>
    <t>MPFRCN01</t>
  </si>
  <si>
    <t>PARFUM</t>
  </si>
  <si>
    <t>Fragancia canela</t>
  </si>
  <si>
    <t>MPFRDU01</t>
  </si>
  <si>
    <t>Fragancia durazno</t>
  </si>
  <si>
    <t>MPFREU01</t>
  </si>
  <si>
    <t>Fragancia eucalipto</t>
  </si>
  <si>
    <t>MP00019</t>
  </si>
  <si>
    <t>Fresa cremosa</t>
  </si>
  <si>
    <t>28001</t>
  </si>
  <si>
    <t>MP00004</t>
  </si>
  <si>
    <t>Fresa lips</t>
  </si>
  <si>
    <t>3846-08-01 00:00:00</t>
  </si>
  <si>
    <t>MPFRGI01</t>
  </si>
  <si>
    <t>Fragancia gin</t>
  </si>
  <si>
    <t>MP00062</t>
  </si>
  <si>
    <t>Fragancia pistacho</t>
  </si>
  <si>
    <t>25030778</t>
  </si>
  <si>
    <t>25102825</t>
  </si>
  <si>
    <t>Vainilla lips</t>
  </si>
  <si>
    <t>2-46273</t>
  </si>
  <si>
    <t>MP00020</t>
  </si>
  <si>
    <t>Yogurt cremoso</t>
  </si>
  <si>
    <t>MP00014</t>
  </si>
  <si>
    <t>CI 15985:1</t>
  </si>
  <si>
    <t>FD&amp;C Yellow 5 Aluminum Lake</t>
  </si>
  <si>
    <t>MP00009</t>
  </si>
  <si>
    <t>CI 15985</t>
  </si>
  <si>
    <t>FD&amp;C Yellow 6 Aluminum Lake</t>
  </si>
  <si>
    <t>MPGHTC01</t>
  </si>
  <si>
    <t>GUAR HYDROXYPROPYLTRIMONIUM CHLORIDE</t>
  </si>
  <si>
    <t>Guar hydroxypropyltrimonium</t>
  </si>
  <si>
    <t>YT20250725</t>
  </si>
  <si>
    <t>MP00290</t>
  </si>
  <si>
    <t>GLUTAMIC ACID</t>
  </si>
  <si>
    <t>Ácido glutámico</t>
  </si>
  <si>
    <t>F&amp;M20240221</t>
  </si>
  <si>
    <t>MPGLAC02</t>
  </si>
  <si>
    <t>GLYCOLIC ACID</t>
  </si>
  <si>
    <t>Ácido glicólico</t>
  </si>
  <si>
    <t>YT20250715</t>
  </si>
  <si>
    <t>MP00231</t>
  </si>
  <si>
    <t>GLYCINAMIDE</t>
  </si>
  <si>
    <t>Glicinamida</t>
  </si>
  <si>
    <t>YT20250317</t>
  </si>
  <si>
    <t>MP00195</t>
  </si>
  <si>
    <t>GLYCERIN</t>
  </si>
  <si>
    <t>Glicerina</t>
  </si>
  <si>
    <t>3400225001</t>
  </si>
  <si>
    <t>340025001</t>
  </si>
  <si>
    <t>MP00270</t>
  </si>
  <si>
    <t>GLUCONOLACTONE</t>
  </si>
  <si>
    <t>Gluconolactona</t>
  </si>
  <si>
    <t>YT-G20251019</t>
  </si>
  <si>
    <t>YT-G20251219</t>
  </si>
  <si>
    <t>MP00120</t>
  </si>
  <si>
    <t>GLYCYRRHIZA GLABRA ROOT EXTRACT</t>
  </si>
  <si>
    <t>Regaliz raíz polvo</t>
  </si>
  <si>
    <t>CP.4229.RGZ.3</t>
  </si>
  <si>
    <t>Regaliz / Licorice extract</t>
  </si>
  <si>
    <t>YT20250722</t>
  </si>
  <si>
    <t>MP00145</t>
  </si>
  <si>
    <t>GLUTATHIONE</t>
  </si>
  <si>
    <t>Glutatión</t>
  </si>
  <si>
    <t>LYPH250508</t>
  </si>
  <si>
    <t>YT20250406</t>
  </si>
  <si>
    <t>MP00265</t>
  </si>
  <si>
    <t>GLYCINE</t>
  </si>
  <si>
    <t>Glicina</t>
  </si>
  <si>
    <t>ESPA-5</t>
  </si>
  <si>
    <t>YT-CE20241022</t>
  </si>
  <si>
    <t>MP00072</t>
  </si>
  <si>
    <t>BIS-PEG-12 DIMETHICONE</t>
  </si>
  <si>
    <t>Gransil VX-419</t>
  </si>
  <si>
    <t>980910S2125</t>
  </si>
  <si>
    <t>MP00271</t>
  </si>
  <si>
    <t>MALVA SYLVESTRIS FLOWER/LEAF/STEM EXTRACT (AND) GLYCERIN (AND) AQUA (AND) CITRIC ACID (AND) MENTHA PIPERITA LEAF EXTRACT (AND) PRIMULA VERIS EXTRACT (AND) ALCHEMILLA VULGARIS EXTRACT (AND) VERONICA OFFICINALIS FLOWER/LEAF/STEM EXTRACT (AND) MELISSA OFFICINALIS LEAF EXTRACT (AND) ACHILLEA MILLEFOLIUM EXTRACT</t>
  </si>
  <si>
    <t>Giga White</t>
  </si>
  <si>
    <t>YT-G120240416</t>
  </si>
  <si>
    <t>MP00245</t>
  </si>
  <si>
    <t>1,2-HEXANEDIOL</t>
  </si>
  <si>
    <t>1,2-Hexanediol</t>
  </si>
  <si>
    <t>MP00142</t>
  </si>
  <si>
    <t>HYALURONIC ACID (1500 kD)</t>
  </si>
  <si>
    <t>Ácido hialurónico 1500 kD</t>
  </si>
  <si>
    <t>LYPH251115</t>
  </si>
  <si>
    <t>YTHA20250912</t>
  </si>
  <si>
    <t>MP00233</t>
  </si>
  <si>
    <t>HYALURONIC ACID (300 kD)</t>
  </si>
  <si>
    <t>Ácido hialurónico 300 kD</t>
  </si>
  <si>
    <t>LYPH250602</t>
  </si>
  <si>
    <t>LYPH251103</t>
  </si>
  <si>
    <t>LYPH251125</t>
  </si>
  <si>
    <t>MP00163</t>
  </si>
  <si>
    <t>HYALURONIC ACID (50 kD)</t>
  </si>
  <si>
    <t>Ácido hialurónico 50 kD</t>
  </si>
  <si>
    <t>MP00285</t>
  </si>
  <si>
    <t>HYDROLYZED COLLAGEN</t>
  </si>
  <si>
    <t>Péptido de colágeno</t>
  </si>
  <si>
    <t>YT202507325</t>
  </si>
  <si>
    <t>YT20250925</t>
  </si>
  <si>
    <t>MPHYEC01</t>
  </si>
  <si>
    <t>HYDROXYETHYLCELLULOSE</t>
  </si>
  <si>
    <t>Hydroxyethylcellulose</t>
  </si>
  <si>
    <t>YT-20250716</t>
  </si>
  <si>
    <t>MP00168</t>
  </si>
  <si>
    <t>HYDROLYZED KERATIN</t>
  </si>
  <si>
    <t>Hydrolyzed keratin</t>
  </si>
  <si>
    <t>LYPH250615</t>
  </si>
  <si>
    <t>MP00162</t>
  </si>
  <si>
    <t>HYDROLYZED RICE EXTRACT</t>
  </si>
  <si>
    <t>Hydrolyzed rice extract</t>
  </si>
  <si>
    <t>LYPH250609</t>
  </si>
  <si>
    <t>MP00248</t>
  </si>
  <si>
    <t>HYDROLYZED SPONGE</t>
  </si>
  <si>
    <t>Hydrolyzed sponge</t>
  </si>
  <si>
    <t>YT20250702</t>
  </si>
  <si>
    <t>MP00057</t>
  </si>
  <si>
    <t>INULIN</t>
  </si>
  <si>
    <t>Inulin</t>
  </si>
  <si>
    <t>20250725</t>
  </si>
  <si>
    <t>MP00213</t>
  </si>
  <si>
    <t>INOSITOL</t>
  </si>
  <si>
    <t>Mio inositol</t>
  </si>
  <si>
    <t>YT20230211</t>
  </si>
  <si>
    <t>MP00018</t>
  </si>
  <si>
    <t>CI 77499</t>
  </si>
  <si>
    <t>Iron Oxide Black</t>
  </si>
  <si>
    <t>MP00013</t>
  </si>
  <si>
    <t>CI 77491</t>
  </si>
  <si>
    <t>Iron Oxide Red</t>
  </si>
  <si>
    <t>MPIOXY01</t>
  </si>
  <si>
    <t>CI 77492</t>
  </si>
  <si>
    <t>Iron Oxide Yellow</t>
  </si>
  <si>
    <t>MP00134</t>
  </si>
  <si>
    <t>ISOPROPYL MYRISTATE</t>
  </si>
  <si>
    <t>Miristato de isopropilo</t>
  </si>
  <si>
    <t>IPM250312001</t>
  </si>
  <si>
    <t>MPISNM01</t>
  </si>
  <si>
    <t>ISONONYL ISONONANOATE</t>
  </si>
  <si>
    <t>Isononyl isononanoate</t>
  </si>
  <si>
    <t>2025062001</t>
  </si>
  <si>
    <t>MP00002</t>
  </si>
  <si>
    <t>POTASSIUM ALUM</t>
  </si>
  <si>
    <t>Piedra alumbre Banalum</t>
  </si>
  <si>
    <t>04/2025</t>
  </si>
  <si>
    <t>MP00237</t>
  </si>
  <si>
    <t>KOJIC ACID</t>
  </si>
  <si>
    <t>Ácido kójico</t>
  </si>
  <si>
    <t>YT20250505</t>
  </si>
  <si>
    <t>MP00244</t>
  </si>
  <si>
    <t>POTASSIUM AZELOYL DIGLYCINATE</t>
  </si>
  <si>
    <t>Potassium azeloyl diglycinate</t>
  </si>
  <si>
    <t>YT20251209</t>
  </si>
  <si>
    <t>MP00147</t>
  </si>
  <si>
    <t>ARGININE</t>
  </si>
  <si>
    <t>L-arginina</t>
  </si>
  <si>
    <t>LYPH250515</t>
  </si>
  <si>
    <t>MP00161</t>
  </si>
  <si>
    <t>CARNITINE</t>
  </si>
  <si>
    <t>L-carnitina</t>
  </si>
  <si>
    <t>LYPH250606</t>
  </si>
  <si>
    <t>MP00070</t>
  </si>
  <si>
    <t>LAURYL GLUCOSIDE</t>
  </si>
  <si>
    <t>Plantaren Lauryl 1200 / Eversoft 1200</t>
  </si>
  <si>
    <t>2025-043</t>
  </si>
  <si>
    <t>Lauryl glucoside</t>
  </si>
  <si>
    <t>2025043</t>
  </si>
  <si>
    <t>6028631568</t>
  </si>
  <si>
    <t>MP00188</t>
  </si>
  <si>
    <t>LINUM USITATISSIMUM SEED OIL</t>
  </si>
  <si>
    <t>Linseed oil</t>
  </si>
  <si>
    <t>MP00054</t>
  </si>
  <si>
    <t>LAUROYL LYSINE</t>
  </si>
  <si>
    <t>Lauroyl lysine</t>
  </si>
  <si>
    <t>20250719</t>
  </si>
  <si>
    <t>MP00180</t>
  </si>
  <si>
    <t>L-THEANINE</t>
  </si>
  <si>
    <t>L-teanina</t>
  </si>
  <si>
    <t>LYPH250723</t>
  </si>
  <si>
    <t>MP00109</t>
  </si>
  <si>
    <t>TRIHEPTANOIN (AND) C13-16 ISOALKANE</t>
  </si>
  <si>
    <t>LexFeel WOW</t>
  </si>
  <si>
    <t>240208-68</t>
  </si>
  <si>
    <t>MP00227</t>
  </si>
  <si>
    <t>MADECASSIC ACID</t>
  </si>
  <si>
    <t>Ácido madecásico</t>
  </si>
  <si>
    <t>YT20250206</t>
  </si>
  <si>
    <t>MP00229</t>
  </si>
  <si>
    <t>MAGNESIUM ASCORBYL PHOSPHATE</t>
  </si>
  <si>
    <t>Magnesium ascorbyl phosphate</t>
  </si>
  <si>
    <t>YT20250310</t>
  </si>
  <si>
    <t>MP00276</t>
  </si>
  <si>
    <t>METHYLENE BIS-BENZOTRIAZOLYL TETRAMETHYLBUTYLPHENOL</t>
  </si>
  <si>
    <t>Methylene bis-benzotriazolyl</t>
  </si>
  <si>
    <t>YT-MBT20240819</t>
  </si>
  <si>
    <t>MP00024</t>
  </si>
  <si>
    <t>MICROCRYSTALLINE WAX</t>
  </si>
  <si>
    <t>Microcristalina 127 blanca</t>
  </si>
  <si>
    <t>1837124</t>
  </si>
  <si>
    <t>MP00003</t>
  </si>
  <si>
    <t>MAGNESIUM STEARATE</t>
  </si>
  <si>
    <t>Magnesium stearate</t>
  </si>
  <si>
    <t>JUL25</t>
  </si>
  <si>
    <t>MP00219</t>
  </si>
  <si>
    <t>MELATONIN</t>
  </si>
  <si>
    <t>Melatonina</t>
  </si>
  <si>
    <t>2512808</t>
  </si>
  <si>
    <t>YT20251003</t>
  </si>
  <si>
    <t>YT20251218</t>
  </si>
  <si>
    <t>MP00075</t>
  </si>
  <si>
    <t>Manteca de babasú</t>
  </si>
  <si>
    <t>00471C24</t>
  </si>
  <si>
    <t>MP00074</t>
  </si>
  <si>
    <t>THEOBROMA GRANDIFLORUM SEED BUTTER</t>
  </si>
  <si>
    <t>Mantequilla de copoazú</t>
  </si>
  <si>
    <t>2117825</t>
  </si>
  <si>
    <t>Manteca de cupuazú</t>
  </si>
  <si>
    <t>00398A24</t>
  </si>
  <si>
    <t>MP00042</t>
  </si>
  <si>
    <t>BUTYROSPERMUM PARKII BUTTER</t>
  </si>
  <si>
    <t>Mantequilla de karité</t>
  </si>
  <si>
    <t>2910961</t>
  </si>
  <si>
    <t>Manteca de karité</t>
  </si>
  <si>
    <t>0002910960</t>
  </si>
  <si>
    <t>MP00166</t>
  </si>
  <si>
    <t>MENTHYL LACTATE</t>
  </si>
  <si>
    <t>Menthyl lactate</t>
  </si>
  <si>
    <t>MENTHYL NICOTINATE (AND) MENTHOL</t>
  </si>
  <si>
    <t>Menthyl nicotinate and menthol</t>
  </si>
  <si>
    <t>2114925</t>
  </si>
  <si>
    <t>MP00196</t>
  </si>
  <si>
    <t>MANGIFERA INDICA SEED BUTTER</t>
  </si>
  <si>
    <t>Mantequilla de mango</t>
  </si>
  <si>
    <t>2125725</t>
  </si>
  <si>
    <t>MM20933325</t>
  </si>
  <si>
    <t>MP00077</t>
  </si>
  <si>
    <t>ASTROCARYUM MURUMURU SEED BUTTER</t>
  </si>
  <si>
    <t>Mantequilla de murumuru</t>
  </si>
  <si>
    <t>2123425</t>
  </si>
  <si>
    <t>Manteca de murumuru</t>
  </si>
  <si>
    <t>01028E25</t>
  </si>
  <si>
    <t>VIROLA SURINAMENSIS SEED BUTTER</t>
  </si>
  <si>
    <t>Manteca de ucuuba</t>
  </si>
  <si>
    <t>00486C24</t>
  </si>
  <si>
    <t>MP00005</t>
  </si>
  <si>
    <t>Mocaccino lips</t>
  </si>
  <si>
    <t>3927-08-01 00:00:00</t>
  </si>
  <si>
    <t>MP00171</t>
  </si>
  <si>
    <t>MYRISTOYL HEXAPEPTIDE-16</t>
  </si>
  <si>
    <t>Myristoyl hexapeptide-16</t>
  </si>
  <si>
    <t>LYPH251223</t>
  </si>
  <si>
    <t>MP00250</t>
  </si>
  <si>
    <t>MYRISTOYL NONAPEPTIDE-3</t>
  </si>
  <si>
    <t>Myristoyl nonapeptide-3</t>
  </si>
  <si>
    <t>LYPH251016-YT20250720-LYPH260108-LYPH250822</t>
  </si>
  <si>
    <t>MP00187</t>
  </si>
  <si>
    <t>MYRISTOYL PENTAPEPTIDE-17</t>
  </si>
  <si>
    <t>Myristoyl pentapeptide-17</t>
  </si>
  <si>
    <t>MP00164</t>
  </si>
  <si>
    <t>N-ACETYL-L-CYSTEINE</t>
  </si>
  <si>
    <t>N-acetil cisteína</t>
  </si>
  <si>
    <t>MP00262</t>
  </si>
  <si>
    <t>N-ACETYL GLUCOSAMINE</t>
  </si>
  <si>
    <t>N-acetil glucosamina</t>
  </si>
  <si>
    <t>YT20251203</t>
  </si>
  <si>
    <t>MP00148</t>
  </si>
  <si>
    <t>NIACINAMIDE</t>
  </si>
  <si>
    <t>Niacinamida</t>
  </si>
  <si>
    <t>7520251189</t>
  </si>
  <si>
    <t>LYPH251022</t>
  </si>
  <si>
    <t>LYPH260104</t>
  </si>
  <si>
    <t>MP00153</t>
  </si>
  <si>
    <t>TITANIUM DIOXIDE</t>
  </si>
  <si>
    <t>Nano titanium dioxide</t>
  </si>
  <si>
    <t>LYPH250524</t>
  </si>
  <si>
    <t>MP00001</t>
  </si>
  <si>
    <t>NYLON-12</t>
  </si>
  <si>
    <t>Nylon 12 SP-500</t>
  </si>
  <si>
    <t>19726</t>
  </si>
  <si>
    <t>MP00143</t>
  </si>
  <si>
    <t>ZINC OXIDE</t>
  </si>
  <si>
    <t>Nano zinc oxide</t>
  </si>
  <si>
    <t>LYPH250408</t>
  </si>
  <si>
    <t>MP00177</t>
  </si>
  <si>
    <t>OLIGOPEPTIDE-68</t>
  </si>
  <si>
    <t>Oligopeptide-68</t>
  </si>
  <si>
    <t>LYPH260121/250923</t>
  </si>
  <si>
    <t>MP00236</t>
  </si>
  <si>
    <t>PANTHENOL</t>
  </si>
  <si>
    <t>Pantenol polvo</t>
  </si>
  <si>
    <t>YT20250902</t>
  </si>
  <si>
    <t>MP00110</t>
  </si>
  <si>
    <t>D-Pantenol sólido</t>
  </si>
  <si>
    <t>250323H061</t>
  </si>
  <si>
    <t>MP00093</t>
  </si>
  <si>
    <t>POLYBUTENE</t>
  </si>
  <si>
    <t>Polybutene</t>
  </si>
  <si>
    <t>20250703</t>
  </si>
  <si>
    <t>YT20251013</t>
  </si>
  <si>
    <t>YT20251222</t>
  </si>
  <si>
    <t>MP00006</t>
  </si>
  <si>
    <t>ACRYLATES/C10-30 ALKYL ACRYLATE CROSSPOLYMER</t>
  </si>
  <si>
    <t>Pemulen EZ-4U (Lubrizol)</t>
  </si>
  <si>
    <t>_0000235240</t>
  </si>
  <si>
    <t>MP00064</t>
  </si>
  <si>
    <t>PEG-400</t>
  </si>
  <si>
    <t>Polietilenglicol 400</t>
  </si>
  <si>
    <t>19012025</t>
  </si>
  <si>
    <t>31235109</t>
  </si>
  <si>
    <t>MP00204</t>
  </si>
  <si>
    <t>PETROLATUM</t>
  </si>
  <si>
    <t>Vaselina USP</t>
  </si>
  <si>
    <t>REPW215E25</t>
  </si>
  <si>
    <t>MP00154</t>
  </si>
  <si>
    <t>POLYGLUTAMIC ACID</t>
  </si>
  <si>
    <t>Polyglutamic acid</t>
  </si>
  <si>
    <t>MP00051</t>
  </si>
  <si>
    <t>POLYGLYCERYL-2 TRIISOSTEARATE</t>
  </si>
  <si>
    <t>Polyglyceryl-2 triisostearate</t>
  </si>
  <si>
    <t>20250711</t>
  </si>
  <si>
    <t>MP00021</t>
  </si>
  <si>
    <t>PHENOXYETHANOL</t>
  </si>
  <si>
    <t>Fenoxietanol / Biosure</t>
  </si>
  <si>
    <t>Fenoxietanol</t>
  </si>
  <si>
    <t>860528</t>
  </si>
  <si>
    <t>909695</t>
  </si>
  <si>
    <t>PROPYLHEPTYL CAPRYLATE</t>
  </si>
  <si>
    <t>Beauty Sensoft (Inchemical)</t>
  </si>
  <si>
    <t>PENDIENTE</t>
  </si>
  <si>
    <t>MPPHP101</t>
  </si>
  <si>
    <t>Phenoxyethanol P10</t>
  </si>
  <si>
    <t>MP00209</t>
  </si>
  <si>
    <t>POLYISOBUTENE</t>
  </si>
  <si>
    <t>PIB 24 (IMCD)</t>
  </si>
  <si>
    <t>SPXLOC005E</t>
  </si>
  <si>
    <t>MPPIRC01</t>
  </si>
  <si>
    <t>PIROCTONE OLAMINE</t>
  </si>
  <si>
    <t>Piroctone olamine</t>
  </si>
  <si>
    <t>PO#488386648</t>
  </si>
  <si>
    <t>MP00055</t>
  </si>
  <si>
    <t>POLYMETHYLSILSESQUIOXANE</t>
  </si>
  <si>
    <t>Polymethylsilsesquioxane</t>
  </si>
  <si>
    <t>20250721</t>
  </si>
  <si>
    <t>MP00132</t>
  </si>
  <si>
    <t>POLYGLYCERYL-4 LAURATE (AND) POLYGLYCERYL-6 LAURATE</t>
  </si>
  <si>
    <t>Polyaquol LW (Colquimicos)</t>
  </si>
  <si>
    <t>IEM8002F095</t>
  </si>
  <si>
    <t>MP00202</t>
  </si>
  <si>
    <t>POTASSIUM SORBATE</t>
  </si>
  <si>
    <t>Sorbato de potasio</t>
  </si>
  <si>
    <t>2402191</t>
  </si>
  <si>
    <t>PS20240530-03</t>
  </si>
  <si>
    <t>MP00049</t>
  </si>
  <si>
    <t>POLOXAMER 184</t>
  </si>
  <si>
    <t>Poloxamer 184</t>
  </si>
  <si>
    <t>16603</t>
  </si>
  <si>
    <t>MPPOX188</t>
  </si>
  <si>
    <t>POLOXAMER 188</t>
  </si>
  <si>
    <t>Poloxamer 188</t>
  </si>
  <si>
    <t>20250804</t>
  </si>
  <si>
    <t>MP00228</t>
  </si>
  <si>
    <t>PALMITOYL PENTAPEPTIDE-4</t>
  </si>
  <si>
    <t>Palmitoyl pentapeptide-4</t>
  </si>
  <si>
    <t>LYPH250915</t>
  </si>
  <si>
    <t>LYPH251211</t>
  </si>
  <si>
    <t>IEM3002F09E</t>
  </si>
  <si>
    <t>MP00115</t>
  </si>
  <si>
    <t>POLYQUATERNIUM-10</t>
  </si>
  <si>
    <t>Polyaquol OS2</t>
  </si>
  <si>
    <t>AEM2001D02E</t>
  </si>
  <si>
    <t>MPPRCA01</t>
  </si>
  <si>
    <t>PROPYLENE CARBONATE</t>
  </si>
  <si>
    <t>Propylene carbonate</t>
  </si>
  <si>
    <t>20260110</t>
  </si>
  <si>
    <t>MP00151</t>
  </si>
  <si>
    <t>PROLINE</t>
  </si>
  <si>
    <t>Prolina</t>
  </si>
  <si>
    <t>LYPH250523</t>
  </si>
  <si>
    <t>MP00023</t>
  </si>
  <si>
    <t>HYDROLYZED SOY PROTEIN</t>
  </si>
  <si>
    <t>Proteína de soja</t>
  </si>
  <si>
    <t>1796724</t>
  </si>
  <si>
    <t>YT20250709</t>
  </si>
  <si>
    <t>MP00033</t>
  </si>
  <si>
    <t>HYDROLYZED WHEAT PROTEIN</t>
  </si>
  <si>
    <t>Proteína de germen de trigo</t>
  </si>
  <si>
    <t>2069125</t>
  </si>
  <si>
    <t>MP00190</t>
  </si>
  <si>
    <t>PALMITOYL TRIPEPTIDE-1</t>
  </si>
  <si>
    <t>Palmitoyl tripeptide-1</t>
  </si>
  <si>
    <t>LYPH251119</t>
  </si>
  <si>
    <t>MP00174</t>
  </si>
  <si>
    <t>PALMITOYL TRIPEPTIDE-38</t>
  </si>
  <si>
    <t>Palmitoyl tripeptide-38</t>
  </si>
  <si>
    <t>LYPH260121-LYPH251027-YT20250628-LYPH250707-MPIF04825</t>
  </si>
  <si>
    <t>MP00191</t>
  </si>
  <si>
    <t>PALMITOYL TRIPEPTIDE-5</t>
  </si>
  <si>
    <t>Palmitoyl tripeptide-5</t>
  </si>
  <si>
    <t>LYPH251202</t>
  </si>
  <si>
    <t>MP00172</t>
  </si>
  <si>
    <t>PALMITOYL TETRAPEPTIDE-7</t>
  </si>
  <si>
    <t>Palmitoyl tetrapeptide-7</t>
  </si>
  <si>
    <t>LYPH250929</t>
  </si>
  <si>
    <t>MP00056</t>
  </si>
  <si>
    <t>PULLULAN</t>
  </si>
  <si>
    <t>Pullulan</t>
  </si>
  <si>
    <t>202506250</t>
  </si>
  <si>
    <t>20250723</t>
  </si>
  <si>
    <t>MP00111</t>
  </si>
  <si>
    <t>C13-15 ALKANE (AND) DIMETHICONE/VINYL DIMETHICONE CROSSPOLYMER</t>
  </si>
  <si>
    <t>Puresil ORG01</t>
  </si>
  <si>
    <t>2464090019</t>
  </si>
  <si>
    <t>MPPVPK01</t>
  </si>
  <si>
    <t>PVP</t>
  </si>
  <si>
    <t>PVP K-30</t>
  </si>
  <si>
    <t>20250727</t>
  </si>
  <si>
    <t>MP00071</t>
  </si>
  <si>
    <t>ACRYLATES/PALMETH-25 ACRYLATE COPOLYMER</t>
  </si>
  <si>
    <t>Quincream</t>
  </si>
  <si>
    <t>271029325</t>
  </si>
  <si>
    <t>MP00241</t>
  </si>
  <si>
    <t>TRIFOLIUM PRATENSE FLOWER EXTRACT</t>
  </si>
  <si>
    <t>Red clover extract</t>
  </si>
  <si>
    <t>MP00274</t>
  </si>
  <si>
    <t>HYDROXYPINACOLONE RETINOATE</t>
  </si>
  <si>
    <t>Hydroxypinacolone retinoate</t>
  </si>
  <si>
    <t>YTHPR20250324</t>
  </si>
  <si>
    <t>MP00261</t>
  </si>
  <si>
    <t>RETINALDEHYDE</t>
  </si>
  <si>
    <t>Retinaldehído</t>
  </si>
  <si>
    <t>YT-R20250314</t>
  </si>
  <si>
    <t>YT202560108</t>
  </si>
  <si>
    <t>MP00281</t>
  </si>
  <si>
    <t>RETINOL</t>
  </si>
  <si>
    <t>Retinol 99%</t>
  </si>
  <si>
    <t>YT-R20250326</t>
  </si>
  <si>
    <t>MP00287</t>
  </si>
  <si>
    <t>RETINYL RETINOATE</t>
  </si>
  <si>
    <t>Retinyl retinoate</t>
  </si>
  <si>
    <t>YT20250818</t>
  </si>
  <si>
    <t>MP00210</t>
  </si>
  <si>
    <t>SALICYLIC ACID</t>
  </si>
  <si>
    <t>Ácido salicílico</t>
  </si>
  <si>
    <t>YC2503096</t>
  </si>
  <si>
    <t>MP00053</t>
  </si>
  <si>
    <t>SILICA DIMETHYL SILYLATE</t>
  </si>
  <si>
    <t>Silica dimethylsilylate / Aerosil R972</t>
  </si>
  <si>
    <t>114122621</t>
  </si>
  <si>
    <t>MP00112</t>
  </si>
  <si>
    <t>SILICA</t>
  </si>
  <si>
    <t>Aerosil 200</t>
  </si>
  <si>
    <t>Evonik</t>
  </si>
  <si>
    <t>115013113</t>
  </si>
  <si>
    <t>CDEF</t>
  </si>
  <si>
    <t>MP00277</t>
  </si>
  <si>
    <t>SILYBUM MARIANUM FRUIT EXTRACT</t>
  </si>
  <si>
    <t>Silimarina</t>
  </si>
  <si>
    <t>YT-MT20241103</t>
  </si>
  <si>
    <t>MP00289</t>
  </si>
  <si>
    <t>Silica MSS-500/3H</t>
  </si>
  <si>
    <t>249D3A720</t>
  </si>
  <si>
    <t>MP00199</t>
  </si>
  <si>
    <t>Silicona SF-350</t>
  </si>
  <si>
    <t>0010005316</t>
  </si>
  <si>
    <t>0010010867</t>
  </si>
  <si>
    <t>10005316</t>
  </si>
  <si>
    <t>10010867</t>
  </si>
  <si>
    <t>MP00169</t>
  </si>
  <si>
    <t>SODIUM ASCORBYL PHOSPHATE</t>
  </si>
  <si>
    <t>Sodium ascorbyl phosphate</t>
  </si>
  <si>
    <t>LYPH251113</t>
  </si>
  <si>
    <t>MP00045</t>
  </si>
  <si>
    <t>SODIUM BENZOATE</t>
  </si>
  <si>
    <t>Benzoato de sodio</t>
  </si>
  <si>
    <t>20250806</t>
  </si>
  <si>
    <t>20250829</t>
  </si>
  <si>
    <t>MP00130</t>
  </si>
  <si>
    <t>SODIUM METABISULFITE</t>
  </si>
  <si>
    <t>Metabisulfito de sodio</t>
  </si>
  <si>
    <t>GFI550505</t>
  </si>
  <si>
    <t>MP00131</t>
  </si>
  <si>
    <t>SODIUM BICARBONATE</t>
  </si>
  <si>
    <t>Bicarbonato de sodio</t>
  </si>
  <si>
    <t>202408</t>
  </si>
  <si>
    <t>HHXSD20250101</t>
  </si>
  <si>
    <t>MP00239</t>
  </si>
  <si>
    <t>SODIUM PHYTATE</t>
  </si>
  <si>
    <t>Sodium phytate</t>
  </si>
  <si>
    <t>MP00066</t>
  </si>
  <si>
    <t>SODIUM HYDROXIDE</t>
  </si>
  <si>
    <t>Soda cáustica</t>
  </si>
  <si>
    <t>67970958</t>
  </si>
  <si>
    <t>MP00121</t>
  </si>
  <si>
    <t>PROPYLENE GLYCOL</t>
  </si>
  <si>
    <t>Propilenglicol (Colquimicos)</t>
  </si>
  <si>
    <t>20250211</t>
  </si>
  <si>
    <t>20250527</t>
  </si>
  <si>
    <t>MP00282</t>
  </si>
  <si>
    <t>SQUALANE</t>
  </si>
  <si>
    <t>Squalane</t>
  </si>
  <si>
    <t>YT-SQ20251015</t>
  </si>
  <si>
    <t>YT-SQ20251215</t>
  </si>
  <si>
    <t>MPSTAC01</t>
  </si>
  <si>
    <t>STEARIC ACID</t>
  </si>
  <si>
    <t>Ácido esteárico</t>
  </si>
  <si>
    <t>10100071340</t>
  </si>
  <si>
    <t>MP00207</t>
  </si>
  <si>
    <t>PHENETHYL ALCOHOL (AND) CAPRYLYL GLYCOL</t>
  </si>
  <si>
    <t>Stabil</t>
  </si>
  <si>
    <t>SL2502</t>
  </si>
  <si>
    <t>SL2504</t>
  </si>
  <si>
    <t>MPSTDM01</t>
  </si>
  <si>
    <t>STEARAMIDOPROPYL DIMETHYLAMINE</t>
  </si>
  <si>
    <t>Stearamidopropyl dimethylamine</t>
  </si>
  <si>
    <t>YT-20250703</t>
  </si>
  <si>
    <t>MPSTEV01</t>
  </si>
  <si>
    <t>STEVIA REBAUDIANA LEAF/STEM EXTRACT</t>
  </si>
  <si>
    <t>Estevia en polvo</t>
  </si>
  <si>
    <t>CP.3511.4814.3-1</t>
  </si>
  <si>
    <t>MP00260</t>
  </si>
  <si>
    <t>SUCCINIC ACID</t>
  </si>
  <si>
    <t>Ácido succínico</t>
  </si>
  <si>
    <t>YT20250817</t>
  </si>
  <si>
    <t>MPSXEX01</t>
  </si>
  <si>
    <t>SALVIA HISPANICA SEED EXTRACT</t>
  </si>
  <si>
    <t>Salvia hispanica seed extract</t>
  </si>
  <si>
    <t>YT20250803</t>
  </si>
  <si>
    <t>MPSXOL01</t>
  </si>
  <si>
    <t>SALVIA HISPANICA SEED OIL</t>
  </si>
  <si>
    <t>Salvia hispanica seed oil</t>
  </si>
  <si>
    <t>YT20250608</t>
  </si>
  <si>
    <t>MP00257</t>
  </si>
  <si>
    <t>SYNTHETIC WAX</t>
  </si>
  <si>
    <t>Synthetic wax</t>
  </si>
  <si>
    <t>YT-20250811</t>
  </si>
  <si>
    <t>MP00090</t>
  </si>
  <si>
    <t>CAPRYLIC/CAPRIC TRIGLYCERIDE</t>
  </si>
  <si>
    <t>Triglicérido caprílico</t>
  </si>
  <si>
    <t>2-00018935</t>
  </si>
  <si>
    <t>2-00021165</t>
  </si>
  <si>
    <t>Triglicérido caprílico / Witarix MCT</t>
  </si>
  <si>
    <t>200018935</t>
  </si>
  <si>
    <t>MP00212</t>
  </si>
  <si>
    <t>SODIUM C14-16 OLEFIN SULFONATE</t>
  </si>
  <si>
    <t>Bautyterge AOS-40 / Asco AOS-40</t>
  </si>
  <si>
    <t>231028025</t>
  </si>
  <si>
    <t>C25704618A</t>
  </si>
  <si>
    <t>MP00092</t>
  </si>
  <si>
    <t>DECYL GLUCOSIDE</t>
  </si>
  <si>
    <t>Decyl glucoside (Sumiquim)</t>
  </si>
  <si>
    <t>2024-068</t>
  </si>
  <si>
    <t>MP00061</t>
  </si>
  <si>
    <t>TRIETHYLHEXANOIN</t>
  </si>
  <si>
    <t>Triethylhexanoin</t>
  </si>
  <si>
    <t>20250805</t>
  </si>
  <si>
    <t>MP00063</t>
  </si>
  <si>
    <t>PENTAERYTHRITYL TETRA-DI-T-BUTYL HYDROXYHYDROCINNAMATE</t>
  </si>
  <si>
    <t>Tinogard TT</t>
  </si>
  <si>
    <t>28353823</t>
  </si>
  <si>
    <t>MP00149</t>
  </si>
  <si>
    <t>TETRAHEXYLDECYL ASCORBATE</t>
  </si>
  <si>
    <t>Tetrahexyldecyl ascorbate</t>
  </si>
  <si>
    <t>MP00016</t>
  </si>
  <si>
    <t>CI 77891</t>
  </si>
  <si>
    <t>Titanium Dioxide</t>
  </si>
  <si>
    <t>MP00123</t>
  </si>
  <si>
    <t>TRIETHANOLAMINE</t>
  </si>
  <si>
    <t>Trietanolamina</t>
  </si>
  <si>
    <t>10100074989</t>
  </si>
  <si>
    <t>10100075810</t>
  </si>
  <si>
    <t>MP00082</t>
  </si>
  <si>
    <t>POLYSORBATE 20</t>
  </si>
  <si>
    <t>Tween 20</t>
  </si>
  <si>
    <t>052052-25</t>
  </si>
  <si>
    <t>093382-25</t>
  </si>
  <si>
    <t>104001-25</t>
  </si>
  <si>
    <t>114277-25</t>
  </si>
  <si>
    <t>MP00083</t>
  </si>
  <si>
    <t>POLYSORBATE 80</t>
  </si>
  <si>
    <t>Tween 80</t>
  </si>
  <si>
    <t>101386-24</t>
  </si>
  <si>
    <t>MP00167</t>
  </si>
  <si>
    <t>TRANEXAMIC ACID</t>
  </si>
  <si>
    <t>Ácido tranexámico</t>
  </si>
  <si>
    <t>LYPH250919</t>
  </si>
  <si>
    <t>LYPH260117</t>
  </si>
  <si>
    <t>MP00015</t>
  </si>
  <si>
    <t>CI 77007</t>
  </si>
  <si>
    <t>Ultramarine Blue</t>
  </si>
  <si>
    <t>MP00146</t>
  </si>
  <si>
    <t>UNDECYLENOYL PHENYLALANINE</t>
  </si>
  <si>
    <t>Undecylenoyl phenylalanine</t>
  </si>
  <si>
    <t>LYPH250511</t>
  </si>
  <si>
    <t>MP00107</t>
  </si>
  <si>
    <t>UREA</t>
  </si>
  <si>
    <t>Urea</t>
  </si>
  <si>
    <t>2215A21-252</t>
  </si>
  <si>
    <t>MP00140</t>
  </si>
  <si>
    <t>VANILLYL BUTYL ETHER</t>
  </si>
  <si>
    <t>Vanillyl butyl ether</t>
  </si>
  <si>
    <t>MP00078</t>
  </si>
  <si>
    <t>TOCOPHEROL</t>
  </si>
  <si>
    <t>Vitamina E líquida</t>
  </si>
  <si>
    <t>20161250609</t>
  </si>
  <si>
    <t>MP00079</t>
  </si>
  <si>
    <t>Vitamina E polvo</t>
  </si>
  <si>
    <t>022503A009</t>
  </si>
  <si>
    <t>022503A023</t>
  </si>
  <si>
    <t>MPVNEX01</t>
  </si>
  <si>
    <t>VANILLA PLANIFOLIA FRUIT EXTRACT</t>
  </si>
  <si>
    <t>Vanilla CO2 extract</t>
  </si>
  <si>
    <t>YT20250708</t>
  </si>
  <si>
    <t>MP00073</t>
  </si>
  <si>
    <t>XANTHAN GUM</t>
  </si>
  <si>
    <t>Goma xanthan</t>
  </si>
  <si>
    <t>1250603014</t>
  </si>
  <si>
    <t>1251025121</t>
  </si>
  <si>
    <t>MPYUZU01</t>
  </si>
  <si>
    <t>CITRUS JUNOS PEEL OIL</t>
  </si>
  <si>
    <t>Yuzu oil</t>
  </si>
  <si>
    <t>MPZBNG01</t>
  </si>
  <si>
    <t>ZANTHOXYLUM BUNGEANUM PEEL OIL</t>
  </si>
  <si>
    <t>Zanthoxylum bungeanum oil</t>
  </si>
  <si>
    <t>YT20250712</t>
  </si>
  <si>
    <t>MP00283</t>
  </si>
  <si>
    <t>ZINC PCA</t>
  </si>
  <si>
    <t>Zinc PCA</t>
  </si>
  <si>
    <t>2212343ZNB</t>
  </si>
  <si>
    <t>YT-ZP20250809</t>
  </si>
  <si>
    <t>MP00297</t>
  </si>
  <si>
    <t>Hidróxido de sodio sol.</t>
  </si>
  <si>
    <t>Agenquímicos</t>
  </si>
  <si>
    <t>MPBNIT01</t>
  </si>
  <si>
    <t>BORON NITRIDE</t>
  </si>
  <si>
    <t>Boron Nitride</t>
  </si>
  <si>
    <t>Tianki</t>
  </si>
  <si>
    <t>MPCAKY01</t>
  </si>
  <si>
    <t>CACAY OIL</t>
  </si>
  <si>
    <t>Aceite de cacay</t>
  </si>
  <si>
    <t>MOVIMIENTOS — INGRESOS Y EGRESOS</t>
  </si>
  <si>
    <t>FECHA</t>
  </si>
  <si>
    <t>CANTIDAD (g)</t>
  </si>
  <si>
    <t>OBSERVACIONES</t>
  </si>
  <si>
    <t>ALERTAS AUTOMÁTICAS</t>
  </si>
  <si>
    <t>LOTES VENCIDOS</t>
  </si>
  <si>
    <t>CANT. ACTUAL(g)</t>
  </si>
  <si>
    <t>DÍAS PARA VENCER</t>
  </si>
  <si>
    <t>→ Filtrar hoja INVENTARIO: ESTADO = "VENCIDO"</t>
  </si>
  <si>
    <t>LOTES CRÍTICOS — vencen en &lt; 30 días</t>
  </si>
  <si>
    <t>→ Filtrar hoja INVENTARIO: ESTADO = "CRÍTICO"</t>
  </si>
  <si>
    <t>LOTES PRÓXIMOS — vencen en &lt; 90 días</t>
  </si>
  <si>
    <t>→ Filtrar hoja INVENTARIO: ESTADO = "PRÓXIMO"</t>
  </si>
  <si>
    <t>INCI PENDIENTE DE VERIFICACIÓN</t>
  </si>
  <si>
    <t>→ Filtrar hoja INVENTARIO: NOMBRE INCI contiene "PENDIENTE INCI"</t>
  </si>
  <si>
    <t>STOCK BAJO MÍNIMO</t>
  </si>
  <si>
    <t>→ Filtrar hoja INVENTARIO: CANT. ACTUAL &lt; STOCK MÍN.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</si>
</sst>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4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9"/>
      <color rgb="FFC62828"/>
      <name val="Arial"/>
    </font>
    <font>
      <sz val="9"/>
      <color rgb="FF444444"/>
      <name val="Arial"/>
    </font>
    <font>
      <b/>
      <sz val="9"/>
      <color rgb="FFFFFFFF"/>
      <name val="Arial"/>
    </font>
    <font>
      <b/>
      <sz val="10"/>
      <color rgb="FF0D5E9A"/>
      <name val="Arial"/>
    </font>
    <font>
      <sz val="9"/>
      <color rgb="FF333333"/>
      <name val="Arial"/>
    </font>
    <font>
      <sz val="10"/>
      <color rgb="FF1A1F2E"/>
      <name val="Arial"/>
    </font>
    <font>
      <sz val="10"/>
      <color rgb="FFAAAAAA"/>
      <name val="Arial"/>
    </font>
    <font>
      <sz val="9"/>
      <color rgb="FF555555"/>
      <name val="Arial"/>
    </font>
    <font>
      <sz val="10"/>
      <color rgb="FF1B5E20"/>
      <name val="Arial"/>
    </font>
    <font>
      <sz val="10"/>
      <color rgb="FF888888"/>
      <name val="Arial"/>
    </font>
    <font>
      <b/>
      <sz val="10"/>
      <color rgb="FFC62828"/>
      <name val="Arial"/>
    </font>
    <font>
      <b/>
      <sz val="10"/>
      <color rgb="FF7B3F00"/>
      <name val="Arial"/>
    </font>
    <font>
      <sz val="10"/>
      <color rgb="FF795B00"/>
      <name val="Arial"/>
    </font>
    <font>
      <b/>
      <sz val="9"/>
      <color rgb="FFC62828"/>
      <name val="Arial"/>
    </font>
    <font>
      <b/>
      <sz val="10"/>
      <color rgb="FFE65100"/>
      <name val="Arial"/>
    </font>
    <font>
      <b/>
      <sz val="10"/>
      <color rgb="FFFFFFFF"/>
      <name val="Arial"/>
    </font>
    <font>
      <b/>
      <sz val="12"/>
      <color rgb="FFFFFFFF"/>
      <name val="Arial"/>
    </font>
    <font>
      <b/>
      <sz val="11"/>
      <color rgb="FFFFFFFF"/>
      <name val="Arial"/>
    </font>
    <font>
      <i/>
      <sz val="10"/>
      <color rgb="FFC62828"/>
      <name val="Arial"/>
    </font>
    <font>
      <i/>
      <sz val="10"/>
      <color rgb="FFE65100"/>
      <name val="Arial"/>
    </font>
    <font>
      <i/>
      <sz val="10"/>
      <color rgb="FFF57F17"/>
      <name val="Arial"/>
    </font>
    <font>
      <i/>
      <sz val="10"/>
      <color rgb="FF1565C0"/>
      <name val="Arial"/>
    </font>
  </fonts>
  <fills count="23">
    <fill>
      <patternFill patternType="none"/>
    </fill>
    <fill>
      <patternFill patternType="gray125"/>
    </fill>
    <fill>
      <patternFill patternType="solid">
        <fgColor rgb="FF0D6E56"/>
      </patternFill>
    </fill>
    <fill>
      <patternFill patternType="solid">
        <fgColor rgb="FFFFF3CD"/>
      </patternFill>
    </fill>
    <fill>
      <patternFill patternType="solid">
        <fgColor rgb="FFF5F5F5"/>
      </patternFill>
    </fill>
    <fill>
      <patternFill patternType="solid">
        <fgColor rgb="FF1A3A2A"/>
      </patternFill>
    </fill>
    <fill>
      <patternFill patternType="solid">
        <fgColor rgb="FF0D3B6E"/>
      </patternFill>
    </fill>
    <fill>
      <patternFill patternType="solid">
        <fgColor rgb="FFF7F9FC"/>
      </patternFill>
    </fill>
    <fill>
      <patternFill patternType="solid">
        <fgColor rgb="FFFFFFFF"/>
      </patternFill>
    </fill>
    <fill>
      <patternFill patternType="solid">
        <fgColor rgb="FFFDECEA"/>
      </patternFill>
    </fill>
    <fill>
      <patternFill patternType="solid">
        <fgColor rgb="FFFFFDE7"/>
      </patternFill>
    </fill>
    <fill>
      <patternFill patternType="solid">
        <fgColor rgb="FFFFF5F5"/>
      </patternFill>
    </fill>
    <fill>
      <patternFill patternType="solid">
        <fgColor rgb="FF5E35B1"/>
      </patternFill>
    </fill>
    <fill>
      <patternFill patternType="solid">
        <fgColor rgb="FF3B1F7A"/>
      </patternFill>
    </fill>
    <fill>
      <patternFill patternType="solid">
        <fgColor rgb="FFF5F3FF"/>
      </patternFill>
    </fill>
    <fill>
      <patternFill patternType="solid">
        <fgColor rgb="FFC62828"/>
      </patternFill>
    </fill>
    <fill>
      <patternFill patternType="solid">
        <fgColor rgb="FF5D1A1A"/>
      </patternFill>
    </fill>
    <fill>
      <patternFill patternType="solid">
        <fgColor rgb="FFE65100"/>
      </patternFill>
    </fill>
    <fill>
      <patternFill patternType="solid">
        <fgColor rgb="FF7A3500"/>
      </patternFill>
    </fill>
    <fill>
      <patternFill patternType="solid">
        <fgColor rgb="FFF57F17"/>
      </patternFill>
    </fill>
    <fill>
      <patternFill patternType="solid">
        <fgColor rgb="FF7A5200"/>
      </patternFill>
    </fill>
    <fill>
      <patternFill patternType="solid">
        <fgColor rgb="FF1565C0"/>
      </patternFill>
    </fill>
    <fill>
      <patternFill patternType="solid">
        <fgColor rgb="FFFF0000"/>
        <bgColor rgb="FFFF0000"/>
      </patternFill>
    </fill>
  </fills>
  <borders count="5">
    <border>
      <left/>
      <right/>
      <top/>
      <bottom/>
      <diagonal/>
    </border>
    <border>
      <left style="thin">
        <color rgb="FF1A3A2A"/>
      </left>
      <right style="thin">
        <color rgb="FF1A3A2A"/>
      </right>
      <top style="thin">
        <color rgb="FF1A3A2A"/>
      </top>
      <bottom style="thin">
        <color rgb="FF1A3A2A"/>
      </bottom>
      <diagonal/>
    </border>
    <border>
      <left style="thin">
        <color rgb="FF0D3B6E"/>
      </left>
      <right style="thin">
        <color rgb="FF0D3B6E"/>
      </right>
      <top style="thin">
        <color rgb="FF0D3B6E"/>
      </top>
      <bottom style="thin">
        <color rgb="FF0D3B6E"/>
      </bottom>
      <diagonal/>
    </border>
    <border>
      <left/>
      <right/>
      <top/>
      <bottom style="thin">
        <color rgb="FFD5DCE8"/>
      </bottom>
      <diagonal/>
    </border>
    <border>
      <left style="thin">
        <color rgb="FF3B1F7A"/>
      </left>
      <right style="thin">
        <color rgb="FF3B1F7A"/>
      </right>
      <top style="thin">
        <color rgb="FF3B1F7A"/>
      </top>
      <bottom style="thin">
        <color rgb="FF3B1F7A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4" fillId="6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/>
    </xf>
    <xf numFmtId="0" fontId="7" fillId="7" borderId="3" xfId="0" applyFont="1" applyFill="1" applyBorder="1" applyAlignment="1">
      <alignment horizontal="left" vertical="center"/>
    </xf>
    <xf numFmtId="0" fontId="8" fillId="7" borderId="3" xfId="0" applyFont="1" applyFill="1" applyBorder="1" applyAlignment="1">
      <alignment horizontal="left" vertical="center"/>
    </xf>
    <xf numFmtId="0" fontId="9" fillId="7" borderId="3" xfId="0" applyFont="1" applyFill="1" applyBorder="1" applyAlignment="1">
      <alignment horizontal="left" vertical="center"/>
    </xf>
    <xf numFmtId="3" fontId="7" fillId="7" borderId="3" xfId="0" applyNumberFormat="1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3" fontId="7" fillId="7" borderId="3" xfId="0" applyNumberFormat="1" applyFont="1" applyFill="1" applyBorder="1" applyAlignment="1">
      <alignment horizontal="right" vertical="center"/>
    </xf>
    <xf numFmtId="3" fontId="5" fillId="7" borderId="3" xfId="0" applyNumberFormat="1" applyFont="1" applyFill="1" applyBorder="1" applyAlignment="1">
      <alignment horizontal="right" vertical="center"/>
    </xf>
    <xf numFmtId="0" fontId="7" fillId="7" borderId="3" xfId="0" applyFont="1" applyFill="1" applyBorder="1" applyAlignment="1">
      <alignment horizontal="center" vertical="center"/>
    </xf>
    <xf numFmtId="164" fontId="7" fillId="7" borderId="3" xfId="0" applyNumberFormat="1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left" vertical="center"/>
    </xf>
    <xf numFmtId="0" fontId="8" fillId="8" borderId="3" xfId="0" applyFont="1" applyFill="1" applyBorder="1" applyAlignment="1">
      <alignment horizontal="left" vertical="center"/>
    </xf>
    <xf numFmtId="0" fontId="9" fillId="8" borderId="3" xfId="0" applyFont="1" applyFill="1" applyBorder="1" applyAlignment="1">
      <alignment horizontal="left" vertical="center"/>
    </xf>
    <xf numFmtId="3" fontId="7" fillId="8" borderId="3" xfId="0" applyNumberFormat="1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3" fontId="7" fillId="8" borderId="3" xfId="0" applyNumberFormat="1" applyFont="1" applyFill="1" applyBorder="1" applyAlignment="1">
      <alignment horizontal="right" vertical="center"/>
    </xf>
    <xf numFmtId="3" fontId="5" fillId="8" borderId="3" xfId="0" applyNumberFormat="1" applyFont="1" applyFill="1" applyBorder="1" applyAlignment="1">
      <alignment horizontal="right" vertical="center"/>
    </xf>
    <xf numFmtId="0" fontId="7" fillId="8" borderId="3" xfId="0" applyFont="1" applyFill="1" applyBorder="1" applyAlignment="1">
      <alignment horizontal="center" vertical="center"/>
    </xf>
    <xf numFmtId="164" fontId="7" fillId="8" borderId="3" xfId="0" applyNumberFormat="1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right" vertical="center"/>
    </xf>
    <xf numFmtId="0" fontId="7" fillId="8" borderId="3" xfId="0" applyFont="1" applyFill="1" applyBorder="1" applyAlignment="1">
      <alignment horizontal="right" vertical="center"/>
    </xf>
    <xf numFmtId="0" fontId="11" fillId="8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left" vertical="center"/>
    </xf>
    <xf numFmtId="0" fontId="7" fillId="9" borderId="3" xfId="0" applyFont="1" applyFill="1" applyBorder="1" applyAlignment="1">
      <alignment horizontal="left" vertical="center"/>
    </xf>
    <xf numFmtId="0" fontId="8" fillId="9" borderId="3" xfId="0" applyFont="1" applyFill="1" applyBorder="1" applyAlignment="1">
      <alignment horizontal="left" vertical="center"/>
    </xf>
    <xf numFmtId="0" fontId="9" fillId="9" borderId="3" xfId="0" applyFont="1" applyFill="1" applyBorder="1" applyAlignment="1">
      <alignment horizontal="left" vertical="center"/>
    </xf>
    <xf numFmtId="3" fontId="7" fillId="9" borderId="3" xfId="0" applyNumberFormat="1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right" vertical="center"/>
    </xf>
    <xf numFmtId="3" fontId="5" fillId="9" borderId="3" xfId="0" applyNumberFormat="1" applyFont="1" applyFill="1" applyBorder="1" applyAlignment="1">
      <alignment horizontal="right" vertical="center"/>
    </xf>
    <xf numFmtId="0" fontId="7" fillId="9" borderId="3" xfId="0" applyFont="1" applyFill="1" applyBorder="1" applyAlignment="1">
      <alignment horizontal="center" vertical="center"/>
    </xf>
    <xf numFmtId="164" fontId="7" fillId="9" borderId="3" xfId="0" applyNumberFormat="1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3" fontId="7" fillId="3" borderId="3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3" fontId="7" fillId="3" borderId="3" xfId="0" applyNumberFormat="1" applyFont="1" applyFill="1" applyBorder="1" applyAlignment="1">
      <alignment horizontal="right" vertical="center"/>
    </xf>
    <xf numFmtId="3" fontId="5" fillId="3" borderId="3" xfId="0" applyNumberFormat="1" applyFont="1" applyFill="1" applyBorder="1" applyAlignment="1">
      <alignment horizontal="right" vertical="center"/>
    </xf>
    <xf numFmtId="0" fontId="7" fillId="3" borderId="3" xfId="0" applyFont="1" applyFill="1" applyBorder="1" applyAlignment="1">
      <alignment horizontal="center" vertical="center"/>
    </xf>
    <xf numFmtId="164" fontId="7" fillId="3" borderId="3" xfId="0" applyNumberFormat="1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left" vertical="center"/>
    </xf>
    <xf numFmtId="0" fontId="7" fillId="10" borderId="3" xfId="0" applyFont="1" applyFill="1" applyBorder="1" applyAlignment="1">
      <alignment horizontal="left" vertical="center"/>
    </xf>
    <xf numFmtId="0" fontId="8" fillId="10" borderId="3" xfId="0" applyFont="1" applyFill="1" applyBorder="1" applyAlignment="1">
      <alignment horizontal="left" vertical="center"/>
    </xf>
    <xf numFmtId="0" fontId="9" fillId="10" borderId="3" xfId="0" applyFont="1" applyFill="1" applyBorder="1" applyAlignment="1">
      <alignment horizontal="left" vertical="center"/>
    </xf>
    <xf numFmtId="3" fontId="7" fillId="10" borderId="3" xfId="0" applyNumberFormat="1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3" fontId="7" fillId="10" borderId="3" xfId="0" applyNumberFormat="1" applyFont="1" applyFill="1" applyBorder="1" applyAlignment="1">
      <alignment horizontal="right" vertical="center"/>
    </xf>
    <xf numFmtId="3" fontId="5" fillId="10" borderId="3" xfId="0" applyNumberFormat="1" applyFont="1" applyFill="1" applyBorder="1" applyAlignment="1">
      <alignment horizontal="right" vertical="center"/>
    </xf>
    <xf numFmtId="0" fontId="7" fillId="10" borderId="3" xfId="0" applyFont="1" applyFill="1" applyBorder="1" applyAlignment="1">
      <alignment horizontal="center" vertical="center"/>
    </xf>
    <xf numFmtId="164" fontId="7" fillId="10" borderId="3" xfId="0" applyNumberFormat="1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/>
    </xf>
    <xf numFmtId="0" fontId="12" fillId="11" borderId="3" xfId="0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left" vertical="center"/>
    </xf>
    <xf numFmtId="0" fontId="7" fillId="11" borderId="3" xfId="0" applyFont="1" applyFill="1" applyBorder="1" applyAlignment="1">
      <alignment horizontal="left" vertical="center"/>
    </xf>
    <xf numFmtId="0" fontId="8" fillId="11" borderId="3" xfId="0" applyFont="1" applyFill="1" applyBorder="1" applyAlignment="1">
      <alignment horizontal="left" vertical="center"/>
    </xf>
    <xf numFmtId="0" fontId="9" fillId="11" borderId="3" xfId="0" applyFont="1" applyFill="1" applyBorder="1" applyAlignment="1">
      <alignment horizontal="left" vertical="center"/>
    </xf>
    <xf numFmtId="3" fontId="7" fillId="11" borderId="3" xfId="0" applyNumberFormat="1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right" vertical="center"/>
    </xf>
    <xf numFmtId="3" fontId="5" fillId="11" borderId="3" xfId="0" applyNumberFormat="1" applyFont="1" applyFill="1" applyBorder="1" applyAlignment="1">
      <alignment horizontal="right" vertical="center"/>
    </xf>
    <xf numFmtId="0" fontId="7" fillId="11" borderId="3" xfId="0" applyFont="1" applyFill="1" applyBorder="1" applyAlignment="1">
      <alignment horizontal="center" vertical="center"/>
    </xf>
    <xf numFmtId="164" fontId="7" fillId="11" borderId="3" xfId="0" applyNumberFormat="1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left" vertical="center"/>
    </xf>
    <xf numFmtId="0" fontId="7" fillId="10" borderId="3" xfId="0" applyFont="1" applyFill="1" applyBorder="1" applyAlignment="1">
      <alignment horizontal="right" vertical="center"/>
    </xf>
    <xf numFmtId="3" fontId="7" fillId="9" borderId="3" xfId="0" applyNumberFormat="1" applyFont="1" applyFill="1" applyBorder="1" applyAlignment="1">
      <alignment horizontal="right" vertical="center"/>
    </xf>
    <xf numFmtId="0" fontId="16" fillId="8" borderId="3" xfId="0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right" vertical="center"/>
    </xf>
    <xf numFmtId="0" fontId="16" fillId="7" borderId="3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left" vertical="center"/>
    </xf>
    <xf numFmtId="3" fontId="7" fillId="11" borderId="3" xfId="0" applyNumberFormat="1" applyFont="1" applyFill="1" applyBorder="1" applyAlignment="1">
      <alignment horizontal="right" vertical="center"/>
    </xf>
    <xf numFmtId="0" fontId="17" fillId="13" borderId="4" xfId="0" applyFont="1" applyFill="1" applyBorder="1" applyAlignment="1">
      <alignment horizontal="center" vertical="center" wrapText="1"/>
    </xf>
    <xf numFmtId="164" fontId="7" fillId="14" borderId="3" xfId="0" applyNumberFormat="1" applyFont="1" applyFill="1" applyBorder="1" applyAlignment="1">
      <alignment horizontal="center" vertical="center"/>
    </xf>
    <xf numFmtId="0" fontId="7" fillId="14" borderId="3" xfId="0" applyFont="1" applyFill="1" applyBorder="1" applyAlignment="1">
      <alignment horizontal="center" vertical="center"/>
    </xf>
    <xf numFmtId="3" fontId="7" fillId="14" borderId="3" xfId="0" applyNumberFormat="1" applyFont="1" applyFill="1" applyBorder="1" applyAlignment="1">
      <alignment horizontal="center" vertical="center"/>
    </xf>
    <xf numFmtId="0" fontId="7" fillId="14" borderId="3" xfId="0" applyFont="1" applyFill="1" applyBorder="1" applyAlignment="1">
      <alignment horizontal="left" vertical="center"/>
    </xf>
    <xf numFmtId="0" fontId="4" fillId="16" borderId="0" xfId="0" applyFont="1" applyFill="1" applyAlignment="1">
      <alignment horizontal="center" vertical="center"/>
    </xf>
    <xf numFmtId="0" fontId="4" fillId="18" borderId="0" xfId="0" applyFont="1" applyFill="1" applyAlignment="1">
      <alignment horizontal="center" vertical="center"/>
    </xf>
    <xf numFmtId="0" fontId="4" fillId="20" borderId="0" xfId="0" applyFont="1" applyFill="1" applyAlignment="1">
      <alignment horizontal="center" vertical="center"/>
    </xf>
    <xf numFmtId="0" fontId="5" fillId="22" borderId="3" xfId="0" applyFont="1" applyFill="1" applyBorder="1" applyAlignment="1">
      <alignment horizontal="center" vertical="center"/>
    </xf>
    <xf numFmtId="0" fontId="6" fillId="22" borderId="3" xfId="0" applyFont="1" applyFill="1" applyBorder="1" applyAlignment="1">
      <alignment horizontal="left" vertical="center"/>
    </xf>
    <xf numFmtId="0" fontId="7" fillId="22" borderId="3" xfId="0" applyFont="1" applyFill="1" applyBorder="1" applyAlignment="1">
      <alignment horizontal="left" vertical="center"/>
    </xf>
    <xf numFmtId="0" fontId="9" fillId="22" borderId="3" xfId="0" applyFont="1" applyFill="1" applyBorder="1" applyAlignment="1">
      <alignment horizontal="left" vertical="center"/>
    </xf>
    <xf numFmtId="3" fontId="7" fillId="22" borderId="3" xfId="0" applyNumberFormat="1" applyFont="1" applyFill="1" applyBorder="1" applyAlignment="1">
      <alignment horizontal="center" vertical="center"/>
    </xf>
    <xf numFmtId="0" fontId="3" fillId="22" borderId="3" xfId="0" applyFont="1" applyFill="1" applyBorder="1" applyAlignment="1">
      <alignment horizontal="center" vertical="center"/>
    </xf>
    <xf numFmtId="3" fontId="5" fillId="22" borderId="3" xfId="0" applyNumberFormat="1" applyFont="1" applyFill="1" applyBorder="1" applyAlignment="1">
      <alignment horizontal="right" vertical="center"/>
    </xf>
    <xf numFmtId="0" fontId="7" fillId="22" borderId="3" xfId="0" applyFont="1" applyFill="1" applyBorder="1" applyAlignment="1">
      <alignment horizontal="center" vertical="center"/>
    </xf>
    <xf numFmtId="164" fontId="7" fillId="22" borderId="3" xfId="0" applyNumberFormat="1" applyFont="1" applyFill="1" applyBorder="1" applyAlignment="1">
      <alignment horizontal="center" vertical="center"/>
    </xf>
    <xf numFmtId="0" fontId="12" fillId="22" borderId="3" xfId="0" applyFont="1" applyFill="1" applyBorder="1" applyAlignment="1">
      <alignment horizontal="center" vertical="center"/>
    </xf>
    <xf numFmtId="3" fontId="7" fillId="22" borderId="3" xfId="0" applyNumberFormat="1" applyFont="1" applyFill="1" applyBorder="1" applyAlignment="1">
      <alignment horizontal="right" vertical="center"/>
    </xf>
    <xf numFmtId="0" fontId="10" fillId="22" borderId="3" xfId="0" applyFont="1" applyFill="1" applyBorder="1" applyAlignment="1">
      <alignment horizontal="center" vertical="center"/>
    </xf>
    <xf numFmtId="0" fontId="16" fillId="22" borderId="3" xfId="0" applyFont="1" applyFill="1" applyBorder="1" applyAlignment="1">
      <alignment horizontal="center" vertical="center"/>
    </xf>
    <xf numFmtId="0" fontId="15" fillId="22" borderId="3" xfId="0" applyFont="1" applyFill="1" applyBorder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9" fillId="19" borderId="0" xfId="0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9" fillId="21" borderId="0" xfId="0" applyFont="1" applyFill="1" applyAlignment="1">
      <alignment horizontal="center" vertical="center"/>
    </xf>
    <xf numFmtId="0" fontId="18" fillId="15" borderId="0" xfId="0" applyFont="1" applyFill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9" fillId="15" borderId="0" xfId="0" applyFont="1" applyFill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19" fillId="1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5"/>
  <sheetViews>
    <sheetView showGridLines="0" tabSelected="1" workbookViewId="0">
      <pane ySplit="4" topLeftCell="A402" activePane="bottomLeft" state="frozen"/>
      <selection pane="bottomLeft" activeCell="A415" sqref="A415"/>
    </sheetView>
  </sheetViews>
  <sheetFormatPr baseColWidth="10" defaultColWidth="8.88671875" defaultRowHeight="14.4" x14ac:dyDescent="0.3"/>
  <cols>
    <col min="1" max="1" width="13" customWidth="1"/>
    <col min="2" max="2" width="38" customWidth="1"/>
    <col min="3" max="3" width="26" customWidth="1"/>
    <col min="4" max="4" width="18" customWidth="1"/>
    <col min="5" max="5" width="16" customWidth="1"/>
    <col min="6" max="6" width="11" customWidth="1"/>
    <col min="7" max="7" width="20" customWidth="1"/>
    <col min="8" max="9" width="11" customWidth="1"/>
    <col min="10" max="10" width="10" customWidth="1"/>
    <col min="11" max="11" width="6" customWidth="1"/>
    <col min="12" max="12" width="13" customWidth="1"/>
    <col min="13" max="13" width="7" customWidth="1"/>
    <col min="14" max="14" width="10" customWidth="1"/>
  </cols>
  <sheetData>
    <row r="1" spans="1:14" ht="28.05" customHeight="1" x14ac:dyDescent="0.3">
      <c r="A1" s="117" t="s">
        <v>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</row>
    <row r="2" spans="1:14" ht="16.05" customHeight="1" x14ac:dyDescent="0.3">
      <c r="A2" s="115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</row>
    <row r="3" spans="1:14" ht="13.95" customHeight="1" x14ac:dyDescent="0.3">
      <c r="A3" s="114" t="s">
        <v>2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</row>
    <row r="4" spans="1:14" ht="13.95" customHeight="1" x14ac:dyDescent="0.3">
      <c r="A4" s="116" t="s">
        <v>3</v>
      </c>
      <c r="B4" s="113"/>
      <c r="C4" s="113"/>
      <c r="D4" s="113"/>
      <c r="E4" s="113"/>
      <c r="F4" s="113"/>
      <c r="G4" s="112" t="s">
        <v>4</v>
      </c>
      <c r="H4" s="113"/>
      <c r="I4" s="113"/>
      <c r="J4" s="113"/>
      <c r="K4" s="113"/>
      <c r="L4" s="113"/>
      <c r="M4" s="113"/>
      <c r="N4" s="113"/>
    </row>
    <row r="5" spans="1:14" ht="28.05" customHeight="1" x14ac:dyDescent="0.3">
      <c r="A5" s="2" t="s">
        <v>5</v>
      </c>
      <c r="B5" s="2" t="s">
        <v>6</v>
      </c>
      <c r="C5" s="2" t="s">
        <v>7</v>
      </c>
      <c r="D5" s="2" t="s">
        <v>8</v>
      </c>
      <c r="E5" s="2" t="s">
        <v>9</v>
      </c>
      <c r="F5" s="2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</row>
    <row r="6" spans="1:14" ht="16.05" customHeight="1" x14ac:dyDescent="0.3">
      <c r="A6" s="4" t="s">
        <v>19</v>
      </c>
      <c r="B6" s="5" t="s">
        <v>20</v>
      </c>
      <c r="C6" s="6" t="s">
        <v>21</v>
      </c>
      <c r="D6" s="7"/>
      <c r="E6" s="8" t="s">
        <v>22</v>
      </c>
      <c r="F6" s="9">
        <v>0</v>
      </c>
      <c r="G6" s="10" t="s">
        <v>23</v>
      </c>
      <c r="H6" s="11">
        <v>490</v>
      </c>
      <c r="I6" s="12" t="str">
        <f>IFERROR(H6+SUMPRODUCT((MOVIMIENTOS!$C$2:$C$5000=$A6)*(MOVIMIENTOS!$D$2:$D$5000=$G6)*(MOVIMIENTOS!$B$2:$B$5000="INGRESO")*MOVIMIENTOS!$E$2:$E$5000)-SUMPRODUCT((MOVIMIENTOS!$C$2:$C$5000=$A6)*(MOVIMIENTOS!$D$2:$D$5000=$G6)*(MOVIMIENTOS!$B$2:$B$5000="EGRESO")*MOVIMIENTOS!$E$2:$E$5000),"")</f>
        <v/>
      </c>
      <c r="J6" s="13" t="s">
        <v>24</v>
      </c>
      <c r="K6" s="13" t="s">
        <v>25</v>
      </c>
      <c r="L6" s="14">
        <v>46594</v>
      </c>
      <c r="M6" s="9">
        <f t="shared" ref="M6:M37" ca="1" si="0">IF(L6="","",L6-TODAY())</f>
        <v>468</v>
      </c>
      <c r="N6" s="15" t="s">
        <v>26</v>
      </c>
    </row>
    <row r="7" spans="1:14" ht="16.05" customHeight="1" x14ac:dyDescent="0.3">
      <c r="A7" s="16" t="s">
        <v>27</v>
      </c>
      <c r="B7" s="17" t="s">
        <v>28</v>
      </c>
      <c r="C7" s="18" t="s">
        <v>29</v>
      </c>
      <c r="D7" s="19"/>
      <c r="E7" s="20" t="s">
        <v>22</v>
      </c>
      <c r="F7" s="21">
        <v>0</v>
      </c>
      <c r="G7" s="22" t="s">
        <v>30</v>
      </c>
      <c r="H7" s="23">
        <v>9495</v>
      </c>
      <c r="I7" s="24" t="str">
        <f>IFERROR(H7+SUMPRODUCT((MOVIMIENTOS!$C$2:$C$5000=$A7)*(MOVIMIENTOS!$D$2:$D$5000=$G7)*(MOVIMIENTOS!$B$2:$B$5000="INGRESO")*MOVIMIENTOS!$E$2:$E$5000)-SUMPRODUCT((MOVIMIENTOS!$C$2:$C$5000=$A7)*(MOVIMIENTOS!$D$2:$D$5000=$G7)*(MOVIMIENTOS!$B$2:$B$5000="EGRESO")*MOVIMIENTOS!$E$2:$E$5000),"")</f>
        <v/>
      </c>
      <c r="J7" s="25" t="s">
        <v>31</v>
      </c>
      <c r="K7" s="25" t="s">
        <v>25</v>
      </c>
      <c r="L7" s="26">
        <v>46671</v>
      </c>
      <c r="M7" s="21">
        <f t="shared" ca="1" si="0"/>
        <v>545</v>
      </c>
      <c r="N7" s="27" t="s">
        <v>26</v>
      </c>
    </row>
    <row r="8" spans="1:14" ht="16.05" customHeight="1" x14ac:dyDescent="0.3">
      <c r="A8" s="4" t="s">
        <v>32</v>
      </c>
      <c r="B8" s="5" t="s">
        <v>33</v>
      </c>
      <c r="C8" s="6" t="s">
        <v>34</v>
      </c>
      <c r="D8" s="7"/>
      <c r="E8" s="8" t="s">
        <v>35</v>
      </c>
      <c r="F8" s="9">
        <v>0</v>
      </c>
      <c r="G8" s="10" t="s">
        <v>36</v>
      </c>
      <c r="H8" s="11">
        <v>185</v>
      </c>
      <c r="I8" s="12" t="str">
        <f>IFERROR(H8+SUMPRODUCT((MOVIMIENTOS!$C$2:$C$5000=$A8)*(MOVIMIENTOS!$D$2:$D$5000=$G8)*(MOVIMIENTOS!$B$2:$B$5000="INGRESO")*MOVIMIENTOS!$E$2:$E$5000)-SUMPRODUCT((MOVIMIENTOS!$C$2:$C$5000=$A8)*(MOVIMIENTOS!$D$2:$D$5000=$G8)*(MOVIMIENTOS!$B$2:$B$5000="EGRESO")*MOVIMIENTOS!$E$2:$E$5000),"")</f>
        <v/>
      </c>
      <c r="J8" s="13" t="s">
        <v>37</v>
      </c>
      <c r="K8" s="13" t="s">
        <v>25</v>
      </c>
      <c r="L8" s="14">
        <v>46563</v>
      </c>
      <c r="M8" s="9">
        <f t="shared" ca="1" si="0"/>
        <v>437</v>
      </c>
      <c r="N8" s="15" t="s">
        <v>26</v>
      </c>
    </row>
    <row r="9" spans="1:14" ht="16.05" customHeight="1" x14ac:dyDescent="0.3">
      <c r="A9" s="16" t="s">
        <v>38</v>
      </c>
      <c r="B9" s="17" t="s">
        <v>39</v>
      </c>
      <c r="C9" s="18" t="s">
        <v>40</v>
      </c>
      <c r="D9" s="19"/>
      <c r="E9" s="20"/>
      <c r="F9" s="21">
        <v>0</v>
      </c>
      <c r="G9" s="22" t="s">
        <v>41</v>
      </c>
      <c r="H9" s="23">
        <v>0</v>
      </c>
      <c r="I9" s="24" t="str">
        <f>IFERROR(H9+SUMPRODUCT((MOVIMIENTOS!$C$2:$C$5000=$A9)*(MOVIMIENTOS!$D$2:$D$5000=$G9)*(MOVIMIENTOS!$B$2:$B$5000="INGRESO")*MOVIMIENTOS!$E$2:$E$5000)-SUMPRODUCT((MOVIMIENTOS!$C$2:$C$5000=$A9)*(MOVIMIENTOS!$D$2:$D$5000=$G9)*(MOVIMIENTOS!$B$2:$B$5000="EGRESO")*MOVIMIENTOS!$E$2:$E$5000),"")</f>
        <v/>
      </c>
      <c r="J9" s="25" t="s">
        <v>42</v>
      </c>
      <c r="K9" s="25" t="s">
        <v>25</v>
      </c>
      <c r="L9" s="26">
        <v>46559</v>
      </c>
      <c r="M9" s="21">
        <f t="shared" ca="1" si="0"/>
        <v>433</v>
      </c>
      <c r="N9" s="27" t="s">
        <v>26</v>
      </c>
    </row>
    <row r="10" spans="1:14" ht="16.05" customHeight="1" x14ac:dyDescent="0.3">
      <c r="A10" s="4" t="s">
        <v>38</v>
      </c>
      <c r="B10" s="5" t="s">
        <v>39</v>
      </c>
      <c r="C10" s="6" t="s">
        <v>40</v>
      </c>
      <c r="D10" s="7"/>
      <c r="E10" s="8"/>
      <c r="F10" s="9">
        <v>0</v>
      </c>
      <c r="G10" s="10" t="s">
        <v>43</v>
      </c>
      <c r="H10" s="11">
        <v>3600</v>
      </c>
      <c r="I10" s="12" t="str">
        <f>IFERROR(H10+SUMPRODUCT((MOVIMIENTOS!$C$2:$C$5000=$A10)*(MOVIMIENTOS!$D$2:$D$5000=$G10)*(MOVIMIENTOS!$B$2:$B$5000="INGRESO")*MOVIMIENTOS!$E$2:$E$5000)-SUMPRODUCT((MOVIMIENTOS!$C$2:$C$5000=$A10)*(MOVIMIENTOS!$D$2:$D$5000=$G10)*(MOVIMIENTOS!$B$2:$B$5000="EGRESO")*MOVIMIENTOS!$E$2:$E$5000),"")</f>
        <v/>
      </c>
      <c r="J10" s="13" t="s">
        <v>42</v>
      </c>
      <c r="K10" s="13" t="s">
        <v>25</v>
      </c>
      <c r="L10" s="14">
        <v>46642</v>
      </c>
      <c r="M10" s="9">
        <f t="shared" ca="1" si="0"/>
        <v>516</v>
      </c>
      <c r="N10" s="15" t="s">
        <v>26</v>
      </c>
    </row>
    <row r="11" spans="1:14" ht="16.05" customHeight="1" x14ac:dyDescent="0.3">
      <c r="A11" s="16" t="s">
        <v>44</v>
      </c>
      <c r="B11" s="17" t="s">
        <v>45</v>
      </c>
      <c r="C11" s="18" t="s">
        <v>46</v>
      </c>
      <c r="D11" s="19"/>
      <c r="E11" s="20" t="s">
        <v>22</v>
      </c>
      <c r="F11" s="21">
        <v>0</v>
      </c>
      <c r="G11" s="22" t="s">
        <v>47</v>
      </c>
      <c r="H11" s="23">
        <v>225.9</v>
      </c>
      <c r="I11" s="24" t="str">
        <f>IFERROR(H11+SUMPRODUCT((MOVIMIENTOS!$C$2:$C$5000=$A11)*(MOVIMIENTOS!$D$2:$D$5000=$G11)*(MOVIMIENTOS!$B$2:$B$5000="INGRESO")*MOVIMIENTOS!$E$2:$E$5000)-SUMPRODUCT((MOVIMIENTOS!$C$2:$C$5000=$A11)*(MOVIMIENTOS!$D$2:$D$5000=$G11)*(MOVIMIENTOS!$B$2:$B$5000="EGRESO")*MOVIMIENTOS!$E$2:$E$5000),"")</f>
        <v/>
      </c>
      <c r="J11" s="25" t="s">
        <v>48</v>
      </c>
      <c r="K11" s="25"/>
      <c r="L11" s="26">
        <v>46706</v>
      </c>
      <c r="M11" s="21">
        <f t="shared" ca="1" si="0"/>
        <v>580</v>
      </c>
      <c r="N11" s="27" t="s">
        <v>26</v>
      </c>
    </row>
    <row r="12" spans="1:14" ht="16.05" customHeight="1" x14ac:dyDescent="0.3">
      <c r="A12" s="4" t="s">
        <v>49</v>
      </c>
      <c r="B12" s="5" t="s">
        <v>50</v>
      </c>
      <c r="C12" s="6" t="s">
        <v>51</v>
      </c>
      <c r="D12" s="7"/>
      <c r="E12" s="8" t="s">
        <v>52</v>
      </c>
      <c r="F12" s="9">
        <v>0</v>
      </c>
      <c r="G12" s="10" t="s">
        <v>53</v>
      </c>
      <c r="H12" s="11">
        <v>72.900000000000006</v>
      </c>
      <c r="I12" s="12" t="str">
        <f>IFERROR(H12+SUMPRODUCT((MOVIMIENTOS!$C$2:$C$5000=$A12)*(MOVIMIENTOS!$D$2:$D$5000=$G12)*(MOVIMIENTOS!$B$2:$B$5000="INGRESO")*MOVIMIENTOS!$E$2:$E$5000)-SUMPRODUCT((MOVIMIENTOS!$C$2:$C$5000=$A12)*(MOVIMIENTOS!$D$2:$D$5000=$G12)*(MOVIMIENTOS!$B$2:$B$5000="EGRESO")*MOVIMIENTOS!$E$2:$E$5000),"")</f>
        <v/>
      </c>
      <c r="J12" s="13" t="s">
        <v>48</v>
      </c>
      <c r="K12" s="13"/>
      <c r="L12" s="14">
        <v>46454</v>
      </c>
      <c r="M12" s="9">
        <f t="shared" ca="1" si="0"/>
        <v>328</v>
      </c>
      <c r="N12" s="15" t="s">
        <v>26</v>
      </c>
    </row>
    <row r="13" spans="1:14" ht="16.05" customHeight="1" x14ac:dyDescent="0.3">
      <c r="A13" s="16" t="s">
        <v>54</v>
      </c>
      <c r="B13" s="17" t="s">
        <v>55</v>
      </c>
      <c r="C13" s="18" t="s">
        <v>56</v>
      </c>
      <c r="D13" s="19"/>
      <c r="E13" s="20" t="s">
        <v>22</v>
      </c>
      <c r="F13" s="21">
        <v>0</v>
      </c>
      <c r="G13" s="22" t="s">
        <v>57</v>
      </c>
      <c r="H13" s="23">
        <v>90</v>
      </c>
      <c r="I13" s="24" t="str">
        <f>IFERROR(H13+SUMPRODUCT((MOVIMIENTOS!$C$2:$C$5000=$A13)*(MOVIMIENTOS!$D$2:$D$5000=$G13)*(MOVIMIENTOS!$B$2:$B$5000="INGRESO")*MOVIMIENTOS!$E$2:$E$5000)-SUMPRODUCT((MOVIMIENTOS!$C$2:$C$5000=$A13)*(MOVIMIENTOS!$D$2:$D$5000=$G13)*(MOVIMIENTOS!$B$2:$B$5000="EGRESO")*MOVIMIENTOS!$E$2:$E$5000),"")</f>
        <v/>
      </c>
      <c r="J13" s="25" t="s">
        <v>24</v>
      </c>
      <c r="K13" s="25" t="s">
        <v>25</v>
      </c>
      <c r="L13" s="26">
        <v>46604</v>
      </c>
      <c r="M13" s="21">
        <f t="shared" ca="1" si="0"/>
        <v>478</v>
      </c>
      <c r="N13" s="27" t="s">
        <v>26</v>
      </c>
    </row>
    <row r="14" spans="1:14" ht="16.05" customHeight="1" x14ac:dyDescent="0.3">
      <c r="A14" s="4" t="s">
        <v>58</v>
      </c>
      <c r="B14" s="5" t="s">
        <v>59</v>
      </c>
      <c r="C14" s="6" t="s">
        <v>60</v>
      </c>
      <c r="D14" s="7"/>
      <c r="E14" s="8" t="s">
        <v>22</v>
      </c>
      <c r="F14" s="9">
        <v>0</v>
      </c>
      <c r="G14" s="10" t="s">
        <v>61</v>
      </c>
      <c r="H14" s="28"/>
      <c r="I14" s="12" t="str">
        <f>IFERROR(H14+SUMPRODUCT((MOVIMIENTOS!$C$2:$C$5000=$A14)*(MOVIMIENTOS!$D$2:$D$5000=$G14)*(MOVIMIENTOS!$B$2:$B$5000="INGRESO")*MOVIMIENTOS!$E$2:$E$5000)-SUMPRODUCT((MOVIMIENTOS!$C$2:$C$5000=$A14)*(MOVIMIENTOS!$D$2:$D$5000=$G14)*(MOVIMIENTOS!$B$2:$B$5000="EGRESO")*MOVIMIENTOS!$E$2:$E$5000),"")</f>
        <v/>
      </c>
      <c r="J14" s="13" t="s">
        <v>48</v>
      </c>
      <c r="K14" s="13"/>
      <c r="L14" s="14">
        <v>46684</v>
      </c>
      <c r="M14" s="9">
        <f t="shared" ca="1" si="0"/>
        <v>558</v>
      </c>
      <c r="N14" s="15" t="s">
        <v>26</v>
      </c>
    </row>
    <row r="15" spans="1:14" ht="16.05" customHeight="1" x14ac:dyDescent="0.3">
      <c r="A15" s="16" t="s">
        <v>58</v>
      </c>
      <c r="B15" s="17" t="s">
        <v>59</v>
      </c>
      <c r="C15" s="18" t="s">
        <v>60</v>
      </c>
      <c r="D15" s="19"/>
      <c r="E15" s="20" t="s">
        <v>22</v>
      </c>
      <c r="F15" s="21">
        <v>0</v>
      </c>
      <c r="G15" s="22" t="s">
        <v>62</v>
      </c>
      <c r="H15" s="23">
        <v>50</v>
      </c>
      <c r="I15" s="24" t="str">
        <f>IFERROR(H15+SUMPRODUCT((MOVIMIENTOS!$C$2:$C$5000=$A15)*(MOVIMIENTOS!$D$2:$D$5000=$G15)*(MOVIMIENTOS!$B$2:$B$5000="INGRESO")*MOVIMIENTOS!$E$2:$E$5000)-SUMPRODUCT((MOVIMIENTOS!$C$2:$C$5000=$A15)*(MOVIMIENTOS!$D$2:$D$5000=$G15)*(MOVIMIENTOS!$B$2:$B$5000="EGRESO")*MOVIMIENTOS!$E$2:$E$5000),"")</f>
        <v/>
      </c>
      <c r="J15" s="25" t="s">
        <v>48</v>
      </c>
      <c r="K15" s="25"/>
      <c r="L15" s="26">
        <v>46762</v>
      </c>
      <c r="M15" s="21">
        <f t="shared" ca="1" si="0"/>
        <v>636</v>
      </c>
      <c r="N15" s="27" t="s">
        <v>26</v>
      </c>
    </row>
    <row r="16" spans="1:14" ht="16.05" customHeight="1" x14ac:dyDescent="0.3">
      <c r="A16" s="4" t="s">
        <v>63</v>
      </c>
      <c r="B16" s="5" t="s">
        <v>64</v>
      </c>
      <c r="C16" s="6" t="s">
        <v>65</v>
      </c>
      <c r="D16" s="7"/>
      <c r="E16" s="8" t="s">
        <v>35</v>
      </c>
      <c r="F16" s="9">
        <v>0</v>
      </c>
      <c r="G16" s="10" t="s">
        <v>66</v>
      </c>
      <c r="H16" s="11">
        <v>932</v>
      </c>
      <c r="I16" s="12" t="str">
        <f>IFERROR(H16+SUMPRODUCT((MOVIMIENTOS!$C$2:$C$5000=$A16)*(MOVIMIENTOS!$D$2:$D$5000=$G16)*(MOVIMIENTOS!$B$2:$B$5000="INGRESO")*MOVIMIENTOS!$E$2:$E$5000)-SUMPRODUCT((MOVIMIENTOS!$C$2:$C$5000=$A16)*(MOVIMIENTOS!$D$2:$D$5000=$G16)*(MOVIMIENTOS!$B$2:$B$5000="EGRESO")*MOVIMIENTOS!$E$2:$E$5000),"")</f>
        <v/>
      </c>
      <c r="J16" s="13" t="s">
        <v>67</v>
      </c>
      <c r="K16" s="13" t="s">
        <v>25</v>
      </c>
      <c r="L16" s="14">
        <v>47017</v>
      </c>
      <c r="M16" s="9">
        <f t="shared" ca="1" si="0"/>
        <v>891</v>
      </c>
      <c r="N16" s="15" t="s">
        <v>26</v>
      </c>
    </row>
    <row r="17" spans="1:14" ht="16.05" customHeight="1" x14ac:dyDescent="0.3">
      <c r="A17" s="16" t="s">
        <v>68</v>
      </c>
      <c r="B17" s="17" t="s">
        <v>69</v>
      </c>
      <c r="C17" s="18" t="s">
        <v>70</v>
      </c>
      <c r="D17" s="19"/>
      <c r="E17" s="20" t="s">
        <v>35</v>
      </c>
      <c r="F17" s="21">
        <v>0</v>
      </c>
      <c r="G17" s="22" t="s">
        <v>71</v>
      </c>
      <c r="H17" s="23">
        <v>880</v>
      </c>
      <c r="I17" s="24" t="str">
        <f>IFERROR(H17+SUMPRODUCT((MOVIMIENTOS!$C$2:$C$5000=$A17)*(MOVIMIENTOS!$D$2:$D$5000=$G17)*(MOVIMIENTOS!$B$2:$B$5000="INGRESO")*MOVIMIENTOS!$E$2:$E$5000)-SUMPRODUCT((MOVIMIENTOS!$C$2:$C$5000=$A17)*(MOVIMIENTOS!$D$2:$D$5000=$G17)*(MOVIMIENTOS!$B$2:$B$5000="EGRESO")*MOVIMIENTOS!$E$2:$E$5000),"")</f>
        <v/>
      </c>
      <c r="J17" s="25" t="s">
        <v>67</v>
      </c>
      <c r="K17" s="25" t="s">
        <v>72</v>
      </c>
      <c r="L17" s="26">
        <v>46875</v>
      </c>
      <c r="M17" s="21">
        <f t="shared" ca="1" si="0"/>
        <v>749</v>
      </c>
      <c r="N17" s="27" t="s">
        <v>26</v>
      </c>
    </row>
    <row r="18" spans="1:14" ht="16.05" customHeight="1" x14ac:dyDescent="0.3">
      <c r="A18" s="4" t="s">
        <v>68</v>
      </c>
      <c r="B18" s="5" t="s">
        <v>69</v>
      </c>
      <c r="C18" s="6" t="s">
        <v>70</v>
      </c>
      <c r="D18" s="7"/>
      <c r="E18" s="8" t="s">
        <v>35</v>
      </c>
      <c r="F18" s="9">
        <v>0</v>
      </c>
      <c r="G18" s="10" t="s">
        <v>73</v>
      </c>
      <c r="H18" s="11">
        <v>770</v>
      </c>
      <c r="I18" s="12" t="str">
        <f>IFERROR(H18+SUMPRODUCT((MOVIMIENTOS!$C$2:$C$5000=$A18)*(MOVIMIENTOS!$D$2:$D$5000=$G18)*(MOVIMIENTOS!$B$2:$B$5000="INGRESO")*MOVIMIENTOS!$E$2:$E$5000)-SUMPRODUCT((MOVIMIENTOS!$C$2:$C$5000=$A18)*(MOVIMIENTOS!$D$2:$D$5000=$G18)*(MOVIMIENTOS!$B$2:$B$5000="EGRESO")*MOVIMIENTOS!$E$2:$E$5000),"")</f>
        <v/>
      </c>
      <c r="J18" s="13" t="s">
        <v>67</v>
      </c>
      <c r="K18" s="13" t="s">
        <v>72</v>
      </c>
      <c r="L18" s="14">
        <v>46905</v>
      </c>
      <c r="M18" s="9">
        <f t="shared" ca="1" si="0"/>
        <v>779</v>
      </c>
      <c r="N18" s="15" t="s">
        <v>26</v>
      </c>
    </row>
    <row r="19" spans="1:14" ht="16.05" customHeight="1" x14ac:dyDescent="0.3">
      <c r="A19" s="16" t="s">
        <v>74</v>
      </c>
      <c r="B19" s="17" t="s">
        <v>75</v>
      </c>
      <c r="C19" s="18" t="s">
        <v>76</v>
      </c>
      <c r="D19" s="19"/>
      <c r="E19" s="20" t="s">
        <v>52</v>
      </c>
      <c r="F19" s="21">
        <v>0</v>
      </c>
      <c r="G19" s="22" t="s">
        <v>77</v>
      </c>
      <c r="H19" s="29"/>
      <c r="I19" s="24" t="str">
        <f>IFERROR(H19+SUMPRODUCT((MOVIMIENTOS!$C$2:$C$5000=$A19)*(MOVIMIENTOS!$D$2:$D$5000=$G19)*(MOVIMIENTOS!$B$2:$B$5000="INGRESO")*MOVIMIENTOS!$E$2:$E$5000)-SUMPRODUCT((MOVIMIENTOS!$C$2:$C$5000=$A19)*(MOVIMIENTOS!$D$2:$D$5000=$G19)*(MOVIMIENTOS!$B$2:$B$5000="EGRESO")*MOVIMIENTOS!$E$2:$E$5000),"")</f>
        <v/>
      </c>
      <c r="J19" s="25" t="s">
        <v>67</v>
      </c>
      <c r="K19" s="25" t="s">
        <v>25</v>
      </c>
      <c r="L19" s="25"/>
      <c r="M19" s="21" t="str">
        <f t="shared" ca="1" si="0"/>
        <v/>
      </c>
      <c r="N19" s="30"/>
    </row>
    <row r="20" spans="1:14" ht="16.05" customHeight="1" x14ac:dyDescent="0.3">
      <c r="A20" s="4" t="s">
        <v>78</v>
      </c>
      <c r="B20" s="5" t="s">
        <v>79</v>
      </c>
      <c r="C20" s="6" t="s">
        <v>80</v>
      </c>
      <c r="D20" s="7"/>
      <c r="E20" s="8" t="s">
        <v>35</v>
      </c>
      <c r="F20" s="9">
        <v>0</v>
      </c>
      <c r="G20" s="10" t="s">
        <v>81</v>
      </c>
      <c r="H20" s="11">
        <v>193</v>
      </c>
      <c r="I20" s="12" t="str">
        <f>IFERROR(H20+SUMPRODUCT((MOVIMIENTOS!$C$2:$C$5000=$A20)*(MOVIMIENTOS!$D$2:$D$5000=$G20)*(MOVIMIENTOS!$B$2:$B$5000="INGRESO")*MOVIMIENTOS!$E$2:$E$5000)-SUMPRODUCT((MOVIMIENTOS!$C$2:$C$5000=$A20)*(MOVIMIENTOS!$D$2:$D$5000=$G20)*(MOVIMIENTOS!$B$2:$B$5000="EGRESO")*MOVIMIENTOS!$E$2:$E$5000),"")</f>
        <v/>
      </c>
      <c r="J20" s="13" t="s">
        <v>37</v>
      </c>
      <c r="K20" s="13" t="s">
        <v>25</v>
      </c>
      <c r="L20" s="14">
        <v>46264</v>
      </c>
      <c r="M20" s="9">
        <f t="shared" ca="1" si="0"/>
        <v>138</v>
      </c>
      <c r="N20" s="15" t="s">
        <v>26</v>
      </c>
    </row>
    <row r="21" spans="1:14" ht="16.05" customHeight="1" x14ac:dyDescent="0.3">
      <c r="A21" s="16" t="s">
        <v>82</v>
      </c>
      <c r="B21" s="17" t="s">
        <v>83</v>
      </c>
      <c r="C21" s="18" t="s">
        <v>84</v>
      </c>
      <c r="D21" s="19"/>
      <c r="E21" s="20" t="s">
        <v>35</v>
      </c>
      <c r="F21" s="21">
        <v>0</v>
      </c>
      <c r="G21" s="22" t="s">
        <v>85</v>
      </c>
      <c r="H21" s="29"/>
      <c r="I21" s="24" t="str">
        <f>IFERROR(H21+SUMPRODUCT((MOVIMIENTOS!$C$2:$C$5000=$A21)*(MOVIMIENTOS!$D$2:$D$5000=$G21)*(MOVIMIENTOS!$B$2:$B$5000="INGRESO")*MOVIMIENTOS!$E$2:$E$5000)-SUMPRODUCT((MOVIMIENTOS!$C$2:$C$5000=$A21)*(MOVIMIENTOS!$D$2:$D$5000=$G21)*(MOVIMIENTOS!$B$2:$B$5000="EGRESO")*MOVIMIENTOS!$E$2:$E$5000),"")</f>
        <v/>
      </c>
      <c r="J21" s="25" t="s">
        <v>67</v>
      </c>
      <c r="K21" s="25" t="s">
        <v>25</v>
      </c>
      <c r="L21" s="25"/>
      <c r="M21" s="21" t="str">
        <f t="shared" ca="1" si="0"/>
        <v/>
      </c>
      <c r="N21" s="30"/>
    </row>
    <row r="22" spans="1:14" ht="16.05" customHeight="1" x14ac:dyDescent="0.3">
      <c r="A22" s="4" t="s">
        <v>86</v>
      </c>
      <c r="B22" s="5" t="s">
        <v>87</v>
      </c>
      <c r="C22" s="6" t="s">
        <v>88</v>
      </c>
      <c r="D22" s="7"/>
      <c r="E22" s="8" t="s">
        <v>35</v>
      </c>
      <c r="F22" s="9">
        <v>0</v>
      </c>
      <c r="G22" s="10" t="s">
        <v>89</v>
      </c>
      <c r="H22" s="11">
        <v>400</v>
      </c>
      <c r="I22" s="12" t="str">
        <f>IFERROR(H22+SUMPRODUCT((MOVIMIENTOS!$C$2:$C$5000=$A22)*(MOVIMIENTOS!$D$2:$D$5000=$G22)*(MOVIMIENTOS!$B$2:$B$5000="INGRESO")*MOVIMIENTOS!$E$2:$E$5000)-SUMPRODUCT((MOVIMIENTOS!$C$2:$C$5000=$A22)*(MOVIMIENTOS!$D$2:$D$5000=$G22)*(MOVIMIENTOS!$B$2:$B$5000="EGRESO")*MOVIMIENTOS!$E$2:$E$5000),"")</f>
        <v/>
      </c>
      <c r="J22" s="13" t="s">
        <v>37</v>
      </c>
      <c r="K22" s="13" t="s">
        <v>25</v>
      </c>
      <c r="L22" s="13"/>
      <c r="M22" s="9" t="str">
        <f t="shared" ca="1" si="0"/>
        <v/>
      </c>
      <c r="N22" s="31"/>
    </row>
    <row r="23" spans="1:14" ht="16.05" customHeight="1" x14ac:dyDescent="0.3">
      <c r="A23" s="16" t="s">
        <v>90</v>
      </c>
      <c r="B23" s="17" t="s">
        <v>91</v>
      </c>
      <c r="C23" s="18" t="s">
        <v>92</v>
      </c>
      <c r="D23" s="19"/>
      <c r="E23" s="20" t="s">
        <v>35</v>
      </c>
      <c r="F23" s="21">
        <v>0</v>
      </c>
      <c r="G23" s="22" t="s">
        <v>93</v>
      </c>
      <c r="H23" s="23">
        <v>830</v>
      </c>
      <c r="I23" s="24" t="str">
        <f>IFERROR(H23+SUMPRODUCT((MOVIMIENTOS!$C$2:$C$5000=$A23)*(MOVIMIENTOS!$D$2:$D$5000=$G23)*(MOVIMIENTOS!$B$2:$B$5000="INGRESO")*MOVIMIENTOS!$E$2:$E$5000)-SUMPRODUCT((MOVIMIENTOS!$C$2:$C$5000=$A23)*(MOVIMIENTOS!$D$2:$D$5000=$G23)*(MOVIMIENTOS!$B$2:$B$5000="EGRESO")*MOVIMIENTOS!$E$2:$E$5000),"")</f>
        <v/>
      </c>
      <c r="J23" s="25" t="s">
        <v>67</v>
      </c>
      <c r="K23" s="25" t="s">
        <v>72</v>
      </c>
      <c r="L23" s="26">
        <v>46233</v>
      </c>
      <c r="M23" s="21">
        <f t="shared" ca="1" si="0"/>
        <v>107</v>
      </c>
      <c r="N23" s="27" t="s">
        <v>26</v>
      </c>
    </row>
    <row r="24" spans="1:14" ht="16.05" customHeight="1" x14ac:dyDescent="0.3">
      <c r="A24" s="4" t="s">
        <v>94</v>
      </c>
      <c r="B24" s="5" t="s">
        <v>95</v>
      </c>
      <c r="C24" s="6" t="s">
        <v>96</v>
      </c>
      <c r="D24" s="7"/>
      <c r="E24" s="8" t="s">
        <v>35</v>
      </c>
      <c r="F24" s="9">
        <v>0</v>
      </c>
      <c r="G24" s="10" t="s">
        <v>97</v>
      </c>
      <c r="H24" s="11">
        <v>930</v>
      </c>
      <c r="I24" s="12" t="str">
        <f>IFERROR(H24+SUMPRODUCT((MOVIMIENTOS!$C$2:$C$5000=$A24)*(MOVIMIENTOS!$D$2:$D$5000=$G24)*(MOVIMIENTOS!$B$2:$B$5000="INGRESO")*MOVIMIENTOS!$E$2:$E$5000)-SUMPRODUCT((MOVIMIENTOS!$C$2:$C$5000=$A24)*(MOVIMIENTOS!$D$2:$D$5000=$G24)*(MOVIMIENTOS!$B$2:$B$5000="EGRESO")*MOVIMIENTOS!$E$2:$E$5000),"")</f>
        <v/>
      </c>
      <c r="J24" s="13" t="s">
        <v>67</v>
      </c>
      <c r="K24" s="13" t="s">
        <v>72</v>
      </c>
      <c r="L24" s="14">
        <v>46488</v>
      </c>
      <c r="M24" s="9">
        <f t="shared" ca="1" si="0"/>
        <v>362</v>
      </c>
      <c r="N24" s="15" t="s">
        <v>26</v>
      </c>
    </row>
    <row r="25" spans="1:14" ht="16.05" customHeight="1" x14ac:dyDescent="0.3">
      <c r="A25" s="16" t="s">
        <v>98</v>
      </c>
      <c r="B25" s="17" t="s">
        <v>99</v>
      </c>
      <c r="C25" s="18" t="s">
        <v>100</v>
      </c>
      <c r="D25" s="19"/>
      <c r="E25" s="20" t="s">
        <v>35</v>
      </c>
      <c r="F25" s="21">
        <v>0</v>
      </c>
      <c r="G25" s="22" t="s">
        <v>101</v>
      </c>
      <c r="H25" s="23">
        <v>200</v>
      </c>
      <c r="I25" s="24" t="str">
        <f>IFERROR(H25+SUMPRODUCT((MOVIMIENTOS!$C$2:$C$5000=$A25)*(MOVIMIENTOS!$D$2:$D$5000=$G25)*(MOVIMIENTOS!$B$2:$B$5000="INGRESO")*MOVIMIENTOS!$E$2:$E$5000)-SUMPRODUCT((MOVIMIENTOS!$C$2:$C$5000=$A25)*(MOVIMIENTOS!$D$2:$D$5000=$G25)*(MOVIMIENTOS!$B$2:$B$5000="EGRESO")*MOVIMIENTOS!$E$2:$E$5000),"")</f>
        <v/>
      </c>
      <c r="J25" s="25" t="s">
        <v>37</v>
      </c>
      <c r="K25" s="25" t="s">
        <v>25</v>
      </c>
      <c r="L25" s="25"/>
      <c r="M25" s="21" t="str">
        <f t="shared" ca="1" si="0"/>
        <v/>
      </c>
      <c r="N25" s="30"/>
    </row>
    <row r="26" spans="1:14" ht="16.05" customHeight="1" x14ac:dyDescent="0.3">
      <c r="A26" s="4" t="s">
        <v>102</v>
      </c>
      <c r="B26" s="5" t="s">
        <v>103</v>
      </c>
      <c r="C26" s="6" t="s">
        <v>104</v>
      </c>
      <c r="D26" s="7"/>
      <c r="E26" s="8" t="s">
        <v>35</v>
      </c>
      <c r="F26" s="9">
        <v>0</v>
      </c>
      <c r="G26" s="10" t="s">
        <v>105</v>
      </c>
      <c r="H26" s="11">
        <v>510</v>
      </c>
      <c r="I26" s="12" t="str">
        <f>IFERROR(H26+SUMPRODUCT((MOVIMIENTOS!$C$2:$C$5000=$A26)*(MOVIMIENTOS!$D$2:$D$5000=$G26)*(MOVIMIENTOS!$B$2:$B$5000="INGRESO")*MOVIMIENTOS!$E$2:$E$5000)-SUMPRODUCT((MOVIMIENTOS!$C$2:$C$5000=$A26)*(MOVIMIENTOS!$D$2:$D$5000=$G26)*(MOVIMIENTOS!$B$2:$B$5000="EGRESO")*MOVIMIENTOS!$E$2:$E$5000),"")</f>
        <v/>
      </c>
      <c r="J26" s="13" t="s">
        <v>67</v>
      </c>
      <c r="K26" s="13" t="s">
        <v>72</v>
      </c>
      <c r="L26" s="14">
        <v>46269</v>
      </c>
      <c r="M26" s="9">
        <f t="shared" ca="1" si="0"/>
        <v>143</v>
      </c>
      <c r="N26" s="15" t="s">
        <v>26</v>
      </c>
    </row>
    <row r="27" spans="1:14" ht="16.05" customHeight="1" x14ac:dyDescent="0.3">
      <c r="A27" s="16" t="s">
        <v>106</v>
      </c>
      <c r="B27" s="17" t="s">
        <v>107</v>
      </c>
      <c r="C27" s="18" t="s">
        <v>108</v>
      </c>
      <c r="D27" s="19"/>
      <c r="E27" s="20" t="s">
        <v>22</v>
      </c>
      <c r="F27" s="21">
        <v>0</v>
      </c>
      <c r="G27" s="22" t="s">
        <v>109</v>
      </c>
      <c r="H27" s="23">
        <v>9.8000000000000007</v>
      </c>
      <c r="I27" s="24" t="str">
        <f>IFERROR(H27+SUMPRODUCT((MOVIMIENTOS!$C$2:$C$5000=$A27)*(MOVIMIENTOS!$D$2:$D$5000=$G27)*(MOVIMIENTOS!$B$2:$B$5000="INGRESO")*MOVIMIENTOS!$E$2:$E$5000)-SUMPRODUCT((MOVIMIENTOS!$C$2:$C$5000=$A27)*(MOVIMIENTOS!$D$2:$D$5000=$G27)*(MOVIMIENTOS!$B$2:$B$5000="EGRESO")*MOVIMIENTOS!$E$2:$E$5000),"")</f>
        <v/>
      </c>
      <c r="J27" s="25" t="s">
        <v>48</v>
      </c>
      <c r="K27" s="25"/>
      <c r="L27" s="26">
        <v>46712</v>
      </c>
      <c r="M27" s="21">
        <f t="shared" ca="1" si="0"/>
        <v>586</v>
      </c>
      <c r="N27" s="27" t="s">
        <v>26</v>
      </c>
    </row>
    <row r="28" spans="1:14" ht="16.05" customHeight="1" x14ac:dyDescent="0.3">
      <c r="A28" s="4" t="s">
        <v>110</v>
      </c>
      <c r="B28" s="5" t="s">
        <v>111</v>
      </c>
      <c r="C28" s="6" t="s">
        <v>112</v>
      </c>
      <c r="D28" s="7"/>
      <c r="E28" s="8"/>
      <c r="F28" s="9">
        <v>0</v>
      </c>
      <c r="G28" s="10" t="s">
        <v>113</v>
      </c>
      <c r="H28" s="11">
        <v>100</v>
      </c>
      <c r="I28" s="12" t="str">
        <f>IFERROR(H28+SUMPRODUCT((MOVIMIENTOS!$C$2:$C$5000=$A28)*(MOVIMIENTOS!$D$2:$D$5000=$G28)*(MOVIMIENTOS!$B$2:$B$5000="INGRESO")*MOVIMIENTOS!$E$2:$E$5000)-SUMPRODUCT((MOVIMIENTOS!$C$2:$C$5000=$A28)*(MOVIMIENTOS!$D$2:$D$5000=$G28)*(MOVIMIENTOS!$B$2:$B$5000="EGRESO")*MOVIMIENTOS!$E$2:$E$5000),"")</f>
        <v/>
      </c>
      <c r="J28" s="13" t="s">
        <v>114</v>
      </c>
      <c r="K28" s="13" t="s">
        <v>115</v>
      </c>
      <c r="L28" s="14">
        <v>46723</v>
      </c>
      <c r="M28" s="9">
        <f t="shared" ca="1" si="0"/>
        <v>597</v>
      </c>
      <c r="N28" s="15" t="s">
        <v>26</v>
      </c>
    </row>
    <row r="29" spans="1:14" ht="16.05" customHeight="1" x14ac:dyDescent="0.3">
      <c r="A29" s="16" t="s">
        <v>110</v>
      </c>
      <c r="B29" s="17" t="s">
        <v>111</v>
      </c>
      <c r="C29" s="18" t="s">
        <v>112</v>
      </c>
      <c r="D29" s="19"/>
      <c r="E29" s="20"/>
      <c r="F29" s="21">
        <v>0</v>
      </c>
      <c r="G29" s="22" t="s">
        <v>116</v>
      </c>
      <c r="H29" s="23">
        <v>3239</v>
      </c>
      <c r="I29" s="24" t="str">
        <f>IFERROR(H29+SUMPRODUCT((MOVIMIENTOS!$C$2:$C$5000=$A29)*(MOVIMIENTOS!$D$2:$D$5000=$G29)*(MOVIMIENTOS!$B$2:$B$5000="INGRESO")*MOVIMIENTOS!$E$2:$E$5000)-SUMPRODUCT((MOVIMIENTOS!$C$2:$C$5000=$A29)*(MOVIMIENTOS!$D$2:$D$5000=$G29)*(MOVIMIENTOS!$B$2:$B$5000="EGRESO")*MOVIMIENTOS!$E$2:$E$5000),"")</f>
        <v/>
      </c>
      <c r="J29" s="25" t="s">
        <v>114</v>
      </c>
      <c r="K29" s="25" t="s">
        <v>115</v>
      </c>
      <c r="L29" s="26">
        <v>46958</v>
      </c>
      <c r="M29" s="21">
        <f t="shared" ca="1" si="0"/>
        <v>832</v>
      </c>
      <c r="N29" s="27" t="s">
        <v>26</v>
      </c>
    </row>
    <row r="30" spans="1:14" ht="16.05" customHeight="1" x14ac:dyDescent="0.3">
      <c r="A30" s="4" t="s">
        <v>117</v>
      </c>
      <c r="B30" s="5" t="s">
        <v>118</v>
      </c>
      <c r="C30" s="6" t="s">
        <v>119</v>
      </c>
      <c r="D30" s="7"/>
      <c r="E30" s="8" t="s">
        <v>22</v>
      </c>
      <c r="F30" s="9">
        <v>0</v>
      </c>
      <c r="G30" s="10" t="s">
        <v>120</v>
      </c>
      <c r="H30" s="11">
        <v>1000</v>
      </c>
      <c r="I30" s="12" t="str">
        <f>IFERROR(H30+SUMPRODUCT((MOVIMIENTOS!$C$2:$C$5000=$A30)*(MOVIMIENTOS!$D$2:$D$5000=$G30)*(MOVIMIENTOS!$B$2:$B$5000="INGRESO")*MOVIMIENTOS!$E$2:$E$5000)-SUMPRODUCT((MOVIMIENTOS!$C$2:$C$5000=$A30)*(MOVIMIENTOS!$D$2:$D$5000=$G30)*(MOVIMIENTOS!$B$2:$B$5000="EGRESO")*MOVIMIENTOS!$E$2:$E$5000),"")</f>
        <v/>
      </c>
      <c r="J30" s="13" t="s">
        <v>121</v>
      </c>
      <c r="K30" s="13" t="s">
        <v>25</v>
      </c>
      <c r="L30" s="14">
        <v>46540</v>
      </c>
      <c r="M30" s="9">
        <f t="shared" ca="1" si="0"/>
        <v>414</v>
      </c>
      <c r="N30" s="15" t="s">
        <v>26</v>
      </c>
    </row>
    <row r="31" spans="1:14" ht="16.05" customHeight="1" x14ac:dyDescent="0.3">
      <c r="A31" s="16" t="s">
        <v>122</v>
      </c>
      <c r="B31" s="17" t="s">
        <v>123</v>
      </c>
      <c r="C31" s="18" t="s">
        <v>124</v>
      </c>
      <c r="D31" s="19"/>
      <c r="E31" s="20"/>
      <c r="F31" s="21">
        <v>0</v>
      </c>
      <c r="G31" s="22" t="s">
        <v>125</v>
      </c>
      <c r="H31" s="23">
        <v>15154</v>
      </c>
      <c r="I31" s="24" t="str">
        <f>IFERROR(H31+SUMPRODUCT((MOVIMIENTOS!$C$2:$C$5000=$A31)*(MOVIMIENTOS!$D$2:$D$5000=$G31)*(MOVIMIENTOS!$B$2:$B$5000="INGRESO")*MOVIMIENTOS!$E$2:$E$5000)-SUMPRODUCT((MOVIMIENTOS!$C$2:$C$5000=$A31)*(MOVIMIENTOS!$D$2:$D$5000=$G31)*(MOVIMIENTOS!$B$2:$B$5000="EGRESO")*MOVIMIENTOS!$E$2:$E$5000),"")</f>
        <v/>
      </c>
      <c r="J31" s="25" t="s">
        <v>42</v>
      </c>
      <c r="K31" s="25" t="s">
        <v>25</v>
      </c>
      <c r="L31" s="26">
        <v>46740</v>
      </c>
      <c r="M31" s="21">
        <f t="shared" ca="1" si="0"/>
        <v>614</v>
      </c>
      <c r="N31" s="27" t="s">
        <v>26</v>
      </c>
    </row>
    <row r="32" spans="1:14" ht="16.05" customHeight="1" x14ac:dyDescent="0.3">
      <c r="A32" s="32" t="s">
        <v>126</v>
      </c>
      <c r="B32" s="33" t="s">
        <v>127</v>
      </c>
      <c r="C32" s="34" t="s">
        <v>128</v>
      </c>
      <c r="D32" s="35"/>
      <c r="E32" s="36"/>
      <c r="F32" s="37">
        <v>0</v>
      </c>
      <c r="G32" s="38" t="s">
        <v>129</v>
      </c>
      <c r="H32" s="39"/>
      <c r="I32" s="40" t="str">
        <f>IFERROR(H32+SUMPRODUCT((MOVIMIENTOS!$C$2:$C$5000=$A32)*(MOVIMIENTOS!$D$2:$D$5000=$G32)*(MOVIMIENTOS!$B$2:$B$5000="INGRESO")*MOVIMIENTOS!$E$2:$E$5000)-SUMPRODUCT((MOVIMIENTOS!$C$2:$C$5000=$A32)*(MOVIMIENTOS!$D$2:$D$5000=$G32)*(MOVIMIENTOS!$B$2:$B$5000="EGRESO")*MOVIMIENTOS!$E$2:$E$5000),"")</f>
        <v/>
      </c>
      <c r="J32" s="41" t="s">
        <v>42</v>
      </c>
      <c r="K32" s="41" t="s">
        <v>25</v>
      </c>
      <c r="L32" s="42">
        <v>46054</v>
      </c>
      <c r="M32" s="37">
        <f t="shared" ca="1" si="0"/>
        <v>-72</v>
      </c>
      <c r="N32" s="43" t="s">
        <v>130</v>
      </c>
    </row>
    <row r="33" spans="1:14" ht="16.05" customHeight="1" x14ac:dyDescent="0.3">
      <c r="A33" s="16" t="s">
        <v>131</v>
      </c>
      <c r="B33" s="17" t="s">
        <v>132</v>
      </c>
      <c r="C33" s="18" t="s">
        <v>133</v>
      </c>
      <c r="D33" s="19"/>
      <c r="E33" s="20" t="s">
        <v>52</v>
      </c>
      <c r="F33" s="21">
        <v>0</v>
      </c>
      <c r="G33" s="22" t="s">
        <v>134</v>
      </c>
      <c r="H33" s="23">
        <v>668.5</v>
      </c>
      <c r="I33" s="24" t="str">
        <f>IFERROR(H33+SUMPRODUCT((MOVIMIENTOS!$C$2:$C$5000=$A33)*(MOVIMIENTOS!$D$2:$D$5000=$G33)*(MOVIMIENTOS!$B$2:$B$5000="INGRESO")*MOVIMIENTOS!$E$2:$E$5000)-SUMPRODUCT((MOVIMIENTOS!$C$2:$C$5000=$A33)*(MOVIMIENTOS!$D$2:$D$5000=$G33)*(MOVIMIENTOS!$B$2:$B$5000="EGRESO")*MOVIMIENTOS!$E$2:$E$5000),"")</f>
        <v/>
      </c>
      <c r="J33" s="25" t="s">
        <v>114</v>
      </c>
      <c r="K33" s="25" t="s">
        <v>115</v>
      </c>
      <c r="L33" s="26">
        <v>46299</v>
      </c>
      <c r="M33" s="21">
        <f t="shared" ca="1" si="0"/>
        <v>173</v>
      </c>
      <c r="N33" s="27" t="s">
        <v>26</v>
      </c>
    </row>
    <row r="34" spans="1:14" ht="16.05" customHeight="1" x14ac:dyDescent="0.3">
      <c r="A34" s="4" t="s">
        <v>135</v>
      </c>
      <c r="B34" s="5" t="s">
        <v>132</v>
      </c>
      <c r="C34" s="6" t="s">
        <v>136</v>
      </c>
      <c r="D34" s="7"/>
      <c r="E34" s="8" t="s">
        <v>52</v>
      </c>
      <c r="F34" s="9">
        <v>0</v>
      </c>
      <c r="G34" s="10" t="s">
        <v>137</v>
      </c>
      <c r="H34" s="11">
        <v>1715</v>
      </c>
      <c r="I34" s="12" t="str">
        <f>IFERROR(H34+SUMPRODUCT((MOVIMIENTOS!$C$2:$C$5000=$A34)*(MOVIMIENTOS!$D$2:$D$5000=$G34)*(MOVIMIENTOS!$B$2:$B$5000="INGRESO")*MOVIMIENTOS!$E$2:$E$5000)-SUMPRODUCT((MOVIMIENTOS!$C$2:$C$5000=$A34)*(MOVIMIENTOS!$D$2:$D$5000=$G34)*(MOVIMIENTOS!$B$2:$B$5000="EGRESO")*MOVIMIENTOS!$E$2:$E$5000),"")</f>
        <v/>
      </c>
      <c r="J34" s="13" t="s">
        <v>114</v>
      </c>
      <c r="K34" s="13" t="s">
        <v>115</v>
      </c>
      <c r="L34" s="14">
        <v>46235</v>
      </c>
      <c r="M34" s="9">
        <f t="shared" ca="1" si="0"/>
        <v>109</v>
      </c>
      <c r="N34" s="15" t="s">
        <v>26</v>
      </c>
    </row>
    <row r="35" spans="1:14" ht="16.05" customHeight="1" x14ac:dyDescent="0.3">
      <c r="A35" s="16" t="s">
        <v>138</v>
      </c>
      <c r="B35" s="17" t="s">
        <v>139</v>
      </c>
      <c r="C35" s="18" t="s">
        <v>140</v>
      </c>
      <c r="D35" s="19"/>
      <c r="E35" s="20" t="s">
        <v>141</v>
      </c>
      <c r="F35" s="21">
        <v>0</v>
      </c>
      <c r="G35" s="22" t="s">
        <v>142</v>
      </c>
      <c r="H35" s="29"/>
      <c r="I35" s="24" t="str">
        <f>IFERROR(H35+SUMPRODUCT((MOVIMIENTOS!$C$2:$C$5000=$A35)*(MOVIMIENTOS!$D$2:$D$5000=$G35)*(MOVIMIENTOS!$B$2:$B$5000="INGRESO")*MOVIMIENTOS!$E$2:$E$5000)-SUMPRODUCT((MOVIMIENTOS!$C$2:$C$5000=$A35)*(MOVIMIENTOS!$D$2:$D$5000=$G35)*(MOVIMIENTOS!$B$2:$B$5000="EGRESO")*MOVIMIENTOS!$E$2:$E$5000),"")</f>
        <v/>
      </c>
      <c r="J35" s="25" t="s">
        <v>143</v>
      </c>
      <c r="K35" s="25" t="s">
        <v>25</v>
      </c>
      <c r="L35" s="25"/>
      <c r="M35" s="21" t="str">
        <f t="shared" ca="1" si="0"/>
        <v/>
      </c>
      <c r="N35" s="30"/>
    </row>
    <row r="36" spans="1:14" ht="16.05" customHeight="1" x14ac:dyDescent="0.3">
      <c r="A36" s="4" t="s">
        <v>144</v>
      </c>
      <c r="B36" s="5" t="s">
        <v>145</v>
      </c>
      <c r="C36" s="6" t="s">
        <v>146</v>
      </c>
      <c r="D36" s="7"/>
      <c r="E36" s="8" t="s">
        <v>22</v>
      </c>
      <c r="F36" s="9">
        <v>0</v>
      </c>
      <c r="G36" s="10" t="s">
        <v>147</v>
      </c>
      <c r="H36" s="11">
        <v>1000</v>
      </c>
      <c r="I36" s="12" t="str">
        <f>IFERROR(H36+SUMPRODUCT((MOVIMIENTOS!$C$2:$C$5000=$A36)*(MOVIMIENTOS!$D$2:$D$5000=$G36)*(MOVIMIENTOS!$B$2:$B$5000="INGRESO")*MOVIMIENTOS!$E$2:$E$5000)-SUMPRODUCT((MOVIMIENTOS!$C$2:$C$5000=$A36)*(MOVIMIENTOS!$D$2:$D$5000=$G36)*(MOVIMIENTOS!$B$2:$B$5000="EGRESO")*MOVIMIENTOS!$E$2:$E$5000),"")</f>
        <v/>
      </c>
      <c r="J36" s="13" t="s">
        <v>121</v>
      </c>
      <c r="K36" s="13" t="s">
        <v>25</v>
      </c>
      <c r="L36" s="14">
        <v>46558</v>
      </c>
      <c r="M36" s="9">
        <f t="shared" ca="1" si="0"/>
        <v>432</v>
      </c>
      <c r="N36" s="15" t="s">
        <v>26</v>
      </c>
    </row>
    <row r="37" spans="1:14" ht="16.05" customHeight="1" x14ac:dyDescent="0.3">
      <c r="A37" s="16" t="s">
        <v>148</v>
      </c>
      <c r="B37" s="17" t="s">
        <v>149</v>
      </c>
      <c r="C37" s="18" t="s">
        <v>150</v>
      </c>
      <c r="D37" s="19"/>
      <c r="E37" s="20" t="s">
        <v>52</v>
      </c>
      <c r="F37" s="21">
        <v>0</v>
      </c>
      <c r="G37" s="22" t="s">
        <v>151</v>
      </c>
      <c r="H37" s="23">
        <v>94</v>
      </c>
      <c r="I37" s="24" t="str">
        <f>IFERROR(H37+SUMPRODUCT((MOVIMIENTOS!$C$2:$C$5000=$A37)*(MOVIMIENTOS!$D$2:$D$5000=$G37)*(MOVIMIENTOS!$B$2:$B$5000="INGRESO")*MOVIMIENTOS!$E$2:$E$5000)-SUMPRODUCT((MOVIMIENTOS!$C$2:$C$5000=$A37)*(MOVIMIENTOS!$D$2:$D$5000=$G37)*(MOVIMIENTOS!$B$2:$B$5000="EGRESO")*MOVIMIENTOS!$E$2:$E$5000),"")</f>
        <v/>
      </c>
      <c r="J37" s="25" t="s">
        <v>24</v>
      </c>
      <c r="K37" s="25" t="s">
        <v>25</v>
      </c>
      <c r="L37" s="26">
        <v>46470</v>
      </c>
      <c r="M37" s="21">
        <f t="shared" ca="1" si="0"/>
        <v>344</v>
      </c>
      <c r="N37" s="27" t="s">
        <v>26</v>
      </c>
    </row>
    <row r="38" spans="1:14" ht="16.05" customHeight="1" x14ac:dyDescent="0.3">
      <c r="A38" s="98" t="s">
        <v>152</v>
      </c>
      <c r="B38" s="99" t="s">
        <v>153</v>
      </c>
      <c r="C38" s="100" t="s">
        <v>154</v>
      </c>
      <c r="D38" s="35"/>
      <c r="E38" s="101" t="s">
        <v>52</v>
      </c>
      <c r="F38" s="102">
        <v>0</v>
      </c>
      <c r="G38" s="103" t="s">
        <v>155</v>
      </c>
      <c r="H38" s="39"/>
      <c r="I38" s="104" t="str">
        <f>IFERROR(H38+SUMPRODUCT((MOVIMIENTOS!$C$2:$C$5000=$A38)*(MOVIMIENTOS!$D$2:$D$5000=$G38)*(MOVIMIENTOS!$B$2:$B$5000="INGRESO")*MOVIMIENTOS!$E$2:$E$5000)-SUMPRODUCT((MOVIMIENTOS!$C$2:$C$5000=$A38)*(MOVIMIENTOS!$D$2:$D$5000=$G38)*(MOVIMIENTOS!$B$2:$B$5000="EGRESO")*MOVIMIENTOS!$E$2:$E$5000),"")</f>
        <v/>
      </c>
      <c r="J38" s="105" t="s">
        <v>156</v>
      </c>
      <c r="K38" s="41"/>
      <c r="L38" s="106">
        <v>46053</v>
      </c>
      <c r="M38" s="102">
        <f t="shared" ref="M38:M67" ca="1" si="1">IF(L38="","",L38-TODAY())</f>
        <v>-73</v>
      </c>
      <c r="N38" s="107" t="s">
        <v>130</v>
      </c>
    </row>
    <row r="39" spans="1:14" ht="16.05" customHeight="1" x14ac:dyDescent="0.3">
      <c r="A39" s="98" t="s">
        <v>152</v>
      </c>
      <c r="B39" s="99" t="s">
        <v>153</v>
      </c>
      <c r="C39" s="100" t="s">
        <v>154</v>
      </c>
      <c r="D39" s="19"/>
      <c r="E39" s="101" t="s">
        <v>52</v>
      </c>
      <c r="F39" s="102">
        <v>0</v>
      </c>
      <c r="G39" s="103" t="s">
        <v>155</v>
      </c>
      <c r="H39" s="108">
        <v>10000</v>
      </c>
      <c r="I39" s="104" t="str">
        <f>IFERROR(H39+SUMPRODUCT((MOVIMIENTOS!$C$2:$C$5000=$A39)*(MOVIMIENTOS!$D$2:$D$5000=$G39)*(MOVIMIENTOS!$B$2:$B$5000="INGRESO")*MOVIMIENTOS!$E$2:$E$5000)-SUMPRODUCT((MOVIMIENTOS!$C$2:$C$5000=$A39)*(MOVIMIENTOS!$D$2:$D$5000=$G39)*(MOVIMIENTOS!$B$2:$B$5000="EGRESO")*MOVIMIENTOS!$E$2:$E$5000),"")</f>
        <v/>
      </c>
      <c r="J39" s="105" t="s">
        <v>156</v>
      </c>
      <c r="K39" s="25"/>
      <c r="L39" s="25"/>
      <c r="M39" s="102" t="str">
        <f t="shared" ca="1" si="1"/>
        <v/>
      </c>
      <c r="N39" s="30"/>
    </row>
    <row r="40" spans="1:14" ht="16.05" customHeight="1" x14ac:dyDescent="0.3">
      <c r="A40" s="4" t="s">
        <v>152</v>
      </c>
      <c r="B40" s="5" t="s">
        <v>153</v>
      </c>
      <c r="C40" s="6" t="s">
        <v>154</v>
      </c>
      <c r="D40" s="7"/>
      <c r="E40" s="8" t="s">
        <v>52</v>
      </c>
      <c r="F40" s="9">
        <v>0</v>
      </c>
      <c r="G40" s="10" t="s">
        <v>157</v>
      </c>
      <c r="H40" s="11">
        <v>2800</v>
      </c>
      <c r="I40" s="12" t="str">
        <f>IFERROR(H40+SUMPRODUCT((MOVIMIENTOS!$C$2:$C$5000=$A40)*(MOVIMIENTOS!$D$2:$D$5000=$G40)*(MOVIMIENTOS!$B$2:$B$5000="INGRESO")*MOVIMIENTOS!$E$2:$E$5000)-SUMPRODUCT((MOVIMIENTOS!$C$2:$C$5000=$A40)*(MOVIMIENTOS!$D$2:$D$5000=$G40)*(MOVIMIENTOS!$B$2:$B$5000="EGRESO")*MOVIMIENTOS!$E$2:$E$5000),"")</f>
        <v/>
      </c>
      <c r="J40" s="13" t="s">
        <v>114</v>
      </c>
      <c r="K40" s="13" t="s">
        <v>158</v>
      </c>
      <c r="L40" s="14">
        <v>46460</v>
      </c>
      <c r="M40" s="9">
        <f t="shared" ca="1" si="1"/>
        <v>334</v>
      </c>
      <c r="N40" s="15" t="s">
        <v>26</v>
      </c>
    </row>
    <row r="41" spans="1:14" ht="16.05" customHeight="1" x14ac:dyDescent="0.3">
      <c r="A41" s="16" t="s">
        <v>159</v>
      </c>
      <c r="B41" s="17" t="s">
        <v>160</v>
      </c>
      <c r="C41" s="18" t="s">
        <v>161</v>
      </c>
      <c r="D41" s="19"/>
      <c r="E41" s="20" t="s">
        <v>22</v>
      </c>
      <c r="F41" s="21">
        <v>0</v>
      </c>
      <c r="G41" s="22" t="s">
        <v>162</v>
      </c>
      <c r="H41" s="23">
        <v>1000</v>
      </c>
      <c r="I41" s="24" t="str">
        <f>IFERROR(H41+SUMPRODUCT((MOVIMIENTOS!$C$2:$C$5000=$A41)*(MOVIMIENTOS!$D$2:$D$5000=$G41)*(MOVIMIENTOS!$B$2:$B$5000="INGRESO")*MOVIMIENTOS!$E$2:$E$5000)-SUMPRODUCT((MOVIMIENTOS!$C$2:$C$5000=$A41)*(MOVIMIENTOS!$D$2:$D$5000=$G41)*(MOVIMIENTOS!$B$2:$B$5000="EGRESO")*MOVIMIENTOS!$E$2:$E$5000),"")</f>
        <v/>
      </c>
      <c r="J41" s="25" t="s">
        <v>163</v>
      </c>
      <c r="K41" s="25" t="s">
        <v>25</v>
      </c>
      <c r="L41" s="26">
        <v>46534</v>
      </c>
      <c r="M41" s="21">
        <f t="shared" ca="1" si="1"/>
        <v>408</v>
      </c>
      <c r="N41" s="27" t="s">
        <v>26</v>
      </c>
    </row>
    <row r="42" spans="1:14" ht="16.05" customHeight="1" x14ac:dyDescent="0.3">
      <c r="A42" s="4" t="s">
        <v>164</v>
      </c>
      <c r="B42" s="5" t="s">
        <v>165</v>
      </c>
      <c r="C42" s="6" t="s">
        <v>166</v>
      </c>
      <c r="D42" s="7"/>
      <c r="E42" s="8" t="s">
        <v>22</v>
      </c>
      <c r="F42" s="9">
        <v>0</v>
      </c>
      <c r="G42" s="10" t="s">
        <v>167</v>
      </c>
      <c r="H42" s="11">
        <v>921</v>
      </c>
      <c r="I42" s="12" t="str">
        <f>IFERROR(H42+SUMPRODUCT((MOVIMIENTOS!$C$2:$C$5000=$A42)*(MOVIMIENTOS!$D$2:$D$5000=$G42)*(MOVIMIENTOS!$B$2:$B$5000="INGRESO")*MOVIMIENTOS!$E$2:$E$5000)-SUMPRODUCT((MOVIMIENTOS!$C$2:$C$5000=$A42)*(MOVIMIENTOS!$D$2:$D$5000=$G42)*(MOVIMIENTOS!$B$2:$B$5000="EGRESO")*MOVIMIENTOS!$E$2:$E$5000),"")</f>
        <v/>
      </c>
      <c r="J42" s="13" t="s">
        <v>121</v>
      </c>
      <c r="K42" s="13" t="s">
        <v>25</v>
      </c>
      <c r="L42" s="14">
        <v>46723</v>
      </c>
      <c r="M42" s="9">
        <f t="shared" ca="1" si="1"/>
        <v>597</v>
      </c>
      <c r="N42" s="15" t="s">
        <v>26</v>
      </c>
    </row>
    <row r="43" spans="1:14" ht="16.05" customHeight="1" x14ac:dyDescent="0.3">
      <c r="A43" s="16" t="s">
        <v>168</v>
      </c>
      <c r="B43" s="17" t="s">
        <v>169</v>
      </c>
      <c r="C43" s="18" t="s">
        <v>170</v>
      </c>
      <c r="D43" s="19"/>
      <c r="E43" s="20"/>
      <c r="F43" s="21">
        <v>0</v>
      </c>
      <c r="G43" s="22" t="s">
        <v>171</v>
      </c>
      <c r="H43" s="23">
        <v>100</v>
      </c>
      <c r="I43" s="24" t="str">
        <f>IFERROR(H43+SUMPRODUCT((MOVIMIENTOS!$C$2:$C$5000=$A43)*(MOVIMIENTOS!$D$2:$D$5000=$G43)*(MOVIMIENTOS!$B$2:$B$5000="INGRESO")*MOVIMIENTOS!$E$2:$E$5000)-SUMPRODUCT((MOVIMIENTOS!$C$2:$C$5000=$A43)*(MOVIMIENTOS!$D$2:$D$5000=$G43)*(MOVIMIENTOS!$B$2:$B$5000="EGRESO")*MOVIMIENTOS!$E$2:$E$5000),"")</f>
        <v/>
      </c>
      <c r="J43" s="25" t="s">
        <v>24</v>
      </c>
      <c r="K43" s="25" t="s">
        <v>115</v>
      </c>
      <c r="L43" s="26">
        <v>46741</v>
      </c>
      <c r="M43" s="21">
        <f t="shared" ca="1" si="1"/>
        <v>615</v>
      </c>
      <c r="N43" s="27" t="s">
        <v>26</v>
      </c>
    </row>
    <row r="44" spans="1:14" ht="16.05" customHeight="1" x14ac:dyDescent="0.3">
      <c r="A44" s="4" t="s">
        <v>168</v>
      </c>
      <c r="B44" s="5" t="s">
        <v>169</v>
      </c>
      <c r="C44" s="6" t="s">
        <v>170</v>
      </c>
      <c r="D44" s="7"/>
      <c r="E44" s="8"/>
      <c r="F44" s="9">
        <v>0</v>
      </c>
      <c r="G44" s="10" t="s">
        <v>172</v>
      </c>
      <c r="H44" s="11">
        <v>77</v>
      </c>
      <c r="I44" s="12" t="str">
        <f>IFERROR(H44+SUMPRODUCT((MOVIMIENTOS!$C$2:$C$5000=$A44)*(MOVIMIENTOS!$D$2:$D$5000=$G44)*(MOVIMIENTOS!$B$2:$B$5000="INGRESO")*MOVIMIENTOS!$E$2:$E$5000)-SUMPRODUCT((MOVIMIENTOS!$C$2:$C$5000=$A44)*(MOVIMIENTOS!$D$2:$D$5000=$G44)*(MOVIMIENTOS!$B$2:$B$5000="EGRESO")*MOVIMIENTOS!$E$2:$E$5000),"")</f>
        <v/>
      </c>
      <c r="J44" s="13" t="s">
        <v>24</v>
      </c>
      <c r="K44" s="13" t="s">
        <v>115</v>
      </c>
      <c r="L44" s="14">
        <v>46552</v>
      </c>
      <c r="M44" s="9">
        <f t="shared" ca="1" si="1"/>
        <v>426</v>
      </c>
      <c r="N44" s="15" t="s">
        <v>26</v>
      </c>
    </row>
    <row r="45" spans="1:14" ht="16.05" customHeight="1" x14ac:dyDescent="0.3">
      <c r="A45" s="16" t="s">
        <v>173</v>
      </c>
      <c r="B45" s="17" t="s">
        <v>174</v>
      </c>
      <c r="C45" s="18" t="s">
        <v>175</v>
      </c>
      <c r="D45" s="19"/>
      <c r="E45" s="20" t="s">
        <v>22</v>
      </c>
      <c r="F45" s="21">
        <v>0</v>
      </c>
      <c r="G45" s="22" t="s">
        <v>176</v>
      </c>
      <c r="H45" s="29"/>
      <c r="I45" s="24" t="str">
        <f>IFERROR(H45+SUMPRODUCT((MOVIMIENTOS!$C$2:$C$5000=$A45)*(MOVIMIENTOS!$D$2:$D$5000=$G45)*(MOVIMIENTOS!$B$2:$B$5000="INGRESO")*MOVIMIENTOS!$E$2:$E$5000)-SUMPRODUCT((MOVIMIENTOS!$C$2:$C$5000=$A45)*(MOVIMIENTOS!$D$2:$D$5000=$G45)*(MOVIMIENTOS!$B$2:$B$5000="EGRESO")*MOVIMIENTOS!$E$2:$E$5000),"")</f>
        <v/>
      </c>
      <c r="J45" s="25" t="s">
        <v>48</v>
      </c>
      <c r="K45" s="25"/>
      <c r="L45" s="26">
        <v>46718</v>
      </c>
      <c r="M45" s="21">
        <f t="shared" ca="1" si="1"/>
        <v>592</v>
      </c>
      <c r="N45" s="27" t="s">
        <v>26</v>
      </c>
    </row>
    <row r="46" spans="1:14" ht="16.05" customHeight="1" x14ac:dyDescent="0.3">
      <c r="A46" s="4" t="s">
        <v>177</v>
      </c>
      <c r="B46" s="5" t="s">
        <v>178</v>
      </c>
      <c r="C46" s="6" t="s">
        <v>179</v>
      </c>
      <c r="D46" s="7"/>
      <c r="E46" s="8" t="s">
        <v>22</v>
      </c>
      <c r="F46" s="9">
        <v>0</v>
      </c>
      <c r="G46" s="10" t="s">
        <v>180</v>
      </c>
      <c r="H46" s="28"/>
      <c r="I46" s="12" t="str">
        <f>IFERROR(H46+SUMPRODUCT((MOVIMIENTOS!$C$2:$C$5000=$A46)*(MOVIMIENTOS!$D$2:$D$5000=$G46)*(MOVIMIENTOS!$B$2:$B$5000="INGRESO")*MOVIMIENTOS!$E$2:$E$5000)-SUMPRODUCT((MOVIMIENTOS!$C$2:$C$5000=$A46)*(MOVIMIENTOS!$D$2:$D$5000=$G46)*(MOVIMIENTOS!$B$2:$B$5000="EGRESO")*MOVIMIENTOS!$E$2:$E$5000),"")</f>
        <v/>
      </c>
      <c r="J46" s="13" t="s">
        <v>48</v>
      </c>
      <c r="K46" s="13"/>
      <c r="L46" s="14">
        <v>46735</v>
      </c>
      <c r="M46" s="9">
        <f t="shared" ca="1" si="1"/>
        <v>609</v>
      </c>
      <c r="N46" s="15" t="s">
        <v>26</v>
      </c>
    </row>
    <row r="47" spans="1:14" ht="16.05" customHeight="1" x14ac:dyDescent="0.3">
      <c r="A47" s="16" t="s">
        <v>181</v>
      </c>
      <c r="B47" s="17" t="s">
        <v>182</v>
      </c>
      <c r="C47" s="18" t="s">
        <v>183</v>
      </c>
      <c r="D47" s="19"/>
      <c r="E47" s="20" t="s">
        <v>22</v>
      </c>
      <c r="F47" s="21">
        <v>0</v>
      </c>
      <c r="G47" s="22" t="s">
        <v>184</v>
      </c>
      <c r="H47" s="29"/>
      <c r="I47" s="24" t="str">
        <f>IFERROR(H47+SUMPRODUCT((MOVIMIENTOS!$C$2:$C$5000=$A47)*(MOVIMIENTOS!$D$2:$D$5000=$G47)*(MOVIMIENTOS!$B$2:$B$5000="INGRESO")*MOVIMIENTOS!$E$2:$E$5000)-SUMPRODUCT((MOVIMIENTOS!$C$2:$C$5000=$A47)*(MOVIMIENTOS!$D$2:$D$5000=$G47)*(MOVIMIENTOS!$B$2:$B$5000="EGRESO")*MOVIMIENTOS!$E$2:$E$5000),"")</f>
        <v/>
      </c>
      <c r="J47" s="25" t="s">
        <v>48</v>
      </c>
      <c r="K47" s="25"/>
      <c r="L47" s="26">
        <v>46642</v>
      </c>
      <c r="M47" s="21">
        <f t="shared" ca="1" si="1"/>
        <v>516</v>
      </c>
      <c r="N47" s="27" t="s">
        <v>26</v>
      </c>
    </row>
    <row r="48" spans="1:14" ht="16.05" customHeight="1" x14ac:dyDescent="0.3">
      <c r="A48" s="4" t="s">
        <v>181</v>
      </c>
      <c r="B48" s="5" t="s">
        <v>182</v>
      </c>
      <c r="C48" s="6" t="s">
        <v>183</v>
      </c>
      <c r="D48" s="7"/>
      <c r="E48" s="8" t="s">
        <v>22</v>
      </c>
      <c r="F48" s="9">
        <v>0</v>
      </c>
      <c r="G48" s="10" t="s">
        <v>180</v>
      </c>
      <c r="H48" s="28"/>
      <c r="I48" s="12" t="str">
        <f>IFERROR(H48+SUMPRODUCT((MOVIMIENTOS!$C$2:$C$5000=$A48)*(MOVIMIENTOS!$D$2:$D$5000=$G48)*(MOVIMIENTOS!$B$2:$B$5000="INGRESO")*MOVIMIENTOS!$E$2:$E$5000)-SUMPRODUCT((MOVIMIENTOS!$C$2:$C$5000=$A48)*(MOVIMIENTOS!$D$2:$D$5000=$G48)*(MOVIMIENTOS!$B$2:$B$5000="EGRESO")*MOVIMIENTOS!$E$2:$E$5000),"")</f>
        <v/>
      </c>
      <c r="J48" s="13" t="s">
        <v>48</v>
      </c>
      <c r="K48" s="13"/>
      <c r="L48" s="14">
        <v>46735</v>
      </c>
      <c r="M48" s="9">
        <f t="shared" ca="1" si="1"/>
        <v>609</v>
      </c>
      <c r="N48" s="15" t="s">
        <v>26</v>
      </c>
    </row>
    <row r="49" spans="1:14" ht="16.05" customHeight="1" x14ac:dyDescent="0.3">
      <c r="A49" s="16" t="s">
        <v>185</v>
      </c>
      <c r="B49" s="17" t="s">
        <v>186</v>
      </c>
      <c r="C49" s="18" t="s">
        <v>187</v>
      </c>
      <c r="D49" s="19"/>
      <c r="E49" s="20"/>
      <c r="F49" s="21">
        <v>0</v>
      </c>
      <c r="G49" s="22" t="s">
        <v>188</v>
      </c>
      <c r="H49" s="29"/>
      <c r="I49" s="24" t="str">
        <f>IFERROR(H49+SUMPRODUCT((MOVIMIENTOS!$C$2:$C$5000=$A49)*(MOVIMIENTOS!$D$2:$D$5000=$G49)*(MOVIMIENTOS!$B$2:$B$5000="INGRESO")*MOVIMIENTOS!$E$2:$E$5000)-SUMPRODUCT((MOVIMIENTOS!$C$2:$C$5000=$A49)*(MOVIMIENTOS!$D$2:$D$5000=$G49)*(MOVIMIENTOS!$B$2:$B$5000="EGRESO")*MOVIMIENTOS!$E$2:$E$5000),"")</f>
        <v/>
      </c>
      <c r="J49" s="25" t="s">
        <v>189</v>
      </c>
      <c r="K49" s="25" t="s">
        <v>25</v>
      </c>
      <c r="L49" s="25"/>
      <c r="M49" s="21" t="str">
        <f t="shared" ca="1" si="1"/>
        <v/>
      </c>
      <c r="N49" s="30"/>
    </row>
    <row r="50" spans="1:14" ht="16.05" customHeight="1" x14ac:dyDescent="0.3">
      <c r="A50" s="4" t="s">
        <v>190</v>
      </c>
      <c r="B50" s="5" t="s">
        <v>191</v>
      </c>
      <c r="C50" s="6" t="s">
        <v>192</v>
      </c>
      <c r="D50" s="7"/>
      <c r="E50" s="8" t="s">
        <v>52</v>
      </c>
      <c r="F50" s="9">
        <v>0</v>
      </c>
      <c r="G50" s="10" t="s">
        <v>193</v>
      </c>
      <c r="H50" s="11">
        <v>86.5</v>
      </c>
      <c r="I50" s="12" t="str">
        <f>IFERROR(H50+SUMPRODUCT((MOVIMIENTOS!$C$2:$C$5000=$A50)*(MOVIMIENTOS!$D$2:$D$5000=$G50)*(MOVIMIENTOS!$B$2:$B$5000="INGRESO")*MOVIMIENTOS!$E$2:$E$5000)-SUMPRODUCT((MOVIMIENTOS!$C$2:$C$5000=$A50)*(MOVIMIENTOS!$D$2:$D$5000=$G50)*(MOVIMIENTOS!$B$2:$B$5000="EGRESO")*MOVIMIENTOS!$E$2:$E$5000),"")</f>
        <v/>
      </c>
      <c r="J50" s="13" t="s">
        <v>48</v>
      </c>
      <c r="K50" s="13"/>
      <c r="L50" s="14">
        <v>46238</v>
      </c>
      <c r="M50" s="9">
        <f t="shared" ca="1" si="1"/>
        <v>112</v>
      </c>
      <c r="N50" s="15" t="s">
        <v>26</v>
      </c>
    </row>
    <row r="51" spans="1:14" ht="16.05" customHeight="1" x14ac:dyDescent="0.3">
      <c r="A51" s="16" t="s">
        <v>194</v>
      </c>
      <c r="B51" s="17" t="s">
        <v>195</v>
      </c>
      <c r="C51" s="18" t="s">
        <v>196</v>
      </c>
      <c r="D51" s="19"/>
      <c r="E51" s="20" t="s">
        <v>22</v>
      </c>
      <c r="F51" s="21">
        <v>0</v>
      </c>
      <c r="G51" s="22" t="s">
        <v>197</v>
      </c>
      <c r="H51" s="23">
        <v>990</v>
      </c>
      <c r="I51" s="24" t="str">
        <f>IFERROR(H51+SUMPRODUCT((MOVIMIENTOS!$C$2:$C$5000=$A51)*(MOVIMIENTOS!$D$2:$D$5000=$G51)*(MOVIMIENTOS!$B$2:$B$5000="INGRESO")*MOVIMIENTOS!$E$2:$E$5000)-SUMPRODUCT((MOVIMIENTOS!$C$2:$C$5000=$A51)*(MOVIMIENTOS!$D$2:$D$5000=$G51)*(MOVIMIENTOS!$B$2:$B$5000="EGRESO")*MOVIMIENTOS!$E$2:$E$5000),"")</f>
        <v/>
      </c>
      <c r="J51" s="25" t="s">
        <v>114</v>
      </c>
      <c r="K51" s="25" t="s">
        <v>25</v>
      </c>
      <c r="L51" s="26">
        <v>46699</v>
      </c>
      <c r="M51" s="21">
        <f t="shared" ca="1" si="1"/>
        <v>573</v>
      </c>
      <c r="N51" s="27" t="s">
        <v>26</v>
      </c>
    </row>
    <row r="52" spans="1:14" ht="16.05" customHeight="1" x14ac:dyDescent="0.3">
      <c r="A52" s="4" t="s">
        <v>198</v>
      </c>
      <c r="B52" s="5" t="s">
        <v>199</v>
      </c>
      <c r="C52" s="6" t="s">
        <v>200</v>
      </c>
      <c r="D52" s="7"/>
      <c r="E52" s="8"/>
      <c r="F52" s="9">
        <v>0</v>
      </c>
      <c r="G52" s="10" t="s">
        <v>201</v>
      </c>
      <c r="H52" s="28"/>
      <c r="I52" s="12" t="str">
        <f>IFERROR(H52+SUMPRODUCT((MOVIMIENTOS!$C$2:$C$5000=$A52)*(MOVIMIENTOS!$D$2:$D$5000=$G52)*(MOVIMIENTOS!$B$2:$B$5000="INGRESO")*MOVIMIENTOS!$E$2:$E$5000)-SUMPRODUCT((MOVIMIENTOS!$C$2:$C$5000=$A52)*(MOVIMIENTOS!$D$2:$D$5000=$G52)*(MOVIMIENTOS!$B$2:$B$5000="EGRESO")*MOVIMIENTOS!$E$2:$E$5000),"")</f>
        <v/>
      </c>
      <c r="J52" s="13" t="s">
        <v>37</v>
      </c>
      <c r="K52" s="13" t="s">
        <v>25</v>
      </c>
      <c r="L52" s="13"/>
      <c r="M52" s="9" t="str">
        <f t="shared" ca="1" si="1"/>
        <v/>
      </c>
      <c r="N52" s="31"/>
    </row>
    <row r="53" spans="1:14" ht="16.05" customHeight="1" x14ac:dyDescent="0.3">
      <c r="A53" s="16" t="s">
        <v>202</v>
      </c>
      <c r="B53" s="17" t="s">
        <v>203</v>
      </c>
      <c r="C53" s="18" t="s">
        <v>204</v>
      </c>
      <c r="D53" s="19"/>
      <c r="E53" s="20" t="s">
        <v>52</v>
      </c>
      <c r="F53" s="21">
        <v>0</v>
      </c>
      <c r="G53" s="22" t="s">
        <v>205</v>
      </c>
      <c r="H53" s="23">
        <v>820</v>
      </c>
      <c r="I53" s="24" t="str">
        <f>IFERROR(H53+SUMPRODUCT((MOVIMIENTOS!$C$2:$C$5000=$A53)*(MOVIMIENTOS!$D$2:$D$5000=$G53)*(MOVIMIENTOS!$B$2:$B$5000="INGRESO")*MOVIMIENTOS!$E$2:$E$5000)-SUMPRODUCT((MOVIMIENTOS!$C$2:$C$5000=$A53)*(MOVIMIENTOS!$D$2:$D$5000=$G53)*(MOVIMIENTOS!$B$2:$B$5000="EGRESO")*MOVIMIENTOS!$E$2:$E$5000),"")</f>
        <v/>
      </c>
      <c r="J53" s="25" t="s">
        <v>67</v>
      </c>
      <c r="K53" s="25" t="s">
        <v>25</v>
      </c>
      <c r="L53" s="26">
        <v>46574</v>
      </c>
      <c r="M53" s="21">
        <f t="shared" ca="1" si="1"/>
        <v>448</v>
      </c>
      <c r="N53" s="27" t="s">
        <v>26</v>
      </c>
    </row>
    <row r="54" spans="1:14" ht="16.05" customHeight="1" x14ac:dyDescent="0.3">
      <c r="A54" s="4" t="s">
        <v>206</v>
      </c>
      <c r="B54" s="5" t="s">
        <v>207</v>
      </c>
      <c r="C54" s="6" t="s">
        <v>208</v>
      </c>
      <c r="D54" s="7"/>
      <c r="E54" s="8" t="s">
        <v>52</v>
      </c>
      <c r="F54" s="9">
        <v>0</v>
      </c>
      <c r="G54" s="10" t="s">
        <v>209</v>
      </c>
      <c r="H54" s="11">
        <v>170</v>
      </c>
      <c r="I54" s="12" t="str">
        <f>IFERROR(H54+SUMPRODUCT((MOVIMIENTOS!$C$2:$C$5000=$A54)*(MOVIMIENTOS!$D$2:$D$5000=$G54)*(MOVIMIENTOS!$B$2:$B$5000="INGRESO")*MOVIMIENTOS!$E$2:$E$5000)-SUMPRODUCT((MOVIMIENTOS!$C$2:$C$5000=$A54)*(MOVIMIENTOS!$D$2:$D$5000=$G54)*(MOVIMIENTOS!$B$2:$B$5000="EGRESO")*MOVIMIENTOS!$E$2:$E$5000),"")</f>
        <v/>
      </c>
      <c r="J54" s="13" t="s">
        <v>163</v>
      </c>
      <c r="K54" s="13" t="s">
        <v>25</v>
      </c>
      <c r="L54" s="14">
        <v>46462</v>
      </c>
      <c r="M54" s="9">
        <f t="shared" ca="1" si="1"/>
        <v>336</v>
      </c>
      <c r="N54" s="15" t="s">
        <v>26</v>
      </c>
    </row>
    <row r="55" spans="1:14" ht="16.05" customHeight="1" x14ac:dyDescent="0.3">
      <c r="A55" s="16" t="s">
        <v>210</v>
      </c>
      <c r="B55" s="17" t="s">
        <v>211</v>
      </c>
      <c r="C55" s="18" t="s">
        <v>212</v>
      </c>
      <c r="D55" s="19"/>
      <c r="E55" s="20" t="s">
        <v>213</v>
      </c>
      <c r="F55" s="21">
        <v>0</v>
      </c>
      <c r="G55" s="22" t="s">
        <v>214</v>
      </c>
      <c r="H55" s="23">
        <v>1100</v>
      </c>
      <c r="I55" s="24" t="str">
        <f>IFERROR(H55+SUMPRODUCT((MOVIMIENTOS!$C$2:$C$5000=$A55)*(MOVIMIENTOS!$D$2:$D$5000=$G55)*(MOVIMIENTOS!$B$2:$B$5000="INGRESO")*MOVIMIENTOS!$E$2:$E$5000)-SUMPRODUCT((MOVIMIENTOS!$C$2:$C$5000=$A55)*(MOVIMIENTOS!$D$2:$D$5000=$G55)*(MOVIMIENTOS!$B$2:$B$5000="EGRESO")*MOVIMIENTOS!$E$2:$E$5000),"")</f>
        <v/>
      </c>
      <c r="J55" s="25" t="s">
        <v>143</v>
      </c>
      <c r="K55" s="25" t="s">
        <v>25</v>
      </c>
      <c r="L55" s="26">
        <v>46569</v>
      </c>
      <c r="M55" s="21">
        <f t="shared" ca="1" si="1"/>
        <v>443</v>
      </c>
      <c r="N55" s="27" t="s">
        <v>26</v>
      </c>
    </row>
    <row r="56" spans="1:14" ht="16.05" customHeight="1" x14ac:dyDescent="0.3">
      <c r="A56" s="4" t="s">
        <v>215</v>
      </c>
      <c r="B56" s="5" t="s">
        <v>216</v>
      </c>
      <c r="C56" s="6" t="s">
        <v>217</v>
      </c>
      <c r="D56" s="7"/>
      <c r="E56" s="8" t="s">
        <v>52</v>
      </c>
      <c r="F56" s="9">
        <v>0</v>
      </c>
      <c r="G56" s="10" t="s">
        <v>218</v>
      </c>
      <c r="H56" s="11">
        <v>820</v>
      </c>
      <c r="I56" s="12" t="str">
        <f>IFERROR(H56+SUMPRODUCT((MOVIMIENTOS!$C$2:$C$5000=$A56)*(MOVIMIENTOS!$D$2:$D$5000=$G56)*(MOVIMIENTOS!$B$2:$B$5000="INGRESO")*MOVIMIENTOS!$E$2:$E$5000)-SUMPRODUCT((MOVIMIENTOS!$C$2:$C$5000=$A56)*(MOVIMIENTOS!$D$2:$D$5000=$G56)*(MOVIMIENTOS!$B$2:$B$5000="EGRESO")*MOVIMIENTOS!$E$2:$E$5000),"")</f>
        <v/>
      </c>
      <c r="J56" s="13" t="s">
        <v>24</v>
      </c>
      <c r="K56" s="13" t="s">
        <v>25</v>
      </c>
      <c r="L56" s="14">
        <v>46553</v>
      </c>
      <c r="M56" s="9">
        <f t="shared" ca="1" si="1"/>
        <v>427</v>
      </c>
      <c r="N56" s="15" t="s">
        <v>26</v>
      </c>
    </row>
    <row r="57" spans="1:14" ht="16.05" customHeight="1" x14ac:dyDescent="0.3">
      <c r="A57" s="16" t="s">
        <v>219</v>
      </c>
      <c r="B57" s="17" t="s">
        <v>220</v>
      </c>
      <c r="C57" s="18" t="s">
        <v>221</v>
      </c>
      <c r="D57" s="19"/>
      <c r="E57" s="20"/>
      <c r="F57" s="21">
        <v>0</v>
      </c>
      <c r="G57" s="22" t="s">
        <v>222</v>
      </c>
      <c r="H57" s="23">
        <v>30</v>
      </c>
      <c r="I57" s="24" t="str">
        <f>IFERROR(H57+SUMPRODUCT((MOVIMIENTOS!$C$2:$C$5000=$A57)*(MOVIMIENTOS!$D$2:$D$5000=$G57)*(MOVIMIENTOS!$B$2:$B$5000="INGRESO")*MOVIMIENTOS!$E$2:$E$5000)-SUMPRODUCT((MOVIMIENTOS!$C$2:$C$5000=$A57)*(MOVIMIENTOS!$D$2:$D$5000=$G57)*(MOVIMIENTOS!$B$2:$B$5000="EGRESO")*MOVIMIENTOS!$E$2:$E$5000),"")</f>
        <v/>
      </c>
      <c r="J57" s="25" t="s">
        <v>37</v>
      </c>
      <c r="K57" s="25" t="s">
        <v>25</v>
      </c>
      <c r="L57" s="26">
        <v>46540</v>
      </c>
      <c r="M57" s="21">
        <f t="shared" ca="1" si="1"/>
        <v>414</v>
      </c>
      <c r="N57" s="27" t="s">
        <v>26</v>
      </c>
    </row>
    <row r="58" spans="1:14" ht="16.05" customHeight="1" x14ac:dyDescent="0.3">
      <c r="A58" s="4" t="s">
        <v>223</v>
      </c>
      <c r="B58" s="5" t="s">
        <v>224</v>
      </c>
      <c r="C58" s="6" t="s">
        <v>225</v>
      </c>
      <c r="D58" s="7"/>
      <c r="E58" s="8" t="s">
        <v>52</v>
      </c>
      <c r="F58" s="9">
        <v>0</v>
      </c>
      <c r="G58" s="10" t="s">
        <v>226</v>
      </c>
      <c r="H58" s="11">
        <v>900</v>
      </c>
      <c r="I58" s="12" t="str">
        <f>IFERROR(H58+SUMPRODUCT((MOVIMIENTOS!$C$2:$C$5000=$A58)*(MOVIMIENTOS!$D$2:$D$5000=$G58)*(MOVIMIENTOS!$B$2:$B$5000="INGRESO")*MOVIMIENTOS!$E$2:$E$5000)-SUMPRODUCT((MOVIMIENTOS!$C$2:$C$5000=$A58)*(MOVIMIENTOS!$D$2:$D$5000=$G58)*(MOVIMIENTOS!$B$2:$B$5000="EGRESO")*MOVIMIENTOS!$E$2:$E$5000),"")</f>
        <v/>
      </c>
      <c r="J58" s="13" t="s">
        <v>121</v>
      </c>
      <c r="K58" s="13" t="s">
        <v>25</v>
      </c>
      <c r="L58" s="14">
        <v>46552</v>
      </c>
      <c r="M58" s="9">
        <f t="shared" ca="1" si="1"/>
        <v>426</v>
      </c>
      <c r="N58" s="15" t="s">
        <v>26</v>
      </c>
    </row>
    <row r="59" spans="1:14" ht="16.05" customHeight="1" x14ac:dyDescent="0.3">
      <c r="A59" s="16" t="s">
        <v>227</v>
      </c>
      <c r="B59" s="17" t="s">
        <v>228</v>
      </c>
      <c r="C59" s="18" t="s">
        <v>229</v>
      </c>
      <c r="D59" s="19"/>
      <c r="E59" s="20" t="s">
        <v>22</v>
      </c>
      <c r="F59" s="21">
        <v>0</v>
      </c>
      <c r="G59" s="22" t="s">
        <v>230</v>
      </c>
      <c r="H59" s="23">
        <v>3425</v>
      </c>
      <c r="I59" s="24" t="str">
        <f>IFERROR(H59+SUMPRODUCT((MOVIMIENTOS!$C$2:$C$5000=$A59)*(MOVIMIENTOS!$D$2:$D$5000=$G59)*(MOVIMIENTOS!$B$2:$B$5000="INGRESO")*MOVIMIENTOS!$E$2:$E$5000)-SUMPRODUCT((MOVIMIENTOS!$C$2:$C$5000=$A59)*(MOVIMIENTOS!$D$2:$D$5000=$G59)*(MOVIMIENTOS!$B$2:$B$5000="EGRESO")*MOVIMIENTOS!$E$2:$E$5000),"")</f>
        <v/>
      </c>
      <c r="J59" s="25" t="s">
        <v>114</v>
      </c>
      <c r="K59" s="25" t="s">
        <v>231</v>
      </c>
      <c r="L59" s="26">
        <v>46760</v>
      </c>
      <c r="M59" s="21">
        <f t="shared" ca="1" si="1"/>
        <v>634</v>
      </c>
      <c r="N59" s="27" t="s">
        <v>26</v>
      </c>
    </row>
    <row r="60" spans="1:14" ht="16.05" customHeight="1" x14ac:dyDescent="0.3">
      <c r="A60" s="4" t="s">
        <v>232</v>
      </c>
      <c r="B60" s="5" t="s">
        <v>233</v>
      </c>
      <c r="C60" s="6" t="s">
        <v>234</v>
      </c>
      <c r="D60" s="7"/>
      <c r="E60" s="8" t="s">
        <v>52</v>
      </c>
      <c r="F60" s="9">
        <v>0</v>
      </c>
      <c r="G60" s="10" t="s">
        <v>235</v>
      </c>
      <c r="H60" s="11">
        <v>4030</v>
      </c>
      <c r="I60" s="12" t="str">
        <f>IFERROR(H60+SUMPRODUCT((MOVIMIENTOS!$C$2:$C$5000=$A60)*(MOVIMIENTOS!$D$2:$D$5000=$G60)*(MOVIMIENTOS!$B$2:$B$5000="INGRESO")*MOVIMIENTOS!$E$2:$E$5000)-SUMPRODUCT((MOVIMIENTOS!$C$2:$C$5000=$A60)*(MOVIMIENTOS!$D$2:$D$5000=$G60)*(MOVIMIENTOS!$B$2:$B$5000="EGRESO")*MOVIMIENTOS!$E$2:$E$5000),"")</f>
        <v/>
      </c>
      <c r="J60" s="13" t="s">
        <v>114</v>
      </c>
      <c r="K60" s="13" t="s">
        <v>231</v>
      </c>
      <c r="L60" s="14">
        <v>46305</v>
      </c>
      <c r="M60" s="9">
        <f t="shared" ca="1" si="1"/>
        <v>179</v>
      </c>
      <c r="N60" s="15" t="s">
        <v>26</v>
      </c>
    </row>
    <row r="61" spans="1:14" ht="16.05" customHeight="1" x14ac:dyDescent="0.3">
      <c r="A61" s="16" t="s">
        <v>236</v>
      </c>
      <c r="B61" s="17" t="s">
        <v>237</v>
      </c>
      <c r="C61" s="18" t="s">
        <v>238</v>
      </c>
      <c r="D61" s="19"/>
      <c r="E61" s="20" t="s">
        <v>52</v>
      </c>
      <c r="F61" s="21">
        <v>0</v>
      </c>
      <c r="G61" s="22" t="s">
        <v>239</v>
      </c>
      <c r="H61" s="23">
        <v>830</v>
      </c>
      <c r="I61" s="24" t="str">
        <f>IFERROR(H61+SUMPRODUCT((MOVIMIENTOS!$C$2:$C$5000=$A61)*(MOVIMIENTOS!$D$2:$D$5000=$G61)*(MOVIMIENTOS!$B$2:$B$5000="INGRESO")*MOVIMIENTOS!$E$2:$E$5000)-SUMPRODUCT((MOVIMIENTOS!$C$2:$C$5000=$A61)*(MOVIMIENTOS!$D$2:$D$5000=$G61)*(MOVIMIENTOS!$B$2:$B$5000="EGRESO")*MOVIMIENTOS!$E$2:$E$5000),"")</f>
        <v/>
      </c>
      <c r="J61" s="25" t="s">
        <v>240</v>
      </c>
      <c r="K61" s="25" t="s">
        <v>25</v>
      </c>
      <c r="L61" s="26">
        <v>46593</v>
      </c>
      <c r="M61" s="21">
        <f t="shared" ca="1" si="1"/>
        <v>467</v>
      </c>
      <c r="N61" s="27" t="s">
        <v>26</v>
      </c>
    </row>
    <row r="62" spans="1:14" ht="16.05" customHeight="1" x14ac:dyDescent="0.3">
      <c r="A62" s="44" t="s">
        <v>241</v>
      </c>
      <c r="B62" s="45" t="s">
        <v>242</v>
      </c>
      <c r="C62" s="46" t="s">
        <v>243</v>
      </c>
      <c r="D62" s="47"/>
      <c r="E62" s="48"/>
      <c r="F62" s="49">
        <v>0</v>
      </c>
      <c r="G62" s="50" t="s">
        <v>244</v>
      </c>
      <c r="H62" s="51">
        <v>1000</v>
      </c>
      <c r="I62" s="52" t="str">
        <f>IFERROR(H62+SUMPRODUCT((MOVIMIENTOS!$C$2:$C$5000=$A62)*(MOVIMIENTOS!$D$2:$D$5000=$G62)*(MOVIMIENTOS!$B$2:$B$5000="INGRESO")*MOVIMIENTOS!$E$2:$E$5000)-SUMPRODUCT((MOVIMIENTOS!$C$2:$C$5000=$A62)*(MOVIMIENTOS!$D$2:$D$5000=$G62)*(MOVIMIENTOS!$B$2:$B$5000="EGRESO")*MOVIMIENTOS!$E$2:$E$5000),"")</f>
        <v/>
      </c>
      <c r="J62" s="53" t="s">
        <v>189</v>
      </c>
      <c r="K62" s="53" t="s">
        <v>158</v>
      </c>
      <c r="L62" s="54">
        <v>46137</v>
      </c>
      <c r="M62" s="49">
        <f t="shared" ca="1" si="1"/>
        <v>11</v>
      </c>
      <c r="N62" s="55" t="s">
        <v>245</v>
      </c>
    </row>
    <row r="63" spans="1:14" ht="16.05" customHeight="1" x14ac:dyDescent="0.3">
      <c r="A63" s="16" t="s">
        <v>246</v>
      </c>
      <c r="B63" s="17" t="s">
        <v>247</v>
      </c>
      <c r="C63" s="18" t="s">
        <v>248</v>
      </c>
      <c r="D63" s="19"/>
      <c r="E63" s="20" t="s">
        <v>22</v>
      </c>
      <c r="F63" s="21">
        <v>0</v>
      </c>
      <c r="G63" s="22" t="s">
        <v>249</v>
      </c>
      <c r="H63" s="23">
        <v>86.4</v>
      </c>
      <c r="I63" s="24" t="str">
        <f>IFERROR(H63+SUMPRODUCT((MOVIMIENTOS!$C$2:$C$5000=$A63)*(MOVIMIENTOS!$D$2:$D$5000=$G63)*(MOVIMIENTOS!$B$2:$B$5000="INGRESO")*MOVIMIENTOS!$E$2:$E$5000)-SUMPRODUCT((MOVIMIENTOS!$C$2:$C$5000=$A63)*(MOVIMIENTOS!$D$2:$D$5000=$G63)*(MOVIMIENTOS!$B$2:$B$5000="EGRESO")*MOVIMIENTOS!$E$2:$E$5000),"")</f>
        <v/>
      </c>
      <c r="J63" s="25" t="s">
        <v>48</v>
      </c>
      <c r="K63" s="25"/>
      <c r="L63" s="26">
        <v>46728</v>
      </c>
      <c r="M63" s="21">
        <f t="shared" ca="1" si="1"/>
        <v>602</v>
      </c>
      <c r="N63" s="27" t="s">
        <v>26</v>
      </c>
    </row>
    <row r="64" spans="1:14" ht="16.05" customHeight="1" x14ac:dyDescent="0.3">
      <c r="A64" s="4" t="s">
        <v>250</v>
      </c>
      <c r="B64" s="5" t="s">
        <v>251</v>
      </c>
      <c r="C64" s="6" t="s">
        <v>252</v>
      </c>
      <c r="D64" s="7"/>
      <c r="E64" s="8"/>
      <c r="F64" s="9">
        <v>0</v>
      </c>
      <c r="G64" s="10" t="s">
        <v>253</v>
      </c>
      <c r="H64" s="11">
        <v>984</v>
      </c>
      <c r="I64" s="12" t="str">
        <f>IFERROR(H64+SUMPRODUCT((MOVIMIENTOS!$C$2:$C$5000=$A64)*(MOVIMIENTOS!$D$2:$D$5000=$G64)*(MOVIMIENTOS!$B$2:$B$5000="INGRESO")*MOVIMIENTOS!$E$2:$E$5000)-SUMPRODUCT((MOVIMIENTOS!$C$2:$C$5000=$A64)*(MOVIMIENTOS!$D$2:$D$5000=$G64)*(MOVIMIENTOS!$B$2:$B$5000="EGRESO")*MOVIMIENTOS!$E$2:$E$5000),"")</f>
        <v/>
      </c>
      <c r="J64" s="13" t="s">
        <v>37</v>
      </c>
      <c r="K64" s="13" t="s">
        <v>25</v>
      </c>
      <c r="L64" s="14">
        <v>46582</v>
      </c>
      <c r="M64" s="9">
        <f t="shared" ca="1" si="1"/>
        <v>456</v>
      </c>
      <c r="N64" s="15" t="s">
        <v>26</v>
      </c>
    </row>
    <row r="65" spans="1:14" ht="16.05" customHeight="1" x14ac:dyDescent="0.3">
      <c r="A65" s="56" t="s">
        <v>250</v>
      </c>
      <c r="B65" s="57" t="s">
        <v>251</v>
      </c>
      <c r="C65" s="58" t="s">
        <v>252</v>
      </c>
      <c r="D65" s="59"/>
      <c r="E65" s="60"/>
      <c r="F65" s="61">
        <v>0</v>
      </c>
      <c r="G65" s="62" t="s">
        <v>254</v>
      </c>
      <c r="H65" s="63">
        <v>1000</v>
      </c>
      <c r="I65" s="64" t="str">
        <f>IFERROR(H65+SUMPRODUCT((MOVIMIENTOS!$C$2:$C$5000=$A65)*(MOVIMIENTOS!$D$2:$D$5000=$G65)*(MOVIMIENTOS!$B$2:$B$5000="INGRESO")*MOVIMIENTOS!$E$2:$E$5000)-SUMPRODUCT((MOVIMIENTOS!$C$2:$C$5000=$A65)*(MOVIMIENTOS!$D$2:$D$5000=$G65)*(MOVIMIENTOS!$B$2:$B$5000="EGRESO")*MOVIMIENTOS!$E$2:$E$5000),"")</f>
        <v/>
      </c>
      <c r="J65" s="65" t="s">
        <v>37</v>
      </c>
      <c r="K65" s="65" t="s">
        <v>25</v>
      </c>
      <c r="L65" s="66">
        <v>46187</v>
      </c>
      <c r="M65" s="61">
        <f t="shared" ca="1" si="1"/>
        <v>61</v>
      </c>
      <c r="N65" s="67" t="s">
        <v>255</v>
      </c>
    </row>
    <row r="66" spans="1:14" ht="16.05" customHeight="1" x14ac:dyDescent="0.3">
      <c r="A66" s="4" t="s">
        <v>256</v>
      </c>
      <c r="B66" s="5" t="s">
        <v>257</v>
      </c>
      <c r="C66" s="6" t="s">
        <v>258</v>
      </c>
      <c r="D66" s="7"/>
      <c r="E66" s="8"/>
      <c r="F66" s="9">
        <v>0</v>
      </c>
      <c r="G66" s="10" t="s">
        <v>259</v>
      </c>
      <c r="H66" s="11">
        <v>2000</v>
      </c>
      <c r="I66" s="12" t="str">
        <f>IFERROR(H66+SUMPRODUCT((MOVIMIENTOS!$C$2:$C$5000=$A66)*(MOVIMIENTOS!$D$2:$D$5000=$G66)*(MOVIMIENTOS!$B$2:$B$5000="INGRESO")*MOVIMIENTOS!$E$2:$E$5000)-SUMPRODUCT((MOVIMIENTOS!$C$2:$C$5000=$A66)*(MOVIMIENTOS!$D$2:$D$5000=$G66)*(MOVIMIENTOS!$B$2:$B$5000="EGRESO")*MOVIMIENTOS!$E$2:$E$5000),"")</f>
        <v/>
      </c>
      <c r="J66" s="13" t="s">
        <v>37</v>
      </c>
      <c r="K66" s="13" t="s">
        <v>25</v>
      </c>
      <c r="L66" s="14">
        <v>46588</v>
      </c>
      <c r="M66" s="9">
        <f t="shared" ca="1" si="1"/>
        <v>462</v>
      </c>
      <c r="N66" s="15" t="s">
        <v>26</v>
      </c>
    </row>
    <row r="67" spans="1:14" ht="16.05" customHeight="1" x14ac:dyDescent="0.3">
      <c r="A67" s="4" t="s">
        <v>256</v>
      </c>
      <c r="B67" s="5" t="s">
        <v>257</v>
      </c>
      <c r="C67" s="6" t="s">
        <v>258</v>
      </c>
      <c r="D67" s="7"/>
      <c r="E67" s="8"/>
      <c r="F67" s="9">
        <v>0</v>
      </c>
      <c r="G67" s="10" t="s">
        <v>260</v>
      </c>
      <c r="H67" s="11">
        <v>1000</v>
      </c>
      <c r="I67" s="12" t="str">
        <f>IFERROR(H67+SUMPRODUCT((MOVIMIENTOS!$C$2:$C$5000=$A67)*(MOVIMIENTOS!$D$2:$D$5000=$G67)*(MOVIMIENTOS!$B$2:$B$5000="INGRESO")*MOVIMIENTOS!$E$2:$E$5000)-SUMPRODUCT((MOVIMIENTOS!$C$2:$C$5000=$A67)*(MOVIMIENTOS!$D$2:$D$5000=$G67)*(MOVIMIENTOS!$B$2:$B$5000="EGRESO")*MOVIMIENTOS!$E$2:$E$5000),"")</f>
        <v/>
      </c>
      <c r="J67" s="13" t="s">
        <v>37</v>
      </c>
      <c r="K67" s="13" t="s">
        <v>25</v>
      </c>
      <c r="L67" s="14">
        <v>46308</v>
      </c>
      <c r="M67" s="9">
        <f t="shared" ca="1" si="1"/>
        <v>182</v>
      </c>
      <c r="N67" s="15" t="s">
        <v>26</v>
      </c>
    </row>
    <row r="68" spans="1:14" ht="16.05" customHeight="1" x14ac:dyDescent="0.3">
      <c r="A68" s="16" t="s">
        <v>261</v>
      </c>
      <c r="B68" s="17" t="s">
        <v>262</v>
      </c>
      <c r="C68" s="18" t="s">
        <v>263</v>
      </c>
      <c r="D68" s="19"/>
      <c r="E68" s="20"/>
      <c r="F68" s="21">
        <v>0</v>
      </c>
      <c r="G68" s="22" t="s">
        <v>264</v>
      </c>
      <c r="H68" s="23">
        <v>480</v>
      </c>
      <c r="I68" s="24" t="str">
        <f>IFERROR(H67+SUMPRODUCT((MOVIMIENTOS!$C$2:$C$5000=$A67)*(MOVIMIENTOS!$D$2:$D$5000=$G67)*(MOVIMIENTOS!$B$2:$B$5000="INGRESO")*MOVIMIENTOS!$E$2:$E$5000)-SUMPRODUCT((MOVIMIENTOS!$C$2:$C$5000=$A67)*(MOVIMIENTOS!$D$2:$D$5000=$G67)*(MOVIMIENTOS!$B$2:$B$5000="EGRESO")*MOVIMIENTOS!$E$2:$E$5000),"")</f>
        <v/>
      </c>
      <c r="J68" s="25" t="s">
        <v>37</v>
      </c>
      <c r="K68" s="25" t="s">
        <v>25</v>
      </c>
      <c r="L68" s="26">
        <v>46327</v>
      </c>
      <c r="M68" s="21">
        <f t="shared" ref="M68:M131" ca="1" si="2">IF(L67="","",L67-TODAY())</f>
        <v>182</v>
      </c>
      <c r="N68" s="27" t="s">
        <v>26</v>
      </c>
    </row>
    <row r="69" spans="1:14" ht="16.05" customHeight="1" x14ac:dyDescent="0.3">
      <c r="A69" s="4" t="s">
        <v>265</v>
      </c>
      <c r="B69" s="5" t="s">
        <v>266</v>
      </c>
      <c r="C69" s="6" t="s">
        <v>267</v>
      </c>
      <c r="D69" s="7"/>
      <c r="E69" s="8"/>
      <c r="F69" s="9">
        <v>0</v>
      </c>
      <c r="G69" s="10" t="s">
        <v>268</v>
      </c>
      <c r="H69" s="11">
        <v>1000</v>
      </c>
      <c r="I69" s="12" t="str">
        <f>IFERROR(H68+SUMPRODUCT((MOVIMIENTOS!$C$2:$C$5000=$A68)*(MOVIMIENTOS!$D$2:$D$5000=$G68)*(MOVIMIENTOS!$B$2:$B$5000="INGRESO")*MOVIMIENTOS!$E$2:$E$5000)-SUMPRODUCT((MOVIMIENTOS!$C$2:$C$5000=$A68)*(MOVIMIENTOS!$D$2:$D$5000=$G68)*(MOVIMIENTOS!$B$2:$B$5000="EGRESO")*MOVIMIENTOS!$E$2:$E$5000),"")</f>
        <v/>
      </c>
      <c r="J69" s="13" t="s">
        <v>37</v>
      </c>
      <c r="K69" s="13" t="s">
        <v>25</v>
      </c>
      <c r="L69" s="14">
        <v>46503</v>
      </c>
      <c r="M69" s="9">
        <f t="shared" ca="1" si="2"/>
        <v>201</v>
      </c>
      <c r="N69" s="15" t="s">
        <v>26</v>
      </c>
    </row>
    <row r="70" spans="1:14" ht="16.05" customHeight="1" x14ac:dyDescent="0.3">
      <c r="A70" s="16" t="s">
        <v>265</v>
      </c>
      <c r="B70" s="17" t="s">
        <v>266</v>
      </c>
      <c r="C70" s="18" t="s">
        <v>267</v>
      </c>
      <c r="D70" s="19"/>
      <c r="E70" s="20"/>
      <c r="F70" s="21">
        <v>0</v>
      </c>
      <c r="G70" s="22" t="s">
        <v>269</v>
      </c>
      <c r="H70" s="23">
        <v>1000</v>
      </c>
      <c r="I70" s="24" t="str">
        <f>IFERROR(H69+SUMPRODUCT((MOVIMIENTOS!$C$2:$C$5000=$A69)*(MOVIMIENTOS!$D$2:$D$5000=$G69)*(MOVIMIENTOS!$B$2:$B$5000="INGRESO")*MOVIMIENTOS!$E$2:$E$5000)-SUMPRODUCT((MOVIMIENTOS!$C$2:$C$5000=$A69)*(MOVIMIENTOS!$D$2:$D$5000=$G69)*(MOVIMIENTOS!$B$2:$B$5000="EGRESO")*MOVIMIENTOS!$E$2:$E$5000),"")</f>
        <v/>
      </c>
      <c r="J70" s="25" t="s">
        <v>37</v>
      </c>
      <c r="K70" s="25" t="s">
        <v>25</v>
      </c>
      <c r="L70" s="26">
        <v>46393</v>
      </c>
      <c r="M70" s="21">
        <f t="shared" ca="1" si="2"/>
        <v>377</v>
      </c>
      <c r="N70" s="27" t="s">
        <v>26</v>
      </c>
    </row>
    <row r="71" spans="1:14" ht="16.05" customHeight="1" x14ac:dyDescent="0.3">
      <c r="A71" s="56" t="s">
        <v>270</v>
      </c>
      <c r="B71" s="57" t="s">
        <v>271</v>
      </c>
      <c r="C71" s="58" t="s">
        <v>272</v>
      </c>
      <c r="D71" s="59"/>
      <c r="E71" s="60"/>
      <c r="F71" s="61">
        <v>0</v>
      </c>
      <c r="G71" s="62" t="s">
        <v>273</v>
      </c>
      <c r="H71" s="63">
        <v>1000</v>
      </c>
      <c r="I71" s="64" t="str">
        <f>IFERROR(H70+SUMPRODUCT((MOVIMIENTOS!$C$2:$C$5000=$A70)*(MOVIMIENTOS!$D$2:$D$5000=$G70)*(MOVIMIENTOS!$B$2:$B$5000="INGRESO")*MOVIMIENTOS!$E$2:$E$5000)-SUMPRODUCT((MOVIMIENTOS!$C$2:$C$5000=$A70)*(MOVIMIENTOS!$D$2:$D$5000=$G70)*(MOVIMIENTOS!$B$2:$B$5000="EGRESO")*MOVIMIENTOS!$E$2:$E$5000),"")</f>
        <v/>
      </c>
      <c r="J71" s="65" t="s">
        <v>37</v>
      </c>
      <c r="K71" s="65" t="s">
        <v>25</v>
      </c>
      <c r="L71" s="66">
        <v>46175</v>
      </c>
      <c r="M71" s="61">
        <f t="shared" ca="1" si="2"/>
        <v>267</v>
      </c>
      <c r="N71" s="67" t="s">
        <v>255</v>
      </c>
    </row>
    <row r="72" spans="1:14" ht="16.05" customHeight="1" x14ac:dyDescent="0.3">
      <c r="A72" s="16" t="s">
        <v>274</v>
      </c>
      <c r="B72" s="17" t="s">
        <v>275</v>
      </c>
      <c r="C72" s="18" t="s">
        <v>276</v>
      </c>
      <c r="D72" s="19"/>
      <c r="E72" s="20" t="s">
        <v>35</v>
      </c>
      <c r="F72" s="21">
        <v>0</v>
      </c>
      <c r="G72" s="22" t="s">
        <v>277</v>
      </c>
      <c r="H72" s="23">
        <v>1000</v>
      </c>
      <c r="I72" s="24" t="str">
        <f>IFERROR(H71+SUMPRODUCT((MOVIMIENTOS!$C$2:$C$5000=$A71)*(MOVIMIENTOS!$D$2:$D$5000=$G71)*(MOVIMIENTOS!$B$2:$B$5000="INGRESO")*MOVIMIENTOS!$E$2:$E$5000)-SUMPRODUCT((MOVIMIENTOS!$C$2:$C$5000=$A71)*(MOVIMIENTOS!$D$2:$D$5000=$G71)*(MOVIMIENTOS!$B$2:$B$5000="EGRESO")*MOVIMIENTOS!$E$2:$E$5000),"")</f>
        <v/>
      </c>
      <c r="J72" s="25" t="s">
        <v>67</v>
      </c>
      <c r="K72" s="25" t="s">
        <v>115</v>
      </c>
      <c r="L72" s="26">
        <v>46376</v>
      </c>
      <c r="M72" s="21">
        <f t="shared" ca="1" si="2"/>
        <v>49</v>
      </c>
      <c r="N72" s="27" t="s">
        <v>26</v>
      </c>
    </row>
    <row r="73" spans="1:14" ht="16.05" customHeight="1" x14ac:dyDescent="0.3">
      <c r="A73" s="4" t="s">
        <v>278</v>
      </c>
      <c r="B73" s="5" t="s">
        <v>279</v>
      </c>
      <c r="C73" s="6" t="s">
        <v>280</v>
      </c>
      <c r="D73" s="7"/>
      <c r="E73" s="8" t="s">
        <v>35</v>
      </c>
      <c r="F73" s="9">
        <v>0</v>
      </c>
      <c r="G73" s="10" t="s">
        <v>281</v>
      </c>
      <c r="H73" s="11">
        <v>525</v>
      </c>
      <c r="I73" s="12" t="str">
        <f>IFERROR(H72+SUMPRODUCT((MOVIMIENTOS!$C$2:$C$5000=$A72)*(MOVIMIENTOS!$D$2:$D$5000=$G72)*(MOVIMIENTOS!$B$2:$B$5000="INGRESO")*MOVIMIENTOS!$E$2:$E$5000)-SUMPRODUCT((MOVIMIENTOS!$C$2:$C$5000=$A72)*(MOVIMIENTOS!$D$2:$D$5000=$G72)*(MOVIMIENTOS!$B$2:$B$5000="EGRESO")*MOVIMIENTOS!$E$2:$E$5000),"")</f>
        <v/>
      </c>
      <c r="J73" s="13" t="s">
        <v>67</v>
      </c>
      <c r="K73" s="13" t="s">
        <v>115</v>
      </c>
      <c r="L73" s="14">
        <v>46994</v>
      </c>
      <c r="M73" s="9">
        <f t="shared" ca="1" si="2"/>
        <v>250</v>
      </c>
      <c r="N73" s="15" t="s">
        <v>26</v>
      </c>
    </row>
    <row r="74" spans="1:14" ht="16.05" customHeight="1" x14ac:dyDescent="0.3">
      <c r="A74" s="16" t="s">
        <v>282</v>
      </c>
      <c r="B74" s="17" t="s">
        <v>283</v>
      </c>
      <c r="C74" s="18" t="s">
        <v>284</v>
      </c>
      <c r="D74" s="19"/>
      <c r="E74" s="20" t="s">
        <v>35</v>
      </c>
      <c r="F74" s="21">
        <v>0</v>
      </c>
      <c r="G74" s="22" t="s">
        <v>285</v>
      </c>
      <c r="H74" s="23">
        <v>1000</v>
      </c>
      <c r="I74" s="24" t="str">
        <f>IFERROR(H73+SUMPRODUCT((MOVIMIENTOS!$C$2:$C$5000=$A73)*(MOVIMIENTOS!$D$2:$D$5000=$G73)*(MOVIMIENTOS!$B$2:$B$5000="INGRESO")*MOVIMIENTOS!$E$2:$E$5000)-SUMPRODUCT((MOVIMIENTOS!$C$2:$C$5000=$A73)*(MOVIMIENTOS!$D$2:$D$5000=$G73)*(MOVIMIENTOS!$B$2:$B$5000="EGRESO")*MOVIMIENTOS!$E$2:$E$5000),"")</f>
        <v/>
      </c>
      <c r="J74" s="25" t="s">
        <v>67</v>
      </c>
      <c r="K74" s="25" t="s">
        <v>115</v>
      </c>
      <c r="L74" s="26">
        <v>46845</v>
      </c>
      <c r="M74" s="21">
        <f t="shared" ca="1" si="2"/>
        <v>868</v>
      </c>
      <c r="N74" s="27" t="s">
        <v>26</v>
      </c>
    </row>
    <row r="75" spans="1:14" ht="16.05" customHeight="1" x14ac:dyDescent="0.3">
      <c r="A75" s="4" t="s">
        <v>286</v>
      </c>
      <c r="B75" s="5" t="s">
        <v>287</v>
      </c>
      <c r="C75" s="6" t="s">
        <v>288</v>
      </c>
      <c r="D75" s="7"/>
      <c r="E75" s="8" t="s">
        <v>35</v>
      </c>
      <c r="F75" s="9">
        <v>0</v>
      </c>
      <c r="G75" s="10" t="s">
        <v>289</v>
      </c>
      <c r="H75" s="11">
        <v>1000</v>
      </c>
      <c r="I75" s="12" t="str">
        <f>IFERROR(H74+SUMPRODUCT((MOVIMIENTOS!$C$2:$C$5000=$A74)*(MOVIMIENTOS!$D$2:$D$5000=$G74)*(MOVIMIENTOS!$B$2:$B$5000="INGRESO")*MOVIMIENTOS!$E$2:$E$5000)-SUMPRODUCT((MOVIMIENTOS!$C$2:$C$5000=$A74)*(MOVIMIENTOS!$D$2:$D$5000=$G74)*(MOVIMIENTOS!$B$2:$B$5000="EGRESO")*MOVIMIENTOS!$E$2:$E$5000),"")</f>
        <v/>
      </c>
      <c r="J75" s="13" t="s">
        <v>67</v>
      </c>
      <c r="K75" s="13" t="s">
        <v>115</v>
      </c>
      <c r="L75" s="14">
        <v>46559</v>
      </c>
      <c r="M75" s="9">
        <f t="shared" ca="1" si="2"/>
        <v>719</v>
      </c>
      <c r="N75" s="15" t="s">
        <v>26</v>
      </c>
    </row>
    <row r="76" spans="1:14" ht="16.05" customHeight="1" x14ac:dyDescent="0.3">
      <c r="A76" s="16" t="s">
        <v>290</v>
      </c>
      <c r="B76" s="17" t="s">
        <v>291</v>
      </c>
      <c r="C76" s="18" t="s">
        <v>292</v>
      </c>
      <c r="D76" s="19"/>
      <c r="E76" s="20" t="s">
        <v>35</v>
      </c>
      <c r="F76" s="21">
        <v>0</v>
      </c>
      <c r="G76" s="22" t="s">
        <v>293</v>
      </c>
      <c r="H76" s="23">
        <v>1000</v>
      </c>
      <c r="I76" s="24" t="str">
        <f>IFERROR(H75+SUMPRODUCT((MOVIMIENTOS!$C$2:$C$5000=$A75)*(MOVIMIENTOS!$D$2:$D$5000=$G75)*(MOVIMIENTOS!$B$2:$B$5000="INGRESO")*MOVIMIENTOS!$E$2:$E$5000)-SUMPRODUCT((MOVIMIENTOS!$C$2:$C$5000=$A75)*(MOVIMIENTOS!$D$2:$D$5000=$G75)*(MOVIMIENTOS!$B$2:$B$5000="EGRESO")*MOVIMIENTOS!$E$2:$E$5000),"")</f>
        <v/>
      </c>
      <c r="J76" s="25" t="s">
        <v>67</v>
      </c>
      <c r="K76" s="25" t="s">
        <v>115</v>
      </c>
      <c r="L76" s="26">
        <v>46512</v>
      </c>
      <c r="M76" s="21">
        <f t="shared" ca="1" si="2"/>
        <v>433</v>
      </c>
      <c r="N76" s="27" t="s">
        <v>26</v>
      </c>
    </row>
    <row r="77" spans="1:14" ht="16.05" customHeight="1" x14ac:dyDescent="0.3">
      <c r="A77" s="4" t="s">
        <v>294</v>
      </c>
      <c r="B77" s="5" t="s">
        <v>295</v>
      </c>
      <c r="C77" s="6" t="s">
        <v>296</v>
      </c>
      <c r="D77" s="7"/>
      <c r="E77" s="8" t="s">
        <v>35</v>
      </c>
      <c r="F77" s="9">
        <v>0</v>
      </c>
      <c r="G77" s="10" t="s">
        <v>297</v>
      </c>
      <c r="H77" s="11">
        <v>1000</v>
      </c>
      <c r="I77" s="12" t="str">
        <f>IFERROR(H76+SUMPRODUCT((MOVIMIENTOS!$C$2:$C$5000=$A76)*(MOVIMIENTOS!$D$2:$D$5000=$G76)*(MOVIMIENTOS!$B$2:$B$5000="INGRESO")*MOVIMIENTOS!$E$2:$E$5000)-SUMPRODUCT((MOVIMIENTOS!$C$2:$C$5000=$A76)*(MOVIMIENTOS!$D$2:$D$5000=$G76)*(MOVIMIENTOS!$B$2:$B$5000="EGRESO")*MOVIMIENTOS!$E$2:$E$5000),"")</f>
        <v/>
      </c>
      <c r="J77" s="13" t="s">
        <v>67</v>
      </c>
      <c r="K77" s="13" t="s">
        <v>115</v>
      </c>
      <c r="L77" s="14">
        <v>46483</v>
      </c>
      <c r="M77" s="9">
        <f t="shared" ca="1" si="2"/>
        <v>386</v>
      </c>
      <c r="N77" s="15" t="s">
        <v>26</v>
      </c>
    </row>
    <row r="78" spans="1:14" ht="16.05" customHeight="1" x14ac:dyDescent="0.3">
      <c r="A78" s="16" t="s">
        <v>298</v>
      </c>
      <c r="B78" s="17" t="s">
        <v>299</v>
      </c>
      <c r="C78" s="18" t="s">
        <v>300</v>
      </c>
      <c r="D78" s="19"/>
      <c r="E78" s="20" t="s">
        <v>35</v>
      </c>
      <c r="F78" s="21">
        <v>0</v>
      </c>
      <c r="G78" s="22" t="s">
        <v>301</v>
      </c>
      <c r="H78" s="23">
        <v>1000</v>
      </c>
      <c r="I78" s="24" t="str">
        <f>IFERROR(H77+SUMPRODUCT((MOVIMIENTOS!$C$2:$C$5000=$A77)*(MOVIMIENTOS!$D$2:$D$5000=$G77)*(MOVIMIENTOS!$B$2:$B$5000="INGRESO")*MOVIMIENTOS!$E$2:$E$5000)-SUMPRODUCT((MOVIMIENTOS!$C$2:$C$5000=$A77)*(MOVIMIENTOS!$D$2:$D$5000=$G77)*(MOVIMIENTOS!$B$2:$B$5000="EGRESO")*MOVIMIENTOS!$E$2:$E$5000),"")</f>
        <v/>
      </c>
      <c r="J78" s="25" t="s">
        <v>67</v>
      </c>
      <c r="K78" s="25" t="s">
        <v>115</v>
      </c>
      <c r="L78" s="26">
        <v>46561</v>
      </c>
      <c r="M78" s="21">
        <f t="shared" ca="1" si="2"/>
        <v>357</v>
      </c>
      <c r="N78" s="27" t="s">
        <v>26</v>
      </c>
    </row>
    <row r="79" spans="1:14" ht="16.05" customHeight="1" x14ac:dyDescent="0.3">
      <c r="A79" s="4" t="s">
        <v>302</v>
      </c>
      <c r="B79" s="5" t="s">
        <v>303</v>
      </c>
      <c r="C79" s="6" t="s">
        <v>304</v>
      </c>
      <c r="D79" s="7"/>
      <c r="E79" s="8" t="s">
        <v>35</v>
      </c>
      <c r="F79" s="9">
        <v>0</v>
      </c>
      <c r="G79" s="10" t="s">
        <v>305</v>
      </c>
      <c r="H79" s="11">
        <v>1000</v>
      </c>
      <c r="I79" s="12" t="str">
        <f>IFERROR(H78+SUMPRODUCT((MOVIMIENTOS!$C$2:$C$5000=$A78)*(MOVIMIENTOS!$D$2:$D$5000=$G78)*(MOVIMIENTOS!$B$2:$B$5000="INGRESO")*MOVIMIENTOS!$E$2:$E$5000)-SUMPRODUCT((MOVIMIENTOS!$C$2:$C$5000=$A78)*(MOVIMIENTOS!$D$2:$D$5000=$G78)*(MOVIMIENTOS!$B$2:$B$5000="EGRESO")*MOVIMIENTOS!$E$2:$E$5000),"")</f>
        <v/>
      </c>
      <c r="J79" s="13" t="s">
        <v>67</v>
      </c>
      <c r="K79" s="13" t="s">
        <v>115</v>
      </c>
      <c r="L79" s="14">
        <v>46573</v>
      </c>
      <c r="M79" s="9">
        <f t="shared" ca="1" si="2"/>
        <v>435</v>
      </c>
      <c r="N79" s="15" t="s">
        <v>26</v>
      </c>
    </row>
    <row r="80" spans="1:14" ht="16.05" customHeight="1" x14ac:dyDescent="0.3">
      <c r="A80" s="16" t="s">
        <v>306</v>
      </c>
      <c r="B80" s="17" t="s">
        <v>307</v>
      </c>
      <c r="C80" s="18" t="s">
        <v>308</v>
      </c>
      <c r="D80" s="19"/>
      <c r="E80" s="20" t="s">
        <v>35</v>
      </c>
      <c r="F80" s="21">
        <v>0</v>
      </c>
      <c r="G80" s="22" t="s">
        <v>309</v>
      </c>
      <c r="H80" s="23">
        <v>1000</v>
      </c>
      <c r="I80" s="24" t="str">
        <f>IFERROR(H79+SUMPRODUCT((MOVIMIENTOS!$C$2:$C$5000=$A79)*(MOVIMIENTOS!$D$2:$D$5000=$G79)*(MOVIMIENTOS!$B$2:$B$5000="INGRESO")*MOVIMIENTOS!$E$2:$E$5000)-SUMPRODUCT((MOVIMIENTOS!$C$2:$C$5000=$A79)*(MOVIMIENTOS!$D$2:$D$5000=$G79)*(MOVIMIENTOS!$B$2:$B$5000="EGRESO")*MOVIMIENTOS!$E$2:$E$5000),"")</f>
        <v/>
      </c>
      <c r="J80" s="25" t="s">
        <v>67</v>
      </c>
      <c r="K80" s="25" t="s">
        <v>115</v>
      </c>
      <c r="L80" s="26">
        <v>46858</v>
      </c>
      <c r="M80" s="21">
        <f t="shared" ca="1" si="2"/>
        <v>447</v>
      </c>
      <c r="N80" s="27" t="s">
        <v>26</v>
      </c>
    </row>
    <row r="81" spans="1:14" ht="16.05" customHeight="1" x14ac:dyDescent="0.3">
      <c r="A81" s="4" t="s">
        <v>310</v>
      </c>
      <c r="B81" s="5" t="s">
        <v>311</v>
      </c>
      <c r="C81" s="6" t="s">
        <v>312</v>
      </c>
      <c r="D81" s="7"/>
      <c r="E81" s="8" t="s">
        <v>35</v>
      </c>
      <c r="F81" s="9">
        <v>0</v>
      </c>
      <c r="G81" s="10" t="s">
        <v>313</v>
      </c>
      <c r="H81" s="11">
        <v>1000</v>
      </c>
      <c r="I81" s="12" t="str">
        <f>IFERROR(H80+SUMPRODUCT((MOVIMIENTOS!$C$2:$C$5000=$A80)*(MOVIMIENTOS!$D$2:$D$5000=$G80)*(MOVIMIENTOS!$B$2:$B$5000="INGRESO")*MOVIMIENTOS!$E$2:$E$5000)-SUMPRODUCT((MOVIMIENTOS!$C$2:$C$5000=$A80)*(MOVIMIENTOS!$D$2:$D$5000=$G80)*(MOVIMIENTOS!$B$2:$B$5000="EGRESO")*MOVIMIENTOS!$E$2:$E$5000),"")</f>
        <v/>
      </c>
      <c r="J81" s="13" t="s">
        <v>67</v>
      </c>
      <c r="K81" s="13" t="s">
        <v>115</v>
      </c>
      <c r="L81" s="14">
        <v>46888</v>
      </c>
      <c r="M81" s="9">
        <f t="shared" ca="1" si="2"/>
        <v>732</v>
      </c>
      <c r="N81" s="15" t="s">
        <v>26</v>
      </c>
    </row>
    <row r="82" spans="1:14" ht="16.05" customHeight="1" x14ac:dyDescent="0.3">
      <c r="A82" s="16" t="s">
        <v>314</v>
      </c>
      <c r="B82" s="17" t="s">
        <v>315</v>
      </c>
      <c r="C82" s="18" t="s">
        <v>316</v>
      </c>
      <c r="D82" s="19"/>
      <c r="E82" s="20" t="s">
        <v>35</v>
      </c>
      <c r="F82" s="21">
        <v>0</v>
      </c>
      <c r="G82" s="22" t="s">
        <v>317</v>
      </c>
      <c r="H82" s="23">
        <v>1000</v>
      </c>
      <c r="I82" s="24" t="str">
        <f>IFERROR(H81+SUMPRODUCT((MOVIMIENTOS!$C$2:$C$5000=$A81)*(MOVIMIENTOS!$D$2:$D$5000=$G81)*(MOVIMIENTOS!$B$2:$B$5000="INGRESO")*MOVIMIENTOS!$E$2:$E$5000)-SUMPRODUCT((MOVIMIENTOS!$C$2:$C$5000=$A81)*(MOVIMIENTOS!$D$2:$D$5000=$G81)*(MOVIMIENTOS!$B$2:$B$5000="EGRESO")*MOVIMIENTOS!$E$2:$E$5000),"")</f>
        <v/>
      </c>
      <c r="J82" s="25" t="s">
        <v>67</v>
      </c>
      <c r="K82" s="25" t="s">
        <v>115</v>
      </c>
      <c r="L82" s="25"/>
      <c r="M82" s="21">
        <f t="shared" ca="1" si="2"/>
        <v>762</v>
      </c>
      <c r="N82" s="30"/>
    </row>
    <row r="83" spans="1:14" ht="16.05" customHeight="1" x14ac:dyDescent="0.3">
      <c r="A83" s="4" t="s">
        <v>318</v>
      </c>
      <c r="B83" s="5" t="s">
        <v>319</v>
      </c>
      <c r="C83" s="6" t="s">
        <v>320</v>
      </c>
      <c r="D83" s="7"/>
      <c r="E83" s="8" t="s">
        <v>35</v>
      </c>
      <c r="F83" s="9">
        <v>0</v>
      </c>
      <c r="G83" s="10" t="s">
        <v>321</v>
      </c>
      <c r="H83" s="11">
        <v>600</v>
      </c>
      <c r="I83" s="12" t="str">
        <f>IFERROR(H82+SUMPRODUCT((MOVIMIENTOS!$C$2:$C$5000=$A82)*(MOVIMIENTOS!$D$2:$D$5000=$G82)*(MOVIMIENTOS!$B$2:$B$5000="INGRESO")*MOVIMIENTOS!$E$2:$E$5000)-SUMPRODUCT((MOVIMIENTOS!$C$2:$C$5000=$A82)*(MOVIMIENTOS!$D$2:$D$5000=$G82)*(MOVIMIENTOS!$B$2:$B$5000="EGRESO")*MOVIMIENTOS!$E$2:$E$5000),"")</f>
        <v/>
      </c>
      <c r="J83" s="13" t="s">
        <v>67</v>
      </c>
      <c r="K83" s="13" t="s">
        <v>115</v>
      </c>
      <c r="L83" s="14">
        <v>46919</v>
      </c>
      <c r="M83" s="9" t="str">
        <f t="shared" ca="1" si="2"/>
        <v/>
      </c>
      <c r="N83" s="15" t="s">
        <v>26</v>
      </c>
    </row>
    <row r="84" spans="1:14" ht="16.05" customHeight="1" x14ac:dyDescent="0.3">
      <c r="A84" s="16" t="s">
        <v>322</v>
      </c>
      <c r="B84" s="17" t="s">
        <v>323</v>
      </c>
      <c r="C84" s="18" t="s">
        <v>324</v>
      </c>
      <c r="D84" s="19"/>
      <c r="E84" s="20" t="s">
        <v>35</v>
      </c>
      <c r="F84" s="21">
        <v>0</v>
      </c>
      <c r="G84" s="22" t="s">
        <v>325</v>
      </c>
      <c r="H84" s="23">
        <v>1980</v>
      </c>
      <c r="I84" s="24" t="str">
        <f>IFERROR(H83+SUMPRODUCT((MOVIMIENTOS!$C$2:$C$5000=$A83)*(MOVIMIENTOS!$D$2:$D$5000=$G83)*(MOVIMIENTOS!$B$2:$B$5000="INGRESO")*MOVIMIENTOS!$E$2:$E$5000)-SUMPRODUCT((MOVIMIENTOS!$C$2:$C$5000=$A83)*(MOVIMIENTOS!$D$2:$D$5000=$G83)*(MOVIMIENTOS!$B$2:$B$5000="EGRESO")*MOVIMIENTOS!$E$2:$E$5000),"")</f>
        <v/>
      </c>
      <c r="J84" s="25" t="s">
        <v>67</v>
      </c>
      <c r="K84" s="25" t="s">
        <v>115</v>
      </c>
      <c r="L84" s="26">
        <v>46741</v>
      </c>
      <c r="M84" s="21">
        <f t="shared" ca="1" si="2"/>
        <v>793</v>
      </c>
      <c r="N84" s="27" t="s">
        <v>26</v>
      </c>
    </row>
    <row r="85" spans="1:14" ht="16.05" customHeight="1" x14ac:dyDescent="0.3">
      <c r="A85" s="4" t="s">
        <v>322</v>
      </c>
      <c r="B85" s="5" t="s">
        <v>323</v>
      </c>
      <c r="C85" s="6" t="s">
        <v>324</v>
      </c>
      <c r="D85" s="7"/>
      <c r="E85" s="8" t="s">
        <v>35</v>
      </c>
      <c r="F85" s="9">
        <v>0</v>
      </c>
      <c r="G85" s="10" t="s">
        <v>326</v>
      </c>
      <c r="H85" s="11">
        <v>180</v>
      </c>
      <c r="I85" s="12" t="str">
        <f>IFERROR(H84+SUMPRODUCT((MOVIMIENTOS!$C$2:$C$5000=$A84)*(MOVIMIENTOS!$D$2:$D$5000=$G84)*(MOVIMIENTOS!$B$2:$B$5000="INGRESO")*MOVIMIENTOS!$E$2:$E$5000)-SUMPRODUCT((MOVIMIENTOS!$C$2:$C$5000=$A84)*(MOVIMIENTOS!$D$2:$D$5000=$G84)*(MOVIMIENTOS!$B$2:$B$5000="EGRESO")*MOVIMIENTOS!$E$2:$E$5000),"")</f>
        <v/>
      </c>
      <c r="J85" s="13" t="s">
        <v>67</v>
      </c>
      <c r="K85" s="13" t="s">
        <v>115</v>
      </c>
      <c r="L85" s="14">
        <v>46688</v>
      </c>
      <c r="M85" s="9">
        <f t="shared" ca="1" si="2"/>
        <v>615</v>
      </c>
      <c r="N85" s="15" t="s">
        <v>26</v>
      </c>
    </row>
    <row r="86" spans="1:14" ht="16.05" customHeight="1" x14ac:dyDescent="0.3">
      <c r="A86" s="16" t="s">
        <v>327</v>
      </c>
      <c r="B86" s="17" t="s">
        <v>328</v>
      </c>
      <c r="C86" s="18" t="s">
        <v>329</v>
      </c>
      <c r="D86" s="19"/>
      <c r="E86" s="20" t="s">
        <v>35</v>
      </c>
      <c r="F86" s="21">
        <v>0</v>
      </c>
      <c r="G86" s="22" t="s">
        <v>330</v>
      </c>
      <c r="H86" s="23">
        <v>857</v>
      </c>
      <c r="I86" s="24" t="str">
        <f>IFERROR(H85+SUMPRODUCT((MOVIMIENTOS!$C$2:$C$5000=$A85)*(MOVIMIENTOS!$D$2:$D$5000=$G85)*(MOVIMIENTOS!$B$2:$B$5000="INGRESO")*MOVIMIENTOS!$E$2:$E$5000)-SUMPRODUCT((MOVIMIENTOS!$C$2:$C$5000=$A85)*(MOVIMIENTOS!$D$2:$D$5000=$G85)*(MOVIMIENTOS!$B$2:$B$5000="EGRESO")*MOVIMIENTOS!$E$2:$E$5000),"")</f>
        <v/>
      </c>
      <c r="J86" s="25" t="s">
        <v>67</v>
      </c>
      <c r="K86" s="25" t="s">
        <v>115</v>
      </c>
      <c r="L86" s="26">
        <v>46502</v>
      </c>
      <c r="M86" s="21">
        <f t="shared" ca="1" si="2"/>
        <v>562</v>
      </c>
      <c r="N86" s="27" t="s">
        <v>26</v>
      </c>
    </row>
    <row r="87" spans="1:14" ht="16.05" customHeight="1" x14ac:dyDescent="0.3">
      <c r="A87" s="4" t="s">
        <v>331</v>
      </c>
      <c r="B87" s="5" t="s">
        <v>332</v>
      </c>
      <c r="C87" s="6" t="s">
        <v>333</v>
      </c>
      <c r="D87" s="7"/>
      <c r="E87" s="8" t="s">
        <v>35</v>
      </c>
      <c r="F87" s="9">
        <v>0</v>
      </c>
      <c r="G87" s="10" t="s">
        <v>334</v>
      </c>
      <c r="H87" s="11">
        <v>1000</v>
      </c>
      <c r="I87" s="12" t="str">
        <f>IFERROR(H86+SUMPRODUCT((MOVIMIENTOS!$C$2:$C$5000=$A86)*(MOVIMIENTOS!$D$2:$D$5000=$G86)*(MOVIMIENTOS!$B$2:$B$5000="INGRESO")*MOVIMIENTOS!$E$2:$E$5000)-SUMPRODUCT((MOVIMIENTOS!$C$2:$C$5000=$A86)*(MOVIMIENTOS!$D$2:$D$5000=$G86)*(MOVIMIENTOS!$B$2:$B$5000="EGRESO")*MOVIMIENTOS!$E$2:$E$5000),"")</f>
        <v/>
      </c>
      <c r="J87" s="13" t="s">
        <v>67</v>
      </c>
      <c r="K87" s="13" t="s">
        <v>115</v>
      </c>
      <c r="L87" s="14">
        <v>46855</v>
      </c>
      <c r="M87" s="9">
        <f t="shared" ca="1" si="2"/>
        <v>376</v>
      </c>
      <c r="N87" s="15" t="s">
        <v>26</v>
      </c>
    </row>
    <row r="88" spans="1:14" ht="16.05" customHeight="1" x14ac:dyDescent="0.3">
      <c r="A88" s="16" t="s">
        <v>335</v>
      </c>
      <c r="B88" s="17" t="s">
        <v>336</v>
      </c>
      <c r="C88" s="18" t="s">
        <v>337</v>
      </c>
      <c r="D88" s="19"/>
      <c r="E88" s="20" t="s">
        <v>35</v>
      </c>
      <c r="F88" s="21">
        <v>0</v>
      </c>
      <c r="G88" s="22" t="s">
        <v>301</v>
      </c>
      <c r="H88" s="23">
        <v>5000</v>
      </c>
      <c r="I88" s="24" t="str">
        <f>IFERROR(H87+SUMPRODUCT((MOVIMIENTOS!$C$2:$C$5000=$A87)*(MOVIMIENTOS!$D$2:$D$5000=$G87)*(MOVIMIENTOS!$B$2:$B$5000="INGRESO")*MOVIMIENTOS!$E$2:$E$5000)-SUMPRODUCT((MOVIMIENTOS!$C$2:$C$5000=$A87)*(MOVIMIENTOS!$D$2:$D$5000=$G87)*(MOVIMIENTOS!$B$2:$B$5000="EGRESO")*MOVIMIENTOS!$E$2:$E$5000),"")</f>
        <v/>
      </c>
      <c r="J88" s="25" t="s">
        <v>67</v>
      </c>
      <c r="K88" s="25" t="s">
        <v>115</v>
      </c>
      <c r="L88" s="25"/>
      <c r="M88" s="21">
        <f t="shared" ca="1" si="2"/>
        <v>729</v>
      </c>
      <c r="N88" s="30"/>
    </row>
    <row r="89" spans="1:14" ht="16.05" customHeight="1" x14ac:dyDescent="0.3">
      <c r="A89" s="4" t="s">
        <v>338</v>
      </c>
      <c r="B89" s="5" t="s">
        <v>339</v>
      </c>
      <c r="C89" s="6" t="s">
        <v>340</v>
      </c>
      <c r="D89" s="7"/>
      <c r="E89" s="8" t="s">
        <v>35</v>
      </c>
      <c r="F89" s="9">
        <v>0</v>
      </c>
      <c r="G89" s="10" t="s">
        <v>341</v>
      </c>
      <c r="H89" s="11">
        <v>990</v>
      </c>
      <c r="I89" s="12" t="str">
        <f>IFERROR(H88+SUMPRODUCT((MOVIMIENTOS!$C$2:$C$5000=$A88)*(MOVIMIENTOS!$D$2:$D$5000=$G88)*(MOVIMIENTOS!$B$2:$B$5000="INGRESO")*MOVIMIENTOS!$E$2:$E$5000)-SUMPRODUCT((MOVIMIENTOS!$C$2:$C$5000=$A88)*(MOVIMIENTOS!$D$2:$D$5000=$G88)*(MOVIMIENTOS!$B$2:$B$5000="EGRESO")*MOVIMIENTOS!$E$2:$E$5000),"")</f>
        <v/>
      </c>
      <c r="J89" s="13" t="s">
        <v>67</v>
      </c>
      <c r="K89" s="13" t="s">
        <v>115</v>
      </c>
      <c r="L89" s="14">
        <v>46575</v>
      </c>
      <c r="M89" s="9" t="str">
        <f t="shared" ca="1" si="2"/>
        <v/>
      </c>
      <c r="N89" s="15" t="s">
        <v>26</v>
      </c>
    </row>
    <row r="90" spans="1:14" ht="16.05" customHeight="1" x14ac:dyDescent="0.3">
      <c r="A90" s="16" t="s">
        <v>342</v>
      </c>
      <c r="B90" s="17" t="s">
        <v>343</v>
      </c>
      <c r="C90" s="18" t="s">
        <v>344</v>
      </c>
      <c r="D90" s="19"/>
      <c r="E90" s="20" t="s">
        <v>35</v>
      </c>
      <c r="F90" s="21">
        <v>0</v>
      </c>
      <c r="G90" s="22" t="s">
        <v>345</v>
      </c>
      <c r="H90" s="23">
        <v>1000</v>
      </c>
      <c r="I90" s="24" t="str">
        <f>IFERROR(H89+SUMPRODUCT((MOVIMIENTOS!$C$2:$C$5000=$A89)*(MOVIMIENTOS!$D$2:$D$5000=$G89)*(MOVIMIENTOS!$B$2:$B$5000="INGRESO")*MOVIMIENTOS!$E$2:$E$5000)-SUMPRODUCT((MOVIMIENTOS!$C$2:$C$5000=$A89)*(MOVIMIENTOS!$D$2:$D$5000=$G89)*(MOVIMIENTOS!$B$2:$B$5000="EGRESO")*MOVIMIENTOS!$E$2:$E$5000),"")</f>
        <v/>
      </c>
      <c r="J90" s="25" t="s">
        <v>67</v>
      </c>
      <c r="K90" s="25" t="s">
        <v>115</v>
      </c>
      <c r="L90" s="26">
        <v>46898</v>
      </c>
      <c r="M90" s="21">
        <f t="shared" ca="1" si="2"/>
        <v>449</v>
      </c>
      <c r="N90" s="27" t="s">
        <v>26</v>
      </c>
    </row>
    <row r="91" spans="1:14" ht="16.05" customHeight="1" x14ac:dyDescent="0.3">
      <c r="A91" s="4" t="s">
        <v>346</v>
      </c>
      <c r="B91" s="5" t="s">
        <v>347</v>
      </c>
      <c r="C91" s="6" t="s">
        <v>348</v>
      </c>
      <c r="D91" s="7"/>
      <c r="E91" s="8" t="s">
        <v>35</v>
      </c>
      <c r="F91" s="9">
        <v>0</v>
      </c>
      <c r="G91" s="10" t="s">
        <v>349</v>
      </c>
      <c r="H91" s="11">
        <v>1000</v>
      </c>
      <c r="I91" s="12" t="str">
        <f>IFERROR(H90+SUMPRODUCT((MOVIMIENTOS!$C$2:$C$5000=$A90)*(MOVIMIENTOS!$D$2:$D$5000=$G90)*(MOVIMIENTOS!$B$2:$B$5000="INGRESO")*MOVIMIENTOS!$E$2:$E$5000)-SUMPRODUCT((MOVIMIENTOS!$C$2:$C$5000=$A90)*(MOVIMIENTOS!$D$2:$D$5000=$G90)*(MOVIMIENTOS!$B$2:$B$5000="EGRESO")*MOVIMIENTOS!$E$2:$E$5000),"")</f>
        <v/>
      </c>
      <c r="J91" s="13" t="s">
        <v>67</v>
      </c>
      <c r="K91" s="13" t="s">
        <v>115</v>
      </c>
      <c r="L91" s="14">
        <v>46895</v>
      </c>
      <c r="M91" s="9">
        <f t="shared" ca="1" si="2"/>
        <v>772</v>
      </c>
      <c r="N91" s="15" t="s">
        <v>26</v>
      </c>
    </row>
    <row r="92" spans="1:14" ht="16.05" customHeight="1" x14ac:dyDescent="0.3">
      <c r="A92" s="16" t="s">
        <v>350</v>
      </c>
      <c r="B92" s="17" t="s">
        <v>351</v>
      </c>
      <c r="C92" s="18" t="s">
        <v>352</v>
      </c>
      <c r="D92" s="19"/>
      <c r="E92" s="20" t="s">
        <v>353</v>
      </c>
      <c r="F92" s="21">
        <v>0</v>
      </c>
      <c r="G92" s="22" t="s">
        <v>354</v>
      </c>
      <c r="H92" s="23">
        <v>41.8</v>
      </c>
      <c r="I92" s="24" t="str">
        <f>IFERROR(H91+SUMPRODUCT((MOVIMIENTOS!$C$2:$C$5000=$A91)*(MOVIMIENTOS!$D$2:$D$5000=$G91)*(MOVIMIENTOS!$B$2:$B$5000="INGRESO")*MOVIMIENTOS!$E$2:$E$5000)-SUMPRODUCT((MOVIMIENTOS!$C$2:$C$5000=$A91)*(MOVIMIENTOS!$D$2:$D$5000=$G91)*(MOVIMIENTOS!$B$2:$B$5000="EGRESO")*MOVIMIENTOS!$E$2:$E$5000),"")</f>
        <v/>
      </c>
      <c r="J92" s="25" t="s">
        <v>121</v>
      </c>
      <c r="K92" s="25" t="s">
        <v>25</v>
      </c>
      <c r="L92" s="26">
        <v>46341</v>
      </c>
      <c r="M92" s="21">
        <f t="shared" ca="1" si="2"/>
        <v>769</v>
      </c>
      <c r="N92" s="27" t="s">
        <v>26</v>
      </c>
    </row>
    <row r="93" spans="1:14" ht="16.05" customHeight="1" x14ac:dyDescent="0.3">
      <c r="A93" s="68" t="s">
        <v>355</v>
      </c>
      <c r="B93" s="69" t="s">
        <v>356</v>
      </c>
      <c r="C93" s="70" t="s">
        <v>357</v>
      </c>
      <c r="D93" s="71"/>
      <c r="E93" s="72"/>
      <c r="F93" s="73">
        <v>0</v>
      </c>
      <c r="G93" s="74" t="s">
        <v>358</v>
      </c>
      <c r="H93" s="75"/>
      <c r="I93" s="76" t="str">
        <f>IFERROR(H92+SUMPRODUCT((MOVIMIENTOS!$C$2:$C$5000=$A92)*(MOVIMIENTOS!$D$2:$D$5000=$G92)*(MOVIMIENTOS!$B$2:$B$5000="INGRESO")*MOVIMIENTOS!$E$2:$E$5000)-SUMPRODUCT((MOVIMIENTOS!$C$2:$C$5000=$A92)*(MOVIMIENTOS!$D$2:$D$5000=$G92)*(MOVIMIENTOS!$B$2:$B$5000="EGRESO")*MOVIMIENTOS!$E$2:$E$5000),"")</f>
        <v/>
      </c>
      <c r="J93" s="77" t="s">
        <v>359</v>
      </c>
      <c r="K93" s="77" t="s">
        <v>231</v>
      </c>
      <c r="L93" s="78">
        <v>46482</v>
      </c>
      <c r="M93" s="73">
        <f t="shared" ca="1" si="2"/>
        <v>215</v>
      </c>
      <c r="N93" s="79" t="s">
        <v>26</v>
      </c>
    </row>
    <row r="94" spans="1:14" ht="16.05" customHeight="1" x14ac:dyDescent="0.3">
      <c r="A94" s="16" t="s">
        <v>360</v>
      </c>
      <c r="B94" s="17" t="s">
        <v>361</v>
      </c>
      <c r="C94" s="18" t="s">
        <v>362</v>
      </c>
      <c r="D94" s="19"/>
      <c r="E94" s="20" t="s">
        <v>52</v>
      </c>
      <c r="F94" s="21">
        <v>0</v>
      </c>
      <c r="G94" s="22" t="s">
        <v>363</v>
      </c>
      <c r="H94" s="23">
        <v>1000</v>
      </c>
      <c r="I94" s="24" t="str">
        <f>IFERROR(H93+SUMPRODUCT((MOVIMIENTOS!$C$2:$C$5000=$A93)*(MOVIMIENTOS!$D$2:$D$5000=$G93)*(MOVIMIENTOS!$B$2:$B$5000="INGRESO")*MOVIMIENTOS!$E$2:$E$5000)-SUMPRODUCT((MOVIMIENTOS!$C$2:$C$5000=$A93)*(MOVIMIENTOS!$D$2:$D$5000=$G93)*(MOVIMIENTOS!$B$2:$B$5000="EGRESO")*MOVIMIENTOS!$E$2:$E$5000),"")</f>
        <v/>
      </c>
      <c r="J94" s="25" t="s">
        <v>67</v>
      </c>
      <c r="K94" s="25" t="s">
        <v>72</v>
      </c>
      <c r="L94" s="26">
        <v>46573</v>
      </c>
      <c r="M94" s="21">
        <f t="shared" ca="1" si="2"/>
        <v>356</v>
      </c>
      <c r="N94" s="27" t="s">
        <v>26</v>
      </c>
    </row>
    <row r="95" spans="1:14" ht="16.05" customHeight="1" x14ac:dyDescent="0.3">
      <c r="A95" s="4" t="s">
        <v>364</v>
      </c>
      <c r="B95" s="5" t="s">
        <v>365</v>
      </c>
      <c r="C95" s="6" t="s">
        <v>366</v>
      </c>
      <c r="D95" s="7"/>
      <c r="E95" s="8"/>
      <c r="F95" s="9">
        <v>0</v>
      </c>
      <c r="G95" s="10" t="s">
        <v>367</v>
      </c>
      <c r="H95" s="28"/>
      <c r="I95" s="12" t="str">
        <f>IFERROR(H94+SUMPRODUCT((MOVIMIENTOS!$C$2:$C$5000=$A94)*(MOVIMIENTOS!$D$2:$D$5000=$G94)*(MOVIMIENTOS!$B$2:$B$5000="INGRESO")*MOVIMIENTOS!$E$2:$E$5000)-SUMPRODUCT((MOVIMIENTOS!$C$2:$C$5000=$A94)*(MOVIMIENTOS!$D$2:$D$5000=$G94)*(MOVIMIENTOS!$B$2:$B$5000="EGRESO")*MOVIMIENTOS!$E$2:$E$5000),"")</f>
        <v/>
      </c>
      <c r="J95" s="13" t="s">
        <v>359</v>
      </c>
      <c r="K95" s="13" t="s">
        <v>72</v>
      </c>
      <c r="L95" s="14">
        <v>46414</v>
      </c>
      <c r="M95" s="9">
        <f t="shared" ca="1" si="2"/>
        <v>447</v>
      </c>
      <c r="N95" s="15" t="s">
        <v>26</v>
      </c>
    </row>
    <row r="96" spans="1:14" ht="16.05" customHeight="1" x14ac:dyDescent="0.3">
      <c r="A96" s="16" t="s">
        <v>364</v>
      </c>
      <c r="B96" s="17" t="s">
        <v>365</v>
      </c>
      <c r="C96" s="18" t="s">
        <v>366</v>
      </c>
      <c r="D96" s="19"/>
      <c r="E96" s="20"/>
      <c r="F96" s="21">
        <v>0</v>
      </c>
      <c r="G96" s="22" t="s">
        <v>368</v>
      </c>
      <c r="H96" s="23">
        <v>10000</v>
      </c>
      <c r="I96" s="24" t="str">
        <f>IFERROR(H95+SUMPRODUCT((MOVIMIENTOS!$C$2:$C$5000=$A95)*(MOVIMIENTOS!$D$2:$D$5000=$G95)*(MOVIMIENTOS!$B$2:$B$5000="INGRESO")*MOVIMIENTOS!$E$2:$E$5000)-SUMPRODUCT((MOVIMIENTOS!$C$2:$C$5000=$A95)*(MOVIMIENTOS!$D$2:$D$5000=$G95)*(MOVIMIENTOS!$B$2:$B$5000="EGRESO")*MOVIMIENTOS!$E$2:$E$5000),"")</f>
        <v/>
      </c>
      <c r="J96" s="25" t="s">
        <v>156</v>
      </c>
      <c r="K96" s="25"/>
      <c r="L96" s="25"/>
      <c r="M96" s="21">
        <f t="shared" ca="1" si="2"/>
        <v>288</v>
      </c>
      <c r="N96" s="30"/>
    </row>
    <row r="97" spans="1:14" ht="16.05" customHeight="1" x14ac:dyDescent="0.3">
      <c r="A97" s="68" t="s">
        <v>369</v>
      </c>
      <c r="B97" s="69" t="s">
        <v>356</v>
      </c>
      <c r="C97" s="70" t="s">
        <v>370</v>
      </c>
      <c r="D97" s="71"/>
      <c r="E97" s="72"/>
      <c r="F97" s="73">
        <v>0</v>
      </c>
      <c r="G97" s="74" t="s">
        <v>371</v>
      </c>
      <c r="H97" s="75"/>
      <c r="I97" s="76" t="str">
        <f>IFERROR(H96+SUMPRODUCT((MOVIMIENTOS!$C$2:$C$5000=$A96)*(MOVIMIENTOS!$D$2:$D$5000=$G96)*(MOVIMIENTOS!$B$2:$B$5000="INGRESO")*MOVIMIENTOS!$E$2:$E$5000)-SUMPRODUCT((MOVIMIENTOS!$C$2:$C$5000=$A96)*(MOVIMIENTOS!$D$2:$D$5000=$G96)*(MOVIMIENTOS!$B$2:$B$5000="EGRESO")*MOVIMIENTOS!$E$2:$E$5000),"")</f>
        <v/>
      </c>
      <c r="J97" s="77" t="s">
        <v>359</v>
      </c>
      <c r="K97" s="77" t="s">
        <v>231</v>
      </c>
      <c r="L97" s="78">
        <v>46512</v>
      </c>
      <c r="M97" s="73" t="str">
        <f t="shared" ca="1" si="2"/>
        <v/>
      </c>
      <c r="N97" s="79" t="s">
        <v>26</v>
      </c>
    </row>
    <row r="98" spans="1:14" ht="16.05" customHeight="1" x14ac:dyDescent="0.3">
      <c r="A98" s="16" t="s">
        <v>372</v>
      </c>
      <c r="B98" s="17" t="s">
        <v>373</v>
      </c>
      <c r="C98" s="18" t="s">
        <v>374</v>
      </c>
      <c r="D98" s="19"/>
      <c r="E98" s="20" t="s">
        <v>52</v>
      </c>
      <c r="F98" s="21">
        <v>0</v>
      </c>
      <c r="G98" s="22" t="s">
        <v>375</v>
      </c>
      <c r="H98" s="23">
        <v>1000</v>
      </c>
      <c r="I98" s="24" t="str">
        <f>IFERROR(H97+SUMPRODUCT((MOVIMIENTOS!$C$2:$C$5000=$A97)*(MOVIMIENTOS!$D$2:$D$5000=$G97)*(MOVIMIENTOS!$B$2:$B$5000="INGRESO")*MOVIMIENTOS!$E$2:$E$5000)-SUMPRODUCT((MOVIMIENTOS!$C$2:$C$5000=$A97)*(MOVIMIENTOS!$D$2:$D$5000=$G97)*(MOVIMIENTOS!$B$2:$B$5000="EGRESO")*MOVIMIENTOS!$E$2:$E$5000),"")</f>
        <v/>
      </c>
      <c r="J98" s="25" t="s">
        <v>67</v>
      </c>
      <c r="K98" s="25" t="s">
        <v>25</v>
      </c>
      <c r="L98" s="26">
        <v>46618</v>
      </c>
      <c r="M98" s="21">
        <f t="shared" ca="1" si="2"/>
        <v>386</v>
      </c>
      <c r="N98" s="27" t="s">
        <v>26</v>
      </c>
    </row>
    <row r="99" spans="1:14" ht="16.05" customHeight="1" x14ac:dyDescent="0.3">
      <c r="A99" s="4" t="s">
        <v>372</v>
      </c>
      <c r="B99" s="5" t="s">
        <v>373</v>
      </c>
      <c r="C99" s="6" t="s">
        <v>374</v>
      </c>
      <c r="D99" s="7"/>
      <c r="E99" s="8" t="s">
        <v>52</v>
      </c>
      <c r="F99" s="9">
        <v>0</v>
      </c>
      <c r="G99" s="10" t="s">
        <v>77</v>
      </c>
      <c r="H99" s="11">
        <v>1000</v>
      </c>
      <c r="I99" s="12" t="str">
        <f>IFERROR(H98+SUMPRODUCT((MOVIMIENTOS!$C$2:$C$5000=$A98)*(MOVIMIENTOS!$D$2:$D$5000=$G98)*(MOVIMIENTOS!$B$2:$B$5000="INGRESO")*MOVIMIENTOS!$E$2:$E$5000)-SUMPRODUCT((MOVIMIENTOS!$C$2:$C$5000=$A98)*(MOVIMIENTOS!$D$2:$D$5000=$G98)*(MOVIMIENTOS!$B$2:$B$5000="EGRESO")*MOVIMIENTOS!$E$2:$E$5000),"")</f>
        <v/>
      </c>
      <c r="J99" s="13" t="s">
        <v>67</v>
      </c>
      <c r="K99" s="13" t="s">
        <v>25</v>
      </c>
      <c r="L99" s="14">
        <v>46613</v>
      </c>
      <c r="M99" s="9">
        <f t="shared" ca="1" si="2"/>
        <v>492</v>
      </c>
      <c r="N99" s="15" t="s">
        <v>26</v>
      </c>
    </row>
    <row r="100" spans="1:14" ht="16.05" customHeight="1" x14ac:dyDescent="0.3">
      <c r="A100" s="98" t="s">
        <v>372</v>
      </c>
      <c r="B100" s="99" t="s">
        <v>373</v>
      </c>
      <c r="C100" s="100" t="s">
        <v>374</v>
      </c>
      <c r="D100" s="19"/>
      <c r="E100" s="101" t="s">
        <v>52</v>
      </c>
      <c r="F100" s="102">
        <v>0</v>
      </c>
      <c r="G100" s="103" t="s">
        <v>376</v>
      </c>
      <c r="H100" s="108">
        <v>1000</v>
      </c>
      <c r="I100" s="104" t="str">
        <f>IFERROR(H99+SUMPRODUCT((MOVIMIENTOS!$C$2:$C$5000=$A99)*(MOVIMIENTOS!$D$2:$D$5000=$G99)*(MOVIMIENTOS!$B$2:$B$5000="INGRESO")*MOVIMIENTOS!$E$2:$E$5000)-SUMPRODUCT((MOVIMIENTOS!$C$2:$C$5000=$A99)*(MOVIMIENTOS!$D$2:$D$5000=$G99)*(MOVIMIENTOS!$B$2:$B$5000="EGRESO")*MOVIMIENTOS!$E$2:$E$5000),"")</f>
        <v/>
      </c>
      <c r="J100" s="105" t="s">
        <v>67</v>
      </c>
      <c r="K100" s="105" t="s">
        <v>377</v>
      </c>
      <c r="L100" s="106">
        <v>46674</v>
      </c>
      <c r="M100" s="102">
        <f t="shared" ca="1" si="2"/>
        <v>487</v>
      </c>
      <c r="N100" s="109" t="s">
        <v>26</v>
      </c>
    </row>
    <row r="101" spans="1:14" ht="16.05" customHeight="1" x14ac:dyDescent="0.3">
      <c r="A101" s="98" t="s">
        <v>372</v>
      </c>
      <c r="B101" s="99" t="s">
        <v>373</v>
      </c>
      <c r="C101" s="100" t="s">
        <v>374</v>
      </c>
      <c r="D101" s="7"/>
      <c r="E101" s="101" t="s">
        <v>52</v>
      </c>
      <c r="F101" s="102">
        <v>0</v>
      </c>
      <c r="G101" s="103" t="s">
        <v>376</v>
      </c>
      <c r="H101" s="108">
        <v>1000</v>
      </c>
      <c r="I101" s="104" t="str">
        <f>IFERROR(H100+SUMPRODUCT((MOVIMIENTOS!$C$2:$C$5000=$A100)*(MOVIMIENTOS!$D$2:$D$5000=$G100)*(MOVIMIENTOS!$B$2:$B$5000="INGRESO")*MOVIMIENTOS!$E$2:$E$5000)-SUMPRODUCT((MOVIMIENTOS!$C$2:$C$5000=$A100)*(MOVIMIENTOS!$D$2:$D$5000=$G100)*(MOVIMIENTOS!$B$2:$B$5000="EGRESO")*MOVIMIENTOS!$E$2:$E$5000),"")</f>
        <v/>
      </c>
      <c r="J101" s="105" t="s">
        <v>67</v>
      </c>
      <c r="K101" s="105" t="s">
        <v>25</v>
      </c>
      <c r="L101" s="106">
        <v>46674</v>
      </c>
      <c r="M101" s="102">
        <f t="shared" ca="1" si="2"/>
        <v>548</v>
      </c>
      <c r="N101" s="109" t="s">
        <v>26</v>
      </c>
    </row>
    <row r="102" spans="1:14" ht="16.05" customHeight="1" x14ac:dyDescent="0.3">
      <c r="A102" s="16" t="s">
        <v>372</v>
      </c>
      <c r="B102" s="17" t="s">
        <v>373</v>
      </c>
      <c r="C102" s="18" t="s">
        <v>374</v>
      </c>
      <c r="D102" s="19"/>
      <c r="E102" s="20" t="s">
        <v>52</v>
      </c>
      <c r="F102" s="21">
        <v>0</v>
      </c>
      <c r="G102" s="22" t="s">
        <v>378</v>
      </c>
      <c r="H102" s="23">
        <v>2000</v>
      </c>
      <c r="I102" s="24" t="str">
        <f>IFERROR(H101+SUMPRODUCT((MOVIMIENTOS!$C$2:$C$5000=$A101)*(MOVIMIENTOS!$D$2:$D$5000=$G101)*(MOVIMIENTOS!$B$2:$B$5000="INGRESO")*MOVIMIENTOS!$E$2:$E$5000)-SUMPRODUCT((MOVIMIENTOS!$C$2:$C$5000=$A101)*(MOVIMIENTOS!$D$2:$D$5000=$G101)*(MOVIMIENTOS!$B$2:$B$5000="EGRESO")*MOVIMIENTOS!$E$2:$E$5000),"")</f>
        <v/>
      </c>
      <c r="J102" s="25" t="s">
        <v>67</v>
      </c>
      <c r="K102" s="25" t="s">
        <v>25</v>
      </c>
      <c r="L102" s="26">
        <v>46735</v>
      </c>
      <c r="M102" s="21">
        <f t="shared" ca="1" si="2"/>
        <v>548</v>
      </c>
      <c r="N102" s="27" t="s">
        <v>26</v>
      </c>
    </row>
    <row r="103" spans="1:14" ht="16.05" customHeight="1" x14ac:dyDescent="0.3">
      <c r="A103" s="4" t="s">
        <v>379</v>
      </c>
      <c r="B103" s="5" t="s">
        <v>380</v>
      </c>
      <c r="C103" s="6" t="s">
        <v>381</v>
      </c>
      <c r="D103" s="7"/>
      <c r="E103" s="8" t="s">
        <v>35</v>
      </c>
      <c r="F103" s="9">
        <v>0</v>
      </c>
      <c r="G103" s="10" t="s">
        <v>382</v>
      </c>
      <c r="H103" s="11">
        <v>930</v>
      </c>
      <c r="I103" s="12" t="str">
        <f>IFERROR(H102+SUMPRODUCT((MOVIMIENTOS!$C$2:$C$5000=$A102)*(MOVIMIENTOS!$D$2:$D$5000=$G102)*(MOVIMIENTOS!$B$2:$B$5000="INGRESO")*MOVIMIENTOS!$E$2:$E$5000)-SUMPRODUCT((MOVIMIENTOS!$C$2:$C$5000=$A102)*(MOVIMIENTOS!$D$2:$D$5000=$G102)*(MOVIMIENTOS!$B$2:$B$5000="EGRESO")*MOVIMIENTOS!$E$2:$E$5000),"")</f>
        <v/>
      </c>
      <c r="J103" s="13" t="s">
        <v>67</v>
      </c>
      <c r="K103" s="13" t="s">
        <v>115</v>
      </c>
      <c r="L103" s="14">
        <v>46482</v>
      </c>
      <c r="M103" s="9">
        <f t="shared" ca="1" si="2"/>
        <v>609</v>
      </c>
      <c r="N103" s="15" t="s">
        <v>26</v>
      </c>
    </row>
    <row r="104" spans="1:14" ht="16.05" customHeight="1" x14ac:dyDescent="0.3">
      <c r="A104" s="16" t="s">
        <v>383</v>
      </c>
      <c r="B104" s="17" t="s">
        <v>384</v>
      </c>
      <c r="C104" s="18" t="s">
        <v>385</v>
      </c>
      <c r="D104" s="19"/>
      <c r="E104" s="20" t="s">
        <v>22</v>
      </c>
      <c r="F104" s="21">
        <v>0</v>
      </c>
      <c r="G104" s="22" t="s">
        <v>386</v>
      </c>
      <c r="H104" s="23">
        <v>2</v>
      </c>
      <c r="I104" s="24" t="str">
        <f>IFERROR(H103+SUMPRODUCT((MOVIMIENTOS!$C$2:$C$5000=$A103)*(MOVIMIENTOS!$D$2:$D$5000=$G103)*(MOVIMIENTOS!$B$2:$B$5000="INGRESO")*MOVIMIENTOS!$E$2:$E$5000)-SUMPRODUCT((MOVIMIENTOS!$C$2:$C$5000=$A103)*(MOVIMIENTOS!$D$2:$D$5000=$G103)*(MOVIMIENTOS!$B$2:$B$5000="EGRESO")*MOVIMIENTOS!$E$2:$E$5000),"")</f>
        <v/>
      </c>
      <c r="J104" s="25" t="s">
        <v>48</v>
      </c>
      <c r="K104" s="25"/>
      <c r="L104" s="26">
        <v>46734</v>
      </c>
      <c r="M104" s="21">
        <f t="shared" ca="1" si="2"/>
        <v>356</v>
      </c>
      <c r="N104" s="27" t="s">
        <v>26</v>
      </c>
    </row>
    <row r="105" spans="1:14" ht="16.05" customHeight="1" x14ac:dyDescent="0.3">
      <c r="A105" s="80" t="s">
        <v>387</v>
      </c>
      <c r="B105" s="81" t="s">
        <v>356</v>
      </c>
      <c r="C105" s="58" t="s">
        <v>388</v>
      </c>
      <c r="D105" s="59"/>
      <c r="E105" s="60"/>
      <c r="F105" s="61">
        <v>0</v>
      </c>
      <c r="G105" s="62" t="s">
        <v>389</v>
      </c>
      <c r="H105" s="82"/>
      <c r="I105" s="64" t="str">
        <f>IFERROR(H104+SUMPRODUCT((MOVIMIENTOS!$C$2:$C$5000=$A104)*(MOVIMIENTOS!$D$2:$D$5000=$G104)*(MOVIMIENTOS!$B$2:$B$5000="INGRESO")*MOVIMIENTOS!$E$2:$E$5000)-SUMPRODUCT((MOVIMIENTOS!$C$2:$C$5000=$A104)*(MOVIMIENTOS!$D$2:$D$5000=$G104)*(MOVIMIENTOS!$B$2:$B$5000="EGRESO")*MOVIMIENTOS!$E$2:$E$5000),"")</f>
        <v/>
      </c>
      <c r="J105" s="65" t="s">
        <v>359</v>
      </c>
      <c r="K105" s="65" t="s">
        <v>231</v>
      </c>
      <c r="L105" s="66">
        <v>46168</v>
      </c>
      <c r="M105" s="61">
        <f t="shared" ca="1" si="2"/>
        <v>608</v>
      </c>
      <c r="N105" s="67" t="s">
        <v>255</v>
      </c>
    </row>
    <row r="106" spans="1:14" ht="16.05" customHeight="1" x14ac:dyDescent="0.3">
      <c r="A106" s="16" t="s">
        <v>390</v>
      </c>
      <c r="B106" s="17" t="s">
        <v>391</v>
      </c>
      <c r="C106" s="18" t="s">
        <v>392</v>
      </c>
      <c r="D106" s="19"/>
      <c r="E106" s="20" t="s">
        <v>52</v>
      </c>
      <c r="F106" s="21">
        <v>0</v>
      </c>
      <c r="G106" s="22" t="s">
        <v>393</v>
      </c>
      <c r="H106" s="23">
        <v>40</v>
      </c>
      <c r="I106" s="24" t="str">
        <f>IFERROR(H105+SUMPRODUCT((MOVIMIENTOS!$C$2:$C$5000=$A105)*(MOVIMIENTOS!$D$2:$D$5000=$G105)*(MOVIMIENTOS!$B$2:$B$5000="INGRESO")*MOVIMIENTOS!$E$2:$E$5000)-SUMPRODUCT((MOVIMIENTOS!$C$2:$C$5000=$A105)*(MOVIMIENTOS!$D$2:$D$5000=$G105)*(MOVIMIENTOS!$B$2:$B$5000="EGRESO")*MOVIMIENTOS!$E$2:$E$5000),"")</f>
        <v/>
      </c>
      <c r="J106" s="25" t="s">
        <v>67</v>
      </c>
      <c r="K106" s="25" t="s">
        <v>25</v>
      </c>
      <c r="L106" s="26">
        <v>46590</v>
      </c>
      <c r="M106" s="21">
        <f t="shared" ca="1" si="2"/>
        <v>42</v>
      </c>
      <c r="N106" s="27" t="s">
        <v>26</v>
      </c>
    </row>
    <row r="107" spans="1:14" ht="16.05" customHeight="1" x14ac:dyDescent="0.3">
      <c r="A107" s="4" t="s">
        <v>394</v>
      </c>
      <c r="B107" s="5" t="s">
        <v>395</v>
      </c>
      <c r="C107" s="6" t="s">
        <v>396</v>
      </c>
      <c r="D107" s="7"/>
      <c r="E107" s="8" t="s">
        <v>52</v>
      </c>
      <c r="F107" s="9">
        <v>0</v>
      </c>
      <c r="G107" s="10" t="s">
        <v>397</v>
      </c>
      <c r="H107" s="11">
        <v>900</v>
      </c>
      <c r="I107" s="12" t="str">
        <f>IFERROR(H106+SUMPRODUCT((MOVIMIENTOS!$C$2:$C$5000=$A106)*(MOVIMIENTOS!$D$2:$D$5000=$G106)*(MOVIMIENTOS!$B$2:$B$5000="INGRESO")*MOVIMIENTOS!$E$2:$E$5000)-SUMPRODUCT((MOVIMIENTOS!$C$2:$C$5000=$A106)*(MOVIMIENTOS!$D$2:$D$5000=$G106)*(MOVIMIENTOS!$B$2:$B$5000="EGRESO")*MOVIMIENTOS!$E$2:$E$5000),"")</f>
        <v/>
      </c>
      <c r="J107" s="13" t="s">
        <v>67</v>
      </c>
      <c r="K107" s="13" t="s">
        <v>25</v>
      </c>
      <c r="L107" s="14">
        <v>46562</v>
      </c>
      <c r="M107" s="9">
        <f t="shared" ca="1" si="2"/>
        <v>464</v>
      </c>
      <c r="N107" s="15" t="s">
        <v>26</v>
      </c>
    </row>
    <row r="108" spans="1:14" ht="16.05" customHeight="1" x14ac:dyDescent="0.3">
      <c r="A108" s="16" t="s">
        <v>398</v>
      </c>
      <c r="B108" s="17" t="s">
        <v>399</v>
      </c>
      <c r="C108" s="18" t="s">
        <v>400</v>
      </c>
      <c r="D108" s="19"/>
      <c r="E108" s="20"/>
      <c r="F108" s="21">
        <v>0</v>
      </c>
      <c r="G108" s="22" t="s">
        <v>401</v>
      </c>
      <c r="H108" s="23">
        <v>945</v>
      </c>
      <c r="I108" s="24" t="str">
        <f>IFERROR(H107+SUMPRODUCT((MOVIMIENTOS!$C$2:$C$5000=$A107)*(MOVIMIENTOS!$D$2:$D$5000=$G107)*(MOVIMIENTOS!$B$2:$B$5000="INGRESO")*MOVIMIENTOS!$E$2:$E$5000)-SUMPRODUCT((MOVIMIENTOS!$C$2:$C$5000=$A107)*(MOVIMIENTOS!$D$2:$D$5000=$G107)*(MOVIMIENTOS!$B$2:$B$5000="EGRESO")*MOVIMIENTOS!$E$2:$E$5000),"")</f>
        <v/>
      </c>
      <c r="J108" s="25" t="s">
        <v>402</v>
      </c>
      <c r="K108" s="25" t="s">
        <v>25</v>
      </c>
      <c r="L108" s="26">
        <v>46661</v>
      </c>
      <c r="M108" s="21">
        <f t="shared" ca="1" si="2"/>
        <v>436</v>
      </c>
      <c r="N108" s="27" t="s">
        <v>26</v>
      </c>
    </row>
    <row r="109" spans="1:14" ht="16.05" customHeight="1" x14ac:dyDescent="0.3">
      <c r="A109" s="4" t="s">
        <v>403</v>
      </c>
      <c r="B109" s="5" t="s">
        <v>404</v>
      </c>
      <c r="C109" s="6" t="s">
        <v>405</v>
      </c>
      <c r="D109" s="7"/>
      <c r="E109" s="8" t="s">
        <v>52</v>
      </c>
      <c r="F109" s="9">
        <v>0</v>
      </c>
      <c r="G109" s="10" t="s">
        <v>406</v>
      </c>
      <c r="H109" s="11">
        <v>4700</v>
      </c>
      <c r="I109" s="12" t="str">
        <f>IFERROR(H108+SUMPRODUCT((MOVIMIENTOS!$C$2:$C$5000=$A108)*(MOVIMIENTOS!$D$2:$D$5000=$G108)*(MOVIMIENTOS!$B$2:$B$5000="INGRESO")*MOVIMIENTOS!$E$2:$E$5000)-SUMPRODUCT((MOVIMIENTOS!$C$2:$C$5000=$A108)*(MOVIMIENTOS!$D$2:$D$5000=$G108)*(MOVIMIENTOS!$B$2:$B$5000="EGRESO")*MOVIMIENTOS!$E$2:$E$5000),"")</f>
        <v/>
      </c>
      <c r="J109" s="13" t="s">
        <v>67</v>
      </c>
      <c r="K109" s="13" t="s">
        <v>25</v>
      </c>
      <c r="L109" s="14">
        <v>46754</v>
      </c>
      <c r="M109" s="9">
        <f t="shared" ca="1" si="2"/>
        <v>535</v>
      </c>
      <c r="N109" s="15" t="s">
        <v>26</v>
      </c>
    </row>
    <row r="110" spans="1:14" ht="16.05" customHeight="1" x14ac:dyDescent="0.3">
      <c r="A110" s="16" t="s">
        <v>403</v>
      </c>
      <c r="B110" s="17" t="s">
        <v>404</v>
      </c>
      <c r="C110" s="18" t="s">
        <v>405</v>
      </c>
      <c r="D110" s="19"/>
      <c r="E110" s="20" t="s">
        <v>52</v>
      </c>
      <c r="F110" s="21">
        <v>0</v>
      </c>
      <c r="G110" s="22" t="s">
        <v>407</v>
      </c>
      <c r="H110" s="23">
        <v>5000</v>
      </c>
      <c r="I110" s="24" t="str">
        <f>IFERROR(H109+SUMPRODUCT((MOVIMIENTOS!$C$2:$C$5000=$A109)*(MOVIMIENTOS!$D$2:$D$5000=$G109)*(MOVIMIENTOS!$B$2:$B$5000="INGRESO")*MOVIMIENTOS!$E$2:$E$5000)-SUMPRODUCT((MOVIMIENTOS!$C$2:$C$5000=$A109)*(MOVIMIENTOS!$D$2:$D$5000=$G109)*(MOVIMIENTOS!$B$2:$B$5000="EGRESO")*MOVIMIENTOS!$E$2:$E$5000),"")</f>
        <v/>
      </c>
      <c r="J110" s="25" t="s">
        <v>67</v>
      </c>
      <c r="K110" s="25" t="s">
        <v>25</v>
      </c>
      <c r="L110" s="26">
        <v>46740</v>
      </c>
      <c r="M110" s="21">
        <f t="shared" ca="1" si="2"/>
        <v>628</v>
      </c>
      <c r="N110" s="27" t="s">
        <v>26</v>
      </c>
    </row>
    <row r="111" spans="1:14" ht="16.05" customHeight="1" x14ac:dyDescent="0.3">
      <c r="A111" s="4" t="s">
        <v>403</v>
      </c>
      <c r="B111" s="5" t="s">
        <v>404</v>
      </c>
      <c r="C111" s="6" t="s">
        <v>405</v>
      </c>
      <c r="D111" s="7"/>
      <c r="E111" s="8" t="s">
        <v>52</v>
      </c>
      <c r="F111" s="9">
        <v>0</v>
      </c>
      <c r="G111" s="10" t="s">
        <v>408</v>
      </c>
      <c r="H111" s="11">
        <v>5630</v>
      </c>
      <c r="I111" s="12" t="str">
        <f>IFERROR(H110+SUMPRODUCT((MOVIMIENTOS!$C$2:$C$5000=$A110)*(MOVIMIENTOS!$D$2:$D$5000=$G110)*(MOVIMIENTOS!$B$2:$B$5000="INGRESO")*MOVIMIENTOS!$E$2:$E$5000)-SUMPRODUCT((MOVIMIENTOS!$C$2:$C$5000=$A110)*(MOVIMIENTOS!$D$2:$D$5000=$G110)*(MOVIMIENTOS!$B$2:$B$5000="EGRESO")*MOVIMIENTOS!$E$2:$E$5000),"")</f>
        <v/>
      </c>
      <c r="J111" s="13" t="s">
        <v>67</v>
      </c>
      <c r="K111" s="13" t="s">
        <v>25</v>
      </c>
      <c r="L111" s="14">
        <v>46593</v>
      </c>
      <c r="M111" s="9">
        <f t="shared" ca="1" si="2"/>
        <v>614</v>
      </c>
      <c r="N111" s="15" t="s">
        <v>26</v>
      </c>
    </row>
    <row r="112" spans="1:14" ht="16.05" customHeight="1" x14ac:dyDescent="0.3">
      <c r="A112" s="16" t="s">
        <v>409</v>
      </c>
      <c r="B112" s="17" t="s">
        <v>410</v>
      </c>
      <c r="C112" s="18" t="s">
        <v>411</v>
      </c>
      <c r="D112" s="19"/>
      <c r="E112" s="20"/>
      <c r="F112" s="21">
        <v>0</v>
      </c>
      <c r="G112" s="22" t="s">
        <v>412</v>
      </c>
      <c r="H112" s="23">
        <v>2000</v>
      </c>
      <c r="I112" s="24" t="str">
        <f>IFERROR(H111+SUMPRODUCT((MOVIMIENTOS!$C$2:$C$5000=$A111)*(MOVIMIENTOS!$D$2:$D$5000=$G111)*(MOVIMIENTOS!$B$2:$B$5000="INGRESO")*MOVIMIENTOS!$E$2:$E$5000)-SUMPRODUCT((MOVIMIENTOS!$C$2:$C$5000=$A111)*(MOVIMIENTOS!$D$2:$D$5000=$G111)*(MOVIMIENTOS!$B$2:$B$5000="EGRESO")*MOVIMIENTOS!$E$2:$E$5000),"")</f>
        <v/>
      </c>
      <c r="J112" s="25" t="s">
        <v>402</v>
      </c>
      <c r="K112" s="25" t="s">
        <v>115</v>
      </c>
      <c r="L112" s="26">
        <v>46522</v>
      </c>
      <c r="M112" s="21">
        <f t="shared" ca="1" si="2"/>
        <v>467</v>
      </c>
      <c r="N112" s="27" t="s">
        <v>26</v>
      </c>
    </row>
    <row r="113" spans="1:14" ht="16.05" customHeight="1" x14ac:dyDescent="0.3">
      <c r="A113" s="4" t="s">
        <v>409</v>
      </c>
      <c r="B113" s="5" t="s">
        <v>410</v>
      </c>
      <c r="C113" s="6" t="s">
        <v>411</v>
      </c>
      <c r="D113" s="7"/>
      <c r="E113" s="8"/>
      <c r="F113" s="9">
        <v>0</v>
      </c>
      <c r="G113" s="10" t="s">
        <v>413</v>
      </c>
      <c r="H113" s="11">
        <v>4080</v>
      </c>
      <c r="I113" s="12" t="str">
        <f>IFERROR(H112+SUMPRODUCT((MOVIMIENTOS!$C$2:$C$5000=$A112)*(MOVIMIENTOS!$D$2:$D$5000=$G112)*(MOVIMIENTOS!$B$2:$B$5000="INGRESO")*MOVIMIENTOS!$E$2:$E$5000)-SUMPRODUCT((MOVIMIENTOS!$C$2:$C$5000=$A112)*(MOVIMIENTOS!$D$2:$D$5000=$G112)*(MOVIMIENTOS!$B$2:$B$5000="EGRESO")*MOVIMIENTOS!$E$2:$E$5000),"")</f>
        <v/>
      </c>
      <c r="J113" s="13" t="s">
        <v>402</v>
      </c>
      <c r="K113" s="13" t="s">
        <v>115</v>
      </c>
      <c r="L113" s="14">
        <v>46399</v>
      </c>
      <c r="M113" s="9">
        <f t="shared" ca="1" si="2"/>
        <v>396</v>
      </c>
      <c r="N113" s="15" t="s">
        <v>26</v>
      </c>
    </row>
    <row r="114" spans="1:14" ht="16.05" customHeight="1" x14ac:dyDescent="0.3">
      <c r="A114" s="16" t="s">
        <v>414</v>
      </c>
      <c r="B114" s="17" t="s">
        <v>415</v>
      </c>
      <c r="C114" s="18" t="s">
        <v>416</v>
      </c>
      <c r="D114" s="19"/>
      <c r="E114" s="20" t="s">
        <v>52</v>
      </c>
      <c r="F114" s="21">
        <v>0</v>
      </c>
      <c r="G114" s="22" t="s">
        <v>397</v>
      </c>
      <c r="H114" s="29"/>
      <c r="I114" s="24" t="str">
        <f>IFERROR(H113+SUMPRODUCT((MOVIMIENTOS!$C$2:$C$5000=$A113)*(MOVIMIENTOS!$D$2:$D$5000=$G113)*(MOVIMIENTOS!$B$2:$B$5000="INGRESO")*MOVIMIENTOS!$E$2:$E$5000)-SUMPRODUCT((MOVIMIENTOS!$C$2:$C$5000=$A113)*(MOVIMIENTOS!$D$2:$D$5000=$G113)*(MOVIMIENTOS!$B$2:$B$5000="EGRESO")*MOVIMIENTOS!$E$2:$E$5000),"")</f>
        <v/>
      </c>
      <c r="J114" s="25" t="s">
        <v>121</v>
      </c>
      <c r="K114" s="25" t="s">
        <v>115</v>
      </c>
      <c r="L114" s="25"/>
      <c r="M114" s="21">
        <f t="shared" ca="1" si="2"/>
        <v>273</v>
      </c>
      <c r="N114" s="30"/>
    </row>
    <row r="115" spans="1:14" ht="16.05" customHeight="1" x14ac:dyDescent="0.3">
      <c r="A115" s="4" t="s">
        <v>414</v>
      </c>
      <c r="B115" s="5" t="s">
        <v>415</v>
      </c>
      <c r="C115" s="6" t="s">
        <v>416</v>
      </c>
      <c r="D115" s="7"/>
      <c r="E115" s="8" t="s">
        <v>52</v>
      </c>
      <c r="F115" s="9">
        <v>0</v>
      </c>
      <c r="G115" s="10" t="s">
        <v>417</v>
      </c>
      <c r="H115" s="11">
        <v>1000</v>
      </c>
      <c r="I115" s="12" t="str">
        <f>IFERROR(H114+SUMPRODUCT((MOVIMIENTOS!$C$2:$C$5000=$A114)*(MOVIMIENTOS!$D$2:$D$5000=$G114)*(MOVIMIENTOS!$B$2:$B$5000="INGRESO")*MOVIMIENTOS!$E$2:$E$5000)-SUMPRODUCT((MOVIMIENTOS!$C$2:$C$5000=$A114)*(MOVIMIENTOS!$D$2:$D$5000=$G114)*(MOVIMIENTOS!$B$2:$B$5000="EGRESO")*MOVIMIENTOS!$E$2:$E$5000),"")</f>
        <v/>
      </c>
      <c r="J115" s="13" t="s">
        <v>121</v>
      </c>
      <c r="K115" s="13" t="s">
        <v>115</v>
      </c>
      <c r="L115" s="14">
        <v>46634</v>
      </c>
      <c r="M115" s="9" t="str">
        <f t="shared" ca="1" si="2"/>
        <v/>
      </c>
      <c r="N115" s="15" t="s">
        <v>26</v>
      </c>
    </row>
    <row r="116" spans="1:14" ht="16.05" customHeight="1" x14ac:dyDescent="0.3">
      <c r="A116" s="16" t="s">
        <v>414</v>
      </c>
      <c r="B116" s="17" t="s">
        <v>415</v>
      </c>
      <c r="C116" s="18" t="s">
        <v>416</v>
      </c>
      <c r="D116" s="19"/>
      <c r="E116" s="20" t="s">
        <v>52</v>
      </c>
      <c r="F116" s="21">
        <v>0</v>
      </c>
      <c r="G116" s="22" t="s">
        <v>418</v>
      </c>
      <c r="H116" s="23">
        <v>891</v>
      </c>
      <c r="I116" s="24" t="str">
        <f>IFERROR(H115+SUMPRODUCT((MOVIMIENTOS!$C$2:$C$5000=$A115)*(MOVIMIENTOS!$D$2:$D$5000=$G115)*(MOVIMIENTOS!$B$2:$B$5000="INGRESO")*MOVIMIENTOS!$E$2:$E$5000)-SUMPRODUCT((MOVIMIENTOS!$C$2:$C$5000=$A115)*(MOVIMIENTOS!$D$2:$D$5000=$G115)*(MOVIMIENTOS!$B$2:$B$5000="EGRESO")*MOVIMIENTOS!$E$2:$E$5000),"")</f>
        <v/>
      </c>
      <c r="J116" s="25" t="s">
        <v>121</v>
      </c>
      <c r="K116" s="25" t="s">
        <v>115</v>
      </c>
      <c r="L116" s="26">
        <v>46735</v>
      </c>
      <c r="M116" s="21">
        <f t="shared" ca="1" si="2"/>
        <v>508</v>
      </c>
      <c r="N116" s="27" t="s">
        <v>26</v>
      </c>
    </row>
    <row r="117" spans="1:14" ht="16.05" customHeight="1" x14ac:dyDescent="0.3">
      <c r="A117" s="4" t="s">
        <v>419</v>
      </c>
      <c r="B117" s="5" t="s">
        <v>299</v>
      </c>
      <c r="C117" s="6" t="s">
        <v>420</v>
      </c>
      <c r="D117" s="7"/>
      <c r="E117" s="8"/>
      <c r="F117" s="9">
        <v>0</v>
      </c>
      <c r="G117" s="10" t="s">
        <v>421</v>
      </c>
      <c r="H117" s="11">
        <v>6</v>
      </c>
      <c r="I117" s="12" t="str">
        <f>IFERROR(H116+SUMPRODUCT((MOVIMIENTOS!$C$2:$C$5000=$A116)*(MOVIMIENTOS!$D$2:$D$5000=$G116)*(MOVIMIENTOS!$B$2:$B$5000="INGRESO")*MOVIMIENTOS!$E$2:$E$5000)-SUMPRODUCT((MOVIMIENTOS!$C$2:$C$5000=$A116)*(MOVIMIENTOS!$D$2:$D$5000=$G116)*(MOVIMIENTOS!$B$2:$B$5000="EGRESO")*MOVIMIENTOS!$E$2:$E$5000),"")</f>
        <v/>
      </c>
      <c r="J117" s="13" t="s">
        <v>24</v>
      </c>
      <c r="K117" s="13" t="s">
        <v>115</v>
      </c>
      <c r="L117" s="14">
        <v>46555</v>
      </c>
      <c r="M117" s="9">
        <f t="shared" ca="1" si="2"/>
        <v>609</v>
      </c>
      <c r="N117" s="15" t="s">
        <v>26</v>
      </c>
    </row>
    <row r="118" spans="1:14" ht="16.05" customHeight="1" x14ac:dyDescent="0.3">
      <c r="A118" s="16" t="s">
        <v>419</v>
      </c>
      <c r="B118" s="17" t="s">
        <v>299</v>
      </c>
      <c r="C118" s="18" t="s">
        <v>420</v>
      </c>
      <c r="D118" s="19"/>
      <c r="E118" s="20"/>
      <c r="F118" s="21">
        <v>0</v>
      </c>
      <c r="G118" s="22" t="s">
        <v>422</v>
      </c>
      <c r="H118" s="23">
        <v>100</v>
      </c>
      <c r="I118" s="24" t="str">
        <f>IFERROR(H117+SUMPRODUCT((MOVIMIENTOS!$C$2:$C$5000=$A117)*(MOVIMIENTOS!$D$2:$D$5000=$G117)*(MOVIMIENTOS!$B$2:$B$5000="INGRESO")*MOVIMIENTOS!$E$2:$E$5000)-SUMPRODUCT((MOVIMIENTOS!$C$2:$C$5000=$A117)*(MOVIMIENTOS!$D$2:$D$5000=$G117)*(MOVIMIENTOS!$B$2:$B$5000="EGRESO")*MOVIMIENTOS!$E$2:$E$5000),"")</f>
        <v/>
      </c>
      <c r="J118" s="25" t="s">
        <v>24</v>
      </c>
      <c r="K118" s="25" t="s">
        <v>115</v>
      </c>
      <c r="L118" s="26">
        <v>46748</v>
      </c>
      <c r="M118" s="21">
        <f t="shared" ca="1" si="2"/>
        <v>429</v>
      </c>
      <c r="N118" s="27" t="s">
        <v>26</v>
      </c>
    </row>
    <row r="119" spans="1:14" ht="16.05" customHeight="1" x14ac:dyDescent="0.3">
      <c r="A119" s="4" t="s">
        <v>419</v>
      </c>
      <c r="B119" s="5" t="s">
        <v>299</v>
      </c>
      <c r="C119" s="6" t="s">
        <v>420</v>
      </c>
      <c r="D119" s="7"/>
      <c r="E119" s="8"/>
      <c r="F119" s="9">
        <v>0</v>
      </c>
      <c r="G119" s="10" t="s">
        <v>393</v>
      </c>
      <c r="H119" s="11">
        <v>100</v>
      </c>
      <c r="I119" s="12" t="str">
        <f>IFERROR(H118+SUMPRODUCT((MOVIMIENTOS!$C$2:$C$5000=$A118)*(MOVIMIENTOS!$D$2:$D$5000=$G118)*(MOVIMIENTOS!$B$2:$B$5000="INGRESO")*MOVIMIENTOS!$E$2:$E$5000)-SUMPRODUCT((MOVIMIENTOS!$C$2:$C$5000=$A118)*(MOVIMIENTOS!$D$2:$D$5000=$G118)*(MOVIMIENTOS!$B$2:$B$5000="EGRESO")*MOVIMIENTOS!$E$2:$E$5000),"")</f>
        <v/>
      </c>
      <c r="J119" s="13" t="s">
        <v>24</v>
      </c>
      <c r="K119" s="13" t="s">
        <v>115</v>
      </c>
      <c r="L119" s="14">
        <v>46590</v>
      </c>
      <c r="M119" s="9">
        <f t="shared" ca="1" si="2"/>
        <v>622</v>
      </c>
      <c r="N119" s="15" t="s">
        <v>26</v>
      </c>
    </row>
    <row r="120" spans="1:14" ht="16.05" customHeight="1" x14ac:dyDescent="0.3">
      <c r="A120" s="16" t="s">
        <v>423</v>
      </c>
      <c r="B120" s="17" t="s">
        <v>424</v>
      </c>
      <c r="C120" s="18" t="s">
        <v>425</v>
      </c>
      <c r="D120" s="19"/>
      <c r="E120" s="20"/>
      <c r="F120" s="21">
        <v>0</v>
      </c>
      <c r="G120" s="22" t="s">
        <v>426</v>
      </c>
      <c r="H120" s="23">
        <v>16100</v>
      </c>
      <c r="I120" s="24" t="str">
        <f>IFERROR(H119+SUMPRODUCT((MOVIMIENTOS!$C$2:$C$5000=$A119)*(MOVIMIENTOS!$D$2:$D$5000=$G119)*(MOVIMIENTOS!$B$2:$B$5000="INGRESO")*MOVIMIENTOS!$E$2:$E$5000)-SUMPRODUCT((MOVIMIENTOS!$C$2:$C$5000=$A119)*(MOVIMIENTOS!$D$2:$D$5000=$G119)*(MOVIMIENTOS!$B$2:$B$5000="EGRESO")*MOVIMIENTOS!$E$2:$E$5000),"")</f>
        <v/>
      </c>
      <c r="J120" s="25" t="s">
        <v>42</v>
      </c>
      <c r="K120" s="25" t="s">
        <v>72</v>
      </c>
      <c r="L120" s="26">
        <v>46759</v>
      </c>
      <c r="M120" s="21">
        <f t="shared" ca="1" si="2"/>
        <v>464</v>
      </c>
      <c r="N120" s="27" t="s">
        <v>26</v>
      </c>
    </row>
    <row r="121" spans="1:14" ht="16.05" customHeight="1" x14ac:dyDescent="0.3">
      <c r="A121" s="4" t="s">
        <v>423</v>
      </c>
      <c r="B121" s="5" t="s">
        <v>424</v>
      </c>
      <c r="C121" s="6" t="s">
        <v>425</v>
      </c>
      <c r="D121" s="7"/>
      <c r="E121" s="8"/>
      <c r="F121" s="9">
        <v>0</v>
      </c>
      <c r="G121" s="10" t="s">
        <v>427</v>
      </c>
      <c r="H121" s="11">
        <v>3500</v>
      </c>
      <c r="I121" s="12" t="str">
        <f>IFERROR(H120+SUMPRODUCT((MOVIMIENTOS!$C$2:$C$5000=$A120)*(MOVIMIENTOS!$D$2:$D$5000=$G120)*(MOVIMIENTOS!$B$2:$B$5000="INGRESO")*MOVIMIENTOS!$E$2:$E$5000)-SUMPRODUCT((MOVIMIENTOS!$C$2:$C$5000=$A120)*(MOVIMIENTOS!$D$2:$D$5000=$G120)*(MOVIMIENTOS!$B$2:$B$5000="EGRESO")*MOVIMIENTOS!$E$2:$E$5000),"")</f>
        <v/>
      </c>
      <c r="J121" s="13" t="s">
        <v>156</v>
      </c>
      <c r="K121" s="13"/>
      <c r="L121" s="13"/>
      <c r="M121" s="9">
        <f t="shared" ca="1" si="2"/>
        <v>633</v>
      </c>
      <c r="N121" s="31"/>
    </row>
    <row r="122" spans="1:14" ht="16.05" customHeight="1" x14ac:dyDescent="0.3">
      <c r="A122" s="16" t="s">
        <v>423</v>
      </c>
      <c r="B122" s="17" t="s">
        <v>424</v>
      </c>
      <c r="C122" s="18" t="s">
        <v>425</v>
      </c>
      <c r="D122" s="19"/>
      <c r="E122" s="20"/>
      <c r="F122" s="21">
        <v>0</v>
      </c>
      <c r="G122" s="22" t="s">
        <v>428</v>
      </c>
      <c r="H122" s="23">
        <v>7700</v>
      </c>
      <c r="I122" s="24" t="str">
        <f>IFERROR(H121+SUMPRODUCT((MOVIMIENTOS!$C$2:$C$5000=$A121)*(MOVIMIENTOS!$D$2:$D$5000=$G121)*(MOVIMIENTOS!$B$2:$B$5000="INGRESO")*MOVIMIENTOS!$E$2:$E$5000)-SUMPRODUCT((MOVIMIENTOS!$C$2:$C$5000=$A121)*(MOVIMIENTOS!$D$2:$D$5000=$G121)*(MOVIMIENTOS!$B$2:$B$5000="EGRESO")*MOVIMIENTOS!$E$2:$E$5000),"")</f>
        <v/>
      </c>
      <c r="J122" s="25" t="s">
        <v>42</v>
      </c>
      <c r="K122" s="25" t="s">
        <v>72</v>
      </c>
      <c r="L122" s="26">
        <v>46647</v>
      </c>
      <c r="M122" s="21" t="str">
        <f t="shared" ca="1" si="2"/>
        <v/>
      </c>
      <c r="N122" s="27" t="s">
        <v>26</v>
      </c>
    </row>
    <row r="123" spans="1:14" ht="16.05" customHeight="1" x14ac:dyDescent="0.3">
      <c r="A123" s="4" t="s">
        <v>423</v>
      </c>
      <c r="B123" s="5" t="s">
        <v>424</v>
      </c>
      <c r="C123" s="6" t="s">
        <v>425</v>
      </c>
      <c r="D123" s="7"/>
      <c r="E123" s="8"/>
      <c r="F123" s="9">
        <v>0</v>
      </c>
      <c r="G123" s="10" t="s">
        <v>429</v>
      </c>
      <c r="H123" s="11">
        <v>6650</v>
      </c>
      <c r="I123" s="12" t="str">
        <f>IFERROR(H122+SUMPRODUCT((MOVIMIENTOS!$C$2:$C$5000=$A122)*(MOVIMIENTOS!$D$2:$D$5000=$G122)*(MOVIMIENTOS!$B$2:$B$5000="INGRESO")*MOVIMIENTOS!$E$2:$E$5000)-SUMPRODUCT((MOVIMIENTOS!$C$2:$C$5000=$A122)*(MOVIMIENTOS!$D$2:$D$5000=$G122)*(MOVIMIENTOS!$B$2:$B$5000="EGRESO")*MOVIMIENTOS!$E$2:$E$5000),"")</f>
        <v/>
      </c>
      <c r="J123" s="13" t="s">
        <v>42</v>
      </c>
      <c r="K123" s="13" t="s">
        <v>72</v>
      </c>
      <c r="L123" s="14">
        <v>46715</v>
      </c>
      <c r="M123" s="9">
        <f t="shared" ca="1" si="2"/>
        <v>521</v>
      </c>
      <c r="N123" s="15" t="s">
        <v>26</v>
      </c>
    </row>
    <row r="124" spans="1:14" ht="16.05" customHeight="1" x14ac:dyDescent="0.3">
      <c r="A124" s="16" t="s">
        <v>430</v>
      </c>
      <c r="B124" s="17" t="s">
        <v>431</v>
      </c>
      <c r="C124" s="18" t="s">
        <v>432</v>
      </c>
      <c r="D124" s="19"/>
      <c r="E124" s="20"/>
      <c r="F124" s="21">
        <v>0</v>
      </c>
      <c r="G124" s="22" t="s">
        <v>433</v>
      </c>
      <c r="H124" s="23">
        <v>2000</v>
      </c>
      <c r="I124" s="24" t="str">
        <f>IFERROR(H123+SUMPRODUCT((MOVIMIENTOS!$C$2:$C$5000=$A123)*(MOVIMIENTOS!$D$2:$D$5000=$G123)*(MOVIMIENTOS!$B$2:$B$5000="INGRESO")*MOVIMIENTOS!$E$2:$E$5000)-SUMPRODUCT((MOVIMIENTOS!$C$2:$C$5000=$A123)*(MOVIMIENTOS!$D$2:$D$5000=$G123)*(MOVIMIENTOS!$B$2:$B$5000="EGRESO")*MOVIMIENTOS!$E$2:$E$5000),"")</f>
        <v/>
      </c>
      <c r="J124" s="25" t="s">
        <v>189</v>
      </c>
      <c r="K124" s="25" t="s">
        <v>25</v>
      </c>
      <c r="L124" s="26">
        <v>46569</v>
      </c>
      <c r="M124" s="21">
        <f t="shared" ca="1" si="2"/>
        <v>589</v>
      </c>
      <c r="N124" s="27" t="s">
        <v>26</v>
      </c>
    </row>
    <row r="125" spans="1:14" ht="16.05" customHeight="1" x14ac:dyDescent="0.3">
      <c r="A125" s="4" t="s">
        <v>430</v>
      </c>
      <c r="B125" s="5" t="s">
        <v>431</v>
      </c>
      <c r="C125" s="6" t="s">
        <v>432</v>
      </c>
      <c r="D125" s="7"/>
      <c r="E125" s="8"/>
      <c r="F125" s="9">
        <v>0</v>
      </c>
      <c r="G125" s="10" t="s">
        <v>434</v>
      </c>
      <c r="H125" s="11">
        <v>26</v>
      </c>
      <c r="I125" s="12" t="str">
        <f>IFERROR(H124+SUMPRODUCT((MOVIMIENTOS!$C$2:$C$5000=$A124)*(MOVIMIENTOS!$D$2:$D$5000=$G124)*(MOVIMIENTOS!$B$2:$B$5000="INGRESO")*MOVIMIENTOS!$E$2:$E$5000)-SUMPRODUCT((MOVIMIENTOS!$C$2:$C$5000=$A124)*(MOVIMIENTOS!$D$2:$D$5000=$G124)*(MOVIMIENTOS!$B$2:$B$5000="EGRESO")*MOVIMIENTOS!$E$2:$E$5000),"")</f>
        <v/>
      </c>
      <c r="J125" s="13" t="s">
        <v>189</v>
      </c>
      <c r="K125" s="13" t="s">
        <v>115</v>
      </c>
      <c r="L125" s="14">
        <v>46565</v>
      </c>
      <c r="M125" s="9">
        <f t="shared" ca="1" si="2"/>
        <v>443</v>
      </c>
      <c r="N125" s="15" t="s">
        <v>26</v>
      </c>
    </row>
    <row r="126" spans="1:14" ht="16.05" customHeight="1" x14ac:dyDescent="0.3">
      <c r="A126" s="16" t="s">
        <v>430</v>
      </c>
      <c r="B126" s="17" t="s">
        <v>431</v>
      </c>
      <c r="C126" s="18" t="s">
        <v>432</v>
      </c>
      <c r="D126" s="19"/>
      <c r="E126" s="20"/>
      <c r="F126" s="21">
        <v>0</v>
      </c>
      <c r="G126" s="22" t="s">
        <v>435</v>
      </c>
      <c r="H126" s="29"/>
      <c r="I126" s="24" t="str">
        <f>IFERROR(H125+SUMPRODUCT((MOVIMIENTOS!$C$2:$C$5000=$A125)*(MOVIMIENTOS!$D$2:$D$5000=$G125)*(MOVIMIENTOS!$B$2:$B$5000="INGRESO")*MOVIMIENTOS!$E$2:$E$5000)-SUMPRODUCT((MOVIMIENTOS!$C$2:$C$5000=$A125)*(MOVIMIENTOS!$D$2:$D$5000=$G125)*(MOVIMIENTOS!$B$2:$B$5000="EGRESO")*MOVIMIENTOS!$E$2:$E$5000),"")</f>
        <v/>
      </c>
      <c r="J126" s="25" t="s">
        <v>189</v>
      </c>
      <c r="K126" s="25" t="s">
        <v>25</v>
      </c>
      <c r="L126" s="25"/>
      <c r="M126" s="21">
        <f t="shared" ca="1" si="2"/>
        <v>439</v>
      </c>
      <c r="N126" s="30"/>
    </row>
    <row r="127" spans="1:14" ht="16.05" customHeight="1" x14ac:dyDescent="0.3">
      <c r="A127" s="4" t="s">
        <v>436</v>
      </c>
      <c r="B127" s="5" t="s">
        <v>437</v>
      </c>
      <c r="C127" s="6" t="s">
        <v>438</v>
      </c>
      <c r="D127" s="7"/>
      <c r="E127" s="8"/>
      <c r="F127" s="9">
        <v>0</v>
      </c>
      <c r="G127" s="10" t="s">
        <v>439</v>
      </c>
      <c r="H127" s="11">
        <v>41</v>
      </c>
      <c r="I127" s="12" t="str">
        <f>IFERROR(H126+SUMPRODUCT((MOVIMIENTOS!$C$2:$C$5000=$A126)*(MOVIMIENTOS!$D$2:$D$5000=$G126)*(MOVIMIENTOS!$B$2:$B$5000="INGRESO")*MOVIMIENTOS!$E$2:$E$5000)-SUMPRODUCT((MOVIMIENTOS!$C$2:$C$5000=$A126)*(MOVIMIENTOS!$D$2:$D$5000=$G126)*(MOVIMIENTOS!$B$2:$B$5000="EGRESO")*MOVIMIENTOS!$E$2:$E$5000),"")</f>
        <v/>
      </c>
      <c r="J127" s="13" t="s">
        <v>189</v>
      </c>
      <c r="K127" s="13" t="s">
        <v>115</v>
      </c>
      <c r="L127" s="14">
        <v>46461</v>
      </c>
      <c r="M127" s="9" t="str">
        <f t="shared" ca="1" si="2"/>
        <v/>
      </c>
      <c r="N127" s="15" t="s">
        <v>26</v>
      </c>
    </row>
    <row r="128" spans="1:14" ht="16.05" customHeight="1" x14ac:dyDescent="0.3">
      <c r="A128" s="16" t="s">
        <v>440</v>
      </c>
      <c r="B128" s="17" t="s">
        <v>441</v>
      </c>
      <c r="C128" s="18" t="s">
        <v>442</v>
      </c>
      <c r="D128" s="19"/>
      <c r="E128" s="20"/>
      <c r="F128" s="21">
        <v>0</v>
      </c>
      <c r="G128" s="22" t="s">
        <v>443</v>
      </c>
      <c r="H128" s="23">
        <v>1000</v>
      </c>
      <c r="I128" s="24" t="str">
        <f>IFERROR(H127+SUMPRODUCT((MOVIMIENTOS!$C$2:$C$5000=$A127)*(MOVIMIENTOS!$D$2:$D$5000=$G127)*(MOVIMIENTOS!$B$2:$B$5000="INGRESO")*MOVIMIENTOS!$E$2:$E$5000)-SUMPRODUCT((MOVIMIENTOS!$C$2:$C$5000=$A127)*(MOVIMIENTOS!$D$2:$D$5000=$G127)*(MOVIMIENTOS!$B$2:$B$5000="EGRESO")*MOVIMIENTOS!$E$2:$E$5000),"")</f>
        <v/>
      </c>
      <c r="J128" s="25" t="s">
        <v>402</v>
      </c>
      <c r="K128" s="25" t="s">
        <v>115</v>
      </c>
      <c r="L128" s="26">
        <v>46564</v>
      </c>
      <c r="M128" s="21">
        <f t="shared" ca="1" si="2"/>
        <v>335</v>
      </c>
      <c r="N128" s="27" t="s">
        <v>26</v>
      </c>
    </row>
    <row r="129" spans="1:14" ht="16.05" customHeight="1" x14ac:dyDescent="0.3">
      <c r="A129" s="4" t="s">
        <v>444</v>
      </c>
      <c r="B129" s="5" t="s">
        <v>445</v>
      </c>
      <c r="C129" s="6" t="s">
        <v>446</v>
      </c>
      <c r="D129" s="7"/>
      <c r="E129" s="8"/>
      <c r="F129" s="9">
        <v>0</v>
      </c>
      <c r="G129" s="10" t="s">
        <v>447</v>
      </c>
      <c r="H129" s="11">
        <v>5950</v>
      </c>
      <c r="I129" s="12" t="str">
        <f>IFERROR(H128+SUMPRODUCT((MOVIMIENTOS!$C$2:$C$5000=$A128)*(MOVIMIENTOS!$D$2:$D$5000=$G128)*(MOVIMIENTOS!$B$2:$B$5000="INGRESO")*MOVIMIENTOS!$E$2:$E$5000)-SUMPRODUCT((MOVIMIENTOS!$C$2:$C$5000=$A128)*(MOVIMIENTOS!$D$2:$D$5000=$G128)*(MOVIMIENTOS!$B$2:$B$5000="EGRESO")*MOVIMIENTOS!$E$2:$E$5000),"")</f>
        <v/>
      </c>
      <c r="J129" s="13" t="s">
        <v>114</v>
      </c>
      <c r="K129" s="13" t="s">
        <v>231</v>
      </c>
      <c r="L129" s="14">
        <v>46718</v>
      </c>
      <c r="M129" s="9">
        <f t="shared" ca="1" si="2"/>
        <v>438</v>
      </c>
      <c r="N129" s="15" t="s">
        <v>26</v>
      </c>
    </row>
    <row r="130" spans="1:14" ht="16.05" customHeight="1" x14ac:dyDescent="0.3">
      <c r="A130" s="16" t="s">
        <v>448</v>
      </c>
      <c r="B130" s="17" t="s">
        <v>449</v>
      </c>
      <c r="C130" s="18" t="s">
        <v>450</v>
      </c>
      <c r="D130" s="19"/>
      <c r="E130" s="20" t="s">
        <v>52</v>
      </c>
      <c r="F130" s="21">
        <v>0</v>
      </c>
      <c r="G130" s="22" t="s">
        <v>451</v>
      </c>
      <c r="H130" s="23">
        <v>1010</v>
      </c>
      <c r="I130" s="24" t="str">
        <f>IFERROR(H129+SUMPRODUCT((MOVIMIENTOS!$C$2:$C$5000=$A129)*(MOVIMIENTOS!$D$2:$D$5000=$G129)*(MOVIMIENTOS!$B$2:$B$5000="INGRESO")*MOVIMIENTOS!$E$2:$E$5000)-SUMPRODUCT((MOVIMIENTOS!$C$2:$C$5000=$A129)*(MOVIMIENTOS!$D$2:$D$5000=$G129)*(MOVIMIENTOS!$B$2:$B$5000="EGRESO")*MOVIMIENTOS!$E$2:$E$5000),"")</f>
        <v/>
      </c>
      <c r="J130" s="25" t="s">
        <v>121</v>
      </c>
      <c r="K130" s="25" t="s">
        <v>115</v>
      </c>
      <c r="L130" s="26">
        <v>46543</v>
      </c>
      <c r="M130" s="21">
        <f t="shared" ca="1" si="2"/>
        <v>592</v>
      </c>
      <c r="N130" s="27" t="s">
        <v>26</v>
      </c>
    </row>
    <row r="131" spans="1:14" ht="16.05" customHeight="1" x14ac:dyDescent="0.3">
      <c r="A131" s="4" t="s">
        <v>448</v>
      </c>
      <c r="B131" s="5" t="s">
        <v>449</v>
      </c>
      <c r="C131" s="6" t="s">
        <v>450</v>
      </c>
      <c r="D131" s="7"/>
      <c r="E131" s="8" t="s">
        <v>52</v>
      </c>
      <c r="F131" s="9">
        <v>0</v>
      </c>
      <c r="G131" s="10" t="s">
        <v>452</v>
      </c>
      <c r="H131" s="11">
        <v>2000</v>
      </c>
      <c r="I131" s="12" t="str">
        <f>IFERROR(H130+SUMPRODUCT((MOVIMIENTOS!$C$2:$C$5000=$A130)*(MOVIMIENTOS!$D$2:$D$5000=$G130)*(MOVIMIENTOS!$B$2:$B$5000="INGRESO")*MOVIMIENTOS!$E$2:$E$5000)-SUMPRODUCT((MOVIMIENTOS!$C$2:$C$5000=$A130)*(MOVIMIENTOS!$D$2:$D$5000=$G130)*(MOVIMIENTOS!$B$2:$B$5000="EGRESO")*MOVIMIENTOS!$E$2:$E$5000),"")</f>
        <v/>
      </c>
      <c r="J131" s="13" t="s">
        <v>121</v>
      </c>
      <c r="K131" s="13" t="s">
        <v>115</v>
      </c>
      <c r="L131" s="14">
        <v>46635</v>
      </c>
      <c r="M131" s="9">
        <f t="shared" ca="1" si="2"/>
        <v>417</v>
      </c>
      <c r="N131" s="15" t="s">
        <v>26</v>
      </c>
    </row>
    <row r="132" spans="1:14" ht="16.05" customHeight="1" x14ac:dyDescent="0.3">
      <c r="A132" s="16" t="s">
        <v>448</v>
      </c>
      <c r="B132" s="17" t="s">
        <v>449</v>
      </c>
      <c r="C132" s="18" t="s">
        <v>450</v>
      </c>
      <c r="D132" s="19"/>
      <c r="E132" s="20" t="s">
        <v>52</v>
      </c>
      <c r="F132" s="21">
        <v>0</v>
      </c>
      <c r="G132" s="22" t="s">
        <v>453</v>
      </c>
      <c r="H132" s="23">
        <v>2856</v>
      </c>
      <c r="I132" s="24" t="str">
        <f>IFERROR(H131+SUMPRODUCT((MOVIMIENTOS!$C$2:$C$5000=$A131)*(MOVIMIENTOS!$D$2:$D$5000=$G131)*(MOVIMIENTOS!$B$2:$B$5000="INGRESO")*MOVIMIENTOS!$E$2:$E$5000)-SUMPRODUCT((MOVIMIENTOS!$C$2:$C$5000=$A131)*(MOVIMIENTOS!$D$2:$D$5000=$G131)*(MOVIMIENTOS!$B$2:$B$5000="EGRESO")*MOVIMIENTOS!$E$2:$E$5000),"")</f>
        <v/>
      </c>
      <c r="J132" s="25" t="s">
        <v>121</v>
      </c>
      <c r="K132" s="25" t="s">
        <v>115</v>
      </c>
      <c r="L132" s="26">
        <v>46741</v>
      </c>
      <c r="M132" s="21">
        <f t="shared" ref="M132:M195" ca="1" si="3">IF(L131="","",L131-TODAY())</f>
        <v>509</v>
      </c>
      <c r="N132" s="27" t="s">
        <v>26</v>
      </c>
    </row>
    <row r="133" spans="1:14" ht="16.05" customHeight="1" x14ac:dyDescent="0.3">
      <c r="A133" s="32" t="s">
        <v>454</v>
      </c>
      <c r="B133" s="33" t="s">
        <v>455</v>
      </c>
      <c r="C133" s="34" t="s">
        <v>456</v>
      </c>
      <c r="D133" s="35"/>
      <c r="E133" s="36"/>
      <c r="F133" s="37">
        <v>0</v>
      </c>
      <c r="G133" s="38" t="s">
        <v>457</v>
      </c>
      <c r="H133" s="83">
        <v>1895</v>
      </c>
      <c r="I133" s="40" t="str">
        <f>IFERROR(H132+SUMPRODUCT((MOVIMIENTOS!$C$2:$C$5000=$A132)*(MOVIMIENTOS!$D$2:$D$5000=$G132)*(MOVIMIENTOS!$B$2:$B$5000="INGRESO")*MOVIMIENTOS!$E$2:$E$5000)-SUMPRODUCT((MOVIMIENTOS!$C$2:$C$5000=$A132)*(MOVIMIENTOS!$D$2:$D$5000=$G132)*(MOVIMIENTOS!$B$2:$B$5000="EGRESO")*MOVIMIENTOS!$E$2:$E$5000),"")</f>
        <v/>
      </c>
      <c r="J133" s="41" t="s">
        <v>189</v>
      </c>
      <c r="K133" s="41" t="s">
        <v>25</v>
      </c>
      <c r="L133" s="42">
        <v>45987</v>
      </c>
      <c r="M133" s="37">
        <f t="shared" ca="1" si="3"/>
        <v>615</v>
      </c>
      <c r="N133" s="43" t="s">
        <v>130</v>
      </c>
    </row>
    <row r="134" spans="1:14" ht="16.05" customHeight="1" x14ac:dyDescent="0.3">
      <c r="A134" s="16" t="s">
        <v>454</v>
      </c>
      <c r="B134" s="17" t="s">
        <v>455</v>
      </c>
      <c r="C134" s="18" t="s">
        <v>456</v>
      </c>
      <c r="D134" s="19"/>
      <c r="E134" s="20"/>
      <c r="F134" s="21">
        <v>0</v>
      </c>
      <c r="G134" s="22" t="s">
        <v>458</v>
      </c>
      <c r="H134" s="23">
        <v>24290</v>
      </c>
      <c r="I134" s="24" t="str">
        <f>IFERROR(H133+SUMPRODUCT((MOVIMIENTOS!$C$2:$C$5000=$A133)*(MOVIMIENTOS!$D$2:$D$5000=$G133)*(MOVIMIENTOS!$B$2:$B$5000="INGRESO")*MOVIMIENTOS!$E$2:$E$5000)-SUMPRODUCT((MOVIMIENTOS!$C$2:$C$5000=$A133)*(MOVIMIENTOS!$D$2:$D$5000=$G133)*(MOVIMIENTOS!$B$2:$B$5000="EGRESO")*MOVIMIENTOS!$E$2:$E$5000),"")</f>
        <v/>
      </c>
      <c r="J134" s="25" t="s">
        <v>240</v>
      </c>
      <c r="K134" s="25" t="s">
        <v>115</v>
      </c>
      <c r="L134" s="26">
        <v>46825</v>
      </c>
      <c r="M134" s="21">
        <f t="shared" ca="1" si="3"/>
        <v>-139</v>
      </c>
      <c r="N134" s="27" t="s">
        <v>26</v>
      </c>
    </row>
    <row r="135" spans="1:14" ht="16.05" customHeight="1" x14ac:dyDescent="0.3">
      <c r="A135" s="4" t="s">
        <v>454</v>
      </c>
      <c r="B135" s="5" t="s">
        <v>455</v>
      </c>
      <c r="C135" s="6" t="s">
        <v>456</v>
      </c>
      <c r="D135" s="7"/>
      <c r="E135" s="8"/>
      <c r="F135" s="9">
        <v>0</v>
      </c>
      <c r="G135" s="10" t="s">
        <v>459</v>
      </c>
      <c r="H135" s="28"/>
      <c r="I135" s="12" t="str">
        <f>IFERROR(H134+SUMPRODUCT((MOVIMIENTOS!$C$2:$C$5000=$A134)*(MOVIMIENTOS!$D$2:$D$5000=$G134)*(MOVIMIENTOS!$B$2:$B$5000="INGRESO")*MOVIMIENTOS!$E$2:$E$5000)-SUMPRODUCT((MOVIMIENTOS!$C$2:$C$5000=$A134)*(MOVIMIENTOS!$D$2:$D$5000=$G134)*(MOVIMIENTOS!$B$2:$B$5000="EGRESO")*MOVIMIENTOS!$E$2:$E$5000),"")</f>
        <v/>
      </c>
      <c r="J135" s="13" t="s">
        <v>189</v>
      </c>
      <c r="K135" s="13" t="s">
        <v>25</v>
      </c>
      <c r="L135" s="13"/>
      <c r="M135" s="9">
        <f t="shared" ca="1" si="3"/>
        <v>699</v>
      </c>
      <c r="N135" s="31"/>
    </row>
    <row r="136" spans="1:14" ht="16.05" customHeight="1" x14ac:dyDescent="0.3">
      <c r="A136" s="16" t="s">
        <v>460</v>
      </c>
      <c r="B136" s="17" t="s">
        <v>299</v>
      </c>
      <c r="C136" s="18" t="s">
        <v>461</v>
      </c>
      <c r="D136" s="19"/>
      <c r="E136" s="20" t="s">
        <v>22</v>
      </c>
      <c r="F136" s="21">
        <v>0</v>
      </c>
      <c r="G136" s="22" t="s">
        <v>462</v>
      </c>
      <c r="H136" s="23">
        <v>17.5</v>
      </c>
      <c r="I136" s="24" t="str">
        <f>IFERROR(H135+SUMPRODUCT((MOVIMIENTOS!$C$2:$C$5000=$A135)*(MOVIMIENTOS!$D$2:$D$5000=$G135)*(MOVIMIENTOS!$B$2:$B$5000="INGRESO")*MOVIMIENTOS!$E$2:$E$5000)-SUMPRODUCT((MOVIMIENTOS!$C$2:$C$5000=$A135)*(MOVIMIENTOS!$D$2:$D$5000=$G135)*(MOVIMIENTOS!$B$2:$B$5000="EGRESO")*MOVIMIENTOS!$E$2:$E$5000),"")</f>
        <v/>
      </c>
      <c r="J136" s="25" t="s">
        <v>24</v>
      </c>
      <c r="K136" s="25" t="s">
        <v>115</v>
      </c>
      <c r="L136" s="26">
        <v>46591</v>
      </c>
      <c r="M136" s="21" t="str">
        <f t="shared" ca="1" si="3"/>
        <v/>
      </c>
      <c r="N136" s="27" t="s">
        <v>26</v>
      </c>
    </row>
    <row r="137" spans="1:14" ht="16.05" customHeight="1" x14ac:dyDescent="0.3">
      <c r="A137" s="4" t="s">
        <v>463</v>
      </c>
      <c r="B137" s="5" t="s">
        <v>464</v>
      </c>
      <c r="C137" s="6" t="s">
        <v>465</v>
      </c>
      <c r="D137" s="7"/>
      <c r="E137" s="8" t="s">
        <v>52</v>
      </c>
      <c r="F137" s="9">
        <v>0</v>
      </c>
      <c r="G137" s="10" t="s">
        <v>466</v>
      </c>
      <c r="H137" s="11">
        <v>877</v>
      </c>
      <c r="I137" s="12" t="str">
        <f>IFERROR(H136+SUMPRODUCT((MOVIMIENTOS!$C$2:$C$5000=$A136)*(MOVIMIENTOS!$D$2:$D$5000=$G136)*(MOVIMIENTOS!$B$2:$B$5000="INGRESO")*MOVIMIENTOS!$E$2:$E$5000)-SUMPRODUCT((MOVIMIENTOS!$C$2:$C$5000=$A136)*(MOVIMIENTOS!$D$2:$D$5000=$G136)*(MOVIMIENTOS!$B$2:$B$5000="EGRESO")*MOVIMIENTOS!$E$2:$E$5000),"")</f>
        <v/>
      </c>
      <c r="J137" s="13" t="s">
        <v>402</v>
      </c>
      <c r="K137" s="13" t="s">
        <v>231</v>
      </c>
      <c r="L137" s="14">
        <v>46360</v>
      </c>
      <c r="M137" s="9">
        <f t="shared" ca="1" si="3"/>
        <v>465</v>
      </c>
      <c r="N137" s="15" t="s">
        <v>26</v>
      </c>
    </row>
    <row r="138" spans="1:14" ht="16.05" customHeight="1" x14ac:dyDescent="0.3">
      <c r="A138" s="16" t="s">
        <v>467</v>
      </c>
      <c r="B138" s="17" t="s">
        <v>468</v>
      </c>
      <c r="C138" s="18" t="s">
        <v>469</v>
      </c>
      <c r="D138" s="19"/>
      <c r="E138" s="20" t="s">
        <v>52</v>
      </c>
      <c r="F138" s="21">
        <v>0</v>
      </c>
      <c r="G138" s="22" t="s">
        <v>470</v>
      </c>
      <c r="H138" s="23">
        <v>945</v>
      </c>
      <c r="I138" s="24" t="str">
        <f>IFERROR(H137+SUMPRODUCT((MOVIMIENTOS!$C$2:$C$5000=$A137)*(MOVIMIENTOS!$D$2:$D$5000=$G137)*(MOVIMIENTOS!$B$2:$B$5000="INGRESO")*MOVIMIENTOS!$E$2:$E$5000)-SUMPRODUCT((MOVIMIENTOS!$C$2:$C$5000=$A137)*(MOVIMIENTOS!$D$2:$D$5000=$G137)*(MOVIMIENTOS!$B$2:$B$5000="EGRESO")*MOVIMIENTOS!$E$2:$E$5000),"")</f>
        <v/>
      </c>
      <c r="J138" s="25" t="s">
        <v>240</v>
      </c>
      <c r="K138" s="25" t="s">
        <v>25</v>
      </c>
      <c r="L138" s="26">
        <v>46551</v>
      </c>
      <c r="M138" s="21">
        <f t="shared" ca="1" si="3"/>
        <v>234</v>
      </c>
      <c r="N138" s="27" t="s">
        <v>26</v>
      </c>
    </row>
    <row r="139" spans="1:14" ht="16.05" customHeight="1" x14ac:dyDescent="0.3">
      <c r="A139" s="4" t="s">
        <v>471</v>
      </c>
      <c r="B139" s="5" t="s">
        <v>472</v>
      </c>
      <c r="C139" s="6" t="s">
        <v>473</v>
      </c>
      <c r="D139" s="7"/>
      <c r="E139" s="8"/>
      <c r="F139" s="9">
        <v>0</v>
      </c>
      <c r="G139" s="10" t="s">
        <v>474</v>
      </c>
      <c r="H139" s="11">
        <v>359.9</v>
      </c>
      <c r="I139" s="12" t="str">
        <f>IFERROR(H138+SUMPRODUCT((MOVIMIENTOS!$C$2:$C$5000=$A138)*(MOVIMIENTOS!$D$2:$D$5000=$G138)*(MOVIMIENTOS!$B$2:$B$5000="INGRESO")*MOVIMIENTOS!$E$2:$E$5000)-SUMPRODUCT((MOVIMIENTOS!$C$2:$C$5000=$A138)*(MOVIMIENTOS!$D$2:$D$5000=$G138)*(MOVIMIENTOS!$B$2:$B$5000="EGRESO")*MOVIMIENTOS!$E$2:$E$5000),"")</f>
        <v/>
      </c>
      <c r="J139" s="13" t="s">
        <v>114</v>
      </c>
      <c r="K139" s="13" t="s">
        <v>25</v>
      </c>
      <c r="L139" s="14">
        <v>46561</v>
      </c>
      <c r="M139" s="9">
        <f t="shared" ca="1" si="3"/>
        <v>425</v>
      </c>
      <c r="N139" s="15" t="s">
        <v>26</v>
      </c>
    </row>
    <row r="140" spans="1:14" ht="16.05" customHeight="1" x14ac:dyDescent="0.3">
      <c r="A140" s="32" t="s">
        <v>471</v>
      </c>
      <c r="B140" s="33" t="s">
        <v>472</v>
      </c>
      <c r="C140" s="34" t="s">
        <v>473</v>
      </c>
      <c r="D140" s="35"/>
      <c r="E140" s="36"/>
      <c r="F140" s="37">
        <v>0</v>
      </c>
      <c r="G140" s="38" t="s">
        <v>475</v>
      </c>
      <c r="H140" s="83">
        <v>900</v>
      </c>
      <c r="I140" s="40" t="str">
        <f>IFERROR(H139+SUMPRODUCT((MOVIMIENTOS!$C$2:$C$5000=$A139)*(MOVIMIENTOS!$D$2:$D$5000=$G139)*(MOVIMIENTOS!$B$2:$B$5000="INGRESO")*MOVIMIENTOS!$E$2:$E$5000)-SUMPRODUCT((MOVIMIENTOS!$C$2:$C$5000=$A139)*(MOVIMIENTOS!$D$2:$D$5000=$G139)*(MOVIMIENTOS!$B$2:$B$5000="EGRESO")*MOVIMIENTOS!$E$2:$E$5000),"")</f>
        <v/>
      </c>
      <c r="J140" s="41" t="s">
        <v>114</v>
      </c>
      <c r="K140" s="41" t="s">
        <v>25</v>
      </c>
      <c r="L140" s="42">
        <v>46026</v>
      </c>
      <c r="M140" s="37">
        <f t="shared" ca="1" si="3"/>
        <v>435</v>
      </c>
      <c r="N140" s="43" t="s">
        <v>130</v>
      </c>
    </row>
    <row r="141" spans="1:14" ht="16.05" customHeight="1" x14ac:dyDescent="0.3">
      <c r="A141" s="4" t="s">
        <v>471</v>
      </c>
      <c r="B141" s="5" t="s">
        <v>472</v>
      </c>
      <c r="C141" s="6" t="s">
        <v>473</v>
      </c>
      <c r="D141" s="7"/>
      <c r="E141" s="8"/>
      <c r="F141" s="9">
        <v>0</v>
      </c>
      <c r="G141" s="10" t="s">
        <v>476</v>
      </c>
      <c r="H141" s="11">
        <v>978</v>
      </c>
      <c r="I141" s="12" t="str">
        <f>IFERROR(H140+SUMPRODUCT((MOVIMIENTOS!$C$2:$C$5000=$A140)*(MOVIMIENTOS!$D$2:$D$5000=$G140)*(MOVIMIENTOS!$B$2:$B$5000="INGRESO")*MOVIMIENTOS!$E$2:$E$5000)-SUMPRODUCT((MOVIMIENTOS!$C$2:$C$5000=$A140)*(MOVIMIENTOS!$D$2:$D$5000=$G140)*(MOVIMIENTOS!$B$2:$B$5000="EGRESO")*MOVIMIENTOS!$E$2:$E$5000),"")</f>
        <v/>
      </c>
      <c r="J141" s="13" t="s">
        <v>114</v>
      </c>
      <c r="K141" s="13" t="s">
        <v>25</v>
      </c>
      <c r="L141" s="14">
        <v>46799</v>
      </c>
      <c r="M141" s="9">
        <f t="shared" ca="1" si="3"/>
        <v>-100</v>
      </c>
      <c r="N141" s="15" t="s">
        <v>26</v>
      </c>
    </row>
    <row r="142" spans="1:14" ht="16.05" customHeight="1" x14ac:dyDescent="0.3">
      <c r="A142" s="16" t="s">
        <v>477</v>
      </c>
      <c r="B142" s="17" t="s">
        <v>478</v>
      </c>
      <c r="C142" s="18" t="s">
        <v>479</v>
      </c>
      <c r="D142" s="19"/>
      <c r="E142" s="20" t="s">
        <v>52</v>
      </c>
      <c r="F142" s="21">
        <v>0</v>
      </c>
      <c r="G142" s="22" t="s">
        <v>480</v>
      </c>
      <c r="H142" s="23">
        <v>900</v>
      </c>
      <c r="I142" s="24" t="str">
        <f>IFERROR(H141+SUMPRODUCT((MOVIMIENTOS!$C$2:$C$5000=$A141)*(MOVIMIENTOS!$D$2:$D$5000=$G141)*(MOVIMIENTOS!$B$2:$B$5000="INGRESO")*MOVIMIENTOS!$E$2:$E$5000)-SUMPRODUCT((MOVIMIENTOS!$C$2:$C$5000=$A141)*(MOVIMIENTOS!$D$2:$D$5000=$G141)*(MOVIMIENTOS!$B$2:$B$5000="EGRESO")*MOVIMIENTOS!$E$2:$E$5000),"")</f>
        <v/>
      </c>
      <c r="J142" s="25" t="s">
        <v>67</v>
      </c>
      <c r="K142" s="25" t="s">
        <v>25</v>
      </c>
      <c r="L142" s="26">
        <v>46546</v>
      </c>
      <c r="M142" s="21">
        <f t="shared" ca="1" si="3"/>
        <v>673</v>
      </c>
      <c r="N142" s="27" t="s">
        <v>26</v>
      </c>
    </row>
    <row r="143" spans="1:14" ht="16.05" customHeight="1" x14ac:dyDescent="0.3">
      <c r="A143" s="4" t="s">
        <v>481</v>
      </c>
      <c r="B143" s="5" t="s">
        <v>482</v>
      </c>
      <c r="C143" s="6" t="s">
        <v>483</v>
      </c>
      <c r="D143" s="7"/>
      <c r="E143" s="8"/>
      <c r="F143" s="9">
        <v>0</v>
      </c>
      <c r="G143" s="10" t="s">
        <v>484</v>
      </c>
      <c r="H143" s="28"/>
      <c r="I143" s="12" t="str">
        <f>IFERROR(H142+SUMPRODUCT((MOVIMIENTOS!$C$2:$C$5000=$A142)*(MOVIMIENTOS!$D$2:$D$5000=$G142)*(MOVIMIENTOS!$B$2:$B$5000="INGRESO")*MOVIMIENTOS!$E$2:$E$5000)-SUMPRODUCT((MOVIMIENTOS!$C$2:$C$5000=$A142)*(MOVIMIENTOS!$D$2:$D$5000=$G142)*(MOVIMIENTOS!$B$2:$B$5000="EGRESO")*MOVIMIENTOS!$E$2:$E$5000),"")</f>
        <v/>
      </c>
      <c r="J143" s="13" t="s">
        <v>42</v>
      </c>
      <c r="K143" s="13" t="s">
        <v>115</v>
      </c>
      <c r="L143" s="13"/>
      <c r="M143" s="9">
        <f t="shared" ca="1" si="3"/>
        <v>420</v>
      </c>
      <c r="N143" s="31"/>
    </row>
    <row r="144" spans="1:14" ht="16.05" customHeight="1" x14ac:dyDescent="0.3">
      <c r="A144" s="16" t="s">
        <v>485</v>
      </c>
      <c r="B144" s="17" t="s">
        <v>486</v>
      </c>
      <c r="C144" s="18" t="s">
        <v>487</v>
      </c>
      <c r="D144" s="19"/>
      <c r="E144" s="20" t="s">
        <v>213</v>
      </c>
      <c r="F144" s="21">
        <v>0</v>
      </c>
      <c r="G144" s="22" t="s">
        <v>488</v>
      </c>
      <c r="H144" s="23">
        <v>4600</v>
      </c>
      <c r="I144" s="24" t="str">
        <f>IFERROR(H143+SUMPRODUCT((MOVIMIENTOS!$C$2:$C$5000=$A143)*(MOVIMIENTOS!$D$2:$D$5000=$G143)*(MOVIMIENTOS!$B$2:$B$5000="INGRESO")*MOVIMIENTOS!$E$2:$E$5000)-SUMPRODUCT((MOVIMIENTOS!$C$2:$C$5000=$A143)*(MOVIMIENTOS!$D$2:$D$5000=$G143)*(MOVIMIENTOS!$B$2:$B$5000="EGRESO")*MOVIMIENTOS!$E$2:$E$5000),"")</f>
        <v/>
      </c>
      <c r="J144" s="25" t="s">
        <v>143</v>
      </c>
      <c r="K144" s="25" t="s">
        <v>25</v>
      </c>
      <c r="L144" s="26">
        <v>46569</v>
      </c>
      <c r="M144" s="21" t="str">
        <f t="shared" ca="1" si="3"/>
        <v/>
      </c>
      <c r="N144" s="27" t="s">
        <v>26</v>
      </c>
    </row>
    <row r="145" spans="1:14" ht="16.05" customHeight="1" x14ac:dyDescent="0.3">
      <c r="A145" s="4" t="s">
        <v>489</v>
      </c>
      <c r="B145" s="5" t="s">
        <v>490</v>
      </c>
      <c r="C145" s="6" t="s">
        <v>491</v>
      </c>
      <c r="D145" s="7"/>
      <c r="E145" s="8"/>
      <c r="F145" s="9">
        <v>0</v>
      </c>
      <c r="G145" s="10" t="s">
        <v>492</v>
      </c>
      <c r="H145" s="11">
        <v>975</v>
      </c>
      <c r="I145" s="12" t="str">
        <f>IFERROR(H144+SUMPRODUCT((MOVIMIENTOS!$C$2:$C$5000=$A144)*(MOVIMIENTOS!$D$2:$D$5000=$G144)*(MOVIMIENTOS!$B$2:$B$5000="INGRESO")*MOVIMIENTOS!$E$2:$E$5000)-SUMPRODUCT((MOVIMIENTOS!$C$2:$C$5000=$A144)*(MOVIMIENTOS!$D$2:$D$5000=$G144)*(MOVIMIENTOS!$B$2:$B$5000="EGRESO")*MOVIMIENTOS!$E$2:$E$5000),"")</f>
        <v/>
      </c>
      <c r="J145" s="13" t="s">
        <v>189</v>
      </c>
      <c r="K145" s="13" t="s">
        <v>115</v>
      </c>
      <c r="L145" s="14">
        <v>46570</v>
      </c>
      <c r="M145" s="9">
        <f t="shared" ca="1" si="3"/>
        <v>443</v>
      </c>
      <c r="N145" s="15" t="s">
        <v>26</v>
      </c>
    </row>
    <row r="146" spans="1:14" ht="16.05" customHeight="1" x14ac:dyDescent="0.3">
      <c r="A146" s="16" t="s">
        <v>493</v>
      </c>
      <c r="B146" s="17" t="s">
        <v>494</v>
      </c>
      <c r="C146" s="18" t="s">
        <v>495</v>
      </c>
      <c r="D146" s="19"/>
      <c r="E146" s="20"/>
      <c r="F146" s="21">
        <v>0</v>
      </c>
      <c r="G146" s="22" t="s">
        <v>496</v>
      </c>
      <c r="H146" s="29"/>
      <c r="I146" s="24" t="str">
        <f>IFERROR(H145+SUMPRODUCT((MOVIMIENTOS!$C$2:$C$5000=$A145)*(MOVIMIENTOS!$D$2:$D$5000=$G145)*(MOVIMIENTOS!$B$2:$B$5000="INGRESO")*MOVIMIENTOS!$E$2:$E$5000)-SUMPRODUCT((MOVIMIENTOS!$C$2:$C$5000=$A145)*(MOVIMIENTOS!$D$2:$D$5000=$G145)*(MOVIMIENTOS!$B$2:$B$5000="EGRESO")*MOVIMIENTOS!$E$2:$E$5000),"")</f>
        <v/>
      </c>
      <c r="J146" s="25" t="s">
        <v>359</v>
      </c>
      <c r="K146" s="25" t="s">
        <v>231</v>
      </c>
      <c r="L146" s="26">
        <v>46388</v>
      </c>
      <c r="M146" s="21">
        <f t="shared" ca="1" si="3"/>
        <v>444</v>
      </c>
      <c r="N146" s="27" t="s">
        <v>26</v>
      </c>
    </row>
    <row r="147" spans="1:14" ht="16.05" customHeight="1" x14ac:dyDescent="0.3">
      <c r="A147" s="4" t="s">
        <v>497</v>
      </c>
      <c r="B147" s="5" t="s">
        <v>498</v>
      </c>
      <c r="C147" s="6" t="s">
        <v>499</v>
      </c>
      <c r="D147" s="7"/>
      <c r="E147" s="8"/>
      <c r="F147" s="9">
        <v>0</v>
      </c>
      <c r="G147" s="10" t="s">
        <v>500</v>
      </c>
      <c r="H147" s="11">
        <v>992</v>
      </c>
      <c r="I147" s="12" t="str">
        <f>IFERROR(H146+SUMPRODUCT((MOVIMIENTOS!$C$2:$C$5000=$A146)*(MOVIMIENTOS!$D$2:$D$5000=$G146)*(MOVIMIENTOS!$B$2:$B$5000="INGRESO")*MOVIMIENTOS!$E$2:$E$5000)-SUMPRODUCT((MOVIMIENTOS!$C$2:$C$5000=$A146)*(MOVIMIENTOS!$D$2:$D$5000=$G146)*(MOVIMIENTOS!$B$2:$B$5000="EGRESO")*MOVIMIENTOS!$E$2:$E$5000),"")</f>
        <v/>
      </c>
      <c r="J147" s="13" t="s">
        <v>189</v>
      </c>
      <c r="K147" s="13" t="s">
        <v>115</v>
      </c>
      <c r="L147" s="14">
        <v>46605</v>
      </c>
      <c r="M147" s="9">
        <f t="shared" ca="1" si="3"/>
        <v>262</v>
      </c>
      <c r="N147" s="15" t="s">
        <v>26</v>
      </c>
    </row>
    <row r="148" spans="1:14" ht="16.05" customHeight="1" x14ac:dyDescent="0.3">
      <c r="A148" s="32" t="s">
        <v>501</v>
      </c>
      <c r="B148" s="33" t="s">
        <v>502</v>
      </c>
      <c r="C148" s="34" t="s">
        <v>503</v>
      </c>
      <c r="D148" s="35"/>
      <c r="E148" s="36"/>
      <c r="F148" s="37">
        <v>0</v>
      </c>
      <c r="G148" s="38" t="s">
        <v>504</v>
      </c>
      <c r="H148" s="83">
        <v>58</v>
      </c>
      <c r="I148" s="40" t="str">
        <f>IFERROR(H147+SUMPRODUCT((MOVIMIENTOS!$C$2:$C$5000=$A147)*(MOVIMIENTOS!$D$2:$D$5000=$G147)*(MOVIMIENTOS!$B$2:$B$5000="INGRESO")*MOVIMIENTOS!$E$2:$E$5000)-SUMPRODUCT((MOVIMIENTOS!$C$2:$C$5000=$A147)*(MOVIMIENTOS!$D$2:$D$5000=$G147)*(MOVIMIENTOS!$B$2:$B$5000="EGRESO")*MOVIMIENTOS!$E$2:$E$5000),"")</f>
        <v/>
      </c>
      <c r="J148" s="41" t="s">
        <v>189</v>
      </c>
      <c r="K148" s="41" t="s">
        <v>115</v>
      </c>
      <c r="L148" s="42">
        <v>12734</v>
      </c>
      <c r="M148" s="37">
        <f t="shared" ca="1" si="3"/>
        <v>479</v>
      </c>
      <c r="N148" s="43" t="s">
        <v>130</v>
      </c>
    </row>
    <row r="149" spans="1:14" ht="16.05" customHeight="1" x14ac:dyDescent="0.3">
      <c r="A149" s="4" t="s">
        <v>501</v>
      </c>
      <c r="B149" s="5" t="s">
        <v>502</v>
      </c>
      <c r="C149" s="6" t="s">
        <v>503</v>
      </c>
      <c r="D149" s="7"/>
      <c r="E149" s="8"/>
      <c r="F149" s="9">
        <v>0</v>
      </c>
      <c r="G149" s="10" t="s">
        <v>505</v>
      </c>
      <c r="H149" s="11">
        <v>983</v>
      </c>
      <c r="I149" s="12" t="str">
        <f>IFERROR(H148+SUMPRODUCT((MOVIMIENTOS!$C$2:$C$5000=$A148)*(MOVIMIENTOS!$D$2:$D$5000=$G148)*(MOVIMIENTOS!$B$2:$B$5000="INGRESO")*MOVIMIENTOS!$E$2:$E$5000)-SUMPRODUCT((MOVIMIENTOS!$C$2:$C$5000=$A148)*(MOVIMIENTOS!$D$2:$D$5000=$G148)*(MOVIMIENTOS!$B$2:$B$5000="EGRESO")*MOVIMIENTOS!$E$2:$E$5000),"")</f>
        <v/>
      </c>
      <c r="J149" s="13" t="s">
        <v>189</v>
      </c>
      <c r="K149" s="13" t="s">
        <v>25</v>
      </c>
      <c r="L149" s="14">
        <v>46569</v>
      </c>
      <c r="M149" s="9">
        <f t="shared" ca="1" si="3"/>
        <v>-33392</v>
      </c>
      <c r="N149" s="15" t="s">
        <v>26</v>
      </c>
    </row>
    <row r="150" spans="1:14" ht="16.05" customHeight="1" x14ac:dyDescent="0.3">
      <c r="A150" s="16" t="s">
        <v>501</v>
      </c>
      <c r="B150" s="17" t="s">
        <v>502</v>
      </c>
      <c r="C150" s="18" t="s">
        <v>503</v>
      </c>
      <c r="D150" s="19"/>
      <c r="E150" s="20"/>
      <c r="F150" s="21">
        <v>0</v>
      </c>
      <c r="G150" s="22" t="s">
        <v>506</v>
      </c>
      <c r="H150" s="29"/>
      <c r="I150" s="24" t="str">
        <f>IFERROR(H149+SUMPRODUCT((MOVIMIENTOS!$C$2:$C$5000=$A149)*(MOVIMIENTOS!$D$2:$D$5000=$G149)*(MOVIMIENTOS!$B$2:$B$5000="INGRESO")*MOVIMIENTOS!$E$2:$E$5000)-SUMPRODUCT((MOVIMIENTOS!$C$2:$C$5000=$A149)*(MOVIMIENTOS!$D$2:$D$5000=$G149)*(MOVIMIENTOS!$B$2:$B$5000="EGRESO")*MOVIMIENTOS!$E$2:$E$5000),"")</f>
        <v/>
      </c>
      <c r="J150" s="25" t="s">
        <v>189</v>
      </c>
      <c r="K150" s="25" t="s">
        <v>25</v>
      </c>
      <c r="L150" s="25"/>
      <c r="M150" s="21">
        <f t="shared" ca="1" si="3"/>
        <v>443</v>
      </c>
      <c r="N150" s="30"/>
    </row>
    <row r="151" spans="1:14" ht="16.05" customHeight="1" x14ac:dyDescent="0.3">
      <c r="A151" s="4" t="s">
        <v>507</v>
      </c>
      <c r="B151" s="5" t="s">
        <v>508</v>
      </c>
      <c r="C151" s="6" t="s">
        <v>509</v>
      </c>
      <c r="D151" s="7"/>
      <c r="E151" s="8" t="s">
        <v>510</v>
      </c>
      <c r="F151" s="9">
        <v>0</v>
      </c>
      <c r="G151" s="10" t="s">
        <v>511</v>
      </c>
      <c r="H151" s="11">
        <v>17100</v>
      </c>
      <c r="I151" s="12" t="str">
        <f>IFERROR(H150+SUMPRODUCT((MOVIMIENTOS!$C$2:$C$5000=$A150)*(MOVIMIENTOS!$D$2:$D$5000=$G150)*(MOVIMIENTOS!$B$2:$B$5000="INGRESO")*MOVIMIENTOS!$E$2:$E$5000)-SUMPRODUCT((MOVIMIENTOS!$C$2:$C$5000=$A150)*(MOVIMIENTOS!$D$2:$D$5000=$G150)*(MOVIMIENTOS!$B$2:$B$5000="EGRESO")*MOVIMIENTOS!$E$2:$E$5000),"")</f>
        <v/>
      </c>
      <c r="J151" s="13" t="s">
        <v>156</v>
      </c>
      <c r="K151" s="13"/>
      <c r="L151" s="14">
        <v>46569</v>
      </c>
      <c r="M151" s="9" t="str">
        <f t="shared" ca="1" si="3"/>
        <v/>
      </c>
      <c r="N151" s="15" t="s">
        <v>26</v>
      </c>
    </row>
    <row r="152" spans="1:14" ht="16.05" customHeight="1" x14ac:dyDescent="0.3">
      <c r="A152" s="16" t="s">
        <v>512</v>
      </c>
      <c r="B152" s="17" t="s">
        <v>513</v>
      </c>
      <c r="C152" s="18" t="s">
        <v>514</v>
      </c>
      <c r="D152" s="19"/>
      <c r="E152" s="20"/>
      <c r="F152" s="21">
        <v>0</v>
      </c>
      <c r="G152" s="22" t="s">
        <v>515</v>
      </c>
      <c r="H152" s="23">
        <v>18000</v>
      </c>
      <c r="I152" s="24" t="str">
        <f>IFERROR(H151+SUMPRODUCT((MOVIMIENTOS!$C$2:$C$5000=$A151)*(MOVIMIENTOS!$D$2:$D$5000=$G151)*(MOVIMIENTOS!$B$2:$B$5000="INGRESO")*MOVIMIENTOS!$E$2:$E$5000)-SUMPRODUCT((MOVIMIENTOS!$C$2:$C$5000=$A151)*(MOVIMIENTOS!$D$2:$D$5000=$G151)*(MOVIMIENTOS!$B$2:$B$5000="EGRESO")*MOVIMIENTOS!$E$2:$E$5000),"")</f>
        <v/>
      </c>
      <c r="J152" s="25" t="s">
        <v>156</v>
      </c>
      <c r="K152" s="25"/>
      <c r="L152" s="25"/>
      <c r="M152" s="21">
        <f t="shared" ca="1" si="3"/>
        <v>443</v>
      </c>
      <c r="N152" s="30"/>
    </row>
    <row r="153" spans="1:14" ht="16.05" customHeight="1" x14ac:dyDescent="0.3">
      <c r="A153" s="4" t="s">
        <v>512</v>
      </c>
      <c r="B153" s="5" t="s">
        <v>513</v>
      </c>
      <c r="C153" s="6" t="s">
        <v>514</v>
      </c>
      <c r="D153" s="7"/>
      <c r="E153" s="8"/>
      <c r="F153" s="9">
        <v>0</v>
      </c>
      <c r="G153" s="10" t="s">
        <v>516</v>
      </c>
      <c r="H153" s="11">
        <v>4000</v>
      </c>
      <c r="I153" s="12" t="str">
        <f>IFERROR(H152+SUMPRODUCT((MOVIMIENTOS!$C$2:$C$5000=$A152)*(MOVIMIENTOS!$D$2:$D$5000=$G152)*(MOVIMIENTOS!$B$2:$B$5000="INGRESO")*MOVIMIENTOS!$E$2:$E$5000)-SUMPRODUCT((MOVIMIENTOS!$C$2:$C$5000=$A152)*(MOVIMIENTOS!$D$2:$D$5000=$G152)*(MOVIMIENTOS!$B$2:$B$5000="EGRESO")*MOVIMIENTOS!$E$2:$E$5000),"")</f>
        <v/>
      </c>
      <c r="J153" s="13" t="s">
        <v>37</v>
      </c>
      <c r="K153" s="13" t="s">
        <v>115</v>
      </c>
      <c r="L153" s="14">
        <v>46844</v>
      </c>
      <c r="M153" s="9" t="str">
        <f t="shared" ca="1" si="3"/>
        <v/>
      </c>
      <c r="N153" s="15" t="s">
        <v>26</v>
      </c>
    </row>
    <row r="154" spans="1:14" ht="16.05" customHeight="1" x14ac:dyDescent="0.3">
      <c r="A154" s="16" t="s">
        <v>512</v>
      </c>
      <c r="B154" s="17" t="s">
        <v>513</v>
      </c>
      <c r="C154" s="18" t="s">
        <v>514</v>
      </c>
      <c r="D154" s="19"/>
      <c r="E154" s="20"/>
      <c r="F154" s="21">
        <v>0</v>
      </c>
      <c r="G154" s="22" t="s">
        <v>484</v>
      </c>
      <c r="H154" s="23">
        <v>552</v>
      </c>
      <c r="I154" s="24" t="str">
        <f>IFERROR(H153+SUMPRODUCT((MOVIMIENTOS!$C$2:$C$5000=$A153)*(MOVIMIENTOS!$D$2:$D$5000=$G153)*(MOVIMIENTOS!$B$2:$B$5000="INGRESO")*MOVIMIENTOS!$E$2:$E$5000)-SUMPRODUCT((MOVIMIENTOS!$C$2:$C$5000=$A153)*(MOVIMIENTOS!$D$2:$D$5000=$G153)*(MOVIMIENTOS!$B$2:$B$5000="EGRESO")*MOVIMIENTOS!$E$2:$E$5000),"")</f>
        <v/>
      </c>
      <c r="J154" s="25" t="s">
        <v>37</v>
      </c>
      <c r="K154" s="25" t="s">
        <v>115</v>
      </c>
      <c r="L154" s="26">
        <v>46852</v>
      </c>
      <c r="M154" s="21">
        <f t="shared" ca="1" si="3"/>
        <v>718</v>
      </c>
      <c r="N154" s="27" t="s">
        <v>26</v>
      </c>
    </row>
    <row r="155" spans="1:14" ht="16.05" customHeight="1" x14ac:dyDescent="0.3">
      <c r="A155" s="4" t="s">
        <v>517</v>
      </c>
      <c r="B155" s="5" t="s">
        <v>518</v>
      </c>
      <c r="C155" s="6" t="s">
        <v>519</v>
      </c>
      <c r="D155" s="7"/>
      <c r="E155" s="8" t="s">
        <v>22</v>
      </c>
      <c r="F155" s="9">
        <v>0</v>
      </c>
      <c r="G155" s="10" t="s">
        <v>520</v>
      </c>
      <c r="H155" s="11">
        <v>45</v>
      </c>
      <c r="I155" s="12" t="str">
        <f>IFERROR(H154+SUMPRODUCT((MOVIMIENTOS!$C$2:$C$5000=$A154)*(MOVIMIENTOS!$D$2:$D$5000=$G154)*(MOVIMIENTOS!$B$2:$B$5000="INGRESO")*MOVIMIENTOS!$E$2:$E$5000)-SUMPRODUCT((MOVIMIENTOS!$C$2:$C$5000=$A154)*(MOVIMIENTOS!$D$2:$D$5000=$G154)*(MOVIMIENTOS!$B$2:$B$5000="EGRESO")*MOVIMIENTOS!$E$2:$E$5000),"")</f>
        <v/>
      </c>
      <c r="J155" s="13" t="s">
        <v>48</v>
      </c>
      <c r="K155" s="13"/>
      <c r="L155" s="14">
        <v>46729</v>
      </c>
      <c r="M155" s="9">
        <f t="shared" ca="1" si="3"/>
        <v>726</v>
      </c>
      <c r="N155" s="15" t="s">
        <v>26</v>
      </c>
    </row>
    <row r="156" spans="1:14" ht="16.05" customHeight="1" x14ac:dyDescent="0.3">
      <c r="A156" s="16" t="s">
        <v>215</v>
      </c>
      <c r="B156" s="17" t="s">
        <v>521</v>
      </c>
      <c r="C156" s="18" t="s">
        <v>522</v>
      </c>
      <c r="D156" s="19"/>
      <c r="E156" s="20" t="s">
        <v>52</v>
      </c>
      <c r="F156" s="21">
        <v>0</v>
      </c>
      <c r="G156" s="22" t="s">
        <v>523</v>
      </c>
      <c r="H156" s="23">
        <v>980</v>
      </c>
      <c r="I156" s="24" t="str">
        <f>IFERROR(H155+SUMPRODUCT((MOVIMIENTOS!$C$2:$C$5000=$A155)*(MOVIMIENTOS!$D$2:$D$5000=$G155)*(MOVIMIENTOS!$B$2:$B$5000="INGRESO")*MOVIMIENTOS!$E$2:$E$5000)-SUMPRODUCT((MOVIMIENTOS!$C$2:$C$5000=$A155)*(MOVIMIENTOS!$D$2:$D$5000=$G155)*(MOVIMIENTOS!$B$2:$B$5000="EGRESO")*MOVIMIENTOS!$E$2:$E$5000),"")</f>
        <v/>
      </c>
      <c r="J156" s="25" t="s">
        <v>24</v>
      </c>
      <c r="K156" s="25" t="s">
        <v>231</v>
      </c>
      <c r="L156" s="26">
        <v>46257</v>
      </c>
      <c r="M156" s="21">
        <f t="shared" ca="1" si="3"/>
        <v>603</v>
      </c>
      <c r="N156" s="27" t="s">
        <v>26</v>
      </c>
    </row>
    <row r="157" spans="1:14" ht="16.05" customHeight="1" x14ac:dyDescent="0.3">
      <c r="A157" s="4" t="s">
        <v>524</v>
      </c>
      <c r="B157" s="5" t="s">
        <v>525</v>
      </c>
      <c r="C157" s="6" t="s">
        <v>526</v>
      </c>
      <c r="D157" s="7"/>
      <c r="E157" s="8" t="s">
        <v>52</v>
      </c>
      <c r="F157" s="9">
        <v>0</v>
      </c>
      <c r="G157" s="10" t="s">
        <v>527</v>
      </c>
      <c r="H157" s="11">
        <v>890</v>
      </c>
      <c r="I157" s="12" t="str">
        <f>IFERROR(H156+SUMPRODUCT((MOVIMIENTOS!$C$2:$C$5000=$A156)*(MOVIMIENTOS!$D$2:$D$5000=$G156)*(MOVIMIENTOS!$B$2:$B$5000="INGRESO")*MOVIMIENTOS!$E$2:$E$5000)-SUMPRODUCT((MOVIMIENTOS!$C$2:$C$5000=$A156)*(MOVIMIENTOS!$D$2:$D$5000=$G156)*(MOVIMIENTOS!$B$2:$B$5000="EGRESO")*MOVIMIENTOS!$E$2:$E$5000),"")</f>
        <v/>
      </c>
      <c r="J157" s="13" t="s">
        <v>24</v>
      </c>
      <c r="K157" s="13" t="s">
        <v>115</v>
      </c>
      <c r="L157" s="14">
        <v>46259</v>
      </c>
      <c r="M157" s="9">
        <f t="shared" ca="1" si="3"/>
        <v>131</v>
      </c>
      <c r="N157" s="15" t="s">
        <v>26</v>
      </c>
    </row>
    <row r="158" spans="1:14" ht="16.05" customHeight="1" x14ac:dyDescent="0.3">
      <c r="A158" s="16" t="s">
        <v>528</v>
      </c>
      <c r="B158" s="17" t="s">
        <v>529</v>
      </c>
      <c r="C158" s="18" t="s">
        <v>530</v>
      </c>
      <c r="D158" s="19"/>
      <c r="E158" s="20" t="s">
        <v>52</v>
      </c>
      <c r="F158" s="21">
        <v>0</v>
      </c>
      <c r="G158" s="22" t="s">
        <v>531</v>
      </c>
      <c r="H158" s="23">
        <v>1104</v>
      </c>
      <c r="I158" s="24" t="str">
        <f>IFERROR(H157+SUMPRODUCT((MOVIMIENTOS!$C$2:$C$5000=$A157)*(MOVIMIENTOS!$D$2:$D$5000=$G157)*(MOVIMIENTOS!$B$2:$B$5000="INGRESO")*MOVIMIENTOS!$E$2:$E$5000)-SUMPRODUCT((MOVIMIENTOS!$C$2:$C$5000=$A157)*(MOVIMIENTOS!$D$2:$D$5000=$G157)*(MOVIMIENTOS!$B$2:$B$5000="EGRESO")*MOVIMIENTOS!$E$2:$E$5000),"")</f>
        <v/>
      </c>
      <c r="J158" s="25" t="s">
        <v>42</v>
      </c>
      <c r="K158" s="25" t="s">
        <v>115</v>
      </c>
      <c r="L158" s="26">
        <v>46648</v>
      </c>
      <c r="M158" s="21">
        <f t="shared" ca="1" si="3"/>
        <v>133</v>
      </c>
      <c r="N158" s="27" t="s">
        <v>26</v>
      </c>
    </row>
    <row r="159" spans="1:14" ht="16.05" customHeight="1" x14ac:dyDescent="0.3">
      <c r="A159" s="4" t="s">
        <v>532</v>
      </c>
      <c r="B159" s="5" t="s">
        <v>533</v>
      </c>
      <c r="C159" s="6" t="s">
        <v>534</v>
      </c>
      <c r="D159" s="7"/>
      <c r="E159" s="8"/>
      <c r="F159" s="9">
        <v>0</v>
      </c>
      <c r="G159" s="10" t="s">
        <v>535</v>
      </c>
      <c r="H159" s="11">
        <v>9440</v>
      </c>
      <c r="I159" s="12" t="str">
        <f>IFERROR(H158+SUMPRODUCT((MOVIMIENTOS!$C$2:$C$5000=$A158)*(MOVIMIENTOS!$D$2:$D$5000=$G158)*(MOVIMIENTOS!$B$2:$B$5000="INGRESO")*MOVIMIENTOS!$E$2:$E$5000)-SUMPRODUCT((MOVIMIENTOS!$C$2:$C$5000=$A158)*(MOVIMIENTOS!$D$2:$D$5000=$G158)*(MOVIMIENTOS!$B$2:$B$5000="EGRESO")*MOVIMIENTOS!$E$2:$E$5000),"")</f>
        <v/>
      </c>
      <c r="J159" s="13" t="s">
        <v>156</v>
      </c>
      <c r="K159" s="13"/>
      <c r="L159" s="14">
        <v>46569</v>
      </c>
      <c r="M159" s="9">
        <f t="shared" ca="1" si="3"/>
        <v>522</v>
      </c>
      <c r="N159" s="15" t="s">
        <v>26</v>
      </c>
    </row>
    <row r="160" spans="1:14" ht="16.05" customHeight="1" x14ac:dyDescent="0.3">
      <c r="A160" s="16" t="s">
        <v>532</v>
      </c>
      <c r="B160" s="17" t="s">
        <v>533</v>
      </c>
      <c r="C160" s="18" t="s">
        <v>534</v>
      </c>
      <c r="D160" s="19"/>
      <c r="E160" s="20"/>
      <c r="F160" s="21">
        <v>0</v>
      </c>
      <c r="G160" s="22" t="s">
        <v>536</v>
      </c>
      <c r="H160" s="23">
        <v>10000</v>
      </c>
      <c r="I160" s="24" t="str">
        <f>IFERROR(H159+SUMPRODUCT((MOVIMIENTOS!$C$2:$C$5000=$A159)*(MOVIMIENTOS!$D$2:$D$5000=$G159)*(MOVIMIENTOS!$B$2:$B$5000="INGRESO")*MOVIMIENTOS!$E$2:$E$5000)-SUMPRODUCT((MOVIMIENTOS!$C$2:$C$5000=$A159)*(MOVIMIENTOS!$D$2:$D$5000=$G159)*(MOVIMIENTOS!$B$2:$B$5000="EGRESO")*MOVIMIENTOS!$E$2:$E$5000),"")</f>
        <v/>
      </c>
      <c r="J160" s="25" t="s">
        <v>156</v>
      </c>
      <c r="K160" s="25"/>
      <c r="L160" s="25"/>
      <c r="M160" s="21">
        <f t="shared" ca="1" si="3"/>
        <v>443</v>
      </c>
      <c r="N160" s="30"/>
    </row>
    <row r="161" spans="1:14" ht="16.05" customHeight="1" x14ac:dyDescent="0.3">
      <c r="A161" s="4" t="s">
        <v>532</v>
      </c>
      <c r="B161" s="5" t="s">
        <v>533</v>
      </c>
      <c r="C161" s="6" t="s">
        <v>534</v>
      </c>
      <c r="D161" s="7"/>
      <c r="E161" s="8"/>
      <c r="F161" s="9">
        <v>0</v>
      </c>
      <c r="G161" s="10" t="s">
        <v>537</v>
      </c>
      <c r="H161" s="11">
        <v>8000</v>
      </c>
      <c r="I161" s="12" t="str">
        <f>IFERROR(H160+SUMPRODUCT((MOVIMIENTOS!$C$2:$C$5000=$A160)*(MOVIMIENTOS!$D$2:$D$5000=$G160)*(MOVIMIENTOS!$B$2:$B$5000="INGRESO")*MOVIMIENTOS!$E$2:$E$5000)-SUMPRODUCT((MOVIMIENTOS!$C$2:$C$5000=$A160)*(MOVIMIENTOS!$D$2:$D$5000=$G160)*(MOVIMIENTOS!$B$2:$B$5000="EGRESO")*MOVIMIENTOS!$E$2:$E$5000),"")</f>
        <v/>
      </c>
      <c r="J161" s="13" t="s">
        <v>156</v>
      </c>
      <c r="K161" s="13"/>
      <c r="L161" s="13"/>
      <c r="M161" s="9" t="str">
        <f t="shared" ca="1" si="3"/>
        <v/>
      </c>
      <c r="N161" s="31"/>
    </row>
    <row r="162" spans="1:14" ht="16.05" customHeight="1" x14ac:dyDescent="0.3">
      <c r="A162" s="16" t="s">
        <v>538</v>
      </c>
      <c r="B162" s="17" t="s">
        <v>539</v>
      </c>
      <c r="C162" s="18" t="s">
        <v>540</v>
      </c>
      <c r="D162" s="19"/>
      <c r="E162" s="20" t="s">
        <v>52</v>
      </c>
      <c r="F162" s="21">
        <v>0</v>
      </c>
      <c r="G162" s="22" t="s">
        <v>541</v>
      </c>
      <c r="H162" s="23">
        <v>870</v>
      </c>
      <c r="I162" s="24" t="str">
        <f>IFERROR(H161+SUMPRODUCT((MOVIMIENTOS!$C$2:$C$5000=$A161)*(MOVIMIENTOS!$D$2:$D$5000=$G161)*(MOVIMIENTOS!$B$2:$B$5000="INGRESO")*MOVIMIENTOS!$E$2:$E$5000)-SUMPRODUCT((MOVIMIENTOS!$C$2:$C$5000=$A161)*(MOVIMIENTOS!$D$2:$D$5000=$G161)*(MOVIMIENTOS!$B$2:$B$5000="EGRESO")*MOVIMIENTOS!$E$2:$E$5000),"")</f>
        <v/>
      </c>
      <c r="J162" s="25" t="s">
        <v>67</v>
      </c>
      <c r="K162" s="25" t="s">
        <v>25</v>
      </c>
      <c r="L162" s="26">
        <v>46675</v>
      </c>
      <c r="M162" s="21" t="str">
        <f t="shared" ca="1" si="3"/>
        <v/>
      </c>
      <c r="N162" s="27" t="s">
        <v>26</v>
      </c>
    </row>
    <row r="163" spans="1:14" ht="16.05" customHeight="1" x14ac:dyDescent="0.3">
      <c r="A163" s="4" t="s">
        <v>538</v>
      </c>
      <c r="B163" s="5" t="s">
        <v>539</v>
      </c>
      <c r="C163" s="6" t="s">
        <v>540</v>
      </c>
      <c r="D163" s="7"/>
      <c r="E163" s="8" t="s">
        <v>52</v>
      </c>
      <c r="F163" s="9">
        <v>0</v>
      </c>
      <c r="G163" s="10" t="s">
        <v>542</v>
      </c>
      <c r="H163" s="11">
        <v>1930</v>
      </c>
      <c r="I163" s="12" t="str">
        <f>IFERROR(H162+SUMPRODUCT((MOVIMIENTOS!$C$2:$C$5000=$A162)*(MOVIMIENTOS!$D$2:$D$5000=$G162)*(MOVIMIENTOS!$B$2:$B$5000="INGRESO")*MOVIMIENTOS!$E$2:$E$5000)-SUMPRODUCT((MOVIMIENTOS!$C$2:$C$5000=$A162)*(MOVIMIENTOS!$D$2:$D$5000=$G162)*(MOVIMIENTOS!$B$2:$B$5000="EGRESO")*MOVIMIENTOS!$E$2:$E$5000),"")</f>
        <v/>
      </c>
      <c r="J163" s="13" t="s">
        <v>67</v>
      </c>
      <c r="K163" s="13" t="s">
        <v>25</v>
      </c>
      <c r="L163" s="14">
        <v>46685</v>
      </c>
      <c r="M163" s="9">
        <f t="shared" ca="1" si="3"/>
        <v>549</v>
      </c>
      <c r="N163" s="15" t="s">
        <v>26</v>
      </c>
    </row>
    <row r="164" spans="1:14" ht="16.05" customHeight="1" x14ac:dyDescent="0.3">
      <c r="A164" s="16" t="s">
        <v>543</v>
      </c>
      <c r="B164" s="17" t="s">
        <v>544</v>
      </c>
      <c r="C164" s="18" t="s">
        <v>545</v>
      </c>
      <c r="D164" s="19"/>
      <c r="E164" s="20" t="s">
        <v>22</v>
      </c>
      <c r="F164" s="21">
        <v>0</v>
      </c>
      <c r="G164" s="22" t="s">
        <v>546</v>
      </c>
      <c r="H164" s="23">
        <v>19.100000000000001</v>
      </c>
      <c r="I164" s="24" t="str">
        <f>IFERROR(H163+SUMPRODUCT((MOVIMIENTOS!$C$2:$C$5000=$A163)*(MOVIMIENTOS!$D$2:$D$5000=$G163)*(MOVIMIENTOS!$B$2:$B$5000="INGRESO")*MOVIMIENTOS!$E$2:$E$5000)-SUMPRODUCT((MOVIMIENTOS!$C$2:$C$5000=$A163)*(MOVIMIENTOS!$D$2:$D$5000=$G163)*(MOVIMIENTOS!$B$2:$B$5000="EGRESO")*MOVIMIENTOS!$E$2:$E$5000),"")</f>
        <v/>
      </c>
      <c r="J164" s="25" t="s">
        <v>48</v>
      </c>
      <c r="K164" s="25"/>
      <c r="L164" s="26">
        <v>46675</v>
      </c>
      <c r="M164" s="21">
        <f t="shared" ca="1" si="3"/>
        <v>559</v>
      </c>
      <c r="N164" s="27" t="s">
        <v>26</v>
      </c>
    </row>
    <row r="165" spans="1:14" ht="16.05" customHeight="1" x14ac:dyDescent="0.3">
      <c r="A165" s="4" t="s">
        <v>547</v>
      </c>
      <c r="B165" s="5" t="s">
        <v>548</v>
      </c>
      <c r="C165" s="6" t="s">
        <v>549</v>
      </c>
      <c r="D165" s="7"/>
      <c r="E165" s="8"/>
      <c r="F165" s="9">
        <v>0</v>
      </c>
      <c r="G165" s="10" t="s">
        <v>496</v>
      </c>
      <c r="H165" s="28"/>
      <c r="I165" s="12" t="str">
        <f>IFERROR(H164+SUMPRODUCT((MOVIMIENTOS!$C$2:$C$5000=$A164)*(MOVIMIENTOS!$D$2:$D$5000=$G164)*(MOVIMIENTOS!$B$2:$B$5000="INGRESO")*MOVIMIENTOS!$E$2:$E$5000)-SUMPRODUCT((MOVIMIENTOS!$C$2:$C$5000=$A164)*(MOVIMIENTOS!$D$2:$D$5000=$G164)*(MOVIMIENTOS!$B$2:$B$5000="EGRESO")*MOVIMIENTOS!$E$2:$E$5000),"")</f>
        <v/>
      </c>
      <c r="J165" s="13" t="s">
        <v>359</v>
      </c>
      <c r="K165" s="13" t="s">
        <v>25</v>
      </c>
      <c r="L165" s="14">
        <v>46447</v>
      </c>
      <c r="M165" s="9">
        <f t="shared" ca="1" si="3"/>
        <v>549</v>
      </c>
      <c r="N165" s="15" t="s">
        <v>26</v>
      </c>
    </row>
    <row r="166" spans="1:14" ht="16.05" customHeight="1" x14ac:dyDescent="0.3">
      <c r="A166" s="16" t="s">
        <v>550</v>
      </c>
      <c r="B166" s="17" t="s">
        <v>551</v>
      </c>
      <c r="C166" s="18" t="s">
        <v>552</v>
      </c>
      <c r="D166" s="19"/>
      <c r="E166" s="20"/>
      <c r="F166" s="21">
        <v>0</v>
      </c>
      <c r="G166" s="22" t="s">
        <v>553</v>
      </c>
      <c r="H166" s="23">
        <v>932</v>
      </c>
      <c r="I166" s="24" t="str">
        <f>IFERROR(H165+SUMPRODUCT((MOVIMIENTOS!$C$2:$C$5000=$A165)*(MOVIMIENTOS!$D$2:$D$5000=$G165)*(MOVIMIENTOS!$B$2:$B$5000="INGRESO")*MOVIMIENTOS!$E$2:$E$5000)-SUMPRODUCT((MOVIMIENTOS!$C$2:$C$5000=$A165)*(MOVIMIENTOS!$D$2:$D$5000=$G165)*(MOVIMIENTOS!$B$2:$B$5000="EGRESO")*MOVIMIENTOS!$E$2:$E$5000),"")</f>
        <v/>
      </c>
      <c r="J166" s="25" t="s">
        <v>240</v>
      </c>
      <c r="K166" s="25" t="s">
        <v>72</v>
      </c>
      <c r="L166" s="26">
        <v>46756</v>
      </c>
      <c r="M166" s="21">
        <f t="shared" ca="1" si="3"/>
        <v>321</v>
      </c>
      <c r="N166" s="27" t="s">
        <v>26</v>
      </c>
    </row>
    <row r="167" spans="1:14" ht="16.05" customHeight="1" x14ac:dyDescent="0.3">
      <c r="A167" s="4" t="s">
        <v>554</v>
      </c>
      <c r="B167" s="5" t="s">
        <v>555</v>
      </c>
      <c r="C167" s="6" t="s">
        <v>556</v>
      </c>
      <c r="D167" s="7"/>
      <c r="E167" s="8" t="s">
        <v>22</v>
      </c>
      <c r="F167" s="9">
        <v>0</v>
      </c>
      <c r="G167" s="10" t="s">
        <v>557</v>
      </c>
      <c r="H167" s="11">
        <v>960</v>
      </c>
      <c r="I167" s="12" t="str">
        <f>IFERROR(H166+SUMPRODUCT((MOVIMIENTOS!$C$2:$C$5000=$A166)*(MOVIMIENTOS!$D$2:$D$5000=$G166)*(MOVIMIENTOS!$B$2:$B$5000="INGRESO")*MOVIMIENTOS!$E$2:$E$5000)-SUMPRODUCT((MOVIMIENTOS!$C$2:$C$5000=$A166)*(MOVIMIENTOS!$D$2:$D$5000=$G166)*(MOVIMIENTOS!$B$2:$B$5000="EGRESO")*MOVIMIENTOS!$E$2:$E$5000),"")</f>
        <v/>
      </c>
      <c r="J167" s="13" t="s">
        <v>24</v>
      </c>
      <c r="K167" s="13" t="s">
        <v>231</v>
      </c>
      <c r="L167" s="14">
        <v>46744</v>
      </c>
      <c r="M167" s="9">
        <f t="shared" ca="1" si="3"/>
        <v>630</v>
      </c>
      <c r="N167" s="15" t="s">
        <v>26</v>
      </c>
    </row>
    <row r="168" spans="1:14" ht="16.05" customHeight="1" x14ac:dyDescent="0.3">
      <c r="A168" s="16" t="s">
        <v>554</v>
      </c>
      <c r="B168" s="17" t="s">
        <v>555</v>
      </c>
      <c r="C168" s="18" t="s">
        <v>556</v>
      </c>
      <c r="D168" s="19"/>
      <c r="E168" s="20" t="s">
        <v>22</v>
      </c>
      <c r="F168" s="21">
        <v>0</v>
      </c>
      <c r="G168" s="22" t="s">
        <v>558</v>
      </c>
      <c r="H168" s="23">
        <v>727</v>
      </c>
      <c r="I168" s="24" t="str">
        <f>IFERROR(H167+SUMPRODUCT((MOVIMIENTOS!$C$2:$C$5000=$A167)*(MOVIMIENTOS!$D$2:$D$5000=$G167)*(MOVIMIENTOS!$B$2:$B$5000="INGRESO")*MOVIMIENTOS!$E$2:$E$5000)-SUMPRODUCT((MOVIMIENTOS!$C$2:$C$5000=$A167)*(MOVIMIENTOS!$D$2:$D$5000=$G167)*(MOVIMIENTOS!$B$2:$B$5000="EGRESO")*MOVIMIENTOS!$E$2:$E$5000),"")</f>
        <v/>
      </c>
      <c r="J168" s="25" t="s">
        <v>24</v>
      </c>
      <c r="K168" s="25" t="s">
        <v>231</v>
      </c>
      <c r="L168" s="26">
        <v>46651</v>
      </c>
      <c r="M168" s="21">
        <f t="shared" ca="1" si="3"/>
        <v>618</v>
      </c>
      <c r="N168" s="27" t="s">
        <v>26</v>
      </c>
    </row>
    <row r="169" spans="1:14" ht="16.05" customHeight="1" x14ac:dyDescent="0.3">
      <c r="A169" s="4" t="s">
        <v>554</v>
      </c>
      <c r="B169" s="5" t="s">
        <v>555</v>
      </c>
      <c r="C169" s="6" t="s">
        <v>556</v>
      </c>
      <c r="D169" s="7"/>
      <c r="E169" s="8" t="s">
        <v>22</v>
      </c>
      <c r="F169" s="9">
        <v>0</v>
      </c>
      <c r="G169" s="10" t="s">
        <v>559</v>
      </c>
      <c r="H169" s="11">
        <v>1920</v>
      </c>
      <c r="I169" s="12" t="str">
        <f>IFERROR(H168+SUMPRODUCT((MOVIMIENTOS!$C$2:$C$5000=$A168)*(MOVIMIENTOS!$D$2:$D$5000=$G168)*(MOVIMIENTOS!$B$2:$B$5000="INGRESO")*MOVIMIENTOS!$E$2:$E$5000)-SUMPRODUCT((MOVIMIENTOS!$C$2:$C$5000=$A168)*(MOVIMIENTOS!$D$2:$D$5000=$G168)*(MOVIMIENTOS!$B$2:$B$5000="EGRESO")*MOVIMIENTOS!$E$2:$E$5000),"")</f>
        <v/>
      </c>
      <c r="J169" s="13" t="s">
        <v>24</v>
      </c>
      <c r="K169" s="13" t="s">
        <v>231</v>
      </c>
      <c r="L169" s="14">
        <v>46682</v>
      </c>
      <c r="M169" s="9">
        <f t="shared" ca="1" si="3"/>
        <v>525</v>
      </c>
      <c r="N169" s="15" t="s">
        <v>26</v>
      </c>
    </row>
    <row r="170" spans="1:14" ht="16.05" customHeight="1" x14ac:dyDescent="0.3">
      <c r="A170" s="16" t="s">
        <v>560</v>
      </c>
      <c r="B170" s="17" t="s">
        <v>561</v>
      </c>
      <c r="C170" s="18" t="s">
        <v>562</v>
      </c>
      <c r="D170" s="19"/>
      <c r="E170" s="20"/>
      <c r="F170" s="21">
        <v>0</v>
      </c>
      <c r="G170" s="22" t="s">
        <v>563</v>
      </c>
      <c r="H170" s="23">
        <v>2172</v>
      </c>
      <c r="I170" s="24" t="str">
        <f>IFERROR(H169+SUMPRODUCT((MOVIMIENTOS!$C$2:$C$5000=$A169)*(MOVIMIENTOS!$D$2:$D$5000=$G169)*(MOVIMIENTOS!$B$2:$B$5000="INGRESO")*MOVIMIENTOS!$E$2:$E$5000)-SUMPRODUCT((MOVIMIENTOS!$C$2:$C$5000=$A169)*(MOVIMIENTOS!$D$2:$D$5000=$G169)*(MOVIMIENTOS!$B$2:$B$5000="EGRESO")*MOVIMIENTOS!$E$2:$E$5000),"")</f>
        <v/>
      </c>
      <c r="J170" s="25" t="s">
        <v>121</v>
      </c>
      <c r="K170" s="25" t="s">
        <v>115</v>
      </c>
      <c r="L170" s="26">
        <v>46613</v>
      </c>
      <c r="M170" s="21">
        <f t="shared" ca="1" si="3"/>
        <v>556</v>
      </c>
      <c r="N170" s="27" t="s">
        <v>26</v>
      </c>
    </row>
    <row r="171" spans="1:14" ht="16.05" customHeight="1" x14ac:dyDescent="0.3">
      <c r="A171" s="4" t="s">
        <v>564</v>
      </c>
      <c r="B171" s="5" t="s">
        <v>565</v>
      </c>
      <c r="C171" s="6" t="s">
        <v>566</v>
      </c>
      <c r="D171" s="7"/>
      <c r="E171" s="8" t="s">
        <v>22</v>
      </c>
      <c r="F171" s="9">
        <v>0</v>
      </c>
      <c r="G171" s="10" t="s">
        <v>567</v>
      </c>
      <c r="H171" s="11">
        <v>10</v>
      </c>
      <c r="I171" s="12" t="str">
        <f>IFERROR(H170+SUMPRODUCT((MOVIMIENTOS!$C$2:$C$5000=$A170)*(MOVIMIENTOS!$D$2:$D$5000=$G170)*(MOVIMIENTOS!$B$2:$B$5000="INGRESO")*MOVIMIENTOS!$E$2:$E$5000)-SUMPRODUCT((MOVIMIENTOS!$C$2:$C$5000=$A170)*(MOVIMIENTOS!$D$2:$D$5000=$G170)*(MOVIMIENTOS!$B$2:$B$5000="EGRESO")*MOVIMIENTOS!$E$2:$E$5000),"")</f>
        <v/>
      </c>
      <c r="J171" s="13" t="s">
        <v>24</v>
      </c>
      <c r="K171" s="13" t="s">
        <v>231</v>
      </c>
      <c r="L171" s="14">
        <v>46528</v>
      </c>
      <c r="M171" s="9">
        <f t="shared" ca="1" si="3"/>
        <v>487</v>
      </c>
      <c r="N171" s="15" t="s">
        <v>26</v>
      </c>
    </row>
    <row r="172" spans="1:14" ht="16.05" customHeight="1" x14ac:dyDescent="0.3">
      <c r="A172" s="16" t="s">
        <v>564</v>
      </c>
      <c r="B172" s="17" t="s">
        <v>565</v>
      </c>
      <c r="C172" s="18" t="s">
        <v>566</v>
      </c>
      <c r="D172" s="19"/>
      <c r="E172" s="20" t="s">
        <v>22</v>
      </c>
      <c r="F172" s="21">
        <v>0</v>
      </c>
      <c r="G172" s="22" t="s">
        <v>568</v>
      </c>
      <c r="H172" s="23">
        <v>100</v>
      </c>
      <c r="I172" s="24" t="str">
        <f>IFERROR(H171+SUMPRODUCT((MOVIMIENTOS!$C$2:$C$5000=$A171)*(MOVIMIENTOS!$D$2:$D$5000=$G171)*(MOVIMIENTOS!$B$2:$B$5000="INGRESO")*MOVIMIENTOS!$E$2:$E$5000)-SUMPRODUCT((MOVIMIENTOS!$C$2:$C$5000=$A171)*(MOVIMIENTOS!$D$2:$D$5000=$G171)*(MOVIMIENTOS!$B$2:$B$5000="EGRESO")*MOVIMIENTOS!$E$2:$E$5000),"")</f>
        <v/>
      </c>
      <c r="J172" s="25" t="s">
        <v>24</v>
      </c>
      <c r="K172" s="25" t="s">
        <v>231</v>
      </c>
      <c r="L172" s="26">
        <v>46698</v>
      </c>
      <c r="M172" s="21">
        <f t="shared" ca="1" si="3"/>
        <v>402</v>
      </c>
      <c r="N172" s="27" t="s">
        <v>26</v>
      </c>
    </row>
    <row r="173" spans="1:14" ht="16.05" customHeight="1" x14ac:dyDescent="0.3">
      <c r="A173" s="4" t="s">
        <v>569</v>
      </c>
      <c r="B173" s="5" t="s">
        <v>570</v>
      </c>
      <c r="C173" s="6" t="s">
        <v>571</v>
      </c>
      <c r="D173" s="7"/>
      <c r="E173" s="8" t="s">
        <v>141</v>
      </c>
      <c r="F173" s="9">
        <v>0</v>
      </c>
      <c r="G173" s="10" t="s">
        <v>572</v>
      </c>
      <c r="H173" s="28"/>
      <c r="I173" s="12" t="str">
        <f>IFERROR(H172+SUMPRODUCT((MOVIMIENTOS!$C$2:$C$5000=$A172)*(MOVIMIENTOS!$D$2:$D$5000=$G172)*(MOVIMIENTOS!$B$2:$B$5000="INGRESO")*MOVIMIENTOS!$E$2:$E$5000)-SUMPRODUCT((MOVIMIENTOS!$C$2:$C$5000=$A172)*(MOVIMIENTOS!$D$2:$D$5000=$G172)*(MOVIMIENTOS!$B$2:$B$5000="EGRESO")*MOVIMIENTOS!$E$2:$E$5000),"")</f>
        <v/>
      </c>
      <c r="J173" s="13" t="s">
        <v>143</v>
      </c>
      <c r="K173" s="13" t="s">
        <v>25</v>
      </c>
      <c r="L173" s="13"/>
      <c r="M173" s="9">
        <f t="shared" ca="1" si="3"/>
        <v>572</v>
      </c>
      <c r="N173" s="31"/>
    </row>
    <row r="174" spans="1:14" ht="16.05" customHeight="1" x14ac:dyDescent="0.3">
      <c r="A174" s="16" t="s">
        <v>573</v>
      </c>
      <c r="B174" s="17" t="s">
        <v>574</v>
      </c>
      <c r="C174" s="18" t="s">
        <v>575</v>
      </c>
      <c r="D174" s="19"/>
      <c r="E174" s="20" t="s">
        <v>52</v>
      </c>
      <c r="F174" s="21">
        <v>0</v>
      </c>
      <c r="G174" s="22" t="s">
        <v>576</v>
      </c>
      <c r="H174" s="23">
        <v>890</v>
      </c>
      <c r="I174" s="24" t="str">
        <f>IFERROR(H173+SUMPRODUCT((MOVIMIENTOS!$C$2:$C$5000=$A173)*(MOVIMIENTOS!$D$2:$D$5000=$G173)*(MOVIMIENTOS!$B$2:$B$5000="INGRESO")*MOVIMIENTOS!$E$2:$E$5000)-SUMPRODUCT((MOVIMIENTOS!$C$2:$C$5000=$A173)*(MOVIMIENTOS!$D$2:$D$5000=$G173)*(MOVIMIENTOS!$B$2:$B$5000="EGRESO")*MOVIMIENTOS!$E$2:$E$5000),"")</f>
        <v/>
      </c>
      <c r="J174" s="25" t="s">
        <v>24</v>
      </c>
      <c r="K174" s="25" t="s">
        <v>231</v>
      </c>
      <c r="L174" s="26">
        <v>46245</v>
      </c>
      <c r="M174" s="21" t="str">
        <f t="shared" ca="1" si="3"/>
        <v/>
      </c>
      <c r="N174" s="27" t="s">
        <v>26</v>
      </c>
    </row>
    <row r="175" spans="1:14" ht="16.05" customHeight="1" x14ac:dyDescent="0.3">
      <c r="A175" s="98" t="s">
        <v>577</v>
      </c>
      <c r="B175" s="99" t="s">
        <v>578</v>
      </c>
      <c r="C175" s="100" t="s">
        <v>579</v>
      </c>
      <c r="D175" s="7"/>
      <c r="E175" s="8"/>
      <c r="F175" s="102">
        <v>0</v>
      </c>
      <c r="G175" s="103" t="s">
        <v>580</v>
      </c>
      <c r="H175" s="108">
        <v>18000</v>
      </c>
      <c r="I175" s="104" t="str">
        <f>IFERROR(H174+SUMPRODUCT((MOVIMIENTOS!$C$2:$C$5000=$A174)*(MOVIMIENTOS!$D$2:$D$5000=$G174)*(MOVIMIENTOS!$B$2:$B$5000="INGRESO")*MOVIMIENTOS!$E$2:$E$5000)-SUMPRODUCT((MOVIMIENTOS!$C$2:$C$5000=$A174)*(MOVIMIENTOS!$D$2:$D$5000=$G174)*(MOVIMIENTOS!$B$2:$B$5000="EGRESO")*MOVIMIENTOS!$E$2:$E$5000),"")</f>
        <v/>
      </c>
      <c r="J175" s="105" t="s">
        <v>156</v>
      </c>
      <c r="K175" s="13"/>
      <c r="L175" s="106">
        <v>46632</v>
      </c>
      <c r="M175" s="102">
        <f t="shared" ca="1" si="3"/>
        <v>119</v>
      </c>
      <c r="N175" s="109" t="s">
        <v>26</v>
      </c>
    </row>
    <row r="176" spans="1:14" ht="16.05" customHeight="1" x14ac:dyDescent="0.3">
      <c r="A176" s="98" t="s">
        <v>577</v>
      </c>
      <c r="B176" s="99" t="s">
        <v>578</v>
      </c>
      <c r="C176" s="100" t="s">
        <v>579</v>
      </c>
      <c r="D176" s="19"/>
      <c r="E176" s="20"/>
      <c r="F176" s="102">
        <v>0</v>
      </c>
      <c r="G176" s="103" t="s">
        <v>580</v>
      </c>
      <c r="H176" s="108">
        <v>18000</v>
      </c>
      <c r="I176" s="104" t="str">
        <f>IFERROR(H175+SUMPRODUCT((MOVIMIENTOS!$C$2:$C$5000=$A175)*(MOVIMIENTOS!$D$2:$D$5000=$G175)*(MOVIMIENTOS!$B$2:$B$5000="INGRESO")*MOVIMIENTOS!$E$2:$E$5000)-SUMPRODUCT((MOVIMIENTOS!$C$2:$C$5000=$A175)*(MOVIMIENTOS!$D$2:$D$5000=$G175)*(MOVIMIENTOS!$B$2:$B$5000="EGRESO")*MOVIMIENTOS!$E$2:$E$5000),"")</f>
        <v/>
      </c>
      <c r="J176" s="105" t="s">
        <v>156</v>
      </c>
      <c r="K176" s="25"/>
      <c r="L176" s="25"/>
      <c r="M176" s="102">
        <f t="shared" ca="1" si="3"/>
        <v>506</v>
      </c>
      <c r="N176" s="30"/>
    </row>
    <row r="177" spans="1:14" ht="16.05" customHeight="1" x14ac:dyDescent="0.3">
      <c r="A177" s="4" t="s">
        <v>581</v>
      </c>
      <c r="B177" s="5" t="s">
        <v>582</v>
      </c>
      <c r="C177" s="6" t="s">
        <v>583</v>
      </c>
      <c r="D177" s="7"/>
      <c r="E177" s="8"/>
      <c r="F177" s="9">
        <v>0</v>
      </c>
      <c r="G177" s="10" t="s">
        <v>584</v>
      </c>
      <c r="H177" s="11">
        <v>466</v>
      </c>
      <c r="I177" s="12" t="str">
        <f>IFERROR(H176+SUMPRODUCT((MOVIMIENTOS!$C$2:$C$5000=$A176)*(MOVIMIENTOS!$D$2:$D$5000=$G176)*(MOVIMIENTOS!$B$2:$B$5000="INGRESO")*MOVIMIENTOS!$E$2:$E$5000)-SUMPRODUCT((MOVIMIENTOS!$C$2:$C$5000=$A176)*(MOVIMIENTOS!$D$2:$D$5000=$G176)*(MOVIMIENTOS!$B$2:$B$5000="EGRESO")*MOVIMIENTOS!$E$2:$E$5000),"")</f>
        <v/>
      </c>
      <c r="J177" s="13" t="s">
        <v>42</v>
      </c>
      <c r="K177" s="13" t="s">
        <v>25</v>
      </c>
      <c r="L177" s="14">
        <v>46509</v>
      </c>
      <c r="M177" s="9" t="str">
        <f t="shared" ca="1" si="3"/>
        <v/>
      </c>
      <c r="N177" s="15" t="s">
        <v>26</v>
      </c>
    </row>
    <row r="178" spans="1:14" ht="16.05" customHeight="1" x14ac:dyDescent="0.3">
      <c r="A178" s="16" t="s">
        <v>585</v>
      </c>
      <c r="B178" s="17" t="s">
        <v>586</v>
      </c>
      <c r="C178" s="18" t="s">
        <v>587</v>
      </c>
      <c r="D178" s="19"/>
      <c r="E178" s="20" t="s">
        <v>22</v>
      </c>
      <c r="F178" s="21">
        <v>0</v>
      </c>
      <c r="G178" s="22" t="s">
        <v>588</v>
      </c>
      <c r="H178" s="23">
        <v>3085</v>
      </c>
      <c r="I178" s="24" t="str">
        <f>IFERROR(H177+SUMPRODUCT((MOVIMIENTOS!$C$2:$C$5000=$A177)*(MOVIMIENTOS!$D$2:$D$5000=$G177)*(MOVIMIENTOS!$B$2:$B$5000="INGRESO")*MOVIMIENTOS!$E$2:$E$5000)-SUMPRODUCT((MOVIMIENTOS!$C$2:$C$5000=$A177)*(MOVIMIENTOS!$D$2:$D$5000=$G177)*(MOVIMIENTOS!$B$2:$B$5000="EGRESO")*MOVIMIENTOS!$E$2:$E$5000),"")</f>
        <v/>
      </c>
      <c r="J178" s="25" t="s">
        <v>163</v>
      </c>
      <c r="K178" s="25" t="s">
        <v>25</v>
      </c>
      <c r="L178" s="26">
        <v>46607</v>
      </c>
      <c r="M178" s="21">
        <f t="shared" ca="1" si="3"/>
        <v>383</v>
      </c>
      <c r="N178" s="27" t="s">
        <v>26</v>
      </c>
    </row>
    <row r="179" spans="1:14" ht="16.05" customHeight="1" x14ac:dyDescent="0.3">
      <c r="A179" s="4" t="s">
        <v>585</v>
      </c>
      <c r="B179" s="5" t="s">
        <v>586</v>
      </c>
      <c r="C179" s="6" t="s">
        <v>587</v>
      </c>
      <c r="D179" s="7"/>
      <c r="E179" s="8" t="s">
        <v>22</v>
      </c>
      <c r="F179" s="9">
        <v>0</v>
      </c>
      <c r="G179" s="10" t="s">
        <v>589</v>
      </c>
      <c r="H179" s="11">
        <v>2000</v>
      </c>
      <c r="I179" s="12" t="str">
        <f>IFERROR(H178+SUMPRODUCT((MOVIMIENTOS!$C$2:$C$5000=$A178)*(MOVIMIENTOS!$D$2:$D$5000=$G178)*(MOVIMIENTOS!$B$2:$B$5000="INGRESO")*MOVIMIENTOS!$E$2:$E$5000)-SUMPRODUCT((MOVIMIENTOS!$C$2:$C$5000=$A178)*(MOVIMIENTOS!$D$2:$D$5000=$G178)*(MOVIMIENTOS!$B$2:$B$5000="EGRESO")*MOVIMIENTOS!$E$2:$E$5000),"")</f>
        <v/>
      </c>
      <c r="J179" s="13" t="s">
        <v>163</v>
      </c>
      <c r="K179" s="13" t="s">
        <v>25</v>
      </c>
      <c r="L179" s="14">
        <v>46688</v>
      </c>
      <c r="M179" s="9">
        <f t="shared" ca="1" si="3"/>
        <v>481</v>
      </c>
      <c r="N179" s="15" t="s">
        <v>26</v>
      </c>
    </row>
    <row r="180" spans="1:14" ht="16.05" customHeight="1" x14ac:dyDescent="0.3">
      <c r="A180" s="16" t="s">
        <v>590</v>
      </c>
      <c r="B180" s="17" t="s">
        <v>591</v>
      </c>
      <c r="C180" s="18" t="s">
        <v>592</v>
      </c>
      <c r="D180" s="19"/>
      <c r="E180" s="20" t="s">
        <v>52</v>
      </c>
      <c r="F180" s="21">
        <v>0</v>
      </c>
      <c r="G180" s="22" t="s">
        <v>593</v>
      </c>
      <c r="H180" s="23">
        <v>680</v>
      </c>
      <c r="I180" s="24" t="str">
        <f>IFERROR(H179+SUMPRODUCT((MOVIMIENTOS!$C$2:$C$5000=$A179)*(MOVIMIENTOS!$D$2:$D$5000=$G179)*(MOVIMIENTOS!$B$2:$B$5000="INGRESO")*MOVIMIENTOS!$E$2:$E$5000)-SUMPRODUCT((MOVIMIENTOS!$C$2:$C$5000=$A179)*(MOVIMIENTOS!$D$2:$D$5000=$G179)*(MOVIMIENTOS!$B$2:$B$5000="EGRESO")*MOVIMIENTOS!$E$2:$E$5000),"")</f>
        <v/>
      </c>
      <c r="J180" s="25" t="s">
        <v>67</v>
      </c>
      <c r="K180" s="25" t="s">
        <v>25</v>
      </c>
      <c r="L180" s="26">
        <v>46662</v>
      </c>
      <c r="M180" s="21">
        <f t="shared" ca="1" si="3"/>
        <v>562</v>
      </c>
      <c r="N180" s="27" t="s">
        <v>26</v>
      </c>
    </row>
    <row r="181" spans="1:14" ht="16.05" customHeight="1" x14ac:dyDescent="0.3">
      <c r="A181" s="4" t="s">
        <v>590</v>
      </c>
      <c r="B181" s="5" t="s">
        <v>591</v>
      </c>
      <c r="C181" s="6" t="s">
        <v>592</v>
      </c>
      <c r="D181" s="7"/>
      <c r="E181" s="8" t="s">
        <v>52</v>
      </c>
      <c r="F181" s="9">
        <v>0</v>
      </c>
      <c r="G181" s="10" t="s">
        <v>594</v>
      </c>
      <c r="H181" s="11">
        <v>1785</v>
      </c>
      <c r="I181" s="12" t="str">
        <f>IFERROR(H180+SUMPRODUCT((MOVIMIENTOS!$C$2:$C$5000=$A180)*(MOVIMIENTOS!$D$2:$D$5000=$G180)*(MOVIMIENTOS!$B$2:$B$5000="INGRESO")*MOVIMIENTOS!$E$2:$E$5000)-SUMPRODUCT((MOVIMIENTOS!$C$2:$C$5000=$A180)*(MOVIMIENTOS!$D$2:$D$5000=$G180)*(MOVIMIENTOS!$B$2:$B$5000="EGRESO")*MOVIMIENTOS!$E$2:$E$5000),"")</f>
        <v/>
      </c>
      <c r="J181" s="13" t="s">
        <v>67</v>
      </c>
      <c r="K181" s="13" t="s">
        <v>25</v>
      </c>
      <c r="L181" s="14">
        <v>46733</v>
      </c>
      <c r="M181" s="9">
        <f t="shared" ca="1" si="3"/>
        <v>536</v>
      </c>
      <c r="N181" s="15" t="s">
        <v>26</v>
      </c>
    </row>
    <row r="182" spans="1:14" ht="16.05" customHeight="1" x14ac:dyDescent="0.3">
      <c r="A182" s="16" t="s">
        <v>595</v>
      </c>
      <c r="B182" s="17" t="s">
        <v>596</v>
      </c>
      <c r="C182" s="18" t="s">
        <v>597</v>
      </c>
      <c r="D182" s="19"/>
      <c r="E182" s="20" t="s">
        <v>35</v>
      </c>
      <c r="F182" s="21">
        <v>0</v>
      </c>
      <c r="G182" s="22" t="s">
        <v>598</v>
      </c>
      <c r="H182" s="23">
        <v>30</v>
      </c>
      <c r="I182" s="24" t="str">
        <f>IFERROR(H181+SUMPRODUCT((MOVIMIENTOS!$C$2:$C$5000=$A181)*(MOVIMIENTOS!$D$2:$D$5000=$G181)*(MOVIMIENTOS!$B$2:$B$5000="INGRESO")*MOVIMIENTOS!$E$2:$E$5000)-SUMPRODUCT((MOVIMIENTOS!$C$2:$C$5000=$A181)*(MOVIMIENTOS!$D$2:$D$5000=$G181)*(MOVIMIENTOS!$B$2:$B$5000="EGRESO")*MOVIMIENTOS!$E$2:$E$5000),"")</f>
        <v/>
      </c>
      <c r="J182" s="25" t="s">
        <v>37</v>
      </c>
      <c r="K182" s="25" t="s">
        <v>115</v>
      </c>
      <c r="L182" s="26">
        <v>46798</v>
      </c>
      <c r="M182" s="21">
        <f t="shared" ca="1" si="3"/>
        <v>607</v>
      </c>
      <c r="N182" s="27" t="s">
        <v>26</v>
      </c>
    </row>
    <row r="183" spans="1:14" ht="16.05" customHeight="1" x14ac:dyDescent="0.3">
      <c r="A183" s="4" t="s">
        <v>298</v>
      </c>
      <c r="B183" s="5" t="s">
        <v>299</v>
      </c>
      <c r="C183" s="6" t="s">
        <v>599</v>
      </c>
      <c r="D183" s="7"/>
      <c r="E183" s="8" t="s">
        <v>35</v>
      </c>
      <c r="F183" s="9">
        <v>0</v>
      </c>
      <c r="G183" s="10" t="s">
        <v>600</v>
      </c>
      <c r="H183" s="11">
        <v>1000</v>
      </c>
      <c r="I183" s="12" t="str">
        <f>IFERROR(H182+SUMPRODUCT((MOVIMIENTOS!$C$2:$C$5000=$A182)*(MOVIMIENTOS!$D$2:$D$5000=$G182)*(MOVIMIENTOS!$B$2:$B$5000="INGRESO")*MOVIMIENTOS!$E$2:$E$5000)-SUMPRODUCT((MOVIMIENTOS!$C$2:$C$5000=$A182)*(MOVIMIENTOS!$D$2:$D$5000=$G182)*(MOVIMIENTOS!$B$2:$B$5000="EGRESO")*MOVIMIENTOS!$E$2:$E$5000),"")</f>
        <v/>
      </c>
      <c r="J183" s="13" t="s">
        <v>67</v>
      </c>
      <c r="K183" s="13" t="s">
        <v>72</v>
      </c>
      <c r="L183" s="14">
        <v>46929</v>
      </c>
      <c r="M183" s="9">
        <f t="shared" ca="1" si="3"/>
        <v>672</v>
      </c>
      <c r="N183" s="15" t="s">
        <v>26</v>
      </c>
    </row>
    <row r="184" spans="1:14" ht="16.05" customHeight="1" x14ac:dyDescent="0.3">
      <c r="A184" s="16" t="s">
        <v>601</v>
      </c>
      <c r="B184" s="17" t="s">
        <v>602</v>
      </c>
      <c r="C184" s="18" t="s">
        <v>603</v>
      </c>
      <c r="D184" s="19"/>
      <c r="E184" s="20" t="s">
        <v>35</v>
      </c>
      <c r="F184" s="21">
        <v>0</v>
      </c>
      <c r="G184" s="22" t="s">
        <v>604</v>
      </c>
      <c r="H184" s="29"/>
      <c r="I184" s="24" t="str">
        <f>IFERROR(H183+SUMPRODUCT((MOVIMIENTOS!$C$2:$C$5000=$A183)*(MOVIMIENTOS!$D$2:$D$5000=$G183)*(MOVIMIENTOS!$B$2:$B$5000="INGRESO")*MOVIMIENTOS!$E$2:$E$5000)-SUMPRODUCT((MOVIMIENTOS!$C$2:$C$5000=$A183)*(MOVIMIENTOS!$D$2:$D$5000=$G183)*(MOVIMIENTOS!$B$2:$B$5000="EGRESO")*MOVIMIENTOS!$E$2:$E$5000),"")</f>
        <v/>
      </c>
      <c r="J184" s="25" t="s">
        <v>37</v>
      </c>
      <c r="K184" s="25" t="s">
        <v>115</v>
      </c>
      <c r="L184" s="25"/>
      <c r="M184" s="21">
        <f t="shared" ca="1" si="3"/>
        <v>803</v>
      </c>
      <c r="N184" s="30"/>
    </row>
    <row r="185" spans="1:14" ht="16.05" customHeight="1" x14ac:dyDescent="0.3">
      <c r="A185" s="4" t="s">
        <v>605</v>
      </c>
      <c r="B185" s="5" t="s">
        <v>606</v>
      </c>
      <c r="C185" s="6" t="s">
        <v>607</v>
      </c>
      <c r="D185" s="7"/>
      <c r="E185" s="8"/>
      <c r="F185" s="9">
        <v>0</v>
      </c>
      <c r="G185" s="10" t="s">
        <v>608</v>
      </c>
      <c r="H185" s="28"/>
      <c r="I185" s="12" t="str">
        <f>IFERROR(H184+SUMPRODUCT((MOVIMIENTOS!$C$2:$C$5000=$A184)*(MOVIMIENTOS!$D$2:$D$5000=$G184)*(MOVIMIENTOS!$B$2:$B$5000="INGRESO")*MOVIMIENTOS!$E$2:$E$5000)-SUMPRODUCT((MOVIMIENTOS!$C$2:$C$5000=$A184)*(MOVIMIENTOS!$D$2:$D$5000=$G184)*(MOVIMIENTOS!$B$2:$B$5000="EGRESO")*MOVIMIENTOS!$E$2:$E$5000),"")</f>
        <v/>
      </c>
      <c r="J185" s="13" t="s">
        <v>37</v>
      </c>
      <c r="K185" s="13" t="s">
        <v>115</v>
      </c>
      <c r="L185" s="13"/>
      <c r="M185" s="9" t="str">
        <f t="shared" ca="1" si="3"/>
        <v/>
      </c>
      <c r="N185" s="31"/>
    </row>
    <row r="186" spans="1:14" ht="16.05" customHeight="1" x14ac:dyDescent="0.3">
      <c r="A186" s="16" t="s">
        <v>605</v>
      </c>
      <c r="B186" s="17" t="s">
        <v>606</v>
      </c>
      <c r="C186" s="18" t="s">
        <v>607</v>
      </c>
      <c r="D186" s="19"/>
      <c r="E186" s="20"/>
      <c r="F186" s="21">
        <v>0</v>
      </c>
      <c r="G186" s="22" t="s">
        <v>451</v>
      </c>
      <c r="H186" s="23">
        <v>900</v>
      </c>
      <c r="I186" s="24" t="str">
        <f>IFERROR(H185+SUMPRODUCT((MOVIMIENTOS!$C$2:$C$5000=$A185)*(MOVIMIENTOS!$D$2:$D$5000=$G185)*(MOVIMIENTOS!$B$2:$B$5000="INGRESO")*MOVIMIENTOS!$E$2:$E$5000)-SUMPRODUCT((MOVIMIENTOS!$C$2:$C$5000=$A185)*(MOVIMIENTOS!$D$2:$D$5000=$G185)*(MOVIMIENTOS!$B$2:$B$5000="EGRESO")*MOVIMIENTOS!$E$2:$E$5000),"")</f>
        <v/>
      </c>
      <c r="J186" s="25" t="s">
        <v>42</v>
      </c>
      <c r="K186" s="25" t="s">
        <v>115</v>
      </c>
      <c r="L186" s="26">
        <v>46392</v>
      </c>
      <c r="M186" s="21" t="str">
        <f t="shared" ca="1" si="3"/>
        <v/>
      </c>
      <c r="N186" s="27" t="s">
        <v>26</v>
      </c>
    </row>
    <row r="187" spans="1:14" ht="16.05" customHeight="1" x14ac:dyDescent="0.3">
      <c r="A187" s="4" t="s">
        <v>609</v>
      </c>
      <c r="B187" s="5" t="s">
        <v>610</v>
      </c>
      <c r="C187" s="6" t="s">
        <v>611</v>
      </c>
      <c r="D187" s="7"/>
      <c r="E187" s="8" t="s">
        <v>35</v>
      </c>
      <c r="F187" s="9">
        <v>0</v>
      </c>
      <c r="G187" s="10" t="s">
        <v>612</v>
      </c>
      <c r="H187" s="11">
        <v>35</v>
      </c>
      <c r="I187" s="12" t="str">
        <f>IFERROR(H186+SUMPRODUCT((MOVIMIENTOS!$C$2:$C$5000=$A186)*(MOVIMIENTOS!$D$2:$D$5000=$G186)*(MOVIMIENTOS!$B$2:$B$5000="INGRESO")*MOVIMIENTOS!$E$2:$E$5000)-SUMPRODUCT((MOVIMIENTOS!$C$2:$C$5000=$A186)*(MOVIMIENTOS!$D$2:$D$5000=$G186)*(MOVIMIENTOS!$B$2:$B$5000="EGRESO")*MOVIMIENTOS!$E$2:$E$5000),"")</f>
        <v/>
      </c>
      <c r="J187" s="13" t="s">
        <v>37</v>
      </c>
      <c r="K187" s="13" t="s">
        <v>115</v>
      </c>
      <c r="L187" s="14">
        <v>46853</v>
      </c>
      <c r="M187" s="9">
        <f t="shared" ca="1" si="3"/>
        <v>266</v>
      </c>
      <c r="N187" s="15" t="s">
        <v>26</v>
      </c>
    </row>
    <row r="188" spans="1:14" ht="16.05" customHeight="1" x14ac:dyDescent="0.3">
      <c r="A188" s="16" t="s">
        <v>609</v>
      </c>
      <c r="B188" s="17" t="s">
        <v>610</v>
      </c>
      <c r="C188" s="18" t="s">
        <v>611</v>
      </c>
      <c r="D188" s="19"/>
      <c r="E188" s="20" t="s">
        <v>35</v>
      </c>
      <c r="F188" s="21">
        <v>0</v>
      </c>
      <c r="G188" s="22" t="s">
        <v>612</v>
      </c>
      <c r="H188" s="23">
        <v>1000</v>
      </c>
      <c r="I188" s="24" t="str">
        <f>IFERROR(H187+SUMPRODUCT((MOVIMIENTOS!$C$2:$C$5000=$A187)*(MOVIMIENTOS!$D$2:$D$5000=$G187)*(MOVIMIENTOS!$B$2:$B$5000="INGRESO")*MOVIMIENTOS!$E$2:$E$5000)-SUMPRODUCT((MOVIMIENTOS!$C$2:$C$5000=$A187)*(MOVIMIENTOS!$D$2:$D$5000=$G187)*(MOVIMIENTOS!$B$2:$B$5000="EGRESO")*MOVIMIENTOS!$E$2:$E$5000),"")</f>
        <v/>
      </c>
      <c r="J188" s="25" t="s">
        <v>67</v>
      </c>
      <c r="K188" s="25" t="s">
        <v>72</v>
      </c>
      <c r="L188" s="26">
        <v>46853</v>
      </c>
      <c r="M188" s="21">
        <f t="shared" ca="1" si="3"/>
        <v>727</v>
      </c>
      <c r="N188" s="27" t="s">
        <v>26</v>
      </c>
    </row>
    <row r="189" spans="1:14" ht="16.05" customHeight="1" x14ac:dyDescent="0.3">
      <c r="A189" s="4" t="s">
        <v>613</v>
      </c>
      <c r="B189" s="5" t="s">
        <v>614</v>
      </c>
      <c r="C189" s="6" t="s">
        <v>615</v>
      </c>
      <c r="D189" s="7"/>
      <c r="E189" s="8" t="s">
        <v>35</v>
      </c>
      <c r="F189" s="9">
        <v>0</v>
      </c>
      <c r="G189" s="10" t="s">
        <v>616</v>
      </c>
      <c r="H189" s="11">
        <v>1000</v>
      </c>
      <c r="I189" s="12" t="str">
        <f>IFERROR(H188+SUMPRODUCT((MOVIMIENTOS!$C$2:$C$5000=$A188)*(MOVIMIENTOS!$D$2:$D$5000=$G188)*(MOVIMIENTOS!$B$2:$B$5000="INGRESO")*MOVIMIENTOS!$E$2:$E$5000)-SUMPRODUCT((MOVIMIENTOS!$C$2:$C$5000=$A188)*(MOVIMIENTOS!$D$2:$D$5000=$G188)*(MOVIMIENTOS!$B$2:$B$5000="EGRESO")*MOVIMIENTOS!$E$2:$E$5000),"")</f>
        <v/>
      </c>
      <c r="J189" s="13" t="s">
        <v>67</v>
      </c>
      <c r="K189" s="13" t="s">
        <v>72</v>
      </c>
      <c r="L189" s="14">
        <v>46919</v>
      </c>
      <c r="M189" s="9">
        <f t="shared" ca="1" si="3"/>
        <v>727</v>
      </c>
      <c r="N189" s="15" t="s">
        <v>26</v>
      </c>
    </row>
    <row r="190" spans="1:14" ht="16.05" customHeight="1" x14ac:dyDescent="0.3">
      <c r="A190" s="98" t="s">
        <v>617</v>
      </c>
      <c r="B190" s="99" t="s">
        <v>618</v>
      </c>
      <c r="C190" s="100" t="s">
        <v>619</v>
      </c>
      <c r="D190" s="19"/>
      <c r="E190" s="20"/>
      <c r="F190" s="102">
        <v>0</v>
      </c>
      <c r="G190" s="103" t="s">
        <v>620</v>
      </c>
      <c r="H190" s="108">
        <v>18000</v>
      </c>
      <c r="I190" s="104" t="str">
        <f>IFERROR(H189+SUMPRODUCT((MOVIMIENTOS!$C$2:$C$5000=$A189)*(MOVIMIENTOS!$D$2:$D$5000=$G189)*(MOVIMIENTOS!$B$2:$B$5000="INGRESO")*MOVIMIENTOS!$E$2:$E$5000)-SUMPRODUCT((MOVIMIENTOS!$C$2:$C$5000=$A189)*(MOVIMIENTOS!$D$2:$D$5000=$G189)*(MOVIMIENTOS!$B$2:$B$5000="EGRESO")*MOVIMIENTOS!$E$2:$E$5000),"")</f>
        <v/>
      </c>
      <c r="J190" s="105" t="s">
        <v>156</v>
      </c>
      <c r="K190" s="25"/>
      <c r="L190" s="106">
        <v>46527</v>
      </c>
      <c r="M190" s="102">
        <f t="shared" ca="1" si="3"/>
        <v>793</v>
      </c>
      <c r="N190" s="109" t="s">
        <v>26</v>
      </c>
    </row>
    <row r="191" spans="1:14" ht="16.05" customHeight="1" x14ac:dyDescent="0.3">
      <c r="A191" s="4" t="s">
        <v>621</v>
      </c>
      <c r="B191" s="5" t="s">
        <v>622</v>
      </c>
      <c r="C191" s="6" t="s">
        <v>623</v>
      </c>
      <c r="D191" s="7"/>
      <c r="E191" s="8"/>
      <c r="F191" s="9">
        <v>0</v>
      </c>
      <c r="G191" s="10" t="s">
        <v>496</v>
      </c>
      <c r="H191" s="28"/>
      <c r="I191" s="12" t="str">
        <f>IFERROR(H190+SUMPRODUCT((MOVIMIENTOS!$C$2:$C$5000=$A190)*(MOVIMIENTOS!$D$2:$D$5000=$G190)*(MOVIMIENTOS!$B$2:$B$5000="INGRESO")*MOVIMIENTOS!$E$2:$E$5000)-SUMPRODUCT((MOVIMIENTOS!$C$2:$C$5000=$A190)*(MOVIMIENTOS!$D$2:$D$5000=$G190)*(MOVIMIENTOS!$B$2:$B$5000="EGRESO")*MOVIMIENTOS!$E$2:$E$5000),"")</f>
        <v/>
      </c>
      <c r="J191" s="13" t="s">
        <v>359</v>
      </c>
      <c r="K191" s="13" t="s">
        <v>25</v>
      </c>
      <c r="L191" s="14">
        <v>46508</v>
      </c>
      <c r="M191" s="9">
        <f t="shared" ca="1" si="3"/>
        <v>401</v>
      </c>
      <c r="N191" s="15" t="s">
        <v>26</v>
      </c>
    </row>
    <row r="192" spans="1:14" ht="16.05" customHeight="1" x14ac:dyDescent="0.3">
      <c r="A192" s="16" t="s">
        <v>624</v>
      </c>
      <c r="B192" s="17" t="s">
        <v>625</v>
      </c>
      <c r="C192" s="18" t="s">
        <v>626</v>
      </c>
      <c r="D192" s="19"/>
      <c r="E192" s="20"/>
      <c r="F192" s="21">
        <v>0</v>
      </c>
      <c r="G192" s="22" t="s">
        <v>604</v>
      </c>
      <c r="H192" s="29"/>
      <c r="I192" s="24" t="str">
        <f>IFERROR(H191+SUMPRODUCT((MOVIMIENTOS!$C$2:$C$5000=$A191)*(MOVIMIENTOS!$D$2:$D$5000=$G191)*(MOVIMIENTOS!$B$2:$B$5000="INGRESO")*MOVIMIENTOS!$E$2:$E$5000)-SUMPRODUCT((MOVIMIENTOS!$C$2:$C$5000=$A191)*(MOVIMIENTOS!$D$2:$D$5000=$G191)*(MOVIMIENTOS!$B$2:$B$5000="EGRESO")*MOVIMIENTOS!$E$2:$E$5000),"")</f>
        <v/>
      </c>
      <c r="J192" s="25" t="s">
        <v>37</v>
      </c>
      <c r="K192" s="25" t="s">
        <v>115</v>
      </c>
      <c r="L192" s="25"/>
      <c r="M192" s="21">
        <f t="shared" ca="1" si="3"/>
        <v>382</v>
      </c>
      <c r="N192" s="30"/>
    </row>
    <row r="193" spans="1:14" ht="16.05" customHeight="1" x14ac:dyDescent="0.3">
      <c r="A193" s="4" t="s">
        <v>627</v>
      </c>
      <c r="B193" s="5" t="s">
        <v>625</v>
      </c>
      <c r="C193" s="6" t="s">
        <v>628</v>
      </c>
      <c r="D193" s="7"/>
      <c r="E193" s="8"/>
      <c r="F193" s="9">
        <v>0</v>
      </c>
      <c r="G193" s="10" t="s">
        <v>604</v>
      </c>
      <c r="H193" s="28"/>
      <c r="I193" s="12" t="str">
        <f>IFERROR(H192+SUMPRODUCT((MOVIMIENTOS!$C$2:$C$5000=$A192)*(MOVIMIENTOS!$D$2:$D$5000=$G192)*(MOVIMIENTOS!$B$2:$B$5000="INGRESO")*MOVIMIENTOS!$E$2:$E$5000)-SUMPRODUCT((MOVIMIENTOS!$C$2:$C$5000=$A192)*(MOVIMIENTOS!$D$2:$D$5000=$G192)*(MOVIMIENTOS!$B$2:$B$5000="EGRESO")*MOVIMIENTOS!$E$2:$E$5000),"")</f>
        <v/>
      </c>
      <c r="J193" s="13" t="s">
        <v>37</v>
      </c>
      <c r="K193" s="13" t="s">
        <v>115</v>
      </c>
      <c r="L193" s="13"/>
      <c r="M193" s="9" t="str">
        <f t="shared" ca="1" si="3"/>
        <v/>
      </c>
      <c r="N193" s="31"/>
    </row>
    <row r="194" spans="1:14" ht="16.05" customHeight="1" x14ac:dyDescent="0.3">
      <c r="A194" s="16" t="s">
        <v>629</v>
      </c>
      <c r="B194" s="17" t="s">
        <v>625</v>
      </c>
      <c r="C194" s="18" t="s">
        <v>630</v>
      </c>
      <c r="D194" s="19"/>
      <c r="E194" s="20"/>
      <c r="F194" s="21">
        <v>0</v>
      </c>
      <c r="G194" s="22" t="s">
        <v>604</v>
      </c>
      <c r="H194" s="29"/>
      <c r="I194" s="24" t="str">
        <f>IFERROR(H193+SUMPRODUCT((MOVIMIENTOS!$C$2:$C$5000=$A193)*(MOVIMIENTOS!$D$2:$D$5000=$G193)*(MOVIMIENTOS!$B$2:$B$5000="INGRESO")*MOVIMIENTOS!$E$2:$E$5000)-SUMPRODUCT((MOVIMIENTOS!$C$2:$C$5000=$A193)*(MOVIMIENTOS!$D$2:$D$5000=$G193)*(MOVIMIENTOS!$B$2:$B$5000="EGRESO")*MOVIMIENTOS!$E$2:$E$5000),"")</f>
        <v/>
      </c>
      <c r="J194" s="25" t="s">
        <v>37</v>
      </c>
      <c r="K194" s="25" t="s">
        <v>115</v>
      </c>
      <c r="L194" s="25"/>
      <c r="M194" s="21" t="str">
        <f t="shared" ca="1" si="3"/>
        <v/>
      </c>
      <c r="N194" s="30"/>
    </row>
    <row r="195" spans="1:14" ht="16.05" customHeight="1" x14ac:dyDescent="0.3">
      <c r="A195" s="32" t="s">
        <v>631</v>
      </c>
      <c r="B195" s="33" t="s">
        <v>625</v>
      </c>
      <c r="C195" s="34" t="s">
        <v>632</v>
      </c>
      <c r="D195" s="35"/>
      <c r="E195" s="36"/>
      <c r="F195" s="37">
        <v>0</v>
      </c>
      <c r="G195" s="38" t="s">
        <v>633</v>
      </c>
      <c r="H195" s="39"/>
      <c r="I195" s="40" t="str">
        <f>IFERROR(H194+SUMPRODUCT((MOVIMIENTOS!$C$2:$C$5000=$A194)*(MOVIMIENTOS!$D$2:$D$5000=$G194)*(MOVIMIENTOS!$B$2:$B$5000="INGRESO")*MOVIMIENTOS!$E$2:$E$5000)-SUMPRODUCT((MOVIMIENTOS!$C$2:$C$5000=$A194)*(MOVIMIENTOS!$D$2:$D$5000=$G194)*(MOVIMIENTOS!$B$2:$B$5000="EGRESO")*MOVIMIENTOS!$E$2:$E$5000),"")</f>
        <v/>
      </c>
      <c r="J195" s="41" t="s">
        <v>37</v>
      </c>
      <c r="K195" s="41" t="s">
        <v>115</v>
      </c>
      <c r="L195" s="42">
        <v>46101</v>
      </c>
      <c r="M195" s="37" t="str">
        <f t="shared" ca="1" si="3"/>
        <v/>
      </c>
      <c r="N195" s="43" t="s">
        <v>130</v>
      </c>
    </row>
    <row r="196" spans="1:14" ht="16.05" customHeight="1" x14ac:dyDescent="0.3">
      <c r="A196" s="16" t="s">
        <v>634</v>
      </c>
      <c r="B196" s="17" t="s">
        <v>625</v>
      </c>
      <c r="C196" s="18" t="s">
        <v>635</v>
      </c>
      <c r="D196" s="19"/>
      <c r="E196" s="20" t="s">
        <v>35</v>
      </c>
      <c r="F196" s="21">
        <v>0</v>
      </c>
      <c r="G196" s="22" t="s">
        <v>636</v>
      </c>
      <c r="H196" s="23">
        <v>850</v>
      </c>
      <c r="I196" s="24" t="str">
        <f>IFERROR(H195+SUMPRODUCT((MOVIMIENTOS!$C$2:$C$5000=$A195)*(MOVIMIENTOS!$D$2:$D$5000=$G195)*(MOVIMIENTOS!$B$2:$B$5000="INGRESO")*MOVIMIENTOS!$E$2:$E$5000)-SUMPRODUCT((MOVIMIENTOS!$C$2:$C$5000=$A195)*(MOVIMIENTOS!$D$2:$D$5000=$G195)*(MOVIMIENTOS!$B$2:$B$5000="EGRESO")*MOVIMIENTOS!$E$2:$E$5000),"")</f>
        <v/>
      </c>
      <c r="J196" s="25" t="s">
        <v>37</v>
      </c>
      <c r="K196" s="25" t="s">
        <v>115</v>
      </c>
      <c r="L196" s="26">
        <v>46324</v>
      </c>
      <c r="M196" s="21">
        <f t="shared" ref="M196:M259" ca="1" si="4">IF(L195="","",L195-TODAY())</f>
        <v>-25</v>
      </c>
      <c r="N196" s="27" t="s">
        <v>26</v>
      </c>
    </row>
    <row r="197" spans="1:14" ht="16.05" customHeight="1" x14ac:dyDescent="0.3">
      <c r="A197" s="4" t="s">
        <v>637</v>
      </c>
      <c r="B197" s="5" t="s">
        <v>625</v>
      </c>
      <c r="C197" s="6" t="s">
        <v>638</v>
      </c>
      <c r="D197" s="7"/>
      <c r="E197" s="8"/>
      <c r="F197" s="9">
        <v>0</v>
      </c>
      <c r="G197" s="10" t="s">
        <v>604</v>
      </c>
      <c r="H197" s="28"/>
      <c r="I197" s="12" t="str">
        <f>IFERROR(H196+SUMPRODUCT((MOVIMIENTOS!$C$2:$C$5000=$A196)*(MOVIMIENTOS!$D$2:$D$5000=$G196)*(MOVIMIENTOS!$B$2:$B$5000="INGRESO")*MOVIMIENTOS!$E$2:$E$5000)-SUMPRODUCT((MOVIMIENTOS!$C$2:$C$5000=$A196)*(MOVIMIENTOS!$D$2:$D$5000=$G196)*(MOVIMIENTOS!$B$2:$B$5000="EGRESO")*MOVIMIENTOS!$E$2:$E$5000),"")</f>
        <v/>
      </c>
      <c r="J197" s="13" t="s">
        <v>37</v>
      </c>
      <c r="K197" s="13" t="s">
        <v>115</v>
      </c>
      <c r="L197" s="13"/>
      <c r="M197" s="9">
        <f t="shared" ca="1" si="4"/>
        <v>198</v>
      </c>
      <c r="N197" s="31"/>
    </row>
    <row r="198" spans="1:14" ht="16.05" customHeight="1" x14ac:dyDescent="0.3">
      <c r="A198" s="16" t="s">
        <v>639</v>
      </c>
      <c r="B198" s="17" t="s">
        <v>625</v>
      </c>
      <c r="C198" s="18" t="s">
        <v>640</v>
      </c>
      <c r="D198" s="19"/>
      <c r="E198" s="20"/>
      <c r="F198" s="21">
        <v>0</v>
      </c>
      <c r="G198" s="22" t="s">
        <v>641</v>
      </c>
      <c r="H198" s="23">
        <v>580</v>
      </c>
      <c r="I198" s="24" t="str">
        <f>IFERROR(H197+SUMPRODUCT((MOVIMIENTOS!$C$2:$C$5000=$A197)*(MOVIMIENTOS!$D$2:$D$5000=$G197)*(MOVIMIENTOS!$B$2:$B$5000="INGRESO")*MOVIMIENTOS!$E$2:$E$5000)-SUMPRODUCT((MOVIMIENTOS!$C$2:$C$5000=$A197)*(MOVIMIENTOS!$D$2:$D$5000=$G197)*(MOVIMIENTOS!$B$2:$B$5000="EGRESO")*MOVIMIENTOS!$E$2:$E$5000),"")</f>
        <v/>
      </c>
      <c r="J198" s="25" t="s">
        <v>37</v>
      </c>
      <c r="K198" s="25" t="s">
        <v>115</v>
      </c>
      <c r="L198" s="26">
        <v>46266</v>
      </c>
      <c r="M198" s="21" t="str">
        <f t="shared" ca="1" si="4"/>
        <v/>
      </c>
      <c r="N198" s="27" t="s">
        <v>26</v>
      </c>
    </row>
    <row r="199" spans="1:14" ht="16.05" customHeight="1" x14ac:dyDescent="0.3">
      <c r="A199" s="4" t="s">
        <v>639</v>
      </c>
      <c r="B199" s="5" t="s">
        <v>625</v>
      </c>
      <c r="C199" s="6" t="s">
        <v>640</v>
      </c>
      <c r="D199" s="7"/>
      <c r="E199" s="8"/>
      <c r="F199" s="9">
        <v>0</v>
      </c>
      <c r="G199" s="10" t="s">
        <v>642</v>
      </c>
      <c r="H199" s="11">
        <v>1000</v>
      </c>
      <c r="I199" s="12" t="str">
        <f>IFERROR(H198+SUMPRODUCT((MOVIMIENTOS!$C$2:$C$5000=$A198)*(MOVIMIENTOS!$D$2:$D$5000=$G198)*(MOVIMIENTOS!$B$2:$B$5000="INGRESO")*MOVIMIENTOS!$E$2:$E$5000)-SUMPRODUCT((MOVIMIENTOS!$C$2:$C$5000=$A198)*(MOVIMIENTOS!$D$2:$D$5000=$G198)*(MOVIMIENTOS!$B$2:$B$5000="EGRESO")*MOVIMIENTOS!$E$2:$E$5000),"")</f>
        <v/>
      </c>
      <c r="J199" s="13" t="s">
        <v>37</v>
      </c>
      <c r="K199" s="13" t="s">
        <v>115</v>
      </c>
      <c r="L199" s="14">
        <v>46478</v>
      </c>
      <c r="M199" s="9">
        <f t="shared" ca="1" si="4"/>
        <v>140</v>
      </c>
      <c r="N199" s="15" t="s">
        <v>26</v>
      </c>
    </row>
    <row r="200" spans="1:14" ht="16.05" customHeight="1" x14ac:dyDescent="0.3">
      <c r="A200" s="56" t="s">
        <v>102</v>
      </c>
      <c r="B200" s="57" t="s">
        <v>625</v>
      </c>
      <c r="C200" s="58" t="s">
        <v>643</v>
      </c>
      <c r="D200" s="59"/>
      <c r="E200" s="60" t="s">
        <v>35</v>
      </c>
      <c r="F200" s="61">
        <v>0</v>
      </c>
      <c r="G200" s="62" t="s">
        <v>644</v>
      </c>
      <c r="H200" s="63">
        <v>893</v>
      </c>
      <c r="I200" s="64" t="str">
        <f>IFERROR(H199+SUMPRODUCT((MOVIMIENTOS!$C$2:$C$5000=$A199)*(MOVIMIENTOS!$D$2:$D$5000=$G199)*(MOVIMIENTOS!$B$2:$B$5000="INGRESO")*MOVIMIENTOS!$E$2:$E$5000)-SUMPRODUCT((MOVIMIENTOS!$C$2:$C$5000=$A199)*(MOVIMIENTOS!$D$2:$D$5000=$G199)*(MOVIMIENTOS!$B$2:$B$5000="EGRESO")*MOVIMIENTOS!$E$2:$E$5000),"")</f>
        <v/>
      </c>
      <c r="J200" s="65" t="s">
        <v>37</v>
      </c>
      <c r="K200" s="65" t="s">
        <v>231</v>
      </c>
      <c r="L200" s="66">
        <v>46182</v>
      </c>
      <c r="M200" s="61">
        <f t="shared" ca="1" si="4"/>
        <v>352</v>
      </c>
      <c r="N200" s="67" t="s">
        <v>255</v>
      </c>
    </row>
    <row r="201" spans="1:14" ht="16.05" customHeight="1" x14ac:dyDescent="0.3">
      <c r="A201" s="4" t="s">
        <v>645</v>
      </c>
      <c r="B201" s="5" t="s">
        <v>625</v>
      </c>
      <c r="C201" s="6" t="s">
        <v>646</v>
      </c>
      <c r="D201" s="7"/>
      <c r="E201" s="8"/>
      <c r="F201" s="9">
        <v>0</v>
      </c>
      <c r="G201" s="10" t="s">
        <v>633</v>
      </c>
      <c r="H201" s="28"/>
      <c r="I201" s="12" t="str">
        <f>IFERROR(H200+SUMPRODUCT((MOVIMIENTOS!$C$2:$C$5000=$A200)*(MOVIMIENTOS!$D$2:$D$5000=$G200)*(MOVIMIENTOS!$B$2:$B$5000="INGRESO")*MOVIMIENTOS!$E$2:$E$5000)-SUMPRODUCT((MOVIMIENTOS!$C$2:$C$5000=$A200)*(MOVIMIENTOS!$D$2:$D$5000=$G200)*(MOVIMIENTOS!$B$2:$B$5000="EGRESO")*MOVIMIENTOS!$E$2:$E$5000),"")</f>
        <v/>
      </c>
      <c r="J201" s="13" t="s">
        <v>37</v>
      </c>
      <c r="K201" s="13" t="s">
        <v>231</v>
      </c>
      <c r="L201" s="14">
        <v>47079</v>
      </c>
      <c r="M201" s="9">
        <f t="shared" ca="1" si="4"/>
        <v>56</v>
      </c>
      <c r="N201" s="15" t="s">
        <v>26</v>
      </c>
    </row>
    <row r="202" spans="1:14" ht="16.05" customHeight="1" x14ac:dyDescent="0.3">
      <c r="A202" s="16" t="s">
        <v>647</v>
      </c>
      <c r="B202" s="17" t="s">
        <v>648</v>
      </c>
      <c r="C202" s="18" t="s">
        <v>649</v>
      </c>
      <c r="D202" s="19"/>
      <c r="E202" s="20"/>
      <c r="F202" s="21">
        <v>0</v>
      </c>
      <c r="G202" s="22" t="s">
        <v>496</v>
      </c>
      <c r="H202" s="29"/>
      <c r="I202" s="24" t="str">
        <f>IFERROR(H201+SUMPRODUCT((MOVIMIENTOS!$C$2:$C$5000=$A201)*(MOVIMIENTOS!$D$2:$D$5000=$G201)*(MOVIMIENTOS!$B$2:$B$5000="INGRESO")*MOVIMIENTOS!$E$2:$E$5000)-SUMPRODUCT((MOVIMIENTOS!$C$2:$C$5000=$A201)*(MOVIMIENTOS!$D$2:$D$5000=$G201)*(MOVIMIENTOS!$B$2:$B$5000="EGRESO")*MOVIMIENTOS!$E$2:$E$5000),"")</f>
        <v/>
      </c>
      <c r="J202" s="25" t="s">
        <v>359</v>
      </c>
      <c r="K202" s="25" t="s">
        <v>115</v>
      </c>
      <c r="L202" s="26">
        <v>47362</v>
      </c>
      <c r="M202" s="21">
        <f t="shared" ca="1" si="4"/>
        <v>953</v>
      </c>
      <c r="N202" s="27" t="s">
        <v>26</v>
      </c>
    </row>
    <row r="203" spans="1:14" ht="16.05" customHeight="1" x14ac:dyDescent="0.3">
      <c r="A203" s="4" t="s">
        <v>650</v>
      </c>
      <c r="B203" s="5" t="s">
        <v>651</v>
      </c>
      <c r="C203" s="6" t="s">
        <v>652</v>
      </c>
      <c r="D203" s="7"/>
      <c r="E203" s="8"/>
      <c r="F203" s="9">
        <v>0</v>
      </c>
      <c r="G203" s="10" t="s">
        <v>496</v>
      </c>
      <c r="H203" s="28"/>
      <c r="I203" s="12" t="str">
        <f>IFERROR(H202+SUMPRODUCT((MOVIMIENTOS!$C$2:$C$5000=$A202)*(MOVIMIENTOS!$D$2:$D$5000=$G202)*(MOVIMIENTOS!$B$2:$B$5000="INGRESO")*MOVIMIENTOS!$E$2:$E$5000)-SUMPRODUCT((MOVIMIENTOS!$C$2:$C$5000=$A202)*(MOVIMIENTOS!$D$2:$D$5000=$G202)*(MOVIMIENTOS!$B$2:$B$5000="EGRESO")*MOVIMIENTOS!$E$2:$E$5000),"")</f>
        <v/>
      </c>
      <c r="J203" s="13" t="s">
        <v>359</v>
      </c>
      <c r="K203" s="13" t="s">
        <v>25</v>
      </c>
      <c r="L203" s="14">
        <v>47289</v>
      </c>
      <c r="M203" s="9">
        <f t="shared" ca="1" si="4"/>
        <v>1236</v>
      </c>
      <c r="N203" s="15" t="s">
        <v>26</v>
      </c>
    </row>
    <row r="204" spans="1:14" ht="16.05" customHeight="1" x14ac:dyDescent="0.3">
      <c r="A204" s="16" t="s">
        <v>653</v>
      </c>
      <c r="B204" s="17" t="s">
        <v>654</v>
      </c>
      <c r="C204" s="18" t="s">
        <v>655</v>
      </c>
      <c r="D204" s="19"/>
      <c r="E204" s="20" t="s">
        <v>52</v>
      </c>
      <c r="F204" s="21">
        <v>0</v>
      </c>
      <c r="G204" s="22" t="s">
        <v>656</v>
      </c>
      <c r="H204" s="23">
        <v>900</v>
      </c>
      <c r="I204" s="24" t="str">
        <f>IFERROR(H203+SUMPRODUCT((MOVIMIENTOS!$C$2:$C$5000=$A203)*(MOVIMIENTOS!$D$2:$D$5000=$G203)*(MOVIMIENTOS!$B$2:$B$5000="INGRESO")*MOVIMIENTOS!$E$2:$E$5000)-SUMPRODUCT((MOVIMIENTOS!$C$2:$C$5000=$A203)*(MOVIMIENTOS!$D$2:$D$5000=$G203)*(MOVIMIENTOS!$B$2:$B$5000="EGRESO")*MOVIMIENTOS!$E$2:$E$5000),"")</f>
        <v/>
      </c>
      <c r="J204" s="25" t="s">
        <v>24</v>
      </c>
      <c r="K204" s="25" t="s">
        <v>72</v>
      </c>
      <c r="L204" s="26">
        <v>46592</v>
      </c>
      <c r="M204" s="21">
        <f t="shared" ca="1" si="4"/>
        <v>1163</v>
      </c>
      <c r="N204" s="27" t="s">
        <v>26</v>
      </c>
    </row>
    <row r="205" spans="1:14" ht="16.05" customHeight="1" x14ac:dyDescent="0.3">
      <c r="A205" s="56" t="s">
        <v>657</v>
      </c>
      <c r="B205" s="57" t="s">
        <v>658</v>
      </c>
      <c r="C205" s="58" t="s">
        <v>659</v>
      </c>
      <c r="D205" s="59"/>
      <c r="E205" s="60"/>
      <c r="F205" s="61">
        <v>0</v>
      </c>
      <c r="G205" s="62" t="s">
        <v>660</v>
      </c>
      <c r="H205" s="63">
        <v>375</v>
      </c>
      <c r="I205" s="64" t="str">
        <f>IFERROR(H204+SUMPRODUCT((MOVIMIENTOS!$C$2:$C$5000=$A204)*(MOVIMIENTOS!$D$2:$D$5000=$G204)*(MOVIMIENTOS!$B$2:$B$5000="INGRESO")*MOVIMIENTOS!$E$2:$E$5000)-SUMPRODUCT((MOVIMIENTOS!$C$2:$C$5000=$A204)*(MOVIMIENTOS!$D$2:$D$5000=$G204)*(MOVIMIENTOS!$B$2:$B$5000="EGRESO")*MOVIMIENTOS!$E$2:$E$5000),"")</f>
        <v/>
      </c>
      <c r="J205" s="65" t="s">
        <v>402</v>
      </c>
      <c r="K205" s="65" t="s">
        <v>25</v>
      </c>
      <c r="L205" s="66">
        <v>46189</v>
      </c>
      <c r="M205" s="61">
        <f t="shared" ca="1" si="4"/>
        <v>466</v>
      </c>
      <c r="N205" s="67" t="s">
        <v>255</v>
      </c>
    </row>
    <row r="206" spans="1:14" ht="16.05" customHeight="1" x14ac:dyDescent="0.3">
      <c r="A206" s="16" t="s">
        <v>661</v>
      </c>
      <c r="B206" s="17" t="s">
        <v>662</v>
      </c>
      <c r="C206" s="18" t="s">
        <v>663</v>
      </c>
      <c r="D206" s="19"/>
      <c r="E206" s="20" t="s">
        <v>52</v>
      </c>
      <c r="F206" s="21">
        <v>0</v>
      </c>
      <c r="G206" s="22" t="s">
        <v>664</v>
      </c>
      <c r="H206" s="23">
        <v>840</v>
      </c>
      <c r="I206" s="24" t="str">
        <f>IFERROR(H205+SUMPRODUCT((MOVIMIENTOS!$C$2:$C$5000=$A205)*(MOVIMIENTOS!$D$2:$D$5000=$G205)*(MOVIMIENTOS!$B$2:$B$5000="INGRESO")*MOVIMIENTOS!$E$2:$E$5000)-SUMPRODUCT((MOVIMIENTOS!$C$2:$C$5000=$A205)*(MOVIMIENTOS!$D$2:$D$5000=$G205)*(MOVIMIENTOS!$B$2:$B$5000="EGRESO")*MOVIMIENTOS!$E$2:$E$5000),"")</f>
        <v/>
      </c>
      <c r="J206" s="25" t="s">
        <v>240</v>
      </c>
      <c r="K206" s="25" t="s">
        <v>25</v>
      </c>
      <c r="L206" s="26">
        <v>46582</v>
      </c>
      <c r="M206" s="21">
        <f t="shared" ca="1" si="4"/>
        <v>63</v>
      </c>
      <c r="N206" s="27" t="s">
        <v>26</v>
      </c>
    </row>
    <row r="207" spans="1:14" ht="16.05" customHeight="1" x14ac:dyDescent="0.3">
      <c r="A207" s="4" t="s">
        <v>665</v>
      </c>
      <c r="B207" s="5" t="s">
        <v>666</v>
      </c>
      <c r="C207" s="6" t="s">
        <v>667</v>
      </c>
      <c r="D207" s="7"/>
      <c r="E207" s="8" t="s">
        <v>52</v>
      </c>
      <c r="F207" s="9">
        <v>0</v>
      </c>
      <c r="G207" s="10" t="s">
        <v>668</v>
      </c>
      <c r="H207" s="11">
        <v>358</v>
      </c>
      <c r="I207" s="12" t="str">
        <f>IFERROR(H206+SUMPRODUCT((MOVIMIENTOS!$C$2:$C$5000=$A206)*(MOVIMIENTOS!$D$2:$D$5000=$G206)*(MOVIMIENTOS!$B$2:$B$5000="INGRESO")*MOVIMIENTOS!$E$2:$E$5000)-SUMPRODUCT((MOVIMIENTOS!$C$2:$C$5000=$A206)*(MOVIMIENTOS!$D$2:$D$5000=$G206)*(MOVIMIENTOS!$B$2:$B$5000="EGRESO")*MOVIMIENTOS!$E$2:$E$5000),"")</f>
        <v/>
      </c>
      <c r="J207" s="13" t="s">
        <v>402</v>
      </c>
      <c r="K207" s="13" t="s">
        <v>231</v>
      </c>
      <c r="L207" s="14">
        <v>46465</v>
      </c>
      <c r="M207" s="9">
        <f t="shared" ca="1" si="4"/>
        <v>456</v>
      </c>
      <c r="N207" s="15" t="s">
        <v>26</v>
      </c>
    </row>
    <row r="208" spans="1:14" ht="16.05" customHeight="1" x14ac:dyDescent="0.3">
      <c r="A208" s="16" t="s">
        <v>669</v>
      </c>
      <c r="B208" s="17" t="s">
        <v>670</v>
      </c>
      <c r="C208" s="18" t="s">
        <v>671</v>
      </c>
      <c r="D208" s="19"/>
      <c r="E208" s="20"/>
      <c r="F208" s="21">
        <v>0</v>
      </c>
      <c r="G208" s="22" t="s">
        <v>672</v>
      </c>
      <c r="H208" s="23">
        <v>177350</v>
      </c>
      <c r="I208" s="24" t="str">
        <f>IFERROR(H207+SUMPRODUCT((MOVIMIENTOS!$C$2:$C$5000=$A207)*(MOVIMIENTOS!$D$2:$D$5000=$G207)*(MOVIMIENTOS!$B$2:$B$5000="INGRESO")*MOVIMIENTOS!$E$2:$E$5000)-SUMPRODUCT((MOVIMIENTOS!$C$2:$C$5000=$A207)*(MOVIMIENTOS!$D$2:$D$5000=$G207)*(MOVIMIENTOS!$B$2:$B$5000="EGRESO")*MOVIMIENTOS!$E$2:$E$5000),"")</f>
        <v/>
      </c>
      <c r="J208" s="25" t="s">
        <v>156</v>
      </c>
      <c r="K208" s="25"/>
      <c r="L208" s="26">
        <v>46407</v>
      </c>
      <c r="M208" s="21">
        <f t="shared" ca="1" si="4"/>
        <v>339</v>
      </c>
      <c r="N208" s="27" t="s">
        <v>26</v>
      </c>
    </row>
    <row r="209" spans="1:14" ht="16.05" customHeight="1" x14ac:dyDescent="0.3">
      <c r="A209" s="4" t="s">
        <v>669</v>
      </c>
      <c r="B209" s="5" t="s">
        <v>670</v>
      </c>
      <c r="C209" s="6" t="s">
        <v>671</v>
      </c>
      <c r="D209" s="7"/>
      <c r="E209" s="8"/>
      <c r="F209" s="9">
        <v>0</v>
      </c>
      <c r="G209" s="10" t="s">
        <v>673</v>
      </c>
      <c r="H209" s="11">
        <v>5990</v>
      </c>
      <c r="I209" s="12" t="str">
        <f>IFERROR(H208+SUMPRODUCT((MOVIMIENTOS!$C$2:$C$5000=$A208)*(MOVIMIENTOS!$D$2:$D$5000=$G208)*(MOVIMIENTOS!$B$2:$B$5000="INGRESO")*MOVIMIENTOS!$E$2:$E$5000)-SUMPRODUCT((MOVIMIENTOS!$C$2:$C$5000=$A208)*(MOVIMIENTOS!$D$2:$D$5000=$G208)*(MOVIMIENTOS!$B$2:$B$5000="EGRESO")*MOVIMIENTOS!$E$2:$E$5000),"")</f>
        <v/>
      </c>
      <c r="J209" s="13" t="s">
        <v>42</v>
      </c>
      <c r="K209" s="13" t="s">
        <v>231</v>
      </c>
      <c r="L209" s="14">
        <v>46407</v>
      </c>
      <c r="M209" s="9">
        <f t="shared" ca="1" si="4"/>
        <v>281</v>
      </c>
      <c r="N209" s="15" t="s">
        <v>26</v>
      </c>
    </row>
    <row r="210" spans="1:14" ht="16.05" customHeight="1" x14ac:dyDescent="0.3">
      <c r="A210" s="16" t="s">
        <v>669</v>
      </c>
      <c r="B210" s="17" t="s">
        <v>670</v>
      </c>
      <c r="C210" s="18" t="s">
        <v>671</v>
      </c>
      <c r="D210" s="19"/>
      <c r="E210" s="20"/>
      <c r="F210" s="21">
        <v>0</v>
      </c>
      <c r="G210" s="22" t="s">
        <v>673</v>
      </c>
      <c r="H210" s="23">
        <v>250000</v>
      </c>
      <c r="I210" s="24" t="str">
        <f>IFERROR(H209+SUMPRODUCT((MOVIMIENTOS!$C$2:$C$5000=$A209)*(MOVIMIENTOS!$D$2:$D$5000=$G209)*(MOVIMIENTOS!$B$2:$B$5000="INGRESO")*MOVIMIENTOS!$E$2:$E$5000)-SUMPRODUCT((MOVIMIENTOS!$C$2:$C$5000=$A209)*(MOVIMIENTOS!$D$2:$D$5000=$G209)*(MOVIMIENTOS!$B$2:$B$5000="EGRESO")*MOVIMIENTOS!$E$2:$E$5000),"")</f>
        <v/>
      </c>
      <c r="J210" s="25" t="s">
        <v>156</v>
      </c>
      <c r="K210" s="25"/>
      <c r="L210" s="25"/>
      <c r="M210" s="21">
        <f t="shared" ca="1" si="4"/>
        <v>281</v>
      </c>
      <c r="N210" s="30"/>
    </row>
    <row r="211" spans="1:14" ht="16.05" customHeight="1" x14ac:dyDescent="0.3">
      <c r="A211" s="4" t="s">
        <v>674</v>
      </c>
      <c r="B211" s="5" t="s">
        <v>675</v>
      </c>
      <c r="C211" s="6" t="s">
        <v>676</v>
      </c>
      <c r="D211" s="7"/>
      <c r="E211" s="8" t="s">
        <v>52</v>
      </c>
      <c r="F211" s="9">
        <v>0</v>
      </c>
      <c r="G211" s="10" t="s">
        <v>677</v>
      </c>
      <c r="H211" s="11">
        <v>3420</v>
      </c>
      <c r="I211" s="12" t="str">
        <f>IFERROR(H210+SUMPRODUCT((MOVIMIENTOS!$C$2:$C$5000=$A210)*(MOVIMIENTOS!$D$2:$D$5000=$G210)*(MOVIMIENTOS!$B$2:$B$5000="INGRESO")*MOVIMIENTOS!$E$2:$E$5000)-SUMPRODUCT((MOVIMIENTOS!$C$2:$C$5000=$A210)*(MOVIMIENTOS!$D$2:$D$5000=$G210)*(MOVIMIENTOS!$B$2:$B$5000="EGRESO")*MOVIMIENTOS!$E$2:$E$5000),"")</f>
        <v/>
      </c>
      <c r="J211" s="13" t="s">
        <v>402</v>
      </c>
      <c r="K211" s="13" t="s">
        <v>158</v>
      </c>
      <c r="L211" s="14">
        <v>46678</v>
      </c>
      <c r="M211" s="9" t="str">
        <f t="shared" ca="1" si="4"/>
        <v/>
      </c>
      <c r="N211" s="15" t="s">
        <v>26</v>
      </c>
    </row>
    <row r="212" spans="1:14" ht="16.05" customHeight="1" x14ac:dyDescent="0.3">
      <c r="A212" s="16" t="s">
        <v>674</v>
      </c>
      <c r="B212" s="17" t="s">
        <v>675</v>
      </c>
      <c r="C212" s="18" t="s">
        <v>676</v>
      </c>
      <c r="D212" s="19"/>
      <c r="E212" s="20" t="s">
        <v>52</v>
      </c>
      <c r="F212" s="21">
        <v>0</v>
      </c>
      <c r="G212" s="22" t="s">
        <v>678</v>
      </c>
      <c r="H212" s="23">
        <v>5000</v>
      </c>
      <c r="I212" s="24" t="str">
        <f>IFERROR(H211+SUMPRODUCT((MOVIMIENTOS!$C$2:$C$5000=$A211)*(MOVIMIENTOS!$D$2:$D$5000=$G211)*(MOVIMIENTOS!$B$2:$B$5000="INGRESO")*MOVIMIENTOS!$E$2:$E$5000)-SUMPRODUCT((MOVIMIENTOS!$C$2:$C$5000=$A211)*(MOVIMIENTOS!$D$2:$D$5000=$G211)*(MOVIMIENTOS!$B$2:$B$5000="EGRESO")*MOVIMIENTOS!$E$2:$E$5000),"")</f>
        <v/>
      </c>
      <c r="J212" s="25" t="s">
        <v>402</v>
      </c>
      <c r="K212" s="25" t="s">
        <v>158</v>
      </c>
      <c r="L212" s="26">
        <v>46739</v>
      </c>
      <c r="M212" s="21">
        <f t="shared" ca="1" si="4"/>
        <v>552</v>
      </c>
      <c r="N212" s="27" t="s">
        <v>26</v>
      </c>
    </row>
    <row r="213" spans="1:14" ht="16.05" customHeight="1" x14ac:dyDescent="0.3">
      <c r="A213" s="4" t="s">
        <v>679</v>
      </c>
      <c r="B213" s="5" t="s">
        <v>680</v>
      </c>
      <c r="C213" s="6" t="s">
        <v>681</v>
      </c>
      <c r="D213" s="7"/>
      <c r="E213" s="8"/>
      <c r="F213" s="9">
        <v>0</v>
      </c>
      <c r="G213" s="10" t="s">
        <v>682</v>
      </c>
      <c r="H213" s="11">
        <v>629.5</v>
      </c>
      <c r="I213" s="12" t="str">
        <f>IFERROR(H212+SUMPRODUCT((MOVIMIENTOS!$C$2:$C$5000=$A212)*(MOVIMIENTOS!$D$2:$D$5000=$G212)*(MOVIMIENTOS!$B$2:$B$5000="INGRESO")*MOVIMIENTOS!$E$2:$E$5000)-SUMPRODUCT((MOVIMIENTOS!$C$2:$C$5000=$A212)*(MOVIMIENTOS!$D$2:$D$5000=$G212)*(MOVIMIENTOS!$B$2:$B$5000="EGRESO")*MOVIMIENTOS!$E$2:$E$5000),"")</f>
        <v/>
      </c>
      <c r="J213" s="13" t="s">
        <v>31</v>
      </c>
      <c r="K213" s="13" t="s">
        <v>72</v>
      </c>
      <c r="L213" s="14">
        <v>46539</v>
      </c>
      <c r="M213" s="9">
        <f t="shared" ca="1" si="4"/>
        <v>613</v>
      </c>
      <c r="N213" s="15" t="s">
        <v>26</v>
      </c>
    </row>
    <row r="214" spans="1:14" ht="16.05" customHeight="1" x14ac:dyDescent="0.3">
      <c r="A214" s="16" t="s">
        <v>679</v>
      </c>
      <c r="B214" s="17" t="s">
        <v>680</v>
      </c>
      <c r="C214" s="18" t="s">
        <v>683</v>
      </c>
      <c r="D214" s="19"/>
      <c r="E214" s="20" t="s">
        <v>52</v>
      </c>
      <c r="F214" s="21">
        <v>0</v>
      </c>
      <c r="G214" s="22" t="s">
        <v>684</v>
      </c>
      <c r="H214" s="23">
        <v>1711</v>
      </c>
      <c r="I214" s="24" t="str">
        <f>IFERROR(H213+SUMPRODUCT((MOVIMIENTOS!$C$2:$C$5000=$A213)*(MOVIMIENTOS!$D$2:$D$5000=$G213)*(MOVIMIENTOS!$B$2:$B$5000="INGRESO")*MOVIMIENTOS!$E$2:$E$5000)-SUMPRODUCT((MOVIMIENTOS!$C$2:$C$5000=$A213)*(MOVIMIENTOS!$D$2:$D$5000=$G213)*(MOVIMIENTOS!$B$2:$B$5000="EGRESO")*MOVIMIENTOS!$E$2:$E$5000),"")</f>
        <v/>
      </c>
      <c r="J214" s="25" t="s">
        <v>24</v>
      </c>
      <c r="K214" s="25" t="s">
        <v>72</v>
      </c>
      <c r="L214" s="26">
        <v>46589</v>
      </c>
      <c r="M214" s="21">
        <f t="shared" ca="1" si="4"/>
        <v>413</v>
      </c>
      <c r="N214" s="27" t="s">
        <v>26</v>
      </c>
    </row>
    <row r="215" spans="1:14" ht="16.05" customHeight="1" x14ac:dyDescent="0.3">
      <c r="A215" s="4" t="s">
        <v>685</v>
      </c>
      <c r="B215" s="5" t="s">
        <v>686</v>
      </c>
      <c r="C215" s="6" t="s">
        <v>687</v>
      </c>
      <c r="D215" s="7"/>
      <c r="E215" s="8" t="s">
        <v>22</v>
      </c>
      <c r="F215" s="9">
        <v>0</v>
      </c>
      <c r="G215" s="10" t="s">
        <v>688</v>
      </c>
      <c r="H215" s="11">
        <v>2000</v>
      </c>
      <c r="I215" s="12" t="str">
        <f>IFERROR(H214+SUMPRODUCT((MOVIMIENTOS!$C$2:$C$5000=$A214)*(MOVIMIENTOS!$D$2:$D$5000=$G214)*(MOVIMIENTOS!$B$2:$B$5000="INGRESO")*MOVIMIENTOS!$E$2:$E$5000)-SUMPRODUCT((MOVIMIENTOS!$C$2:$C$5000=$A214)*(MOVIMIENTOS!$D$2:$D$5000=$G214)*(MOVIMIENTOS!$B$2:$B$5000="EGRESO")*MOVIMIENTOS!$E$2:$E$5000),"")</f>
        <v/>
      </c>
      <c r="J215" s="13" t="s">
        <v>402</v>
      </c>
      <c r="K215" s="13" t="s">
        <v>72</v>
      </c>
      <c r="L215" s="14">
        <v>46514</v>
      </c>
      <c r="M215" s="9">
        <f t="shared" ca="1" si="4"/>
        <v>463</v>
      </c>
      <c r="N215" s="15" t="s">
        <v>26</v>
      </c>
    </row>
    <row r="216" spans="1:14" ht="16.05" customHeight="1" x14ac:dyDescent="0.3">
      <c r="A216" s="16" t="s">
        <v>685</v>
      </c>
      <c r="B216" s="17" t="s">
        <v>686</v>
      </c>
      <c r="C216" s="18" t="s">
        <v>687</v>
      </c>
      <c r="D216" s="19"/>
      <c r="E216" s="20" t="s">
        <v>22</v>
      </c>
      <c r="F216" s="21">
        <v>0</v>
      </c>
      <c r="G216" s="22" t="s">
        <v>689</v>
      </c>
      <c r="H216" s="23">
        <v>717</v>
      </c>
      <c r="I216" s="24" t="str">
        <f>IFERROR(H215+SUMPRODUCT((MOVIMIENTOS!$C$2:$C$5000=$A215)*(MOVIMIENTOS!$D$2:$D$5000=$G215)*(MOVIMIENTOS!$B$2:$B$5000="INGRESO")*MOVIMIENTOS!$E$2:$E$5000)-SUMPRODUCT((MOVIMIENTOS!$C$2:$C$5000=$A215)*(MOVIMIENTOS!$D$2:$D$5000=$G215)*(MOVIMIENTOS!$B$2:$B$5000="EGRESO")*MOVIMIENTOS!$E$2:$E$5000),"")</f>
        <v/>
      </c>
      <c r="J216" s="25" t="s">
        <v>402</v>
      </c>
      <c r="K216" s="25" t="s">
        <v>72</v>
      </c>
      <c r="L216" s="26">
        <v>46482</v>
      </c>
      <c r="M216" s="21">
        <f t="shared" ca="1" si="4"/>
        <v>388</v>
      </c>
      <c r="N216" s="27" t="s">
        <v>26</v>
      </c>
    </row>
    <row r="217" spans="1:14" ht="16.05" customHeight="1" x14ac:dyDescent="0.3">
      <c r="A217" s="4" t="s">
        <v>690</v>
      </c>
      <c r="B217" s="5" t="s">
        <v>691</v>
      </c>
      <c r="C217" s="6" t="s">
        <v>692</v>
      </c>
      <c r="D217" s="7"/>
      <c r="E217" s="8"/>
      <c r="F217" s="9">
        <v>0</v>
      </c>
      <c r="G217" s="10" t="s">
        <v>693</v>
      </c>
      <c r="H217" s="28"/>
      <c r="I217" s="12" t="str">
        <f>IFERROR(H216+SUMPRODUCT((MOVIMIENTOS!$C$2:$C$5000=$A216)*(MOVIMIENTOS!$D$2:$D$5000=$G216)*(MOVIMIENTOS!$B$2:$B$5000="INGRESO")*MOVIMIENTOS!$E$2:$E$5000)-SUMPRODUCT((MOVIMIENTOS!$C$2:$C$5000=$A216)*(MOVIMIENTOS!$D$2:$D$5000=$G216)*(MOVIMIENTOS!$B$2:$B$5000="EGRESO")*MOVIMIENTOS!$E$2:$E$5000),"")</f>
        <v/>
      </c>
      <c r="J217" s="13" t="s">
        <v>402</v>
      </c>
      <c r="K217" s="13" t="s">
        <v>158</v>
      </c>
      <c r="L217" s="13"/>
      <c r="M217" s="9">
        <f t="shared" ca="1" si="4"/>
        <v>356</v>
      </c>
      <c r="N217" s="31"/>
    </row>
    <row r="218" spans="1:14" ht="16.05" customHeight="1" x14ac:dyDescent="0.3">
      <c r="A218" s="16" t="s">
        <v>690</v>
      </c>
      <c r="B218" s="17" t="s">
        <v>691</v>
      </c>
      <c r="C218" s="18" t="s">
        <v>692</v>
      </c>
      <c r="D218" s="19"/>
      <c r="E218" s="20"/>
      <c r="F218" s="21">
        <v>0</v>
      </c>
      <c r="G218" s="22" t="s">
        <v>694</v>
      </c>
      <c r="H218" s="23">
        <v>2879</v>
      </c>
      <c r="I218" s="24" t="str">
        <f>IFERROR(H217+SUMPRODUCT((MOVIMIENTOS!$C$2:$C$5000=$A217)*(MOVIMIENTOS!$D$2:$D$5000=$G217)*(MOVIMIENTOS!$B$2:$B$5000="INGRESO")*MOVIMIENTOS!$E$2:$E$5000)-SUMPRODUCT((MOVIMIENTOS!$C$2:$C$5000=$A217)*(MOVIMIENTOS!$D$2:$D$5000=$G217)*(MOVIMIENTOS!$B$2:$B$5000="EGRESO")*MOVIMIENTOS!$E$2:$E$5000),"")</f>
        <v/>
      </c>
      <c r="J218" s="25" t="s">
        <v>402</v>
      </c>
      <c r="K218" s="25" t="s">
        <v>158</v>
      </c>
      <c r="L218" s="26">
        <v>46316</v>
      </c>
      <c r="M218" s="21" t="str">
        <f t="shared" ca="1" si="4"/>
        <v/>
      </c>
      <c r="N218" s="27" t="s">
        <v>26</v>
      </c>
    </row>
    <row r="219" spans="1:14" ht="16.05" customHeight="1" x14ac:dyDescent="0.3">
      <c r="A219" s="4" t="s">
        <v>695</v>
      </c>
      <c r="B219" s="5" t="s">
        <v>696</v>
      </c>
      <c r="C219" s="6" t="s">
        <v>697</v>
      </c>
      <c r="D219" s="7"/>
      <c r="E219" s="8"/>
      <c r="F219" s="9">
        <v>0</v>
      </c>
      <c r="G219" s="10" t="s">
        <v>698</v>
      </c>
      <c r="H219" s="11">
        <v>15859</v>
      </c>
      <c r="I219" s="12" t="str">
        <f>IFERROR(H218+SUMPRODUCT((MOVIMIENTOS!$C$2:$C$5000=$A218)*(MOVIMIENTOS!$D$2:$D$5000=$G218)*(MOVIMIENTOS!$B$2:$B$5000="INGRESO")*MOVIMIENTOS!$E$2:$E$5000)-SUMPRODUCT((MOVIMIENTOS!$C$2:$C$5000=$A218)*(MOVIMIENTOS!$D$2:$D$5000=$G218)*(MOVIMIENTOS!$B$2:$B$5000="EGRESO")*MOVIMIENTOS!$E$2:$E$5000),"")</f>
        <v/>
      </c>
      <c r="J219" s="13" t="s">
        <v>37</v>
      </c>
      <c r="K219" s="13" t="s">
        <v>115</v>
      </c>
      <c r="L219" s="13"/>
      <c r="M219" s="9">
        <f t="shared" ca="1" si="4"/>
        <v>190</v>
      </c>
      <c r="N219" s="31"/>
    </row>
    <row r="220" spans="1:14" ht="16.05" customHeight="1" x14ac:dyDescent="0.3">
      <c r="A220" s="16" t="s">
        <v>695</v>
      </c>
      <c r="B220" s="17" t="s">
        <v>696</v>
      </c>
      <c r="C220" s="18" t="s">
        <v>697</v>
      </c>
      <c r="D220" s="19"/>
      <c r="E220" s="20"/>
      <c r="F220" s="21">
        <v>0</v>
      </c>
      <c r="G220" s="22" t="s">
        <v>698</v>
      </c>
      <c r="H220" s="23">
        <v>16680</v>
      </c>
      <c r="I220" s="24" t="str">
        <f>IFERROR(H219+SUMPRODUCT((MOVIMIENTOS!$C$2:$C$5000=$A219)*(MOVIMIENTOS!$D$2:$D$5000=$G219)*(MOVIMIENTOS!$B$2:$B$5000="INGRESO")*MOVIMIENTOS!$E$2:$E$5000)-SUMPRODUCT((MOVIMIENTOS!$C$2:$C$5000=$A219)*(MOVIMIENTOS!$D$2:$D$5000=$G219)*(MOVIMIENTOS!$B$2:$B$5000="EGRESO")*MOVIMIENTOS!$E$2:$E$5000),"")</f>
        <v/>
      </c>
      <c r="J220" s="25" t="s">
        <v>156</v>
      </c>
      <c r="K220" s="25"/>
      <c r="L220" s="26">
        <v>47035</v>
      </c>
      <c r="M220" s="21" t="str">
        <f t="shared" ca="1" si="4"/>
        <v/>
      </c>
      <c r="N220" s="27" t="s">
        <v>26</v>
      </c>
    </row>
    <row r="221" spans="1:14" ht="16.05" customHeight="1" x14ac:dyDescent="0.3">
      <c r="A221" s="44" t="s">
        <v>699</v>
      </c>
      <c r="B221" s="45" t="s">
        <v>700</v>
      </c>
      <c r="C221" s="46" t="s">
        <v>701</v>
      </c>
      <c r="D221" s="47"/>
      <c r="E221" s="48" t="s">
        <v>52</v>
      </c>
      <c r="F221" s="49">
        <v>0</v>
      </c>
      <c r="G221" s="50" t="s">
        <v>702</v>
      </c>
      <c r="H221" s="51">
        <v>900</v>
      </c>
      <c r="I221" s="52" t="str">
        <f>IFERROR(H220+SUMPRODUCT((MOVIMIENTOS!$C$2:$C$5000=$A220)*(MOVIMIENTOS!$D$2:$D$5000=$G220)*(MOVIMIENTOS!$B$2:$B$5000="INGRESO")*MOVIMIENTOS!$E$2:$E$5000)-SUMPRODUCT((MOVIMIENTOS!$C$2:$C$5000=$A220)*(MOVIMIENTOS!$D$2:$D$5000=$G220)*(MOVIMIENTOS!$B$2:$B$5000="EGRESO")*MOVIMIENTOS!$E$2:$E$5000),"")</f>
        <v/>
      </c>
      <c r="J221" s="53" t="s">
        <v>402</v>
      </c>
      <c r="K221" s="53" t="s">
        <v>231</v>
      </c>
      <c r="L221" s="54">
        <v>46127</v>
      </c>
      <c r="M221" s="49">
        <f t="shared" ca="1" si="4"/>
        <v>909</v>
      </c>
      <c r="N221" s="55" t="s">
        <v>245</v>
      </c>
    </row>
    <row r="222" spans="1:14" ht="16.05" customHeight="1" x14ac:dyDescent="0.3">
      <c r="A222" s="16" t="s">
        <v>703</v>
      </c>
      <c r="B222" s="17" t="s">
        <v>704</v>
      </c>
      <c r="C222" s="18" t="s">
        <v>705</v>
      </c>
      <c r="D222" s="19"/>
      <c r="E222" s="20"/>
      <c r="F222" s="21">
        <v>0</v>
      </c>
      <c r="G222" s="22" t="s">
        <v>375</v>
      </c>
      <c r="H222" s="23">
        <v>891</v>
      </c>
      <c r="I222" s="24" t="str">
        <f>IFERROR(H221+SUMPRODUCT((MOVIMIENTOS!$C$2:$C$5000=$A221)*(MOVIMIENTOS!$D$2:$D$5000=$G221)*(MOVIMIENTOS!$B$2:$B$5000="INGRESO")*MOVIMIENTOS!$E$2:$E$5000)-SUMPRODUCT((MOVIMIENTOS!$C$2:$C$5000=$A221)*(MOVIMIENTOS!$D$2:$D$5000=$G221)*(MOVIMIENTOS!$B$2:$B$5000="EGRESO")*MOVIMIENTOS!$E$2:$E$5000),"")</f>
        <v/>
      </c>
      <c r="J222" s="25" t="s">
        <v>37</v>
      </c>
      <c r="K222" s="25" t="s">
        <v>115</v>
      </c>
      <c r="L222" s="26">
        <v>46618</v>
      </c>
      <c r="M222" s="21">
        <f t="shared" ca="1" si="4"/>
        <v>1</v>
      </c>
      <c r="N222" s="27" t="s">
        <v>26</v>
      </c>
    </row>
    <row r="223" spans="1:14" ht="16.05" customHeight="1" x14ac:dyDescent="0.3">
      <c r="A223" s="4" t="s">
        <v>706</v>
      </c>
      <c r="B223" s="5" t="s">
        <v>707</v>
      </c>
      <c r="C223" s="6" t="s">
        <v>708</v>
      </c>
      <c r="D223" s="7"/>
      <c r="E223" s="8" t="s">
        <v>22</v>
      </c>
      <c r="F223" s="9">
        <v>0</v>
      </c>
      <c r="G223" s="10" t="s">
        <v>709</v>
      </c>
      <c r="H223" s="11">
        <v>3700</v>
      </c>
      <c r="I223" s="12" t="str">
        <f>IFERROR(H222+SUMPRODUCT((MOVIMIENTOS!$C$2:$C$5000=$A222)*(MOVIMIENTOS!$D$2:$D$5000=$G222)*(MOVIMIENTOS!$B$2:$B$5000="INGRESO")*MOVIMIENTOS!$E$2:$E$5000)-SUMPRODUCT((MOVIMIENTOS!$C$2:$C$5000=$A222)*(MOVIMIENTOS!$D$2:$D$5000=$G222)*(MOVIMIENTOS!$B$2:$B$5000="EGRESO")*MOVIMIENTOS!$E$2:$E$5000),"")</f>
        <v/>
      </c>
      <c r="J223" s="13" t="s">
        <v>31</v>
      </c>
      <c r="K223" s="13" t="s">
        <v>115</v>
      </c>
      <c r="L223" s="14">
        <v>46705</v>
      </c>
      <c r="M223" s="9">
        <f t="shared" ca="1" si="4"/>
        <v>492</v>
      </c>
      <c r="N223" s="15" t="s">
        <v>26</v>
      </c>
    </row>
    <row r="224" spans="1:14" ht="16.05" customHeight="1" x14ac:dyDescent="0.3">
      <c r="A224" s="16" t="s">
        <v>706</v>
      </c>
      <c r="B224" s="17" t="s">
        <v>707</v>
      </c>
      <c r="C224" s="18" t="s">
        <v>708</v>
      </c>
      <c r="D224" s="19"/>
      <c r="E224" s="20" t="s">
        <v>22</v>
      </c>
      <c r="F224" s="21">
        <v>0</v>
      </c>
      <c r="G224" s="22" t="s">
        <v>710</v>
      </c>
      <c r="H224" s="23">
        <v>250</v>
      </c>
      <c r="I224" s="24" t="str">
        <f>IFERROR(H223+SUMPRODUCT((MOVIMIENTOS!$C$2:$C$5000=$A223)*(MOVIMIENTOS!$D$2:$D$5000=$G223)*(MOVIMIENTOS!$B$2:$B$5000="INGRESO")*MOVIMIENTOS!$E$2:$E$5000)-SUMPRODUCT((MOVIMIENTOS!$C$2:$C$5000=$A223)*(MOVIMIENTOS!$D$2:$D$5000=$G223)*(MOVIMIENTOS!$B$2:$B$5000="EGRESO")*MOVIMIENTOS!$E$2:$E$5000),"")</f>
        <v/>
      </c>
      <c r="J224" s="25" t="s">
        <v>31</v>
      </c>
      <c r="K224" s="25" t="s">
        <v>115</v>
      </c>
      <c r="L224" s="26">
        <v>46641</v>
      </c>
      <c r="M224" s="21">
        <f t="shared" ca="1" si="4"/>
        <v>579</v>
      </c>
      <c r="N224" s="27" t="s">
        <v>26</v>
      </c>
    </row>
    <row r="225" spans="1:14" ht="16.05" customHeight="1" x14ac:dyDescent="0.3">
      <c r="A225" s="4" t="s">
        <v>711</v>
      </c>
      <c r="B225" s="5" t="s">
        <v>712</v>
      </c>
      <c r="C225" s="6" t="s">
        <v>713</v>
      </c>
      <c r="D225" s="7"/>
      <c r="E225" s="8" t="s">
        <v>22</v>
      </c>
      <c r="F225" s="9">
        <v>0</v>
      </c>
      <c r="G225" s="10" t="s">
        <v>714</v>
      </c>
      <c r="H225" s="11">
        <v>0</v>
      </c>
      <c r="I225" s="12" t="str">
        <f>IFERROR(H224+SUMPRODUCT((MOVIMIENTOS!$C$2:$C$5000=$A224)*(MOVIMIENTOS!$D$2:$D$5000=$G224)*(MOVIMIENTOS!$B$2:$B$5000="INGRESO")*MOVIMIENTOS!$E$2:$E$5000)-SUMPRODUCT((MOVIMIENTOS!$C$2:$C$5000=$A224)*(MOVIMIENTOS!$D$2:$D$5000=$G224)*(MOVIMIENTOS!$B$2:$B$5000="EGRESO")*MOVIMIENTOS!$E$2:$E$5000),"")</f>
        <v/>
      </c>
      <c r="J225" s="13" t="s">
        <v>31</v>
      </c>
      <c r="K225" s="13" t="s">
        <v>25</v>
      </c>
      <c r="L225" s="14">
        <v>46539</v>
      </c>
      <c r="M225" s="9">
        <f t="shared" ca="1" si="4"/>
        <v>515</v>
      </c>
      <c r="N225" s="15" t="s">
        <v>26</v>
      </c>
    </row>
    <row r="226" spans="1:14" ht="16.05" customHeight="1" x14ac:dyDescent="0.3">
      <c r="A226" s="16" t="s">
        <v>711</v>
      </c>
      <c r="B226" s="17" t="s">
        <v>712</v>
      </c>
      <c r="C226" s="18" t="s">
        <v>713</v>
      </c>
      <c r="D226" s="19"/>
      <c r="E226" s="20" t="s">
        <v>22</v>
      </c>
      <c r="F226" s="21">
        <v>0</v>
      </c>
      <c r="G226" s="22" t="s">
        <v>715</v>
      </c>
      <c r="H226" s="23">
        <v>1776</v>
      </c>
      <c r="I226" s="24" t="str">
        <f>IFERROR(H225+SUMPRODUCT((MOVIMIENTOS!$C$2:$C$5000=$A225)*(MOVIMIENTOS!$D$2:$D$5000=$G225)*(MOVIMIENTOS!$B$2:$B$5000="INGRESO")*MOVIMIENTOS!$E$2:$E$5000)-SUMPRODUCT((MOVIMIENTOS!$C$2:$C$5000=$A225)*(MOVIMIENTOS!$D$2:$D$5000=$G225)*(MOVIMIENTOS!$B$2:$B$5000="EGRESO")*MOVIMIENTOS!$E$2:$E$5000),"")</f>
        <v/>
      </c>
      <c r="J226" s="25" t="s">
        <v>31</v>
      </c>
      <c r="K226" s="25" t="s">
        <v>25</v>
      </c>
      <c r="L226" s="26">
        <v>46693</v>
      </c>
      <c r="M226" s="21">
        <f t="shared" ca="1" si="4"/>
        <v>413</v>
      </c>
      <c r="N226" s="27" t="s">
        <v>26</v>
      </c>
    </row>
    <row r="227" spans="1:14" ht="16.05" customHeight="1" x14ac:dyDescent="0.3">
      <c r="A227" s="4" t="s">
        <v>711</v>
      </c>
      <c r="B227" s="5" t="s">
        <v>712</v>
      </c>
      <c r="C227" s="6" t="s">
        <v>713</v>
      </c>
      <c r="D227" s="7"/>
      <c r="E227" s="8" t="s">
        <v>22</v>
      </c>
      <c r="F227" s="9">
        <v>0</v>
      </c>
      <c r="G227" s="10" t="s">
        <v>716</v>
      </c>
      <c r="H227" s="11">
        <v>2000</v>
      </c>
      <c r="I227" s="12" t="str">
        <f>IFERROR(H226+SUMPRODUCT((MOVIMIENTOS!$C$2:$C$5000=$A226)*(MOVIMIENTOS!$D$2:$D$5000=$G226)*(MOVIMIENTOS!$B$2:$B$5000="INGRESO")*MOVIMIENTOS!$E$2:$E$5000)-SUMPRODUCT((MOVIMIENTOS!$C$2:$C$5000=$A226)*(MOVIMIENTOS!$D$2:$D$5000=$G226)*(MOVIMIENTOS!$B$2:$B$5000="EGRESO")*MOVIMIENTOS!$E$2:$E$5000),"")</f>
        <v/>
      </c>
      <c r="J227" s="13" t="s">
        <v>31</v>
      </c>
      <c r="K227" s="13" t="s">
        <v>25</v>
      </c>
      <c r="L227" s="14">
        <v>46715</v>
      </c>
      <c r="M227" s="9">
        <f t="shared" ca="1" si="4"/>
        <v>567</v>
      </c>
      <c r="N227" s="15" t="s">
        <v>26</v>
      </c>
    </row>
    <row r="228" spans="1:14" ht="16.05" customHeight="1" x14ac:dyDescent="0.3">
      <c r="A228" s="16" t="s">
        <v>717</v>
      </c>
      <c r="B228" s="17" t="s">
        <v>718</v>
      </c>
      <c r="C228" s="18" t="s">
        <v>719</v>
      </c>
      <c r="D228" s="19"/>
      <c r="E228" s="20" t="s">
        <v>22</v>
      </c>
      <c r="F228" s="21">
        <v>0</v>
      </c>
      <c r="G228" s="22" t="s">
        <v>715</v>
      </c>
      <c r="H228" s="23">
        <v>3926</v>
      </c>
      <c r="I228" s="24" t="str">
        <f>IFERROR(H227+SUMPRODUCT((MOVIMIENTOS!$C$2:$C$5000=$A227)*(MOVIMIENTOS!$D$2:$D$5000=$G227)*(MOVIMIENTOS!$B$2:$B$5000="INGRESO")*MOVIMIENTOS!$E$2:$E$5000)-SUMPRODUCT((MOVIMIENTOS!$C$2:$C$5000=$A227)*(MOVIMIENTOS!$D$2:$D$5000=$G227)*(MOVIMIENTOS!$B$2:$B$5000="EGRESO")*MOVIMIENTOS!$E$2:$E$5000),"")</f>
        <v/>
      </c>
      <c r="J228" s="25" t="s">
        <v>31</v>
      </c>
      <c r="K228" s="25" t="s">
        <v>115</v>
      </c>
      <c r="L228" s="26">
        <v>46693</v>
      </c>
      <c r="M228" s="21">
        <f t="shared" ca="1" si="4"/>
        <v>589</v>
      </c>
      <c r="N228" s="27" t="s">
        <v>26</v>
      </c>
    </row>
    <row r="229" spans="1:14" ht="16.05" customHeight="1" x14ac:dyDescent="0.3">
      <c r="A229" s="4" t="s">
        <v>720</v>
      </c>
      <c r="B229" s="5" t="s">
        <v>721</v>
      </c>
      <c r="C229" s="6" t="s">
        <v>722</v>
      </c>
      <c r="D229" s="7"/>
      <c r="E229" s="8"/>
      <c r="F229" s="9">
        <v>0</v>
      </c>
      <c r="G229" s="10" t="s">
        <v>723</v>
      </c>
      <c r="H229" s="11">
        <v>629.20000000000005</v>
      </c>
      <c r="I229" s="12" t="str">
        <f>IFERROR(H228+SUMPRODUCT((MOVIMIENTOS!$C$2:$C$5000=$A228)*(MOVIMIENTOS!$D$2:$D$5000=$G228)*(MOVIMIENTOS!$B$2:$B$5000="INGRESO")*MOVIMIENTOS!$E$2:$E$5000)-SUMPRODUCT((MOVIMIENTOS!$C$2:$C$5000=$A228)*(MOVIMIENTOS!$D$2:$D$5000=$G228)*(MOVIMIENTOS!$B$2:$B$5000="EGRESO")*MOVIMIENTOS!$E$2:$E$5000),"")</f>
        <v/>
      </c>
      <c r="J229" s="13" t="s">
        <v>114</v>
      </c>
      <c r="K229" s="13" t="s">
        <v>72</v>
      </c>
      <c r="L229" s="14">
        <v>46470</v>
      </c>
      <c r="M229" s="9">
        <f t="shared" ca="1" si="4"/>
        <v>567</v>
      </c>
      <c r="N229" s="15" t="s">
        <v>26</v>
      </c>
    </row>
    <row r="230" spans="1:14" ht="16.05" customHeight="1" x14ac:dyDescent="0.3">
      <c r="A230" s="16" t="s">
        <v>720</v>
      </c>
      <c r="B230" s="17" t="s">
        <v>721</v>
      </c>
      <c r="C230" s="18" t="s">
        <v>722</v>
      </c>
      <c r="D230" s="19"/>
      <c r="E230" s="20"/>
      <c r="F230" s="21">
        <v>0</v>
      </c>
      <c r="G230" s="22" t="s">
        <v>724</v>
      </c>
      <c r="H230" s="23">
        <v>963</v>
      </c>
      <c r="I230" s="24" t="str">
        <f>IFERROR(H229+SUMPRODUCT((MOVIMIENTOS!$C$2:$C$5000=$A229)*(MOVIMIENTOS!$D$2:$D$5000=$G229)*(MOVIMIENTOS!$B$2:$B$5000="INGRESO")*MOVIMIENTOS!$E$2:$E$5000)-SUMPRODUCT((MOVIMIENTOS!$C$2:$C$5000=$A229)*(MOVIMIENTOS!$D$2:$D$5000=$G229)*(MOVIMIENTOS!$B$2:$B$5000="EGRESO")*MOVIMIENTOS!$E$2:$E$5000),"")</f>
        <v/>
      </c>
      <c r="J230" s="25" t="s">
        <v>114</v>
      </c>
      <c r="K230" s="25" t="s">
        <v>72</v>
      </c>
      <c r="L230" s="26">
        <v>46654</v>
      </c>
      <c r="M230" s="21">
        <f t="shared" ca="1" si="4"/>
        <v>344</v>
      </c>
      <c r="N230" s="27" t="s">
        <v>26</v>
      </c>
    </row>
    <row r="231" spans="1:14" ht="16.05" customHeight="1" x14ac:dyDescent="0.3">
      <c r="A231" s="4" t="s">
        <v>725</v>
      </c>
      <c r="B231" s="5" t="s">
        <v>726</v>
      </c>
      <c r="C231" s="6" t="s">
        <v>727</v>
      </c>
      <c r="D231" s="7"/>
      <c r="E231" s="8" t="s">
        <v>52</v>
      </c>
      <c r="F231" s="9">
        <v>0</v>
      </c>
      <c r="G231" s="10" t="s">
        <v>728</v>
      </c>
      <c r="H231" s="11">
        <v>1000</v>
      </c>
      <c r="I231" s="12" t="str">
        <f>IFERROR(H230+SUMPRODUCT((MOVIMIENTOS!$C$2:$C$5000=$A230)*(MOVIMIENTOS!$D$2:$D$5000=$G230)*(MOVIMIENTOS!$B$2:$B$5000="INGRESO")*MOVIMIENTOS!$E$2:$E$5000)-SUMPRODUCT((MOVIMIENTOS!$C$2:$C$5000=$A230)*(MOVIMIENTOS!$D$2:$D$5000=$G230)*(MOVIMIENTOS!$B$2:$B$5000="EGRESO")*MOVIMIENTOS!$E$2:$E$5000),"")</f>
        <v/>
      </c>
      <c r="J231" s="13" t="s">
        <v>240</v>
      </c>
      <c r="K231" s="13" t="s">
        <v>231</v>
      </c>
      <c r="L231" s="14">
        <v>46583</v>
      </c>
      <c r="M231" s="9">
        <f t="shared" ca="1" si="4"/>
        <v>528</v>
      </c>
      <c r="N231" s="15" t="s">
        <v>26</v>
      </c>
    </row>
    <row r="232" spans="1:14" ht="16.05" customHeight="1" x14ac:dyDescent="0.3">
      <c r="A232" s="16" t="s">
        <v>729</v>
      </c>
      <c r="B232" s="17" t="s">
        <v>730</v>
      </c>
      <c r="C232" s="18" t="s">
        <v>731</v>
      </c>
      <c r="D232" s="19"/>
      <c r="E232" s="20" t="s">
        <v>22</v>
      </c>
      <c r="F232" s="21">
        <v>0</v>
      </c>
      <c r="G232" s="22" t="s">
        <v>732</v>
      </c>
      <c r="H232" s="23">
        <v>956</v>
      </c>
      <c r="I232" s="24" t="str">
        <f>IFERROR(H231+SUMPRODUCT((MOVIMIENTOS!$C$2:$C$5000=$A231)*(MOVIMIENTOS!$D$2:$D$5000=$G231)*(MOVIMIENTOS!$B$2:$B$5000="INGRESO")*MOVIMIENTOS!$E$2:$E$5000)-SUMPRODUCT((MOVIMIENTOS!$C$2:$C$5000=$A231)*(MOVIMIENTOS!$D$2:$D$5000=$G231)*(MOVIMIENTOS!$B$2:$B$5000="EGRESO")*MOVIMIENTOS!$E$2:$E$5000),"")</f>
        <v/>
      </c>
      <c r="J232" s="25" t="s">
        <v>24</v>
      </c>
      <c r="K232" s="25" t="s">
        <v>72</v>
      </c>
      <c r="L232" s="26">
        <v>46552</v>
      </c>
      <c r="M232" s="21">
        <f t="shared" ca="1" si="4"/>
        <v>457</v>
      </c>
      <c r="N232" s="27" t="s">
        <v>26</v>
      </c>
    </row>
    <row r="233" spans="1:14" ht="16.05" customHeight="1" x14ac:dyDescent="0.3">
      <c r="A233" s="4" t="s">
        <v>733</v>
      </c>
      <c r="B233" s="5" t="s">
        <v>734</v>
      </c>
      <c r="C233" s="6" t="s">
        <v>735</v>
      </c>
      <c r="D233" s="7"/>
      <c r="E233" s="8" t="s">
        <v>22</v>
      </c>
      <c r="F233" s="9">
        <v>0</v>
      </c>
      <c r="G233" s="10" t="s">
        <v>736</v>
      </c>
      <c r="H233" s="11">
        <v>1014</v>
      </c>
      <c r="I233" s="12" t="str">
        <f>IFERROR(H232+SUMPRODUCT((MOVIMIENTOS!$C$2:$C$5000=$A232)*(MOVIMIENTOS!$D$2:$D$5000=$G232)*(MOVIMIENTOS!$B$2:$B$5000="INGRESO")*MOVIMIENTOS!$E$2:$E$5000)-SUMPRODUCT((MOVIMIENTOS!$C$2:$C$5000=$A232)*(MOVIMIENTOS!$D$2:$D$5000=$G232)*(MOVIMIENTOS!$B$2:$B$5000="EGRESO")*MOVIMIENTOS!$E$2:$E$5000),"")</f>
        <v/>
      </c>
      <c r="J233" s="13" t="s">
        <v>121</v>
      </c>
      <c r="K233" s="13" t="s">
        <v>115</v>
      </c>
      <c r="L233" s="14">
        <v>46546</v>
      </c>
      <c r="M233" s="9">
        <f t="shared" ca="1" si="4"/>
        <v>426</v>
      </c>
      <c r="N233" s="15" t="s">
        <v>26</v>
      </c>
    </row>
    <row r="234" spans="1:14" ht="16.05" customHeight="1" x14ac:dyDescent="0.3">
      <c r="A234" s="16" t="s">
        <v>737</v>
      </c>
      <c r="B234" s="17" t="s">
        <v>738</v>
      </c>
      <c r="C234" s="18" t="s">
        <v>739</v>
      </c>
      <c r="D234" s="19"/>
      <c r="E234" s="20" t="s">
        <v>52</v>
      </c>
      <c r="F234" s="21">
        <v>0</v>
      </c>
      <c r="G234" s="22" t="s">
        <v>740</v>
      </c>
      <c r="H234" s="23">
        <v>101</v>
      </c>
      <c r="I234" s="24" t="str">
        <f>IFERROR(H233+SUMPRODUCT((MOVIMIENTOS!$C$2:$C$5000=$A233)*(MOVIMIENTOS!$D$2:$D$5000=$G233)*(MOVIMIENTOS!$B$2:$B$5000="INGRESO")*MOVIMIENTOS!$E$2:$E$5000)-SUMPRODUCT((MOVIMIENTOS!$C$2:$C$5000=$A233)*(MOVIMIENTOS!$D$2:$D$5000=$G233)*(MOVIMIENTOS!$B$2:$B$5000="EGRESO")*MOVIMIENTOS!$E$2:$E$5000),"")</f>
        <v/>
      </c>
      <c r="J234" s="25" t="s">
        <v>121</v>
      </c>
      <c r="K234" s="25" t="s">
        <v>115</v>
      </c>
      <c r="L234" s="26">
        <v>46569</v>
      </c>
      <c r="M234" s="21">
        <f t="shared" ca="1" si="4"/>
        <v>420</v>
      </c>
      <c r="N234" s="27" t="s">
        <v>26</v>
      </c>
    </row>
    <row r="235" spans="1:14" ht="16.05" customHeight="1" x14ac:dyDescent="0.3">
      <c r="A235" s="4" t="s">
        <v>741</v>
      </c>
      <c r="B235" s="5" t="s">
        <v>742</v>
      </c>
      <c r="C235" s="6" t="s">
        <v>743</v>
      </c>
      <c r="D235" s="7"/>
      <c r="E235" s="8" t="s">
        <v>213</v>
      </c>
      <c r="F235" s="9">
        <v>0</v>
      </c>
      <c r="G235" s="10" t="s">
        <v>744</v>
      </c>
      <c r="H235" s="11">
        <v>992</v>
      </c>
      <c r="I235" s="12" t="str">
        <f>IFERROR(H234+SUMPRODUCT((MOVIMIENTOS!$C$2:$C$5000=$A234)*(MOVIMIENTOS!$D$2:$D$5000=$G234)*(MOVIMIENTOS!$B$2:$B$5000="INGRESO")*MOVIMIENTOS!$E$2:$E$5000)-SUMPRODUCT((MOVIMIENTOS!$C$2:$C$5000=$A234)*(MOVIMIENTOS!$D$2:$D$5000=$G234)*(MOVIMIENTOS!$B$2:$B$5000="EGRESO")*MOVIMIENTOS!$E$2:$E$5000),"")</f>
        <v/>
      </c>
      <c r="J235" s="13" t="s">
        <v>240</v>
      </c>
      <c r="K235" s="13" t="s">
        <v>231</v>
      </c>
      <c r="L235" s="14">
        <v>46569</v>
      </c>
      <c r="M235" s="9">
        <f t="shared" ca="1" si="4"/>
        <v>443</v>
      </c>
      <c r="N235" s="15" t="s">
        <v>26</v>
      </c>
    </row>
    <row r="236" spans="1:14" ht="16.05" customHeight="1" x14ac:dyDescent="0.3">
      <c r="A236" s="16" t="s">
        <v>745</v>
      </c>
      <c r="B236" s="17" t="s">
        <v>746</v>
      </c>
      <c r="C236" s="18" t="s">
        <v>747</v>
      </c>
      <c r="D236" s="19"/>
      <c r="E236" s="20" t="s">
        <v>52</v>
      </c>
      <c r="F236" s="21">
        <v>0</v>
      </c>
      <c r="G236" s="22" t="s">
        <v>748</v>
      </c>
      <c r="H236" s="29"/>
      <c r="I236" s="24" t="str">
        <f>IFERROR(H235+SUMPRODUCT((MOVIMIENTOS!$C$2:$C$5000=$A235)*(MOVIMIENTOS!$D$2:$D$5000=$G235)*(MOVIMIENTOS!$B$2:$B$5000="INGRESO")*MOVIMIENTOS!$E$2:$E$5000)-SUMPRODUCT((MOVIMIENTOS!$C$2:$C$5000=$A235)*(MOVIMIENTOS!$D$2:$D$5000=$G235)*(MOVIMIENTOS!$B$2:$B$5000="EGRESO")*MOVIMIENTOS!$E$2:$E$5000),"")</f>
        <v/>
      </c>
      <c r="J236" s="25" t="s">
        <v>31</v>
      </c>
      <c r="K236" s="25" t="s">
        <v>231</v>
      </c>
      <c r="L236" s="25"/>
      <c r="M236" s="21">
        <f t="shared" ca="1" si="4"/>
        <v>443</v>
      </c>
      <c r="N236" s="30"/>
    </row>
    <row r="237" spans="1:14" ht="16.05" customHeight="1" x14ac:dyDescent="0.3">
      <c r="A237" s="4" t="s">
        <v>749</v>
      </c>
      <c r="B237" s="5" t="s">
        <v>750</v>
      </c>
      <c r="C237" s="6" t="s">
        <v>751</v>
      </c>
      <c r="D237" s="7"/>
      <c r="E237" s="8"/>
      <c r="F237" s="9">
        <v>0</v>
      </c>
      <c r="G237" s="10" t="s">
        <v>496</v>
      </c>
      <c r="H237" s="28"/>
      <c r="I237" s="12" t="str">
        <f>IFERROR(H236+SUMPRODUCT((MOVIMIENTOS!$C$2:$C$5000=$A236)*(MOVIMIENTOS!$D$2:$D$5000=$G236)*(MOVIMIENTOS!$B$2:$B$5000="INGRESO")*MOVIMIENTOS!$E$2:$E$5000)-SUMPRODUCT((MOVIMIENTOS!$C$2:$C$5000=$A236)*(MOVIMIENTOS!$D$2:$D$5000=$G236)*(MOVIMIENTOS!$B$2:$B$5000="EGRESO")*MOVIMIENTOS!$E$2:$E$5000),"")</f>
        <v/>
      </c>
      <c r="J237" s="13" t="s">
        <v>359</v>
      </c>
      <c r="K237" s="13" t="s">
        <v>231</v>
      </c>
      <c r="L237" s="14">
        <v>47472</v>
      </c>
      <c r="M237" s="9" t="str">
        <f t="shared" ca="1" si="4"/>
        <v/>
      </c>
      <c r="N237" s="15" t="s">
        <v>26</v>
      </c>
    </row>
    <row r="238" spans="1:14" ht="16.05" customHeight="1" x14ac:dyDescent="0.3">
      <c r="A238" s="16" t="s">
        <v>752</v>
      </c>
      <c r="B238" s="17" t="s">
        <v>753</v>
      </c>
      <c r="C238" s="18" t="s">
        <v>754</v>
      </c>
      <c r="D238" s="19"/>
      <c r="E238" s="20"/>
      <c r="F238" s="21">
        <v>0</v>
      </c>
      <c r="G238" s="22" t="s">
        <v>496</v>
      </c>
      <c r="H238" s="29"/>
      <c r="I238" s="24" t="str">
        <f>IFERROR(H237+SUMPRODUCT((MOVIMIENTOS!$C$2:$C$5000=$A237)*(MOVIMIENTOS!$D$2:$D$5000=$G237)*(MOVIMIENTOS!$B$2:$B$5000="INGRESO")*MOVIMIENTOS!$E$2:$E$5000)-SUMPRODUCT((MOVIMIENTOS!$C$2:$C$5000=$A237)*(MOVIMIENTOS!$D$2:$D$5000=$G237)*(MOVIMIENTOS!$B$2:$B$5000="EGRESO")*MOVIMIENTOS!$E$2:$E$5000),"")</f>
        <v/>
      </c>
      <c r="J238" s="25" t="s">
        <v>359</v>
      </c>
      <c r="K238" s="25" t="s">
        <v>115</v>
      </c>
      <c r="L238" s="26">
        <v>47474</v>
      </c>
      <c r="M238" s="21">
        <f t="shared" ca="1" si="4"/>
        <v>1346</v>
      </c>
      <c r="N238" s="27" t="s">
        <v>26</v>
      </c>
    </row>
    <row r="239" spans="1:14" ht="16.05" customHeight="1" x14ac:dyDescent="0.3">
      <c r="A239" s="4" t="s">
        <v>755</v>
      </c>
      <c r="B239" s="5" t="s">
        <v>756</v>
      </c>
      <c r="C239" s="6" t="s">
        <v>757</v>
      </c>
      <c r="D239" s="7"/>
      <c r="E239" s="8"/>
      <c r="F239" s="9">
        <v>0</v>
      </c>
      <c r="G239" s="10" t="s">
        <v>496</v>
      </c>
      <c r="H239" s="28"/>
      <c r="I239" s="12" t="str">
        <f>IFERROR(H238+SUMPRODUCT((MOVIMIENTOS!$C$2:$C$5000=$A238)*(MOVIMIENTOS!$D$2:$D$5000=$G238)*(MOVIMIENTOS!$B$2:$B$5000="INGRESO")*MOVIMIENTOS!$E$2:$E$5000)-SUMPRODUCT((MOVIMIENTOS!$C$2:$C$5000=$A238)*(MOVIMIENTOS!$D$2:$D$5000=$G238)*(MOVIMIENTOS!$B$2:$B$5000="EGRESO")*MOVIMIENTOS!$E$2:$E$5000),"")</f>
        <v/>
      </c>
      <c r="J239" s="13" t="s">
        <v>359</v>
      </c>
      <c r="K239" s="13" t="s">
        <v>25</v>
      </c>
      <c r="L239" s="14">
        <v>47381</v>
      </c>
      <c r="M239" s="9">
        <f t="shared" ca="1" si="4"/>
        <v>1348</v>
      </c>
      <c r="N239" s="15" t="s">
        <v>26</v>
      </c>
    </row>
    <row r="240" spans="1:14" ht="16.05" customHeight="1" x14ac:dyDescent="0.3">
      <c r="A240" s="16" t="s">
        <v>758</v>
      </c>
      <c r="B240" s="17" t="s">
        <v>759</v>
      </c>
      <c r="C240" s="18" t="s">
        <v>760</v>
      </c>
      <c r="D240" s="19"/>
      <c r="E240" s="20"/>
      <c r="F240" s="21">
        <v>0</v>
      </c>
      <c r="G240" s="22" t="s">
        <v>761</v>
      </c>
      <c r="H240" s="23">
        <v>1160</v>
      </c>
      <c r="I240" s="24" t="str">
        <f>IFERROR(H239+SUMPRODUCT((MOVIMIENTOS!$C$2:$C$5000=$A239)*(MOVIMIENTOS!$D$2:$D$5000=$G239)*(MOVIMIENTOS!$B$2:$B$5000="INGRESO")*MOVIMIENTOS!$E$2:$E$5000)-SUMPRODUCT((MOVIMIENTOS!$C$2:$C$5000=$A239)*(MOVIMIENTOS!$D$2:$D$5000=$G239)*(MOVIMIENTOS!$B$2:$B$5000="EGRESO")*MOVIMIENTOS!$E$2:$E$5000),"")</f>
        <v/>
      </c>
      <c r="J240" s="25" t="s">
        <v>67</v>
      </c>
      <c r="K240" s="25" t="s">
        <v>231</v>
      </c>
      <c r="L240" s="26">
        <v>46457</v>
      </c>
      <c r="M240" s="21">
        <f t="shared" ca="1" si="4"/>
        <v>1255</v>
      </c>
      <c r="N240" s="27" t="s">
        <v>26</v>
      </c>
    </row>
    <row r="241" spans="1:14" ht="16.05" customHeight="1" x14ac:dyDescent="0.3">
      <c r="A241" s="56" t="s">
        <v>762</v>
      </c>
      <c r="B241" s="57" t="s">
        <v>763</v>
      </c>
      <c r="C241" s="58" t="s">
        <v>764</v>
      </c>
      <c r="D241" s="59"/>
      <c r="E241" s="60" t="s">
        <v>35</v>
      </c>
      <c r="F241" s="61">
        <v>0</v>
      </c>
      <c r="G241" s="62" t="s">
        <v>765</v>
      </c>
      <c r="H241" s="63">
        <v>770</v>
      </c>
      <c r="I241" s="64" t="str">
        <f>IFERROR(H240+SUMPRODUCT((MOVIMIENTOS!$C$2:$C$5000=$A240)*(MOVIMIENTOS!$D$2:$D$5000=$G240)*(MOVIMIENTOS!$B$2:$B$5000="INGRESO")*MOVIMIENTOS!$E$2:$E$5000)-SUMPRODUCT((MOVIMIENTOS!$C$2:$C$5000=$A240)*(MOVIMIENTOS!$D$2:$D$5000=$G240)*(MOVIMIENTOS!$B$2:$B$5000="EGRESO")*MOVIMIENTOS!$E$2:$E$5000),"")</f>
        <v/>
      </c>
      <c r="J241" s="65" t="s">
        <v>67</v>
      </c>
      <c r="K241" s="65" t="s">
        <v>231</v>
      </c>
      <c r="L241" s="66">
        <v>46193</v>
      </c>
      <c r="M241" s="61">
        <f t="shared" ca="1" si="4"/>
        <v>331</v>
      </c>
      <c r="N241" s="67" t="s">
        <v>255</v>
      </c>
    </row>
    <row r="242" spans="1:14" ht="16.05" customHeight="1" x14ac:dyDescent="0.3">
      <c r="A242" s="32" t="s">
        <v>766</v>
      </c>
      <c r="B242" s="33" t="s">
        <v>767</v>
      </c>
      <c r="C242" s="34" t="s">
        <v>768</v>
      </c>
      <c r="D242" s="35"/>
      <c r="E242" s="36"/>
      <c r="F242" s="37">
        <v>0</v>
      </c>
      <c r="G242" s="38" t="s">
        <v>769</v>
      </c>
      <c r="H242" s="39"/>
      <c r="I242" s="40" t="str">
        <f>IFERROR(H241+SUMPRODUCT((MOVIMIENTOS!$C$2:$C$5000=$A241)*(MOVIMIENTOS!$D$2:$D$5000=$G241)*(MOVIMIENTOS!$B$2:$B$5000="INGRESO")*MOVIMIENTOS!$E$2:$E$5000)-SUMPRODUCT((MOVIMIENTOS!$C$2:$C$5000=$A241)*(MOVIMIENTOS!$D$2:$D$5000=$G241)*(MOVIMIENTOS!$B$2:$B$5000="EGRESO")*MOVIMIENTOS!$E$2:$E$5000),"")</f>
        <v/>
      </c>
      <c r="J242" s="41" t="s">
        <v>114</v>
      </c>
      <c r="K242" s="41" t="s">
        <v>72</v>
      </c>
      <c r="L242" s="42">
        <v>46109</v>
      </c>
      <c r="M242" s="37">
        <f t="shared" ca="1" si="4"/>
        <v>67</v>
      </c>
      <c r="N242" s="43" t="s">
        <v>130</v>
      </c>
    </row>
    <row r="243" spans="1:14" ht="16.05" customHeight="1" x14ac:dyDescent="0.3">
      <c r="A243" s="4" t="s">
        <v>770</v>
      </c>
      <c r="B243" s="5" t="s">
        <v>771</v>
      </c>
      <c r="C243" s="6" t="s">
        <v>772</v>
      </c>
      <c r="D243" s="7"/>
      <c r="E243" s="8" t="s">
        <v>52</v>
      </c>
      <c r="F243" s="9">
        <v>0</v>
      </c>
      <c r="G243" s="10" t="s">
        <v>568</v>
      </c>
      <c r="H243" s="11">
        <v>3072</v>
      </c>
      <c r="I243" s="12" t="str">
        <f>IFERROR(H242+SUMPRODUCT((MOVIMIENTOS!$C$2:$C$5000=$A242)*(MOVIMIENTOS!$D$2:$D$5000=$G242)*(MOVIMIENTOS!$B$2:$B$5000="INGRESO")*MOVIMIENTOS!$E$2:$E$5000)-SUMPRODUCT((MOVIMIENTOS!$C$2:$C$5000=$A242)*(MOVIMIENTOS!$D$2:$D$5000=$G242)*(MOVIMIENTOS!$B$2:$B$5000="EGRESO")*MOVIMIENTOS!$E$2:$E$5000),"")</f>
        <v/>
      </c>
      <c r="J243" s="13" t="s">
        <v>114</v>
      </c>
      <c r="K243" s="13" t="s">
        <v>25</v>
      </c>
      <c r="L243" s="14">
        <v>46698</v>
      </c>
      <c r="M243" s="9">
        <f t="shared" ca="1" si="4"/>
        <v>-17</v>
      </c>
      <c r="N243" s="15" t="s">
        <v>26</v>
      </c>
    </row>
    <row r="244" spans="1:14" ht="16.05" customHeight="1" x14ac:dyDescent="0.3">
      <c r="A244" s="16" t="s">
        <v>770</v>
      </c>
      <c r="B244" s="17" t="s">
        <v>771</v>
      </c>
      <c r="C244" s="18" t="s">
        <v>772</v>
      </c>
      <c r="D244" s="19"/>
      <c r="E244" s="20" t="s">
        <v>52</v>
      </c>
      <c r="F244" s="21">
        <v>0</v>
      </c>
      <c r="G244" s="22" t="s">
        <v>773</v>
      </c>
      <c r="H244" s="23">
        <v>700</v>
      </c>
      <c r="I244" s="24" t="str">
        <f>IFERROR(H243+SUMPRODUCT((MOVIMIENTOS!$C$2:$C$5000=$A243)*(MOVIMIENTOS!$D$2:$D$5000=$G243)*(MOVIMIENTOS!$B$2:$B$5000="INGRESO")*MOVIMIENTOS!$E$2:$E$5000)-SUMPRODUCT((MOVIMIENTOS!$C$2:$C$5000=$A243)*(MOVIMIENTOS!$D$2:$D$5000=$G243)*(MOVIMIENTOS!$B$2:$B$5000="EGRESO")*MOVIMIENTOS!$E$2:$E$5000),"")</f>
        <v/>
      </c>
      <c r="J244" s="25" t="s">
        <v>114</v>
      </c>
      <c r="K244" s="25" t="s">
        <v>25</v>
      </c>
      <c r="L244" s="26">
        <v>46511</v>
      </c>
      <c r="M244" s="21">
        <f t="shared" ca="1" si="4"/>
        <v>572</v>
      </c>
      <c r="N244" s="27" t="s">
        <v>26</v>
      </c>
    </row>
    <row r="245" spans="1:14" ht="16.05" customHeight="1" x14ac:dyDescent="0.3">
      <c r="A245" s="4" t="s">
        <v>774</v>
      </c>
      <c r="B245" s="5" t="s">
        <v>775</v>
      </c>
      <c r="C245" s="6" t="s">
        <v>776</v>
      </c>
      <c r="D245" s="7"/>
      <c r="E245" s="8" t="s">
        <v>52</v>
      </c>
      <c r="F245" s="9">
        <v>0</v>
      </c>
      <c r="G245" s="10" t="s">
        <v>777</v>
      </c>
      <c r="H245" s="11">
        <v>1300</v>
      </c>
      <c r="I245" s="12" t="str">
        <f>IFERROR(H244+SUMPRODUCT((MOVIMIENTOS!$C$2:$C$5000=$A244)*(MOVIMIENTOS!$D$2:$D$5000=$G244)*(MOVIMIENTOS!$B$2:$B$5000="INGRESO")*MOVIMIENTOS!$E$2:$E$5000)-SUMPRODUCT((MOVIMIENTOS!$C$2:$C$5000=$A244)*(MOVIMIENTOS!$D$2:$D$5000=$G244)*(MOVIMIENTOS!$B$2:$B$5000="EGRESO")*MOVIMIENTOS!$E$2:$E$5000),"")</f>
        <v/>
      </c>
      <c r="J245" s="13" t="s">
        <v>31</v>
      </c>
      <c r="K245" s="13" t="s">
        <v>72</v>
      </c>
      <c r="L245" s="14">
        <v>46739</v>
      </c>
      <c r="M245" s="9">
        <f t="shared" ca="1" si="4"/>
        <v>385</v>
      </c>
      <c r="N245" s="15" t="s">
        <v>26</v>
      </c>
    </row>
    <row r="246" spans="1:14" ht="16.05" customHeight="1" x14ac:dyDescent="0.3">
      <c r="A246" s="16" t="s">
        <v>778</v>
      </c>
      <c r="B246" s="17" t="s">
        <v>779</v>
      </c>
      <c r="C246" s="18" t="s">
        <v>780</v>
      </c>
      <c r="D246" s="19"/>
      <c r="E246" s="20" t="s">
        <v>22</v>
      </c>
      <c r="F246" s="21">
        <v>0</v>
      </c>
      <c r="G246" s="22" t="s">
        <v>781</v>
      </c>
      <c r="H246" s="23">
        <v>960</v>
      </c>
      <c r="I246" s="24" t="str">
        <f>IFERROR(H245+SUMPRODUCT((MOVIMIENTOS!$C$2:$C$5000=$A245)*(MOVIMIENTOS!$D$2:$D$5000=$G245)*(MOVIMIENTOS!$B$2:$B$5000="INGRESO")*MOVIMIENTOS!$E$2:$E$5000)-SUMPRODUCT((MOVIMIENTOS!$C$2:$C$5000=$A245)*(MOVIMIENTOS!$D$2:$D$5000=$G245)*(MOVIMIENTOS!$B$2:$B$5000="EGRESO")*MOVIMIENTOS!$E$2:$E$5000),"")</f>
        <v/>
      </c>
      <c r="J246" s="25" t="s">
        <v>24</v>
      </c>
      <c r="K246" s="25" t="s">
        <v>72</v>
      </c>
      <c r="L246" s="26">
        <v>46521</v>
      </c>
      <c r="M246" s="21">
        <f t="shared" ca="1" si="4"/>
        <v>613</v>
      </c>
      <c r="N246" s="27" t="s">
        <v>26</v>
      </c>
    </row>
    <row r="247" spans="1:14" ht="16.05" customHeight="1" x14ac:dyDescent="0.3">
      <c r="A247" s="4" t="s">
        <v>782</v>
      </c>
      <c r="B247" s="5" t="s">
        <v>783</v>
      </c>
      <c r="C247" s="6" t="s">
        <v>784</v>
      </c>
      <c r="D247" s="7"/>
      <c r="E247" s="8" t="s">
        <v>22</v>
      </c>
      <c r="F247" s="9">
        <v>0</v>
      </c>
      <c r="G247" s="10" t="s">
        <v>785</v>
      </c>
      <c r="H247" s="11">
        <v>170</v>
      </c>
      <c r="I247" s="12" t="str">
        <f>IFERROR(H246+SUMPRODUCT((MOVIMIENTOS!$C$2:$C$5000=$A246)*(MOVIMIENTOS!$D$2:$D$5000=$G246)*(MOVIMIENTOS!$B$2:$B$5000="INGRESO")*MOVIMIENTOS!$E$2:$E$5000)-SUMPRODUCT((MOVIMIENTOS!$C$2:$C$5000=$A246)*(MOVIMIENTOS!$D$2:$D$5000=$G246)*(MOVIMIENTOS!$B$2:$B$5000="EGRESO")*MOVIMIENTOS!$E$2:$E$5000),"")</f>
        <v/>
      </c>
      <c r="J247" s="13" t="s">
        <v>31</v>
      </c>
      <c r="K247" s="13" t="s">
        <v>115</v>
      </c>
      <c r="L247" s="14">
        <v>46543</v>
      </c>
      <c r="M247" s="9">
        <f t="shared" ca="1" si="4"/>
        <v>395</v>
      </c>
      <c r="N247" s="15" t="s">
        <v>26</v>
      </c>
    </row>
    <row r="248" spans="1:14" ht="16.05" customHeight="1" x14ac:dyDescent="0.3">
      <c r="A248" s="16" t="s">
        <v>786</v>
      </c>
      <c r="B248" s="17" t="s">
        <v>787</v>
      </c>
      <c r="C248" s="18" t="s">
        <v>788</v>
      </c>
      <c r="D248" s="19"/>
      <c r="E248" s="20"/>
      <c r="F248" s="21">
        <v>0</v>
      </c>
      <c r="G248" s="22" t="s">
        <v>789</v>
      </c>
      <c r="H248" s="23">
        <v>12480</v>
      </c>
      <c r="I248" s="24" t="str">
        <f>IFERROR(H247+SUMPRODUCT((MOVIMIENTOS!$C$2:$C$5000=$A247)*(MOVIMIENTOS!$D$2:$D$5000=$G247)*(MOVIMIENTOS!$B$2:$B$5000="INGRESO")*MOVIMIENTOS!$E$2:$E$5000)-SUMPRODUCT((MOVIMIENTOS!$C$2:$C$5000=$A247)*(MOVIMIENTOS!$D$2:$D$5000=$G247)*(MOVIMIENTOS!$B$2:$B$5000="EGRESO")*MOVIMIENTOS!$E$2:$E$5000),"")</f>
        <v/>
      </c>
      <c r="J248" s="25" t="s">
        <v>156</v>
      </c>
      <c r="K248" s="25"/>
      <c r="L248" s="26">
        <v>46464</v>
      </c>
      <c r="M248" s="21">
        <f t="shared" ca="1" si="4"/>
        <v>417</v>
      </c>
      <c r="N248" s="27" t="s">
        <v>26</v>
      </c>
    </row>
    <row r="249" spans="1:14" ht="16.05" customHeight="1" x14ac:dyDescent="0.3">
      <c r="A249" s="4" t="s">
        <v>786</v>
      </c>
      <c r="B249" s="5" t="s">
        <v>787</v>
      </c>
      <c r="C249" s="6" t="s">
        <v>790</v>
      </c>
      <c r="D249" s="7"/>
      <c r="E249" s="8"/>
      <c r="F249" s="9">
        <v>0</v>
      </c>
      <c r="G249" s="10" t="s">
        <v>791</v>
      </c>
      <c r="H249" s="11">
        <v>17000</v>
      </c>
      <c r="I249" s="12" t="str">
        <f>IFERROR(H248+SUMPRODUCT((MOVIMIENTOS!$C$2:$C$5000=$A248)*(MOVIMIENTOS!$D$2:$D$5000=$G248)*(MOVIMIENTOS!$B$2:$B$5000="INGRESO")*MOVIMIENTOS!$E$2:$E$5000)-SUMPRODUCT((MOVIMIENTOS!$C$2:$C$5000=$A248)*(MOVIMIENTOS!$D$2:$D$5000=$G248)*(MOVIMIENTOS!$B$2:$B$5000="EGRESO")*MOVIMIENTOS!$E$2:$E$5000),"")</f>
        <v/>
      </c>
      <c r="J249" s="13" t="s">
        <v>156</v>
      </c>
      <c r="K249" s="13"/>
      <c r="L249" s="13"/>
      <c r="M249" s="9">
        <f t="shared" ca="1" si="4"/>
        <v>338</v>
      </c>
      <c r="N249" s="31"/>
    </row>
    <row r="250" spans="1:14" ht="16.05" customHeight="1" x14ac:dyDescent="0.3">
      <c r="A250" s="16" t="s">
        <v>786</v>
      </c>
      <c r="B250" s="17" t="s">
        <v>787</v>
      </c>
      <c r="C250" s="18" t="s">
        <v>788</v>
      </c>
      <c r="D250" s="19"/>
      <c r="E250" s="20"/>
      <c r="F250" s="21">
        <v>0</v>
      </c>
      <c r="G250" s="22" t="s">
        <v>792</v>
      </c>
      <c r="H250" s="29"/>
      <c r="I250" s="24" t="str">
        <f>IFERROR(H249+SUMPRODUCT((MOVIMIENTOS!$C$2:$C$5000=$A249)*(MOVIMIENTOS!$D$2:$D$5000=$G249)*(MOVIMIENTOS!$B$2:$B$5000="INGRESO")*MOVIMIENTOS!$E$2:$E$5000)-SUMPRODUCT((MOVIMIENTOS!$C$2:$C$5000=$A249)*(MOVIMIENTOS!$D$2:$D$5000=$G249)*(MOVIMIENTOS!$B$2:$B$5000="EGRESO")*MOVIMIENTOS!$E$2:$E$5000),"")</f>
        <v/>
      </c>
      <c r="J250" s="25" t="s">
        <v>359</v>
      </c>
      <c r="K250" s="25" t="s">
        <v>158</v>
      </c>
      <c r="L250" s="26">
        <v>46275</v>
      </c>
      <c r="M250" s="21" t="str">
        <f t="shared" ca="1" si="4"/>
        <v/>
      </c>
      <c r="N250" s="27" t="s">
        <v>26</v>
      </c>
    </row>
    <row r="251" spans="1:14" ht="16.05" customHeight="1" x14ac:dyDescent="0.3">
      <c r="A251" s="4" t="s">
        <v>793</v>
      </c>
      <c r="B251" s="5" t="s">
        <v>794</v>
      </c>
      <c r="C251" s="6" t="s">
        <v>795</v>
      </c>
      <c r="D251" s="7"/>
      <c r="E251" s="8"/>
      <c r="F251" s="9">
        <v>0</v>
      </c>
      <c r="G251" s="10" t="s">
        <v>57</v>
      </c>
      <c r="H251" s="11">
        <v>1000</v>
      </c>
      <c r="I251" s="12" t="str">
        <f>IFERROR(H250+SUMPRODUCT((MOVIMIENTOS!$C$2:$C$5000=$A250)*(MOVIMIENTOS!$D$2:$D$5000=$G250)*(MOVIMIENTOS!$B$2:$B$5000="INGRESO")*MOVIMIENTOS!$E$2:$E$5000)-SUMPRODUCT((MOVIMIENTOS!$C$2:$C$5000=$A250)*(MOVIMIENTOS!$D$2:$D$5000=$G250)*(MOVIMIENTOS!$B$2:$B$5000="EGRESO")*MOVIMIENTOS!$E$2:$E$5000),"")</f>
        <v/>
      </c>
      <c r="J251" s="13" t="s">
        <v>37</v>
      </c>
      <c r="K251" s="13" t="s">
        <v>231</v>
      </c>
      <c r="L251" s="13"/>
      <c r="M251" s="9">
        <f t="shared" ca="1" si="4"/>
        <v>149</v>
      </c>
      <c r="N251" s="31"/>
    </row>
    <row r="252" spans="1:14" ht="16.05" customHeight="1" x14ac:dyDescent="0.3">
      <c r="A252" s="98" t="s">
        <v>796</v>
      </c>
      <c r="B252" s="99" t="s">
        <v>797</v>
      </c>
      <c r="C252" s="100" t="s">
        <v>798</v>
      </c>
      <c r="D252" s="19"/>
      <c r="E252" s="101" t="s">
        <v>213</v>
      </c>
      <c r="F252" s="102">
        <v>0</v>
      </c>
      <c r="G252" s="103" t="s">
        <v>799</v>
      </c>
      <c r="H252" s="29"/>
      <c r="I252" s="104" t="str">
        <f>IFERROR(H251+SUMPRODUCT((MOVIMIENTOS!$C$2:$C$5000=$A251)*(MOVIMIENTOS!$D$2:$D$5000=$G251)*(MOVIMIENTOS!$B$2:$B$5000="INGRESO")*MOVIMIENTOS!$E$2:$E$5000)-SUMPRODUCT((MOVIMIENTOS!$C$2:$C$5000=$A251)*(MOVIMIENTOS!$D$2:$D$5000=$G251)*(MOVIMIENTOS!$B$2:$B$5000="EGRESO")*MOVIMIENTOS!$E$2:$E$5000),"")</f>
        <v/>
      </c>
      <c r="J252" s="105" t="s">
        <v>143</v>
      </c>
      <c r="K252" s="105" t="s">
        <v>115</v>
      </c>
      <c r="L252" s="25"/>
      <c r="M252" s="102" t="str">
        <f t="shared" ca="1" si="4"/>
        <v/>
      </c>
      <c r="N252" s="30"/>
    </row>
    <row r="253" spans="1:14" ht="16.05" customHeight="1" x14ac:dyDescent="0.3">
      <c r="A253" s="98" t="s">
        <v>796</v>
      </c>
      <c r="B253" s="99" t="s">
        <v>797</v>
      </c>
      <c r="C253" s="100" t="s">
        <v>798</v>
      </c>
      <c r="D253" s="7"/>
      <c r="E253" s="101" t="s">
        <v>213</v>
      </c>
      <c r="F253" s="102">
        <v>0</v>
      </c>
      <c r="G253" s="103" t="s">
        <v>799</v>
      </c>
      <c r="H253" s="108">
        <v>900</v>
      </c>
      <c r="I253" s="104" t="str">
        <f>IFERROR(H252+SUMPRODUCT((MOVIMIENTOS!$C$2:$C$5000=$A252)*(MOVIMIENTOS!$D$2:$D$5000=$G252)*(MOVIMIENTOS!$B$2:$B$5000="INGRESO")*MOVIMIENTOS!$E$2:$E$5000)-SUMPRODUCT((MOVIMIENTOS!$C$2:$C$5000=$A252)*(MOVIMIENTOS!$D$2:$D$5000=$G252)*(MOVIMIENTOS!$B$2:$B$5000="EGRESO")*MOVIMIENTOS!$E$2:$E$5000),"")</f>
        <v/>
      </c>
      <c r="J253" s="105" t="s">
        <v>240</v>
      </c>
      <c r="K253" s="105" t="s">
        <v>72</v>
      </c>
      <c r="L253" s="106">
        <v>46569</v>
      </c>
      <c r="M253" s="102" t="str">
        <f t="shared" ca="1" si="4"/>
        <v/>
      </c>
      <c r="N253" s="109" t="s">
        <v>26</v>
      </c>
    </row>
    <row r="254" spans="1:14" ht="16.05" customHeight="1" x14ac:dyDescent="0.3">
      <c r="A254" s="16" t="s">
        <v>800</v>
      </c>
      <c r="B254" s="17" t="s">
        <v>801</v>
      </c>
      <c r="C254" s="18" t="s">
        <v>802</v>
      </c>
      <c r="D254" s="19"/>
      <c r="E254" s="20" t="s">
        <v>22</v>
      </c>
      <c r="F254" s="21">
        <v>0</v>
      </c>
      <c r="G254" s="22" t="s">
        <v>803</v>
      </c>
      <c r="H254" s="23">
        <v>851</v>
      </c>
      <c r="I254" s="24" t="str">
        <f>IFERROR(H253+SUMPRODUCT((MOVIMIENTOS!$C$2:$C$5000=$A253)*(MOVIMIENTOS!$D$2:$D$5000=$G253)*(MOVIMIENTOS!$B$2:$B$5000="INGRESO")*MOVIMIENTOS!$E$2:$E$5000)-SUMPRODUCT((MOVIMIENTOS!$C$2:$C$5000=$A253)*(MOVIMIENTOS!$D$2:$D$5000=$G253)*(MOVIMIENTOS!$B$2:$B$5000="EGRESO")*MOVIMIENTOS!$E$2:$E$5000),"")</f>
        <v/>
      </c>
      <c r="J254" s="25" t="s">
        <v>24</v>
      </c>
      <c r="K254" s="25" t="s">
        <v>72</v>
      </c>
      <c r="L254" s="26">
        <v>46590</v>
      </c>
      <c r="M254" s="21">
        <f t="shared" ca="1" si="4"/>
        <v>443</v>
      </c>
      <c r="N254" s="27" t="s">
        <v>26</v>
      </c>
    </row>
    <row r="255" spans="1:14" ht="16.05" customHeight="1" x14ac:dyDescent="0.3">
      <c r="A255" s="4" t="s">
        <v>804</v>
      </c>
      <c r="B255" s="5" t="s">
        <v>805</v>
      </c>
      <c r="C255" s="6" t="s">
        <v>806</v>
      </c>
      <c r="D255" s="7"/>
      <c r="E255" s="8" t="s">
        <v>35</v>
      </c>
      <c r="F255" s="9">
        <v>0</v>
      </c>
      <c r="G255" s="10" t="s">
        <v>807</v>
      </c>
      <c r="H255" s="28"/>
      <c r="I255" s="12" t="str">
        <f>IFERROR(H254+SUMPRODUCT((MOVIMIENTOS!$C$2:$C$5000=$A254)*(MOVIMIENTOS!$D$2:$D$5000=$G254)*(MOVIMIENTOS!$B$2:$B$5000="INGRESO")*MOVIMIENTOS!$E$2:$E$5000)-SUMPRODUCT((MOVIMIENTOS!$C$2:$C$5000=$A254)*(MOVIMIENTOS!$D$2:$D$5000=$G254)*(MOVIMIENTOS!$B$2:$B$5000="EGRESO")*MOVIMIENTOS!$E$2:$E$5000),"")</f>
        <v/>
      </c>
      <c r="J255" s="13" t="s">
        <v>359</v>
      </c>
      <c r="K255" s="13" t="s">
        <v>158</v>
      </c>
      <c r="L255" s="14">
        <v>46570</v>
      </c>
      <c r="M255" s="9">
        <f t="shared" ca="1" si="4"/>
        <v>464</v>
      </c>
      <c r="N255" s="15" t="s">
        <v>26</v>
      </c>
    </row>
    <row r="256" spans="1:14" ht="16.05" customHeight="1" x14ac:dyDescent="0.3">
      <c r="A256" s="16" t="s">
        <v>804</v>
      </c>
      <c r="B256" s="17" t="s">
        <v>805</v>
      </c>
      <c r="C256" s="18" t="s">
        <v>806</v>
      </c>
      <c r="D256" s="19"/>
      <c r="E256" s="20" t="s">
        <v>35</v>
      </c>
      <c r="F256" s="21">
        <v>0</v>
      </c>
      <c r="G256" s="22" t="s">
        <v>807</v>
      </c>
      <c r="H256" s="23">
        <v>2722</v>
      </c>
      <c r="I256" s="24" t="str">
        <f>IFERROR(H255+SUMPRODUCT((MOVIMIENTOS!$C$2:$C$5000=$A255)*(MOVIMIENTOS!$D$2:$D$5000=$G255)*(MOVIMIENTOS!$B$2:$B$5000="INGRESO")*MOVIMIENTOS!$E$2:$E$5000)-SUMPRODUCT((MOVIMIENTOS!$C$2:$C$5000=$A255)*(MOVIMIENTOS!$D$2:$D$5000=$G255)*(MOVIMIENTOS!$B$2:$B$5000="EGRESO")*MOVIMIENTOS!$E$2:$E$5000),"")</f>
        <v/>
      </c>
      <c r="J256" s="25" t="s">
        <v>37</v>
      </c>
      <c r="K256" s="25" t="s">
        <v>115</v>
      </c>
      <c r="L256" s="26">
        <v>46570</v>
      </c>
      <c r="M256" s="21">
        <f t="shared" ca="1" si="4"/>
        <v>444</v>
      </c>
      <c r="N256" s="27" t="s">
        <v>26</v>
      </c>
    </row>
    <row r="257" spans="1:14" ht="16.05" customHeight="1" x14ac:dyDescent="0.3">
      <c r="A257" s="4" t="s">
        <v>808</v>
      </c>
      <c r="B257" s="5" t="s">
        <v>809</v>
      </c>
      <c r="C257" s="6" t="s">
        <v>810</v>
      </c>
      <c r="D257" s="7"/>
      <c r="E257" s="8" t="s">
        <v>52</v>
      </c>
      <c r="F257" s="9">
        <v>0</v>
      </c>
      <c r="G257" s="10" t="s">
        <v>811</v>
      </c>
      <c r="H257" s="11">
        <v>80</v>
      </c>
      <c r="I257" s="12" t="str">
        <f>IFERROR(H256+SUMPRODUCT((MOVIMIENTOS!$C$2:$C$5000=$A256)*(MOVIMIENTOS!$D$2:$D$5000=$G256)*(MOVIMIENTOS!$B$2:$B$5000="INGRESO")*MOVIMIENTOS!$E$2:$E$5000)-SUMPRODUCT((MOVIMIENTOS!$C$2:$C$5000=$A256)*(MOVIMIENTOS!$D$2:$D$5000=$G256)*(MOVIMIENTOS!$B$2:$B$5000="EGRESO")*MOVIMIENTOS!$E$2:$E$5000),"")</f>
        <v/>
      </c>
      <c r="J257" s="13" t="s">
        <v>24</v>
      </c>
      <c r="K257" s="13" t="s">
        <v>25</v>
      </c>
      <c r="L257" s="14">
        <v>46423</v>
      </c>
      <c r="M257" s="9">
        <f t="shared" ca="1" si="4"/>
        <v>444</v>
      </c>
      <c r="N257" s="15" t="s">
        <v>26</v>
      </c>
    </row>
    <row r="258" spans="1:14" ht="16.05" customHeight="1" x14ac:dyDescent="0.3">
      <c r="A258" s="16" t="s">
        <v>812</v>
      </c>
      <c r="B258" s="17" t="s">
        <v>813</v>
      </c>
      <c r="C258" s="18" t="s">
        <v>814</v>
      </c>
      <c r="D258" s="19"/>
      <c r="E258" s="20" t="s">
        <v>52</v>
      </c>
      <c r="F258" s="21">
        <v>0</v>
      </c>
      <c r="G258" s="22" t="s">
        <v>815</v>
      </c>
      <c r="H258" s="23">
        <v>1000</v>
      </c>
      <c r="I258" s="24" t="str">
        <f>IFERROR(H257+SUMPRODUCT((MOVIMIENTOS!$C$2:$C$5000=$A257)*(MOVIMIENTOS!$D$2:$D$5000=$G257)*(MOVIMIENTOS!$B$2:$B$5000="INGRESO")*MOVIMIENTOS!$E$2:$E$5000)-SUMPRODUCT((MOVIMIENTOS!$C$2:$C$5000=$A257)*(MOVIMIENTOS!$D$2:$D$5000=$G257)*(MOVIMIENTOS!$B$2:$B$5000="EGRESO")*MOVIMIENTOS!$E$2:$E$5000),"")</f>
        <v/>
      </c>
      <c r="J258" s="25" t="s">
        <v>163</v>
      </c>
      <c r="K258" s="25" t="s">
        <v>115</v>
      </c>
      <c r="L258" s="26">
        <v>46455</v>
      </c>
      <c r="M258" s="21">
        <f t="shared" ca="1" si="4"/>
        <v>297</v>
      </c>
      <c r="N258" s="27" t="s">
        <v>26</v>
      </c>
    </row>
    <row r="259" spans="1:14" ht="16.05" customHeight="1" x14ac:dyDescent="0.3">
      <c r="A259" s="4" t="s">
        <v>816</v>
      </c>
      <c r="B259" s="5" t="s">
        <v>817</v>
      </c>
      <c r="C259" s="6" t="s">
        <v>818</v>
      </c>
      <c r="D259" s="7"/>
      <c r="E259" s="8" t="s">
        <v>52</v>
      </c>
      <c r="F259" s="9">
        <v>0</v>
      </c>
      <c r="G259" s="10" t="s">
        <v>819</v>
      </c>
      <c r="H259" s="11">
        <v>1000</v>
      </c>
      <c r="I259" s="12" t="str">
        <f>IFERROR(H258+SUMPRODUCT((MOVIMIENTOS!$C$2:$C$5000=$A258)*(MOVIMIENTOS!$D$2:$D$5000=$G258)*(MOVIMIENTOS!$B$2:$B$5000="INGRESO")*MOVIMIENTOS!$E$2:$E$5000)-SUMPRODUCT((MOVIMIENTOS!$C$2:$C$5000=$A258)*(MOVIMIENTOS!$D$2:$D$5000=$G258)*(MOVIMIENTOS!$B$2:$B$5000="EGRESO")*MOVIMIENTOS!$E$2:$E$5000),"")</f>
        <v/>
      </c>
      <c r="J259" s="13" t="s">
        <v>31</v>
      </c>
      <c r="K259" s="13" t="s">
        <v>231</v>
      </c>
      <c r="L259" s="14">
        <v>46252</v>
      </c>
      <c r="M259" s="9">
        <f t="shared" ca="1" si="4"/>
        <v>329</v>
      </c>
      <c r="N259" s="15" t="s">
        <v>26</v>
      </c>
    </row>
    <row r="260" spans="1:14" ht="16.05" customHeight="1" x14ac:dyDescent="0.3">
      <c r="A260" s="16" t="s">
        <v>820</v>
      </c>
      <c r="B260" s="17" t="s">
        <v>821</v>
      </c>
      <c r="C260" s="18" t="s">
        <v>822</v>
      </c>
      <c r="D260" s="19"/>
      <c r="E260" s="20"/>
      <c r="F260" s="21">
        <v>0</v>
      </c>
      <c r="G260" s="22" t="s">
        <v>823</v>
      </c>
      <c r="H260" s="23">
        <v>4450</v>
      </c>
      <c r="I260" s="24" t="str">
        <f>IFERROR(H259+SUMPRODUCT((MOVIMIENTOS!$C$2:$C$5000=$A259)*(MOVIMIENTOS!$D$2:$D$5000=$G259)*(MOVIMIENTOS!$B$2:$B$5000="INGRESO")*MOVIMIENTOS!$E$2:$E$5000)-SUMPRODUCT((MOVIMIENTOS!$C$2:$C$5000=$A259)*(MOVIMIENTOS!$D$2:$D$5000=$G259)*(MOVIMIENTOS!$B$2:$B$5000="EGRESO")*MOVIMIENTOS!$E$2:$E$5000),"")</f>
        <v/>
      </c>
      <c r="J260" s="25" t="s">
        <v>189</v>
      </c>
      <c r="K260" s="25" t="s">
        <v>231</v>
      </c>
      <c r="L260" s="26">
        <v>46864</v>
      </c>
      <c r="M260" s="21">
        <f t="shared" ref="M260:M304" ca="1" si="5">IF(L259="","",L259-TODAY())</f>
        <v>126</v>
      </c>
      <c r="N260" s="27" t="s">
        <v>26</v>
      </c>
    </row>
    <row r="261" spans="1:14" ht="16.05" customHeight="1" x14ac:dyDescent="0.3">
      <c r="A261" s="4" t="s">
        <v>824</v>
      </c>
      <c r="B261" s="5" t="s">
        <v>825</v>
      </c>
      <c r="C261" s="6" t="s">
        <v>826</v>
      </c>
      <c r="D261" s="7"/>
      <c r="E261" s="8"/>
      <c r="F261" s="9">
        <v>0</v>
      </c>
      <c r="G261" s="10" t="s">
        <v>827</v>
      </c>
      <c r="H261" s="28"/>
      <c r="I261" s="12" t="str">
        <f>IFERROR(H260+SUMPRODUCT((MOVIMIENTOS!$C$2:$C$5000=$A260)*(MOVIMIENTOS!$D$2:$D$5000=$G260)*(MOVIMIENTOS!$B$2:$B$5000="INGRESO")*MOVIMIENTOS!$E$2:$E$5000)-SUMPRODUCT((MOVIMIENTOS!$C$2:$C$5000=$A260)*(MOVIMIENTOS!$D$2:$D$5000=$G260)*(MOVIMIENTOS!$B$2:$B$5000="EGRESO")*MOVIMIENTOS!$E$2:$E$5000),"")</f>
        <v/>
      </c>
      <c r="J261" s="13" t="s">
        <v>189</v>
      </c>
      <c r="K261" s="13" t="s">
        <v>231</v>
      </c>
      <c r="L261" s="13"/>
      <c r="M261" s="9">
        <f t="shared" ca="1" si="5"/>
        <v>738</v>
      </c>
      <c r="N261" s="31"/>
    </row>
    <row r="262" spans="1:14" ht="16.05" customHeight="1" x14ac:dyDescent="0.3">
      <c r="A262" s="16" t="s">
        <v>828</v>
      </c>
      <c r="B262" s="17" t="s">
        <v>829</v>
      </c>
      <c r="C262" s="18" t="s">
        <v>830</v>
      </c>
      <c r="D262" s="19"/>
      <c r="E262" s="20" t="s">
        <v>22</v>
      </c>
      <c r="F262" s="21">
        <v>0</v>
      </c>
      <c r="G262" s="22" t="s">
        <v>831</v>
      </c>
      <c r="H262" s="23">
        <v>100</v>
      </c>
      <c r="I262" s="24" t="str">
        <f>IFERROR(H261+SUMPRODUCT((MOVIMIENTOS!$C$2:$C$5000=$A261)*(MOVIMIENTOS!$D$2:$D$5000=$G261)*(MOVIMIENTOS!$B$2:$B$5000="INGRESO")*MOVIMIENTOS!$E$2:$E$5000)-SUMPRODUCT((MOVIMIENTOS!$C$2:$C$5000=$A261)*(MOVIMIENTOS!$D$2:$D$5000=$G261)*(MOVIMIENTOS!$B$2:$B$5000="EGRESO")*MOVIMIENTOS!$E$2:$E$5000),"")</f>
        <v/>
      </c>
      <c r="J262" s="25" t="s">
        <v>121</v>
      </c>
      <c r="K262" s="25" t="s">
        <v>231</v>
      </c>
      <c r="L262" s="26">
        <v>46630</v>
      </c>
      <c r="M262" s="21" t="str">
        <f t="shared" ca="1" si="5"/>
        <v/>
      </c>
      <c r="N262" s="27" t="s">
        <v>26</v>
      </c>
    </row>
    <row r="263" spans="1:14" ht="16.05" customHeight="1" x14ac:dyDescent="0.3">
      <c r="A263" s="4" t="s">
        <v>828</v>
      </c>
      <c r="B263" s="5" t="s">
        <v>829</v>
      </c>
      <c r="C263" s="6" t="s">
        <v>830</v>
      </c>
      <c r="D263" s="7"/>
      <c r="E263" s="8" t="s">
        <v>22</v>
      </c>
      <c r="F263" s="9">
        <v>0</v>
      </c>
      <c r="G263" s="10" t="s">
        <v>832</v>
      </c>
      <c r="H263" s="11">
        <v>100</v>
      </c>
      <c r="I263" s="12" t="str">
        <f>IFERROR(H262+SUMPRODUCT((MOVIMIENTOS!$C$2:$C$5000=$A262)*(MOVIMIENTOS!$D$2:$D$5000=$G262)*(MOVIMIENTOS!$B$2:$B$5000="INGRESO")*MOVIMIENTOS!$E$2:$E$5000)-SUMPRODUCT((MOVIMIENTOS!$C$2:$C$5000=$A262)*(MOVIMIENTOS!$D$2:$D$5000=$G262)*(MOVIMIENTOS!$B$2:$B$5000="EGRESO")*MOVIMIENTOS!$E$2:$E$5000),"")</f>
        <v/>
      </c>
      <c r="J263" s="13" t="s">
        <v>121</v>
      </c>
      <c r="K263" s="13" t="s">
        <v>231</v>
      </c>
      <c r="L263" s="14">
        <v>46297</v>
      </c>
      <c r="M263" s="9">
        <f t="shared" ca="1" si="5"/>
        <v>504</v>
      </c>
      <c r="N263" s="15" t="s">
        <v>26</v>
      </c>
    </row>
    <row r="264" spans="1:14" ht="16.05" customHeight="1" x14ac:dyDescent="0.3">
      <c r="A264" s="16" t="s">
        <v>828</v>
      </c>
      <c r="B264" s="17" t="s">
        <v>829</v>
      </c>
      <c r="C264" s="18" t="s">
        <v>830</v>
      </c>
      <c r="D264" s="19"/>
      <c r="E264" s="20" t="s">
        <v>22</v>
      </c>
      <c r="F264" s="21">
        <v>0</v>
      </c>
      <c r="G264" s="22" t="s">
        <v>833</v>
      </c>
      <c r="H264" s="23">
        <v>100</v>
      </c>
      <c r="I264" s="24" t="str">
        <f>IFERROR(H263+SUMPRODUCT((MOVIMIENTOS!$C$2:$C$5000=$A263)*(MOVIMIENTOS!$D$2:$D$5000=$G263)*(MOVIMIENTOS!$B$2:$B$5000="INGRESO")*MOVIMIENTOS!$E$2:$E$5000)-SUMPRODUCT((MOVIMIENTOS!$C$2:$C$5000=$A263)*(MOVIMIENTOS!$D$2:$D$5000=$G263)*(MOVIMIENTOS!$B$2:$B$5000="EGRESO")*MOVIMIENTOS!$E$2:$E$5000),"")</f>
        <v/>
      </c>
      <c r="J264" s="25" t="s">
        <v>121</v>
      </c>
      <c r="K264" s="25" t="s">
        <v>231</v>
      </c>
      <c r="L264" s="26">
        <v>46738</v>
      </c>
      <c r="M264" s="21">
        <f t="shared" ca="1" si="5"/>
        <v>171</v>
      </c>
      <c r="N264" s="27" t="s">
        <v>26</v>
      </c>
    </row>
    <row r="265" spans="1:14" ht="16.05" customHeight="1" x14ac:dyDescent="0.3">
      <c r="A265" s="32" t="s">
        <v>834</v>
      </c>
      <c r="B265" s="33" t="s">
        <v>328</v>
      </c>
      <c r="C265" s="34" t="s">
        <v>835</v>
      </c>
      <c r="D265" s="35"/>
      <c r="E265" s="36"/>
      <c r="F265" s="37">
        <v>0</v>
      </c>
      <c r="G265" s="38" t="s">
        <v>836</v>
      </c>
      <c r="H265" s="83">
        <v>1000</v>
      </c>
      <c r="I265" s="40" t="str">
        <f>IFERROR(H264+SUMPRODUCT((MOVIMIENTOS!$C$2:$C$5000=$A264)*(MOVIMIENTOS!$D$2:$D$5000=$G264)*(MOVIMIENTOS!$B$2:$B$5000="INGRESO")*MOVIMIENTOS!$E$2:$E$5000)-SUMPRODUCT((MOVIMIENTOS!$C$2:$C$5000=$A264)*(MOVIMIENTOS!$D$2:$D$5000=$G264)*(MOVIMIENTOS!$B$2:$B$5000="EGRESO")*MOVIMIENTOS!$E$2:$E$5000),"")</f>
        <v/>
      </c>
      <c r="J265" s="41" t="s">
        <v>189</v>
      </c>
      <c r="K265" s="41" t="s">
        <v>72</v>
      </c>
      <c r="L265" s="42">
        <v>46108</v>
      </c>
      <c r="M265" s="37">
        <f t="shared" ca="1" si="5"/>
        <v>612</v>
      </c>
      <c r="N265" s="43" t="s">
        <v>130</v>
      </c>
    </row>
    <row r="266" spans="1:14" ht="16.05" customHeight="1" x14ac:dyDescent="0.3">
      <c r="A266" s="16" t="s">
        <v>837</v>
      </c>
      <c r="B266" s="17" t="s">
        <v>838</v>
      </c>
      <c r="C266" s="18" t="s">
        <v>839</v>
      </c>
      <c r="D266" s="19"/>
      <c r="E266" s="20" t="s">
        <v>35</v>
      </c>
      <c r="F266" s="21">
        <v>0</v>
      </c>
      <c r="G266" s="22" t="s">
        <v>840</v>
      </c>
      <c r="H266" s="23">
        <v>5000</v>
      </c>
      <c r="I266" s="24" t="str">
        <f>IFERROR(H265+SUMPRODUCT((MOVIMIENTOS!$C$2:$C$5000=$A265)*(MOVIMIENTOS!$D$2:$D$5000=$G265)*(MOVIMIENTOS!$B$2:$B$5000="INGRESO")*MOVIMIENTOS!$E$2:$E$5000)-SUMPRODUCT((MOVIMIENTOS!$C$2:$C$5000=$A265)*(MOVIMIENTOS!$D$2:$D$5000=$G265)*(MOVIMIENTOS!$B$2:$B$5000="EGRESO")*MOVIMIENTOS!$E$2:$E$5000),"")</f>
        <v/>
      </c>
      <c r="J266" s="25" t="s">
        <v>67</v>
      </c>
      <c r="K266" s="25" t="s">
        <v>158</v>
      </c>
      <c r="L266" s="26">
        <v>47095</v>
      </c>
      <c r="M266" s="21">
        <f t="shared" ca="1" si="5"/>
        <v>-18</v>
      </c>
      <c r="N266" s="27" t="s">
        <v>26</v>
      </c>
    </row>
    <row r="267" spans="1:14" ht="16.05" customHeight="1" x14ac:dyDescent="0.3">
      <c r="A267" s="4" t="s">
        <v>837</v>
      </c>
      <c r="B267" s="5" t="s">
        <v>838</v>
      </c>
      <c r="C267" s="6" t="s">
        <v>841</v>
      </c>
      <c r="D267" s="7"/>
      <c r="E267" s="8"/>
      <c r="F267" s="9">
        <v>0</v>
      </c>
      <c r="G267" s="10" t="s">
        <v>842</v>
      </c>
      <c r="H267" s="28"/>
      <c r="I267" s="12" t="str">
        <f>IFERROR(H266+SUMPRODUCT((MOVIMIENTOS!$C$2:$C$5000=$A266)*(MOVIMIENTOS!$D$2:$D$5000=$G266)*(MOVIMIENTOS!$B$2:$B$5000="INGRESO")*MOVIMIENTOS!$E$2:$E$5000)-SUMPRODUCT((MOVIMIENTOS!$C$2:$C$5000=$A266)*(MOVIMIENTOS!$D$2:$D$5000=$G266)*(MOVIMIENTOS!$B$2:$B$5000="EGRESO")*MOVIMIENTOS!$E$2:$E$5000),"")</f>
        <v/>
      </c>
      <c r="J267" s="13" t="s">
        <v>189</v>
      </c>
      <c r="K267" s="13" t="s">
        <v>231</v>
      </c>
      <c r="L267" s="13"/>
      <c r="M267" s="9">
        <f t="shared" ca="1" si="5"/>
        <v>969</v>
      </c>
      <c r="N267" s="31"/>
    </row>
    <row r="268" spans="1:14" ht="16.05" customHeight="1" x14ac:dyDescent="0.3">
      <c r="A268" s="16" t="s">
        <v>843</v>
      </c>
      <c r="B268" s="17" t="s">
        <v>844</v>
      </c>
      <c r="C268" s="18" t="s">
        <v>845</v>
      </c>
      <c r="D268" s="19"/>
      <c r="E268" s="20" t="s">
        <v>35</v>
      </c>
      <c r="F268" s="21">
        <v>0</v>
      </c>
      <c r="G268" s="22" t="s">
        <v>846</v>
      </c>
      <c r="H268" s="23">
        <v>5000</v>
      </c>
      <c r="I268" s="24" t="str">
        <f>IFERROR(H267+SUMPRODUCT((MOVIMIENTOS!$C$2:$C$5000=$A267)*(MOVIMIENTOS!$D$2:$D$5000=$G267)*(MOVIMIENTOS!$B$2:$B$5000="INGRESO")*MOVIMIENTOS!$E$2:$E$5000)-SUMPRODUCT((MOVIMIENTOS!$C$2:$C$5000=$A267)*(MOVIMIENTOS!$D$2:$D$5000=$G267)*(MOVIMIENTOS!$B$2:$B$5000="EGRESO")*MOVIMIENTOS!$E$2:$E$5000),"")</f>
        <v/>
      </c>
      <c r="J268" s="25" t="s">
        <v>67</v>
      </c>
      <c r="K268" s="25" t="s">
        <v>158</v>
      </c>
      <c r="L268" s="26">
        <v>46390</v>
      </c>
      <c r="M268" s="21" t="str">
        <f t="shared" ca="1" si="5"/>
        <v/>
      </c>
      <c r="N268" s="27" t="s">
        <v>26</v>
      </c>
    </row>
    <row r="269" spans="1:14" ht="16.05" customHeight="1" x14ac:dyDescent="0.3">
      <c r="A269" s="4" t="s">
        <v>843</v>
      </c>
      <c r="B269" s="5" t="s">
        <v>844</v>
      </c>
      <c r="C269" s="6" t="s">
        <v>847</v>
      </c>
      <c r="D269" s="7"/>
      <c r="E269" s="8"/>
      <c r="F269" s="9">
        <v>0</v>
      </c>
      <c r="G269" s="10" t="s">
        <v>848</v>
      </c>
      <c r="H269" s="11">
        <v>50</v>
      </c>
      <c r="I269" s="12" t="str">
        <f>IFERROR(H268+SUMPRODUCT((MOVIMIENTOS!$C$2:$C$5000=$A268)*(MOVIMIENTOS!$D$2:$D$5000=$G268)*(MOVIMIENTOS!$B$2:$B$5000="INGRESO")*MOVIMIENTOS!$E$2:$E$5000)-SUMPRODUCT((MOVIMIENTOS!$C$2:$C$5000=$A268)*(MOVIMIENTOS!$D$2:$D$5000=$G268)*(MOVIMIENTOS!$B$2:$B$5000="EGRESO")*MOVIMIENTOS!$E$2:$E$5000),"")</f>
        <v/>
      </c>
      <c r="J269" s="13" t="s">
        <v>189</v>
      </c>
      <c r="K269" s="13" t="s">
        <v>72</v>
      </c>
      <c r="L269" s="14">
        <v>46390</v>
      </c>
      <c r="M269" s="9">
        <f t="shared" ca="1" si="5"/>
        <v>264</v>
      </c>
      <c r="N269" s="15" t="s">
        <v>26</v>
      </c>
    </row>
    <row r="270" spans="1:14" ht="16.05" customHeight="1" x14ac:dyDescent="0.3">
      <c r="A270" s="16" t="s">
        <v>849</v>
      </c>
      <c r="B270" s="17" t="s">
        <v>850</v>
      </c>
      <c r="C270" s="18" t="s">
        <v>851</v>
      </c>
      <c r="D270" s="19"/>
      <c r="E270" s="20" t="s">
        <v>22</v>
      </c>
      <c r="F270" s="21">
        <v>0</v>
      </c>
      <c r="G270" s="22" t="s">
        <v>732</v>
      </c>
      <c r="H270" s="23">
        <v>700</v>
      </c>
      <c r="I270" s="24" t="str">
        <f>IFERROR(H269+SUMPRODUCT((MOVIMIENTOS!$C$2:$C$5000=$A269)*(MOVIMIENTOS!$D$2:$D$5000=$G269)*(MOVIMIENTOS!$B$2:$B$5000="INGRESO")*MOVIMIENTOS!$E$2:$E$5000)-SUMPRODUCT((MOVIMIENTOS!$C$2:$C$5000=$A269)*(MOVIMIENTOS!$D$2:$D$5000=$G269)*(MOVIMIENTOS!$B$2:$B$5000="EGRESO")*MOVIMIENTOS!$E$2:$E$5000),"")</f>
        <v/>
      </c>
      <c r="J270" s="25" t="s">
        <v>31</v>
      </c>
      <c r="K270" s="25" t="s">
        <v>231</v>
      </c>
      <c r="L270" s="26">
        <v>46552</v>
      </c>
      <c r="M270" s="21">
        <f t="shared" ca="1" si="5"/>
        <v>264</v>
      </c>
      <c r="N270" s="27" t="s">
        <v>26</v>
      </c>
    </row>
    <row r="271" spans="1:14" ht="16.05" customHeight="1" x14ac:dyDescent="0.3">
      <c r="A271" s="4" t="s">
        <v>390</v>
      </c>
      <c r="B271" s="5" t="s">
        <v>852</v>
      </c>
      <c r="C271" s="6" t="s">
        <v>853</v>
      </c>
      <c r="D271" s="7"/>
      <c r="E271" s="8"/>
      <c r="F271" s="9">
        <v>0</v>
      </c>
      <c r="G271" s="10" t="s">
        <v>854</v>
      </c>
      <c r="H271" s="11">
        <v>1000</v>
      </c>
      <c r="I271" s="12" t="str">
        <f>IFERROR(H270+SUMPRODUCT((MOVIMIENTOS!$C$2:$C$5000=$A270)*(MOVIMIENTOS!$D$2:$D$5000=$G270)*(MOVIMIENTOS!$B$2:$B$5000="INGRESO")*MOVIMIENTOS!$E$2:$E$5000)-SUMPRODUCT((MOVIMIENTOS!$C$2:$C$5000=$A270)*(MOVIMIENTOS!$D$2:$D$5000=$G270)*(MOVIMIENTOS!$B$2:$B$5000="EGRESO")*MOVIMIENTOS!$E$2:$E$5000),"")</f>
        <v/>
      </c>
      <c r="J271" s="13" t="s">
        <v>37</v>
      </c>
      <c r="K271" s="13" t="s">
        <v>231</v>
      </c>
      <c r="L271" s="14">
        <v>46633</v>
      </c>
      <c r="M271" s="9">
        <f t="shared" ca="1" si="5"/>
        <v>426</v>
      </c>
      <c r="N271" s="15" t="s">
        <v>26</v>
      </c>
    </row>
    <row r="272" spans="1:14" ht="16.05" customHeight="1" x14ac:dyDescent="0.3">
      <c r="A272" s="16" t="s">
        <v>855</v>
      </c>
      <c r="B272" s="17" t="s">
        <v>856</v>
      </c>
      <c r="C272" s="18" t="s">
        <v>857</v>
      </c>
      <c r="D272" s="19"/>
      <c r="E272" s="20" t="s">
        <v>35</v>
      </c>
      <c r="F272" s="21">
        <v>0</v>
      </c>
      <c r="G272" s="22" t="s">
        <v>858</v>
      </c>
      <c r="H272" s="23">
        <v>5000</v>
      </c>
      <c r="I272" s="24" t="str">
        <f>IFERROR(H271+SUMPRODUCT((MOVIMIENTOS!$C$2:$C$5000=$A271)*(MOVIMIENTOS!$D$2:$D$5000=$G271)*(MOVIMIENTOS!$B$2:$B$5000="INGRESO")*MOVIMIENTOS!$E$2:$E$5000)-SUMPRODUCT((MOVIMIENTOS!$C$2:$C$5000=$A271)*(MOVIMIENTOS!$D$2:$D$5000=$G271)*(MOVIMIENTOS!$B$2:$B$5000="EGRESO")*MOVIMIENTOS!$E$2:$E$5000),"")</f>
        <v/>
      </c>
      <c r="J272" s="25" t="s">
        <v>67</v>
      </c>
      <c r="K272" s="25" t="s">
        <v>158</v>
      </c>
      <c r="L272" s="26">
        <v>46748</v>
      </c>
      <c r="M272" s="21">
        <f t="shared" ca="1" si="5"/>
        <v>507</v>
      </c>
      <c r="N272" s="27" t="s">
        <v>26</v>
      </c>
    </row>
    <row r="273" spans="1:14" ht="16.05" customHeight="1" x14ac:dyDescent="0.3">
      <c r="A273" s="4" t="s">
        <v>855</v>
      </c>
      <c r="B273" s="5" t="s">
        <v>856</v>
      </c>
      <c r="C273" s="6" t="s">
        <v>857</v>
      </c>
      <c r="D273" s="7"/>
      <c r="E273" s="8" t="s">
        <v>35</v>
      </c>
      <c r="F273" s="9">
        <v>0</v>
      </c>
      <c r="G273" s="10" t="s">
        <v>859</v>
      </c>
      <c r="H273" s="11">
        <v>830</v>
      </c>
      <c r="I273" s="12" t="str">
        <f>IFERROR(H272+SUMPRODUCT((MOVIMIENTOS!$C$2:$C$5000=$A272)*(MOVIMIENTOS!$D$2:$D$5000=$G272)*(MOVIMIENTOS!$B$2:$B$5000="INGRESO")*MOVIMIENTOS!$E$2:$E$5000)-SUMPRODUCT((MOVIMIENTOS!$C$2:$C$5000=$A272)*(MOVIMIENTOS!$D$2:$D$5000=$G272)*(MOVIMIENTOS!$B$2:$B$5000="EGRESO")*MOVIMIENTOS!$E$2:$E$5000),"")</f>
        <v/>
      </c>
      <c r="J273" s="13" t="s">
        <v>67</v>
      </c>
      <c r="K273" s="13" t="s">
        <v>158</v>
      </c>
      <c r="L273" s="14">
        <v>46556</v>
      </c>
      <c r="M273" s="9">
        <f t="shared" ca="1" si="5"/>
        <v>622</v>
      </c>
      <c r="N273" s="15" t="s">
        <v>26</v>
      </c>
    </row>
    <row r="274" spans="1:14" ht="16.05" customHeight="1" x14ac:dyDescent="0.3">
      <c r="A274" s="16" t="s">
        <v>860</v>
      </c>
      <c r="B274" s="17" t="s">
        <v>861</v>
      </c>
      <c r="C274" s="18" t="s">
        <v>862</v>
      </c>
      <c r="D274" s="19"/>
      <c r="E274" s="20" t="s">
        <v>35</v>
      </c>
      <c r="F274" s="21">
        <v>0</v>
      </c>
      <c r="G274" s="22" t="s">
        <v>863</v>
      </c>
      <c r="H274" s="23">
        <v>5000</v>
      </c>
      <c r="I274" s="24" t="str">
        <f>IFERROR(H273+SUMPRODUCT((MOVIMIENTOS!$C$2:$C$5000=$A273)*(MOVIMIENTOS!$D$2:$D$5000=$G273)*(MOVIMIENTOS!$B$2:$B$5000="INGRESO")*MOVIMIENTOS!$E$2:$E$5000)-SUMPRODUCT((MOVIMIENTOS!$C$2:$C$5000=$A273)*(MOVIMIENTOS!$D$2:$D$5000=$G273)*(MOVIMIENTOS!$B$2:$B$5000="EGRESO")*MOVIMIENTOS!$E$2:$E$5000),"")</f>
        <v/>
      </c>
      <c r="J274" s="25" t="s">
        <v>67</v>
      </c>
      <c r="K274" s="25" t="s">
        <v>158</v>
      </c>
      <c r="L274" s="26">
        <v>46640</v>
      </c>
      <c r="M274" s="21">
        <f t="shared" ca="1" si="5"/>
        <v>430</v>
      </c>
      <c r="N274" s="27" t="s">
        <v>26</v>
      </c>
    </row>
    <row r="275" spans="1:14" ht="16.05" customHeight="1" x14ac:dyDescent="0.3">
      <c r="A275" s="4" t="s">
        <v>860</v>
      </c>
      <c r="B275" s="5" t="s">
        <v>861</v>
      </c>
      <c r="C275" s="6" t="s">
        <v>864</v>
      </c>
      <c r="D275" s="7"/>
      <c r="E275" s="8"/>
      <c r="F275" s="9">
        <v>0</v>
      </c>
      <c r="G275" s="10" t="s">
        <v>865</v>
      </c>
      <c r="H275" s="11">
        <v>1900</v>
      </c>
      <c r="I275" s="12" t="str">
        <f>IFERROR(H274+SUMPRODUCT((MOVIMIENTOS!$C$2:$C$5000=$A274)*(MOVIMIENTOS!$D$2:$D$5000=$G274)*(MOVIMIENTOS!$B$2:$B$5000="INGRESO")*MOVIMIENTOS!$E$2:$E$5000)-SUMPRODUCT((MOVIMIENTOS!$C$2:$C$5000=$A274)*(MOVIMIENTOS!$D$2:$D$5000=$G274)*(MOVIMIENTOS!$B$2:$B$5000="EGRESO")*MOVIMIENTOS!$E$2:$E$5000),"")</f>
        <v/>
      </c>
      <c r="J275" s="13" t="s">
        <v>189</v>
      </c>
      <c r="K275" s="13" t="s">
        <v>115</v>
      </c>
      <c r="L275" s="14">
        <v>46535</v>
      </c>
      <c r="M275" s="9">
        <f t="shared" ca="1" si="5"/>
        <v>514</v>
      </c>
      <c r="N275" s="15" t="s">
        <v>26</v>
      </c>
    </row>
    <row r="276" spans="1:14" ht="16.05" customHeight="1" x14ac:dyDescent="0.3">
      <c r="A276" s="98" t="s">
        <v>497</v>
      </c>
      <c r="B276" s="99" t="s">
        <v>866</v>
      </c>
      <c r="C276" s="100" t="s">
        <v>867</v>
      </c>
      <c r="D276" s="19"/>
      <c r="E276" s="20"/>
      <c r="F276" s="102">
        <v>0</v>
      </c>
      <c r="G276" s="103" t="s">
        <v>868</v>
      </c>
      <c r="H276" s="29"/>
      <c r="I276" s="104" t="str">
        <f>IFERROR(H275+SUMPRODUCT((MOVIMIENTOS!$C$2:$C$5000=$A275)*(MOVIMIENTOS!$D$2:$D$5000=$G275)*(MOVIMIENTOS!$B$2:$B$5000="INGRESO")*MOVIMIENTOS!$E$2:$E$5000)-SUMPRODUCT((MOVIMIENTOS!$C$2:$C$5000=$A275)*(MOVIMIENTOS!$D$2:$D$5000=$G275)*(MOVIMIENTOS!$B$2:$B$5000="EGRESO")*MOVIMIENTOS!$E$2:$E$5000),"")</f>
        <v/>
      </c>
      <c r="J276" s="105" t="s">
        <v>189</v>
      </c>
      <c r="K276" s="105" t="s">
        <v>115</v>
      </c>
      <c r="L276" s="25"/>
      <c r="M276" s="102">
        <f t="shared" ca="1" si="5"/>
        <v>409</v>
      </c>
      <c r="N276" s="30"/>
    </row>
    <row r="277" spans="1:14" ht="16.05" customHeight="1" x14ac:dyDescent="0.3">
      <c r="A277" s="98" t="s">
        <v>497</v>
      </c>
      <c r="B277" s="99" t="s">
        <v>866</v>
      </c>
      <c r="C277" s="100" t="s">
        <v>867</v>
      </c>
      <c r="D277" s="7"/>
      <c r="E277" s="8"/>
      <c r="F277" s="102">
        <v>0</v>
      </c>
      <c r="G277" s="103" t="s">
        <v>868</v>
      </c>
      <c r="H277" s="28"/>
      <c r="I277" s="104" t="str">
        <f>IFERROR(H276+SUMPRODUCT((MOVIMIENTOS!$C$2:$C$5000=$A276)*(MOVIMIENTOS!$D$2:$D$5000=$G276)*(MOVIMIENTOS!$B$2:$B$5000="INGRESO")*MOVIMIENTOS!$E$2:$E$5000)-SUMPRODUCT((MOVIMIENTOS!$C$2:$C$5000=$A276)*(MOVIMIENTOS!$D$2:$D$5000=$G276)*(MOVIMIENTOS!$B$2:$B$5000="EGRESO")*MOVIMIENTOS!$E$2:$E$5000),"")</f>
        <v/>
      </c>
      <c r="J277" s="105" t="s">
        <v>189</v>
      </c>
      <c r="K277" s="105" t="s">
        <v>158</v>
      </c>
      <c r="L277" s="13"/>
      <c r="M277" s="102" t="str">
        <f t="shared" ca="1" si="5"/>
        <v/>
      </c>
      <c r="N277" s="31"/>
    </row>
    <row r="278" spans="1:14" ht="16.05" customHeight="1" x14ac:dyDescent="0.3">
      <c r="A278" s="32" t="s">
        <v>869</v>
      </c>
      <c r="B278" s="33" t="s">
        <v>625</v>
      </c>
      <c r="C278" s="34" t="s">
        <v>870</v>
      </c>
      <c r="D278" s="35"/>
      <c r="E278" s="36"/>
      <c r="F278" s="37">
        <v>0</v>
      </c>
      <c r="G278" s="38" t="s">
        <v>871</v>
      </c>
      <c r="H278" s="39"/>
      <c r="I278" s="40" t="str">
        <f>IFERROR(H277+SUMPRODUCT((MOVIMIENTOS!$C$2:$C$5000=$A277)*(MOVIMIENTOS!$D$2:$D$5000=$G277)*(MOVIMIENTOS!$B$2:$B$5000="INGRESO")*MOVIMIENTOS!$E$2:$E$5000)-SUMPRODUCT((MOVIMIENTOS!$C$2:$C$5000=$A277)*(MOVIMIENTOS!$D$2:$D$5000=$G277)*(MOVIMIENTOS!$B$2:$B$5000="EGRESO")*MOVIMIENTOS!$E$2:$E$5000),"")</f>
        <v/>
      </c>
      <c r="J278" s="41" t="s">
        <v>37</v>
      </c>
      <c r="K278" s="41" t="s">
        <v>231</v>
      </c>
      <c r="L278" s="42">
        <v>46101</v>
      </c>
      <c r="M278" s="37" t="str">
        <f t="shared" ca="1" si="5"/>
        <v/>
      </c>
      <c r="N278" s="43" t="s">
        <v>130</v>
      </c>
    </row>
    <row r="279" spans="1:14" ht="16.05" customHeight="1" x14ac:dyDescent="0.3">
      <c r="A279" s="4" t="s">
        <v>872</v>
      </c>
      <c r="B279" s="5" t="s">
        <v>873</v>
      </c>
      <c r="C279" s="6" t="s">
        <v>874</v>
      </c>
      <c r="D279" s="7"/>
      <c r="E279" s="8" t="s">
        <v>22</v>
      </c>
      <c r="F279" s="9">
        <v>0</v>
      </c>
      <c r="G279" s="10" t="s">
        <v>875</v>
      </c>
      <c r="H279" s="28"/>
      <c r="I279" s="12" t="str">
        <f>IFERROR(H278+SUMPRODUCT((MOVIMIENTOS!$C$2:$C$5000=$A278)*(MOVIMIENTOS!$D$2:$D$5000=$G278)*(MOVIMIENTOS!$B$2:$B$5000="INGRESO")*MOVIMIENTOS!$E$2:$E$5000)-SUMPRODUCT((MOVIMIENTOS!$C$2:$C$5000=$A278)*(MOVIMIENTOS!$D$2:$D$5000=$G278)*(MOVIMIENTOS!$B$2:$B$5000="EGRESO")*MOVIMIENTOS!$E$2:$E$5000),"")</f>
        <v/>
      </c>
      <c r="J279" s="13" t="s">
        <v>48</v>
      </c>
      <c r="K279" s="13"/>
      <c r="L279" s="14">
        <v>46743</v>
      </c>
      <c r="M279" s="9">
        <f t="shared" ca="1" si="5"/>
        <v>-25</v>
      </c>
      <c r="N279" s="15" t="s">
        <v>26</v>
      </c>
    </row>
    <row r="280" spans="1:14" ht="16.05" customHeight="1" x14ac:dyDescent="0.3">
      <c r="A280" s="16" t="s">
        <v>876</v>
      </c>
      <c r="B280" s="17" t="s">
        <v>877</v>
      </c>
      <c r="C280" s="18" t="s">
        <v>878</v>
      </c>
      <c r="D280" s="19"/>
      <c r="E280" s="20" t="s">
        <v>22</v>
      </c>
      <c r="F280" s="21">
        <v>0</v>
      </c>
      <c r="G280" s="22" t="s">
        <v>879</v>
      </c>
      <c r="H280" s="29"/>
      <c r="I280" s="24" t="str">
        <f>IFERROR(H279+SUMPRODUCT((MOVIMIENTOS!$C$2:$C$5000=$A279)*(MOVIMIENTOS!$D$2:$D$5000=$G279)*(MOVIMIENTOS!$B$2:$B$5000="INGRESO")*MOVIMIENTOS!$E$2:$E$5000)-SUMPRODUCT((MOVIMIENTOS!$C$2:$C$5000=$A279)*(MOVIMIENTOS!$D$2:$D$5000=$G279)*(MOVIMIENTOS!$B$2:$B$5000="EGRESO")*MOVIMIENTOS!$E$2:$E$5000),"")</f>
        <v/>
      </c>
      <c r="J280" s="25" t="s">
        <v>48</v>
      </c>
      <c r="K280" s="25"/>
      <c r="L280" s="26">
        <v>46587</v>
      </c>
      <c r="M280" s="21">
        <f t="shared" ca="1" si="5"/>
        <v>617</v>
      </c>
      <c r="N280" s="27" t="s">
        <v>26</v>
      </c>
    </row>
    <row r="281" spans="1:14" ht="16.05" customHeight="1" x14ac:dyDescent="0.3">
      <c r="A281" s="4" t="s">
        <v>880</v>
      </c>
      <c r="B281" s="5" t="s">
        <v>881</v>
      </c>
      <c r="C281" s="6" t="s">
        <v>882</v>
      </c>
      <c r="D281" s="7"/>
      <c r="E281" s="8" t="s">
        <v>22</v>
      </c>
      <c r="F281" s="9">
        <v>0</v>
      </c>
      <c r="G281" s="10" t="s">
        <v>589</v>
      </c>
      <c r="H281" s="11">
        <v>2</v>
      </c>
      <c r="I281" s="12" t="str">
        <f>IFERROR(H280+SUMPRODUCT((MOVIMIENTOS!$C$2:$C$5000=$A280)*(MOVIMIENTOS!$D$2:$D$5000=$G280)*(MOVIMIENTOS!$B$2:$B$5000="INGRESO")*MOVIMIENTOS!$E$2:$E$5000)-SUMPRODUCT((MOVIMIENTOS!$C$2:$C$5000=$A280)*(MOVIMIENTOS!$D$2:$D$5000=$G280)*(MOVIMIENTOS!$B$2:$B$5000="EGRESO")*MOVIMIENTOS!$E$2:$E$5000),"")</f>
        <v/>
      </c>
      <c r="J281" s="13" t="s">
        <v>48</v>
      </c>
      <c r="K281" s="13"/>
      <c r="L281" s="14">
        <v>46689</v>
      </c>
      <c r="M281" s="9">
        <f t="shared" ca="1" si="5"/>
        <v>461</v>
      </c>
      <c r="N281" s="15" t="s">
        <v>26</v>
      </c>
    </row>
    <row r="282" spans="1:14" ht="16.05" customHeight="1" x14ac:dyDescent="0.3">
      <c r="A282" s="16" t="s">
        <v>883</v>
      </c>
      <c r="B282" s="17" t="s">
        <v>884</v>
      </c>
      <c r="C282" s="18" t="s">
        <v>885</v>
      </c>
      <c r="D282" s="19"/>
      <c r="E282" s="20" t="s">
        <v>22</v>
      </c>
      <c r="F282" s="21">
        <v>0</v>
      </c>
      <c r="G282" s="22" t="s">
        <v>732</v>
      </c>
      <c r="H282" s="23">
        <v>987</v>
      </c>
      <c r="I282" s="24" t="str">
        <f>IFERROR(H281+SUMPRODUCT((MOVIMIENTOS!$C$2:$C$5000=$A281)*(MOVIMIENTOS!$D$2:$D$5000=$G281)*(MOVIMIENTOS!$B$2:$B$5000="INGRESO")*MOVIMIENTOS!$E$2:$E$5000)-SUMPRODUCT((MOVIMIENTOS!$C$2:$C$5000=$A281)*(MOVIMIENTOS!$D$2:$D$5000=$G281)*(MOVIMIENTOS!$B$2:$B$5000="EGRESO")*MOVIMIENTOS!$E$2:$E$5000),"")</f>
        <v/>
      </c>
      <c r="J282" s="25" t="s">
        <v>121</v>
      </c>
      <c r="K282" s="25" t="s">
        <v>231</v>
      </c>
      <c r="L282" s="26">
        <v>46552</v>
      </c>
      <c r="M282" s="21">
        <f t="shared" ca="1" si="5"/>
        <v>563</v>
      </c>
      <c r="N282" s="27" t="s">
        <v>26</v>
      </c>
    </row>
    <row r="283" spans="1:14" ht="16.05" customHeight="1" x14ac:dyDescent="0.3">
      <c r="A283" s="4" t="s">
        <v>886</v>
      </c>
      <c r="B283" s="5" t="s">
        <v>887</v>
      </c>
      <c r="C283" s="6" t="s">
        <v>888</v>
      </c>
      <c r="D283" s="7"/>
      <c r="E283" s="8" t="s">
        <v>52</v>
      </c>
      <c r="F283" s="9">
        <v>0</v>
      </c>
      <c r="G283" s="10" t="s">
        <v>889</v>
      </c>
      <c r="H283" s="11">
        <v>2100</v>
      </c>
      <c r="I283" s="12" t="str">
        <f>IFERROR(H282+SUMPRODUCT((MOVIMIENTOS!$C$2:$C$5000=$A282)*(MOVIMIENTOS!$D$2:$D$5000=$G282)*(MOVIMIENTOS!$B$2:$B$5000="INGRESO")*MOVIMIENTOS!$E$2:$E$5000)-SUMPRODUCT((MOVIMIENTOS!$C$2:$C$5000=$A282)*(MOVIMIENTOS!$D$2:$D$5000=$G282)*(MOVIMIENTOS!$B$2:$B$5000="EGRESO")*MOVIMIENTOS!$E$2:$E$5000),"")</f>
        <v/>
      </c>
      <c r="J283" s="13" t="s">
        <v>402</v>
      </c>
      <c r="K283" s="13" t="s">
        <v>72</v>
      </c>
      <c r="L283" s="14">
        <v>46728</v>
      </c>
      <c r="M283" s="9">
        <f t="shared" ca="1" si="5"/>
        <v>426</v>
      </c>
      <c r="N283" s="15" t="s">
        <v>26</v>
      </c>
    </row>
    <row r="284" spans="1:14" ht="16.05" customHeight="1" x14ac:dyDescent="0.3">
      <c r="A284" s="16" t="s">
        <v>890</v>
      </c>
      <c r="B284" s="17" t="s">
        <v>891</v>
      </c>
      <c r="C284" s="18" t="s">
        <v>892</v>
      </c>
      <c r="D284" s="19"/>
      <c r="E284" s="20" t="s">
        <v>22</v>
      </c>
      <c r="F284" s="21">
        <v>0</v>
      </c>
      <c r="G284" s="22" t="s">
        <v>893</v>
      </c>
      <c r="H284" s="23">
        <v>1000</v>
      </c>
      <c r="I284" s="24" t="str">
        <f>IFERROR(H283+SUMPRODUCT((MOVIMIENTOS!$C$2:$C$5000=$A283)*(MOVIMIENTOS!$D$2:$D$5000=$G283)*(MOVIMIENTOS!$B$2:$B$5000="INGRESO")*MOVIMIENTOS!$E$2:$E$5000)-SUMPRODUCT((MOVIMIENTOS!$C$2:$C$5000=$A283)*(MOVIMIENTOS!$D$2:$D$5000=$G283)*(MOVIMIENTOS!$B$2:$B$5000="EGRESO")*MOVIMIENTOS!$E$2:$E$5000),"")</f>
        <v/>
      </c>
      <c r="J284" s="25" t="s">
        <v>189</v>
      </c>
      <c r="K284" s="25" t="s">
        <v>158</v>
      </c>
      <c r="L284" s="26">
        <v>46700</v>
      </c>
      <c r="M284" s="21">
        <f t="shared" ca="1" si="5"/>
        <v>602</v>
      </c>
      <c r="N284" s="27" t="s">
        <v>26</v>
      </c>
    </row>
    <row r="285" spans="1:14" ht="16.05" customHeight="1" x14ac:dyDescent="0.3">
      <c r="A285" s="4" t="s">
        <v>890</v>
      </c>
      <c r="B285" s="5" t="s">
        <v>891</v>
      </c>
      <c r="C285" s="6" t="s">
        <v>892</v>
      </c>
      <c r="D285" s="7"/>
      <c r="E285" s="8" t="s">
        <v>22</v>
      </c>
      <c r="F285" s="9">
        <v>0</v>
      </c>
      <c r="G285" s="10" t="s">
        <v>894</v>
      </c>
      <c r="H285" s="11">
        <v>2400</v>
      </c>
      <c r="I285" s="12" t="str">
        <f>IFERROR(H284+SUMPRODUCT((MOVIMIENTOS!$C$2:$C$5000=$A284)*(MOVIMIENTOS!$D$2:$D$5000=$G284)*(MOVIMIENTOS!$B$2:$B$5000="INGRESO")*MOVIMIENTOS!$E$2:$E$5000)-SUMPRODUCT((MOVIMIENTOS!$C$2:$C$5000=$A284)*(MOVIMIENTOS!$D$2:$D$5000=$G284)*(MOVIMIENTOS!$B$2:$B$5000="EGRESO")*MOVIMIENTOS!$E$2:$E$5000),"")</f>
        <v/>
      </c>
      <c r="J285" s="13" t="s">
        <v>24</v>
      </c>
      <c r="K285" s="13" t="s">
        <v>158</v>
      </c>
      <c r="L285" s="14">
        <v>46681</v>
      </c>
      <c r="M285" s="9">
        <f t="shared" ca="1" si="5"/>
        <v>574</v>
      </c>
      <c r="N285" s="15" t="s">
        <v>26</v>
      </c>
    </row>
    <row r="286" spans="1:14" ht="16.05" customHeight="1" x14ac:dyDescent="0.3">
      <c r="A286" s="16" t="s">
        <v>890</v>
      </c>
      <c r="B286" s="17" t="s">
        <v>891</v>
      </c>
      <c r="C286" s="18" t="s">
        <v>892</v>
      </c>
      <c r="D286" s="19"/>
      <c r="E286" s="20" t="s">
        <v>22</v>
      </c>
      <c r="F286" s="21">
        <v>0</v>
      </c>
      <c r="G286" s="22" t="s">
        <v>895</v>
      </c>
      <c r="H286" s="23">
        <v>9400</v>
      </c>
      <c r="I286" s="24" t="str">
        <f>IFERROR(H285+SUMPRODUCT((MOVIMIENTOS!$C$2:$C$5000=$A285)*(MOVIMIENTOS!$D$2:$D$5000=$G285)*(MOVIMIENTOS!$B$2:$B$5000="INGRESO")*MOVIMIENTOS!$E$2:$E$5000)-SUMPRODUCT((MOVIMIENTOS!$C$2:$C$5000=$A285)*(MOVIMIENTOS!$D$2:$D$5000=$G285)*(MOVIMIENTOS!$B$2:$B$5000="EGRESO")*MOVIMIENTOS!$E$2:$E$5000),"")</f>
        <v/>
      </c>
      <c r="J286" s="25" t="s">
        <v>24</v>
      </c>
      <c r="K286" s="25" t="s">
        <v>158</v>
      </c>
      <c r="L286" s="26">
        <v>46755</v>
      </c>
      <c r="M286" s="21">
        <f t="shared" ca="1" si="5"/>
        <v>555</v>
      </c>
      <c r="N286" s="27" t="s">
        <v>26</v>
      </c>
    </row>
    <row r="287" spans="1:14" ht="16.05" customHeight="1" x14ac:dyDescent="0.3">
      <c r="A287" s="4" t="s">
        <v>896</v>
      </c>
      <c r="B287" s="5" t="s">
        <v>897</v>
      </c>
      <c r="C287" s="6" t="s">
        <v>898</v>
      </c>
      <c r="D287" s="7"/>
      <c r="E287" s="8" t="s">
        <v>22</v>
      </c>
      <c r="F287" s="9">
        <v>0</v>
      </c>
      <c r="G287" s="10" t="s">
        <v>899</v>
      </c>
      <c r="H287" s="28"/>
      <c r="I287" s="12" t="str">
        <f>IFERROR(H286+SUMPRODUCT((MOVIMIENTOS!$C$2:$C$5000=$A286)*(MOVIMIENTOS!$D$2:$D$5000=$G286)*(MOVIMIENTOS!$B$2:$B$5000="INGRESO")*MOVIMIENTOS!$E$2:$E$5000)-SUMPRODUCT((MOVIMIENTOS!$C$2:$C$5000=$A286)*(MOVIMIENTOS!$D$2:$D$5000=$G286)*(MOVIMIENTOS!$B$2:$B$5000="EGRESO")*MOVIMIENTOS!$E$2:$E$5000),"")</f>
        <v/>
      </c>
      <c r="J287" s="13" t="s">
        <v>163</v>
      </c>
      <c r="K287" s="13" t="s">
        <v>115</v>
      </c>
      <c r="L287" s="14">
        <v>46530</v>
      </c>
      <c r="M287" s="9">
        <f t="shared" ca="1" si="5"/>
        <v>629</v>
      </c>
      <c r="N287" s="15" t="s">
        <v>26</v>
      </c>
    </row>
    <row r="288" spans="1:14" ht="16.05" customHeight="1" x14ac:dyDescent="0.3">
      <c r="A288" s="32" t="s">
        <v>900</v>
      </c>
      <c r="B288" s="33" t="s">
        <v>901</v>
      </c>
      <c r="C288" s="34" t="s">
        <v>902</v>
      </c>
      <c r="D288" s="35"/>
      <c r="E288" s="36"/>
      <c r="F288" s="37">
        <v>0</v>
      </c>
      <c r="G288" s="38" t="s">
        <v>903</v>
      </c>
      <c r="H288" s="39"/>
      <c r="I288" s="40" t="str">
        <f>IFERROR(H287+SUMPRODUCT((MOVIMIENTOS!$C$2:$C$5000=$A287)*(MOVIMIENTOS!$D$2:$D$5000=$G287)*(MOVIMIENTOS!$B$2:$B$5000="INGRESO")*MOVIMIENTOS!$E$2:$E$5000)-SUMPRODUCT((MOVIMIENTOS!$C$2:$C$5000=$A287)*(MOVIMIENTOS!$D$2:$D$5000=$G287)*(MOVIMIENTOS!$B$2:$B$5000="EGRESO")*MOVIMIENTOS!$E$2:$E$5000),"")</f>
        <v/>
      </c>
      <c r="J288" s="41" t="s">
        <v>163</v>
      </c>
      <c r="K288" s="41" t="s">
        <v>115</v>
      </c>
      <c r="L288" s="42">
        <v>46073</v>
      </c>
      <c r="M288" s="37">
        <f t="shared" ca="1" si="5"/>
        <v>404</v>
      </c>
      <c r="N288" s="43" t="s">
        <v>130</v>
      </c>
    </row>
    <row r="289" spans="1:14" ht="16.05" customHeight="1" x14ac:dyDescent="0.3">
      <c r="A289" s="4" t="s">
        <v>904</v>
      </c>
      <c r="B289" s="5" t="s">
        <v>905</v>
      </c>
      <c r="C289" s="6" t="s">
        <v>906</v>
      </c>
      <c r="D289" s="7"/>
      <c r="E289" s="8" t="s">
        <v>22</v>
      </c>
      <c r="F289" s="9">
        <v>0</v>
      </c>
      <c r="G289" s="10" t="s">
        <v>907</v>
      </c>
      <c r="H289" s="28"/>
      <c r="I289" s="12" t="str">
        <f>IFERROR(H288+SUMPRODUCT((MOVIMIENTOS!$C$2:$C$5000=$A288)*(MOVIMIENTOS!$D$2:$D$5000=$G288)*(MOVIMIENTOS!$B$2:$B$5000="INGRESO")*MOVIMIENTOS!$E$2:$E$5000)-SUMPRODUCT((MOVIMIENTOS!$C$2:$C$5000=$A288)*(MOVIMIENTOS!$D$2:$D$5000=$G288)*(MOVIMIENTOS!$B$2:$B$5000="EGRESO")*MOVIMIENTOS!$E$2:$E$5000),"")</f>
        <v/>
      </c>
      <c r="J289" s="13" t="s">
        <v>163</v>
      </c>
      <c r="K289" s="13" t="s">
        <v>115</v>
      </c>
      <c r="L289" s="14">
        <v>46484</v>
      </c>
      <c r="M289" s="9">
        <f t="shared" ca="1" si="5"/>
        <v>-53</v>
      </c>
      <c r="N289" s="15" t="s">
        <v>26</v>
      </c>
    </row>
    <row r="290" spans="1:14" ht="16.05" customHeight="1" x14ac:dyDescent="0.3">
      <c r="A290" s="16" t="s">
        <v>908</v>
      </c>
      <c r="B290" s="17" t="s">
        <v>909</v>
      </c>
      <c r="C290" s="18" t="s">
        <v>910</v>
      </c>
      <c r="D290" s="19"/>
      <c r="E290" s="20" t="s">
        <v>22</v>
      </c>
      <c r="F290" s="21">
        <v>0</v>
      </c>
      <c r="G290" s="22" t="s">
        <v>911</v>
      </c>
      <c r="H290" s="23">
        <v>2</v>
      </c>
      <c r="I290" s="24" t="str">
        <f>IFERROR(H289+SUMPRODUCT((MOVIMIENTOS!$C$2:$C$5000=$A289)*(MOVIMIENTOS!$D$2:$D$5000=$G289)*(MOVIMIENTOS!$B$2:$B$5000="INGRESO")*MOVIMIENTOS!$E$2:$E$5000)-SUMPRODUCT((MOVIMIENTOS!$C$2:$C$5000=$A289)*(MOVIMIENTOS!$D$2:$D$5000=$G289)*(MOVIMIENTOS!$B$2:$B$5000="EGRESO")*MOVIMIENTOS!$E$2:$E$5000),"")</f>
        <v/>
      </c>
      <c r="J290" s="25" t="s">
        <v>48</v>
      </c>
      <c r="K290" s="25"/>
      <c r="L290" s="26">
        <v>46652</v>
      </c>
      <c r="M290" s="21">
        <f t="shared" ca="1" si="5"/>
        <v>358</v>
      </c>
      <c r="N290" s="27" t="s">
        <v>26</v>
      </c>
    </row>
    <row r="291" spans="1:14" ht="16.05" customHeight="1" x14ac:dyDescent="0.3">
      <c r="A291" s="4" t="s">
        <v>912</v>
      </c>
      <c r="B291" s="5" t="s">
        <v>913</v>
      </c>
      <c r="C291" s="6" t="s">
        <v>914</v>
      </c>
      <c r="D291" s="7"/>
      <c r="E291" s="8" t="s">
        <v>52</v>
      </c>
      <c r="F291" s="9">
        <v>0</v>
      </c>
      <c r="G291" s="10" t="s">
        <v>915</v>
      </c>
      <c r="H291" s="11">
        <v>727</v>
      </c>
      <c r="I291" s="12" t="str">
        <f>IFERROR(H290+SUMPRODUCT((MOVIMIENTOS!$C$2:$C$5000=$A290)*(MOVIMIENTOS!$D$2:$D$5000=$G290)*(MOVIMIENTOS!$B$2:$B$5000="INGRESO")*MOVIMIENTOS!$E$2:$E$5000)-SUMPRODUCT((MOVIMIENTOS!$C$2:$C$5000=$A290)*(MOVIMIENTOS!$D$2:$D$5000=$G290)*(MOVIMIENTOS!$B$2:$B$5000="EGRESO")*MOVIMIENTOS!$E$2:$E$5000),"")</f>
        <v/>
      </c>
      <c r="J291" s="13" t="s">
        <v>31</v>
      </c>
      <c r="K291" s="13" t="s">
        <v>72</v>
      </c>
      <c r="L291" s="14">
        <v>46631</v>
      </c>
      <c r="M291" s="9">
        <f t="shared" ca="1" si="5"/>
        <v>526</v>
      </c>
      <c r="N291" s="15" t="s">
        <v>26</v>
      </c>
    </row>
    <row r="292" spans="1:14" ht="16.05" customHeight="1" x14ac:dyDescent="0.3">
      <c r="A292" s="16" t="s">
        <v>916</v>
      </c>
      <c r="B292" s="17" t="s">
        <v>913</v>
      </c>
      <c r="C292" s="18" t="s">
        <v>917</v>
      </c>
      <c r="D292" s="19"/>
      <c r="E292" s="20"/>
      <c r="F292" s="21">
        <v>0</v>
      </c>
      <c r="G292" s="22" t="s">
        <v>918</v>
      </c>
      <c r="H292" s="23">
        <v>692</v>
      </c>
      <c r="I292" s="24" t="str">
        <f>IFERROR(H291+SUMPRODUCT((MOVIMIENTOS!$C$2:$C$5000=$A291)*(MOVIMIENTOS!$D$2:$D$5000=$G291)*(MOVIMIENTOS!$B$2:$B$5000="INGRESO")*MOVIMIENTOS!$E$2:$E$5000)-SUMPRODUCT((MOVIMIENTOS!$C$2:$C$5000=$A291)*(MOVIMIENTOS!$D$2:$D$5000=$G291)*(MOVIMIENTOS!$B$2:$B$5000="EGRESO")*MOVIMIENTOS!$E$2:$E$5000),"")</f>
        <v/>
      </c>
      <c r="J292" s="25" t="s">
        <v>37</v>
      </c>
      <c r="K292" s="25" t="s">
        <v>115</v>
      </c>
      <c r="L292" s="26">
        <v>46468</v>
      </c>
      <c r="M292" s="21">
        <f t="shared" ca="1" si="5"/>
        <v>505</v>
      </c>
      <c r="N292" s="27" t="s">
        <v>26</v>
      </c>
    </row>
    <row r="293" spans="1:14" ht="16.05" customHeight="1" x14ac:dyDescent="0.3">
      <c r="A293" s="4" t="s">
        <v>919</v>
      </c>
      <c r="B293" s="5" t="s">
        <v>920</v>
      </c>
      <c r="C293" s="6" t="s">
        <v>921</v>
      </c>
      <c r="D293" s="7"/>
      <c r="E293" s="8" t="s">
        <v>52</v>
      </c>
      <c r="F293" s="9">
        <v>0</v>
      </c>
      <c r="G293" s="10" t="s">
        <v>922</v>
      </c>
      <c r="H293" s="11">
        <v>1580</v>
      </c>
      <c r="I293" s="12" t="str">
        <f>IFERROR(H292+SUMPRODUCT((MOVIMIENTOS!$C$2:$C$5000=$A292)*(MOVIMIENTOS!$D$2:$D$5000=$G292)*(MOVIMIENTOS!$B$2:$B$5000="INGRESO")*MOVIMIENTOS!$E$2:$E$5000)-SUMPRODUCT((MOVIMIENTOS!$C$2:$C$5000=$A292)*(MOVIMIENTOS!$D$2:$D$5000=$G292)*(MOVIMIENTOS!$B$2:$B$5000="EGRESO")*MOVIMIENTOS!$E$2:$E$5000),"")</f>
        <v/>
      </c>
      <c r="J293" s="13" t="s">
        <v>67</v>
      </c>
      <c r="K293" s="13" t="s">
        <v>231</v>
      </c>
      <c r="L293" s="14">
        <v>46569</v>
      </c>
      <c r="M293" s="9">
        <f t="shared" ca="1" si="5"/>
        <v>342</v>
      </c>
      <c r="N293" s="15" t="s">
        <v>26</v>
      </c>
    </row>
    <row r="294" spans="1:14" ht="16.05" customHeight="1" x14ac:dyDescent="0.3">
      <c r="A294" s="16" t="s">
        <v>919</v>
      </c>
      <c r="B294" s="17" t="s">
        <v>920</v>
      </c>
      <c r="C294" s="18" t="s">
        <v>921</v>
      </c>
      <c r="D294" s="19"/>
      <c r="E294" s="20" t="s">
        <v>52</v>
      </c>
      <c r="F294" s="21">
        <v>0</v>
      </c>
      <c r="G294" s="22" t="s">
        <v>923</v>
      </c>
      <c r="H294" s="23">
        <v>2000</v>
      </c>
      <c r="I294" s="24" t="str">
        <f>IFERROR(H293+SUMPRODUCT((MOVIMIENTOS!$C$2:$C$5000=$A293)*(MOVIMIENTOS!$D$2:$D$5000=$G293)*(MOVIMIENTOS!$B$2:$B$5000="INGRESO")*MOVIMIENTOS!$E$2:$E$5000)-SUMPRODUCT((MOVIMIENTOS!$C$2:$C$5000=$A293)*(MOVIMIENTOS!$D$2:$D$5000=$G293)*(MOVIMIENTOS!$B$2:$B$5000="EGRESO")*MOVIMIENTOS!$E$2:$E$5000),"")</f>
        <v/>
      </c>
      <c r="J294" s="25" t="s">
        <v>67</v>
      </c>
      <c r="K294" s="25" t="s">
        <v>231</v>
      </c>
      <c r="L294" s="26">
        <v>46672</v>
      </c>
      <c r="M294" s="21">
        <f t="shared" ca="1" si="5"/>
        <v>443</v>
      </c>
      <c r="N294" s="27" t="s">
        <v>26</v>
      </c>
    </row>
    <row r="295" spans="1:14" ht="16.05" customHeight="1" x14ac:dyDescent="0.3">
      <c r="A295" s="4" t="s">
        <v>919</v>
      </c>
      <c r="B295" s="5" t="s">
        <v>920</v>
      </c>
      <c r="C295" s="6" t="s">
        <v>921</v>
      </c>
      <c r="D295" s="7"/>
      <c r="E295" s="8" t="s">
        <v>52</v>
      </c>
      <c r="F295" s="9">
        <v>0</v>
      </c>
      <c r="G295" s="10" t="s">
        <v>924</v>
      </c>
      <c r="H295" s="11">
        <v>2800</v>
      </c>
      <c r="I295" s="12" t="str">
        <f>IFERROR(H294+SUMPRODUCT((MOVIMIENTOS!$C$2:$C$5000=$A294)*(MOVIMIENTOS!$D$2:$D$5000=$G294)*(MOVIMIENTOS!$B$2:$B$5000="INGRESO")*MOVIMIENTOS!$E$2:$E$5000)-SUMPRODUCT((MOVIMIENTOS!$C$2:$C$5000=$A294)*(MOVIMIENTOS!$D$2:$D$5000=$G294)*(MOVIMIENTOS!$B$2:$B$5000="EGRESO")*MOVIMIENTOS!$E$2:$E$5000),"")</f>
        <v/>
      </c>
      <c r="J295" s="13" t="s">
        <v>67</v>
      </c>
      <c r="K295" s="13" t="s">
        <v>231</v>
      </c>
      <c r="L295" s="14">
        <v>46742</v>
      </c>
      <c r="M295" s="9">
        <f t="shared" ca="1" si="5"/>
        <v>546</v>
      </c>
      <c r="N295" s="15" t="s">
        <v>26</v>
      </c>
    </row>
    <row r="296" spans="1:14" ht="16.05" customHeight="1" x14ac:dyDescent="0.3">
      <c r="A296" s="84" t="s">
        <v>925</v>
      </c>
      <c r="B296" s="85" t="s">
        <v>926</v>
      </c>
      <c r="C296" s="18" t="s">
        <v>927</v>
      </c>
      <c r="D296" s="19"/>
      <c r="E296" s="20"/>
      <c r="F296" s="21">
        <v>0</v>
      </c>
      <c r="G296" s="22" t="s">
        <v>928</v>
      </c>
      <c r="H296" s="23">
        <v>4670</v>
      </c>
      <c r="I296" s="24" t="str">
        <f>IFERROR(H295+SUMPRODUCT((MOVIMIENTOS!$C$2:$C$5000=$A295)*(MOVIMIENTOS!$D$2:$D$5000=$G295)*(MOVIMIENTOS!$B$2:$B$5000="INGRESO")*MOVIMIENTOS!$E$2:$E$5000)-SUMPRODUCT((MOVIMIENTOS!$C$2:$C$5000=$A295)*(MOVIMIENTOS!$D$2:$D$5000=$G295)*(MOVIMIENTOS!$B$2:$B$5000="EGRESO")*MOVIMIENTOS!$E$2:$E$5000),"")</f>
        <v/>
      </c>
      <c r="J296" s="25" t="s">
        <v>163</v>
      </c>
      <c r="K296" s="25" t="s">
        <v>72</v>
      </c>
      <c r="L296" s="26">
        <v>46459</v>
      </c>
      <c r="M296" s="21">
        <f t="shared" ca="1" si="5"/>
        <v>616</v>
      </c>
      <c r="N296" s="27" t="s">
        <v>26</v>
      </c>
    </row>
    <row r="297" spans="1:14" ht="16.05" customHeight="1" x14ac:dyDescent="0.3">
      <c r="A297" s="4" t="s">
        <v>929</v>
      </c>
      <c r="B297" s="5" t="s">
        <v>930</v>
      </c>
      <c r="C297" s="6" t="s">
        <v>931</v>
      </c>
      <c r="D297" s="7"/>
      <c r="E297" s="8"/>
      <c r="F297" s="9">
        <v>0</v>
      </c>
      <c r="G297" s="10" t="s">
        <v>932</v>
      </c>
      <c r="H297" s="11">
        <v>39000</v>
      </c>
      <c r="I297" s="12" t="str">
        <f>IFERROR(H296+SUMPRODUCT((MOVIMIENTOS!$C$2:$C$5000=$A296)*(MOVIMIENTOS!$D$2:$D$5000=$G296)*(MOVIMIENTOS!$B$2:$B$5000="INGRESO")*MOVIMIENTOS!$E$2:$E$5000)-SUMPRODUCT((MOVIMIENTOS!$C$2:$C$5000=$A296)*(MOVIMIENTOS!$D$2:$D$5000=$G296)*(MOVIMIENTOS!$B$2:$B$5000="EGRESO")*MOVIMIENTOS!$E$2:$E$5000),"")</f>
        <v/>
      </c>
      <c r="J297" s="13" t="s">
        <v>37</v>
      </c>
      <c r="K297" s="13" t="s">
        <v>72</v>
      </c>
      <c r="L297" s="14">
        <v>46406</v>
      </c>
      <c r="M297" s="9">
        <f t="shared" ca="1" si="5"/>
        <v>333</v>
      </c>
      <c r="N297" s="15" t="s">
        <v>26</v>
      </c>
    </row>
    <row r="298" spans="1:14" ht="16.05" customHeight="1" x14ac:dyDescent="0.3">
      <c r="A298" s="44" t="s">
        <v>929</v>
      </c>
      <c r="B298" s="45" t="s">
        <v>930</v>
      </c>
      <c r="C298" s="46" t="s">
        <v>931</v>
      </c>
      <c r="D298" s="47"/>
      <c r="E298" s="48"/>
      <c r="F298" s="49">
        <v>0</v>
      </c>
      <c r="G298" s="50" t="s">
        <v>933</v>
      </c>
      <c r="H298" s="86"/>
      <c r="I298" s="52" t="str">
        <f>IFERROR(H297+SUMPRODUCT((MOVIMIENTOS!$C$2:$C$5000=$A297)*(MOVIMIENTOS!$D$2:$D$5000=$G297)*(MOVIMIENTOS!$B$2:$B$5000="INGRESO")*MOVIMIENTOS!$E$2:$E$5000)-SUMPRODUCT((MOVIMIENTOS!$C$2:$C$5000=$A297)*(MOVIMIENTOS!$D$2:$D$5000=$G297)*(MOVIMIENTOS!$B$2:$B$5000="EGRESO")*MOVIMIENTOS!$E$2:$E$5000),"")</f>
        <v/>
      </c>
      <c r="J298" s="53" t="s">
        <v>359</v>
      </c>
      <c r="K298" s="53" t="s">
        <v>158</v>
      </c>
      <c r="L298" s="54">
        <v>46137</v>
      </c>
      <c r="M298" s="49">
        <f t="shared" ca="1" si="5"/>
        <v>280</v>
      </c>
      <c r="N298" s="55" t="s">
        <v>245</v>
      </c>
    </row>
    <row r="299" spans="1:14" ht="16.05" customHeight="1" x14ac:dyDescent="0.3">
      <c r="A299" s="4" t="s">
        <v>934</v>
      </c>
      <c r="B299" s="5" t="s">
        <v>935</v>
      </c>
      <c r="C299" s="6" t="s">
        <v>936</v>
      </c>
      <c r="D299" s="7"/>
      <c r="E299" s="8"/>
      <c r="F299" s="9">
        <v>0</v>
      </c>
      <c r="G299" s="10" t="s">
        <v>937</v>
      </c>
      <c r="H299" s="11">
        <v>3000</v>
      </c>
      <c r="I299" s="12" t="str">
        <f>IFERROR(H298+SUMPRODUCT((MOVIMIENTOS!$C$2:$C$5000=$A298)*(MOVIMIENTOS!$D$2:$D$5000=$G298)*(MOVIMIENTOS!$B$2:$B$5000="INGRESO")*MOVIMIENTOS!$E$2:$E$5000)-SUMPRODUCT((MOVIMIENTOS!$C$2:$C$5000=$A298)*(MOVIMIENTOS!$D$2:$D$5000=$G298)*(MOVIMIENTOS!$B$2:$B$5000="EGRESO")*MOVIMIENTOS!$E$2:$E$5000),"")</f>
        <v/>
      </c>
      <c r="J299" s="13" t="s">
        <v>42</v>
      </c>
      <c r="K299" s="13" t="s">
        <v>158</v>
      </c>
      <c r="L299" s="14">
        <v>46507</v>
      </c>
      <c r="M299" s="9">
        <f t="shared" ca="1" si="5"/>
        <v>11</v>
      </c>
      <c r="N299" s="15" t="s">
        <v>26</v>
      </c>
    </row>
    <row r="300" spans="1:14" ht="16.05" customHeight="1" x14ac:dyDescent="0.3">
      <c r="A300" s="16" t="s">
        <v>938</v>
      </c>
      <c r="B300" s="17" t="s">
        <v>939</v>
      </c>
      <c r="C300" s="18" t="s">
        <v>940</v>
      </c>
      <c r="D300" s="19"/>
      <c r="E300" s="20" t="s">
        <v>22</v>
      </c>
      <c r="F300" s="21">
        <v>0</v>
      </c>
      <c r="G300" s="22" t="s">
        <v>899</v>
      </c>
      <c r="H300" s="23">
        <v>960</v>
      </c>
      <c r="I300" s="24" t="str">
        <f>IFERROR(H299+SUMPRODUCT((MOVIMIENTOS!$C$2:$C$5000=$A299)*(MOVIMIENTOS!$D$2:$D$5000=$G299)*(MOVIMIENTOS!$B$2:$B$5000="INGRESO")*MOVIMIENTOS!$E$2:$E$5000)-SUMPRODUCT((MOVIMIENTOS!$C$2:$C$5000=$A299)*(MOVIMIENTOS!$D$2:$D$5000=$G299)*(MOVIMIENTOS!$B$2:$B$5000="EGRESO")*MOVIMIENTOS!$E$2:$E$5000),"")</f>
        <v/>
      </c>
      <c r="J300" s="25" t="s">
        <v>31</v>
      </c>
      <c r="K300" s="25" t="s">
        <v>72</v>
      </c>
      <c r="L300" s="26">
        <v>46530</v>
      </c>
      <c r="M300" s="21">
        <f t="shared" ca="1" si="5"/>
        <v>381</v>
      </c>
      <c r="N300" s="27" t="s">
        <v>26</v>
      </c>
    </row>
    <row r="301" spans="1:14" ht="16.05" customHeight="1" x14ac:dyDescent="0.3">
      <c r="A301" s="4" t="s">
        <v>941</v>
      </c>
      <c r="B301" s="5" t="s">
        <v>942</v>
      </c>
      <c r="C301" s="6" t="s">
        <v>943</v>
      </c>
      <c r="D301" s="7"/>
      <c r="E301" s="8" t="s">
        <v>213</v>
      </c>
      <c r="F301" s="9">
        <v>0</v>
      </c>
      <c r="G301" s="10" t="s">
        <v>944</v>
      </c>
      <c r="H301" s="11">
        <v>2200</v>
      </c>
      <c r="I301" s="12" t="str">
        <f>IFERROR(H300+SUMPRODUCT((MOVIMIENTOS!$C$2:$C$5000=$A300)*(MOVIMIENTOS!$D$2:$D$5000=$G300)*(MOVIMIENTOS!$B$2:$B$5000="INGRESO")*MOVIMIENTOS!$E$2:$E$5000)-SUMPRODUCT((MOVIMIENTOS!$C$2:$C$5000=$A300)*(MOVIMIENTOS!$D$2:$D$5000=$G300)*(MOVIMIENTOS!$B$2:$B$5000="EGRESO")*MOVIMIENTOS!$E$2:$E$5000),"")</f>
        <v/>
      </c>
      <c r="J301" s="13" t="s">
        <v>143</v>
      </c>
      <c r="K301" s="13" t="s">
        <v>25</v>
      </c>
      <c r="L301" s="14">
        <v>46569</v>
      </c>
      <c r="M301" s="9">
        <f t="shared" ca="1" si="5"/>
        <v>404</v>
      </c>
      <c r="N301" s="15" t="s">
        <v>26</v>
      </c>
    </row>
    <row r="302" spans="1:14" ht="16.05" customHeight="1" x14ac:dyDescent="0.3">
      <c r="A302" s="16" t="s">
        <v>945</v>
      </c>
      <c r="B302" s="17" t="s">
        <v>946</v>
      </c>
      <c r="C302" s="18" t="s">
        <v>947</v>
      </c>
      <c r="D302" s="19"/>
      <c r="E302" s="20"/>
      <c r="F302" s="21">
        <v>0</v>
      </c>
      <c r="G302" s="22" t="s">
        <v>368</v>
      </c>
      <c r="H302" s="23">
        <v>800</v>
      </c>
      <c r="I302" s="24" t="str">
        <f>IFERROR(H301+SUMPRODUCT((MOVIMIENTOS!$C$2:$C$5000=$A301)*(MOVIMIENTOS!$D$2:$D$5000=$G301)*(MOVIMIENTOS!$B$2:$B$5000="INGRESO")*MOVIMIENTOS!$E$2:$E$5000)-SUMPRODUCT((MOVIMIENTOS!$C$2:$C$5000=$A301)*(MOVIMIENTOS!$D$2:$D$5000=$G301)*(MOVIMIENTOS!$B$2:$B$5000="EGRESO")*MOVIMIENTOS!$E$2:$E$5000),"")</f>
        <v/>
      </c>
      <c r="J302" s="25" t="s">
        <v>156</v>
      </c>
      <c r="K302" s="25"/>
      <c r="L302" s="26">
        <v>46452</v>
      </c>
      <c r="M302" s="21">
        <f t="shared" ca="1" si="5"/>
        <v>443</v>
      </c>
      <c r="N302" s="27" t="s">
        <v>26</v>
      </c>
    </row>
    <row r="303" spans="1:14" ht="16.05" customHeight="1" x14ac:dyDescent="0.3">
      <c r="A303" s="4" t="s">
        <v>945</v>
      </c>
      <c r="B303" s="5" t="s">
        <v>946</v>
      </c>
      <c r="C303" s="6" t="s">
        <v>948</v>
      </c>
      <c r="D303" s="7"/>
      <c r="E303" s="8"/>
      <c r="F303" s="9">
        <v>0</v>
      </c>
      <c r="G303" s="10" t="s">
        <v>949</v>
      </c>
      <c r="H303" s="28"/>
      <c r="I303" s="12" t="str">
        <f>IFERROR(H302+SUMPRODUCT((MOVIMIENTOS!$C$2:$C$5000=$A302)*(MOVIMIENTOS!$D$2:$D$5000=$G302)*(MOVIMIENTOS!$B$2:$B$5000="INGRESO")*MOVIMIENTOS!$E$2:$E$5000)-SUMPRODUCT((MOVIMIENTOS!$C$2:$C$5000=$A302)*(MOVIMIENTOS!$D$2:$D$5000=$G302)*(MOVIMIENTOS!$B$2:$B$5000="EGRESO")*MOVIMIENTOS!$E$2:$E$5000),"")</f>
        <v/>
      </c>
      <c r="J303" s="13" t="s">
        <v>42</v>
      </c>
      <c r="K303" s="13" t="s">
        <v>72</v>
      </c>
      <c r="L303" s="14">
        <v>46476</v>
      </c>
      <c r="M303" s="9">
        <f t="shared" ca="1" si="5"/>
        <v>326</v>
      </c>
      <c r="N303" s="15" t="s">
        <v>26</v>
      </c>
    </row>
    <row r="304" spans="1:14" ht="16.05" customHeight="1" x14ac:dyDescent="0.3">
      <c r="A304" s="16" t="s">
        <v>945</v>
      </c>
      <c r="B304" s="17" t="s">
        <v>946</v>
      </c>
      <c r="C304" s="18" t="s">
        <v>948</v>
      </c>
      <c r="D304" s="19"/>
      <c r="E304" s="20"/>
      <c r="F304" s="21">
        <v>0</v>
      </c>
      <c r="G304" s="22" t="s">
        <v>950</v>
      </c>
      <c r="H304" s="23">
        <v>20000</v>
      </c>
      <c r="I304" s="24" t="str">
        <f>IFERROR(H303+SUMPRODUCT((MOVIMIENTOS!$C$2:$C$5000=$A303)*(MOVIMIENTOS!$D$2:$D$5000=$G303)*(MOVIMIENTOS!$B$2:$B$5000="INGRESO")*MOVIMIENTOS!$E$2:$E$5000)-SUMPRODUCT((MOVIMIENTOS!$C$2:$C$5000=$A303)*(MOVIMIENTOS!$D$2:$D$5000=$G303)*(MOVIMIENTOS!$B$2:$B$5000="EGRESO")*MOVIMIENTOS!$E$2:$E$5000),"")</f>
        <v/>
      </c>
      <c r="J304" s="25" t="s">
        <v>156</v>
      </c>
      <c r="K304" s="25"/>
      <c r="L304" s="25"/>
      <c r="M304" s="21">
        <f t="shared" ca="1" si="5"/>
        <v>350</v>
      </c>
      <c r="N304" s="30"/>
    </row>
    <row r="305" spans="1:14" ht="16.05" customHeight="1" x14ac:dyDescent="0.3">
      <c r="A305" s="16" t="s">
        <v>379</v>
      </c>
      <c r="B305" s="17" t="s">
        <v>951</v>
      </c>
      <c r="C305" s="18" t="s">
        <v>952</v>
      </c>
      <c r="D305" s="19"/>
      <c r="E305" s="20" t="s">
        <v>35</v>
      </c>
      <c r="F305" s="21">
        <v>0</v>
      </c>
      <c r="G305" s="22" t="s">
        <v>484</v>
      </c>
      <c r="H305" s="23"/>
      <c r="I305" s="24" t="str">
        <f>IFERROR(H305+SUMPRODUCT((MOVIMIENTOS!$C$2:$C$5000=$A305)*(MOVIMIENTOS!$D$2:$D$5000=$G305)*(MOVIMIENTOS!$B$2:$B$5000="INGRESO")*MOVIMIENTOS!$E$2:$E$5000)-SUMPRODUCT((MOVIMIENTOS!$C$2:$C$5000=$A305)*(MOVIMIENTOS!$D$2:$D$5000=$G305)*(MOVIMIENTOS!$B$2:$B$5000="EGRESO")*MOVIMIENTOS!$E$2:$E$5000),"")</f>
        <v/>
      </c>
      <c r="J305" s="25" t="s">
        <v>42</v>
      </c>
      <c r="K305" s="25" t="s">
        <v>115</v>
      </c>
      <c r="L305" s="26"/>
      <c r="M305" s="21" t="str">
        <f ca="1">IF(L305="","",L305-TODAY())</f>
        <v/>
      </c>
      <c r="N305" s="27" t="s">
        <v>953</v>
      </c>
    </row>
    <row r="306" spans="1:14" ht="16.05" customHeight="1" x14ac:dyDescent="0.3">
      <c r="A306" s="87" t="s">
        <v>954</v>
      </c>
      <c r="B306" s="88" t="s">
        <v>946</v>
      </c>
      <c r="C306" s="6" t="s">
        <v>955</v>
      </c>
      <c r="D306" s="7"/>
      <c r="E306" s="8"/>
      <c r="F306" s="9">
        <v>0</v>
      </c>
      <c r="G306" s="10" t="s">
        <v>950</v>
      </c>
      <c r="H306" s="11">
        <v>8700</v>
      </c>
      <c r="I306" s="12" t="str">
        <f>IFERROR(H304+SUMPRODUCT((MOVIMIENTOS!$C$2:$C$5000=$A304)*(MOVIMIENTOS!$D$2:$D$5000=$G304)*(MOVIMIENTOS!$B$2:$B$5000="INGRESO")*MOVIMIENTOS!$E$2:$E$5000)-SUMPRODUCT((MOVIMIENTOS!$C$2:$C$5000=$A304)*(MOVIMIENTOS!$D$2:$D$5000=$G304)*(MOVIMIENTOS!$B$2:$B$5000="EGRESO")*MOVIMIENTOS!$E$2:$E$5000),"")</f>
        <v/>
      </c>
      <c r="J306" s="13" t="s">
        <v>156</v>
      </c>
      <c r="K306" s="13"/>
      <c r="L306" s="14">
        <v>46476</v>
      </c>
      <c r="M306" s="9" t="str">
        <f t="shared" ref="M306:M337" ca="1" si="6">IF(L304="","",L304-TODAY())</f>
        <v/>
      </c>
      <c r="N306" s="15" t="s">
        <v>26</v>
      </c>
    </row>
    <row r="307" spans="1:14" ht="16.05" customHeight="1" x14ac:dyDescent="0.3">
      <c r="A307" s="98" t="s">
        <v>956</v>
      </c>
      <c r="B307" s="99" t="s">
        <v>957</v>
      </c>
      <c r="C307" s="100" t="s">
        <v>958</v>
      </c>
      <c r="D307" s="19"/>
      <c r="E307" s="20"/>
      <c r="F307" s="102">
        <v>0</v>
      </c>
      <c r="G307" s="103" t="s">
        <v>959</v>
      </c>
      <c r="H307" s="29"/>
      <c r="I307" s="104" t="str">
        <f>IFERROR(H305+SUMPRODUCT((MOVIMIENTOS!$C$2:$C$5000=$A305)*(MOVIMIENTOS!$D$2:$D$5000=$G305)*(MOVIMIENTOS!$B$2:$B$5000="INGRESO")*MOVIMIENTOS!$E$2:$E$5000)-SUMPRODUCT((MOVIMIENTOS!$C$2:$C$5000=$A305)*(MOVIMIENTOS!$D$2:$D$5000=$G305)*(MOVIMIENTOS!$B$2:$B$5000="EGRESO")*MOVIMIENTOS!$E$2:$E$5000),"")</f>
        <v/>
      </c>
      <c r="J307" s="105" t="s">
        <v>156</v>
      </c>
      <c r="K307" s="25"/>
      <c r="L307" s="106">
        <v>46839</v>
      </c>
      <c r="M307" s="102" t="str">
        <f t="shared" ca="1" si="6"/>
        <v/>
      </c>
      <c r="N307" s="109" t="s">
        <v>26</v>
      </c>
    </row>
    <row r="308" spans="1:14" ht="16.05" customHeight="1" x14ac:dyDescent="0.3">
      <c r="A308" s="98" t="s">
        <v>956</v>
      </c>
      <c r="B308" s="99" t="s">
        <v>957</v>
      </c>
      <c r="C308" s="100" t="s">
        <v>958</v>
      </c>
      <c r="D308" s="7"/>
      <c r="E308" s="8"/>
      <c r="F308" s="102">
        <v>0</v>
      </c>
      <c r="G308" s="103" t="s">
        <v>959</v>
      </c>
      <c r="H308" s="108">
        <v>10000</v>
      </c>
      <c r="I308" s="104" t="str">
        <f>IFERROR(H306+SUMPRODUCT((MOVIMIENTOS!$C$2:$C$5000=$A306)*(MOVIMIENTOS!$D$2:$D$5000=$G306)*(MOVIMIENTOS!$B$2:$B$5000="INGRESO")*MOVIMIENTOS!$E$2:$E$5000)-SUMPRODUCT((MOVIMIENTOS!$C$2:$C$5000=$A306)*(MOVIMIENTOS!$D$2:$D$5000=$G306)*(MOVIMIENTOS!$B$2:$B$5000="EGRESO")*MOVIMIENTOS!$E$2:$E$5000),"")</f>
        <v/>
      </c>
      <c r="J308" s="105" t="s">
        <v>156</v>
      </c>
      <c r="K308" s="13"/>
      <c r="L308" s="13"/>
      <c r="M308" s="102">
        <f t="shared" ca="1" si="6"/>
        <v>350</v>
      </c>
      <c r="N308" s="31"/>
    </row>
    <row r="309" spans="1:14" ht="16.05" customHeight="1" x14ac:dyDescent="0.3">
      <c r="A309" s="16" t="s">
        <v>960</v>
      </c>
      <c r="B309" s="17" t="s">
        <v>961</v>
      </c>
      <c r="C309" s="18" t="s">
        <v>962</v>
      </c>
      <c r="D309" s="19"/>
      <c r="E309" s="20"/>
      <c r="F309" s="21">
        <v>0</v>
      </c>
      <c r="G309" s="22" t="s">
        <v>963</v>
      </c>
      <c r="H309" s="23">
        <v>1000</v>
      </c>
      <c r="I309" s="24" t="str">
        <f>IFERROR(H307+SUMPRODUCT((MOVIMIENTOS!$C$2:$C$5000=$A307)*(MOVIMIENTOS!$D$2:$D$5000=$G307)*(MOVIMIENTOS!$B$2:$B$5000="INGRESO")*MOVIMIENTOS!$E$2:$E$5000)-SUMPRODUCT((MOVIMIENTOS!$C$2:$C$5000=$A307)*(MOVIMIENTOS!$D$2:$D$5000=$G307)*(MOVIMIENTOS!$B$2:$B$5000="EGRESO")*MOVIMIENTOS!$E$2:$E$5000),"")</f>
        <v/>
      </c>
      <c r="J309" s="25" t="s">
        <v>189</v>
      </c>
      <c r="K309" s="25" t="s">
        <v>158</v>
      </c>
      <c r="L309" s="25"/>
      <c r="M309" s="21">
        <f t="shared" ca="1" si="6"/>
        <v>713</v>
      </c>
      <c r="N309" s="30"/>
    </row>
    <row r="310" spans="1:14" ht="16.05" customHeight="1" x14ac:dyDescent="0.3">
      <c r="A310" s="98" t="s">
        <v>964</v>
      </c>
      <c r="B310" s="99" t="s">
        <v>965</v>
      </c>
      <c r="C310" s="100" t="s">
        <v>966</v>
      </c>
      <c r="D310" s="7"/>
      <c r="E310" s="101" t="s">
        <v>213</v>
      </c>
      <c r="F310" s="102">
        <v>0</v>
      </c>
      <c r="G310" s="103" t="s">
        <v>967</v>
      </c>
      <c r="H310" s="28"/>
      <c r="I310" s="104" t="str">
        <f>IFERROR(H308+SUMPRODUCT((MOVIMIENTOS!$C$2:$C$5000=$A308)*(MOVIMIENTOS!$D$2:$D$5000=$G308)*(MOVIMIENTOS!$B$2:$B$5000="INGRESO")*MOVIMIENTOS!$E$2:$E$5000)-SUMPRODUCT((MOVIMIENTOS!$C$2:$C$5000=$A308)*(MOVIMIENTOS!$D$2:$D$5000=$G308)*(MOVIMIENTOS!$B$2:$B$5000="EGRESO")*MOVIMIENTOS!$E$2:$E$5000),"")</f>
        <v/>
      </c>
      <c r="J310" s="105" t="s">
        <v>143</v>
      </c>
      <c r="K310" s="105" t="s">
        <v>115</v>
      </c>
      <c r="L310" s="13"/>
      <c r="M310" s="102" t="str">
        <f t="shared" ca="1" si="6"/>
        <v/>
      </c>
      <c r="N310" s="31"/>
    </row>
    <row r="311" spans="1:14" ht="16.05" customHeight="1" x14ac:dyDescent="0.3">
      <c r="A311" s="98" t="s">
        <v>964</v>
      </c>
      <c r="B311" s="99" t="s">
        <v>965</v>
      </c>
      <c r="C311" s="100" t="s">
        <v>966</v>
      </c>
      <c r="D311" s="19"/>
      <c r="E311" s="101" t="s">
        <v>213</v>
      </c>
      <c r="F311" s="102">
        <v>0</v>
      </c>
      <c r="G311" s="103" t="s">
        <v>967</v>
      </c>
      <c r="H311" s="108">
        <v>1029</v>
      </c>
      <c r="I311" s="104" t="str">
        <f>IFERROR(H309+SUMPRODUCT((MOVIMIENTOS!$C$2:$C$5000=$A309)*(MOVIMIENTOS!$D$2:$D$5000=$G309)*(MOVIMIENTOS!$B$2:$B$5000="INGRESO")*MOVIMIENTOS!$E$2:$E$5000)-SUMPRODUCT((MOVIMIENTOS!$C$2:$C$5000=$A309)*(MOVIMIENTOS!$D$2:$D$5000=$G309)*(MOVIMIENTOS!$B$2:$B$5000="EGRESO")*MOVIMIENTOS!$E$2:$E$5000),"")</f>
        <v/>
      </c>
      <c r="J311" s="105" t="s">
        <v>240</v>
      </c>
      <c r="K311" s="105" t="s">
        <v>72</v>
      </c>
      <c r="L311" s="106">
        <v>46569</v>
      </c>
      <c r="M311" s="102" t="str">
        <f t="shared" ca="1" si="6"/>
        <v/>
      </c>
      <c r="N311" s="109" t="s">
        <v>26</v>
      </c>
    </row>
    <row r="312" spans="1:14" ht="16.05" customHeight="1" x14ac:dyDescent="0.3">
      <c r="A312" s="110" t="s">
        <v>968</v>
      </c>
      <c r="B312" s="111" t="s">
        <v>969</v>
      </c>
      <c r="C312" s="100" t="s">
        <v>970</v>
      </c>
      <c r="D312" s="7"/>
      <c r="E312" s="8"/>
      <c r="F312" s="102">
        <v>0</v>
      </c>
      <c r="G312" s="103" t="s">
        <v>971</v>
      </c>
      <c r="H312" s="108">
        <v>2500</v>
      </c>
      <c r="I312" s="104" t="str">
        <f>IFERROR(H310+SUMPRODUCT((MOVIMIENTOS!$C$2:$C$5000=$A310)*(MOVIMIENTOS!$D$2:$D$5000=$G310)*(MOVIMIENTOS!$B$2:$B$5000="INGRESO")*MOVIMIENTOS!$E$2:$E$5000)-SUMPRODUCT((MOVIMIENTOS!$C$2:$C$5000=$A310)*(MOVIMIENTOS!$D$2:$D$5000=$G310)*(MOVIMIENTOS!$B$2:$B$5000="EGRESO")*MOVIMIENTOS!$E$2:$E$5000),"")</f>
        <v/>
      </c>
      <c r="J312" s="105" t="s">
        <v>156</v>
      </c>
      <c r="K312" s="13"/>
      <c r="L312" s="13"/>
      <c r="M312" s="102" t="str">
        <f t="shared" ca="1" si="6"/>
        <v/>
      </c>
      <c r="N312" s="31"/>
    </row>
    <row r="313" spans="1:14" ht="16.05" customHeight="1" x14ac:dyDescent="0.3">
      <c r="A313" s="32" t="s">
        <v>972</v>
      </c>
      <c r="B313" s="33" t="s">
        <v>973</v>
      </c>
      <c r="C313" s="34" t="s">
        <v>974</v>
      </c>
      <c r="D313" s="35"/>
      <c r="E313" s="36"/>
      <c r="F313" s="37">
        <v>0</v>
      </c>
      <c r="G313" s="38" t="s">
        <v>975</v>
      </c>
      <c r="H313" s="83">
        <v>2000</v>
      </c>
      <c r="I313" s="40" t="str">
        <f>IFERROR(H311+SUMPRODUCT((MOVIMIENTOS!$C$2:$C$5000=$A311)*(MOVIMIENTOS!$D$2:$D$5000=$G311)*(MOVIMIENTOS!$B$2:$B$5000="INGRESO")*MOVIMIENTOS!$E$2:$E$5000)-SUMPRODUCT((MOVIMIENTOS!$C$2:$C$5000=$A311)*(MOVIMIENTOS!$D$2:$D$5000=$G311)*(MOVIMIENTOS!$B$2:$B$5000="EGRESO")*MOVIMIENTOS!$E$2:$E$5000),"")</f>
        <v/>
      </c>
      <c r="J313" s="41" t="s">
        <v>121</v>
      </c>
      <c r="K313" s="41" t="s">
        <v>231</v>
      </c>
      <c r="L313" s="42">
        <v>46071</v>
      </c>
      <c r="M313" s="37">
        <f t="shared" ca="1" si="6"/>
        <v>443</v>
      </c>
      <c r="N313" s="43" t="s">
        <v>130</v>
      </c>
    </row>
    <row r="314" spans="1:14" ht="16.05" customHeight="1" x14ac:dyDescent="0.3">
      <c r="A314" s="56" t="s">
        <v>972</v>
      </c>
      <c r="B314" s="57" t="s">
        <v>973</v>
      </c>
      <c r="C314" s="58" t="s">
        <v>974</v>
      </c>
      <c r="D314" s="59"/>
      <c r="E314" s="60"/>
      <c r="F314" s="61">
        <v>0</v>
      </c>
      <c r="G314" s="62" t="s">
        <v>976</v>
      </c>
      <c r="H314" s="63">
        <v>205</v>
      </c>
      <c r="I314" s="64" t="str">
        <f>IFERROR(H312+SUMPRODUCT((MOVIMIENTOS!$C$2:$C$5000=$A312)*(MOVIMIENTOS!$D$2:$D$5000=$G312)*(MOVIMIENTOS!$B$2:$B$5000="INGRESO")*MOVIMIENTOS!$E$2:$E$5000)-SUMPRODUCT((MOVIMIENTOS!$C$2:$C$5000=$A312)*(MOVIMIENTOS!$D$2:$D$5000=$G312)*(MOVIMIENTOS!$B$2:$B$5000="EGRESO")*MOVIMIENTOS!$E$2:$E$5000),"")</f>
        <v/>
      </c>
      <c r="J314" s="65" t="s">
        <v>121</v>
      </c>
      <c r="K314" s="65" t="s">
        <v>231</v>
      </c>
      <c r="L314" s="66">
        <v>46171</v>
      </c>
      <c r="M314" s="61" t="str">
        <f t="shared" ca="1" si="6"/>
        <v/>
      </c>
      <c r="N314" s="67" t="s">
        <v>255</v>
      </c>
    </row>
    <row r="315" spans="1:14" ht="16.05" customHeight="1" x14ac:dyDescent="0.3">
      <c r="A315" s="16" t="s">
        <v>977</v>
      </c>
      <c r="B315" s="17" t="s">
        <v>978</v>
      </c>
      <c r="C315" s="18" t="s">
        <v>979</v>
      </c>
      <c r="D315" s="19"/>
      <c r="E315" s="20" t="s">
        <v>141</v>
      </c>
      <c r="F315" s="21">
        <v>0</v>
      </c>
      <c r="G315" s="22" t="s">
        <v>980</v>
      </c>
      <c r="H315" s="29"/>
      <c r="I315" s="24" t="str">
        <f>IFERROR(H313+SUMPRODUCT((MOVIMIENTOS!$C$2:$C$5000=$A313)*(MOVIMIENTOS!$D$2:$D$5000=$G313)*(MOVIMIENTOS!$B$2:$B$5000="INGRESO")*MOVIMIENTOS!$E$2:$E$5000)-SUMPRODUCT((MOVIMIENTOS!$C$2:$C$5000=$A313)*(MOVIMIENTOS!$D$2:$D$5000=$G313)*(MOVIMIENTOS!$B$2:$B$5000="EGRESO")*MOVIMIENTOS!$E$2:$E$5000),"")</f>
        <v/>
      </c>
      <c r="J315" s="25" t="s">
        <v>143</v>
      </c>
      <c r="K315" s="25" t="s">
        <v>25</v>
      </c>
      <c r="L315" s="25"/>
      <c r="M315" s="21">
        <f t="shared" ca="1" si="6"/>
        <v>-55</v>
      </c>
      <c r="N315" s="30"/>
    </row>
    <row r="316" spans="1:14" ht="16.05" customHeight="1" x14ac:dyDescent="0.3">
      <c r="A316" s="98" t="s">
        <v>981</v>
      </c>
      <c r="B316" s="99" t="s">
        <v>982</v>
      </c>
      <c r="C316" s="100" t="s">
        <v>983</v>
      </c>
      <c r="D316" s="7"/>
      <c r="E316" s="101" t="s">
        <v>213</v>
      </c>
      <c r="F316" s="102">
        <v>0</v>
      </c>
      <c r="G316" s="103" t="s">
        <v>984</v>
      </c>
      <c r="H316" s="28"/>
      <c r="I316" s="104" t="str">
        <f>IFERROR(H314+SUMPRODUCT((MOVIMIENTOS!$C$2:$C$5000=$A314)*(MOVIMIENTOS!$D$2:$D$5000=$G314)*(MOVIMIENTOS!$B$2:$B$5000="INGRESO")*MOVIMIENTOS!$E$2:$E$5000)-SUMPRODUCT((MOVIMIENTOS!$C$2:$C$5000=$A314)*(MOVIMIENTOS!$D$2:$D$5000=$G314)*(MOVIMIENTOS!$B$2:$B$5000="EGRESO")*MOVIMIENTOS!$E$2:$E$5000),"")</f>
        <v/>
      </c>
      <c r="J316" s="105" t="s">
        <v>143</v>
      </c>
      <c r="K316" s="105" t="s">
        <v>115</v>
      </c>
      <c r="L316" s="13"/>
      <c r="M316" s="102">
        <f t="shared" ca="1" si="6"/>
        <v>45</v>
      </c>
      <c r="N316" s="31"/>
    </row>
    <row r="317" spans="1:14" ht="16.05" customHeight="1" x14ac:dyDescent="0.3">
      <c r="A317" s="98" t="s">
        <v>981</v>
      </c>
      <c r="B317" s="99" t="s">
        <v>982</v>
      </c>
      <c r="C317" s="100" t="s">
        <v>983</v>
      </c>
      <c r="D317" s="19"/>
      <c r="E317" s="101" t="s">
        <v>213</v>
      </c>
      <c r="F317" s="102">
        <v>0</v>
      </c>
      <c r="G317" s="103" t="s">
        <v>984</v>
      </c>
      <c r="H317" s="108">
        <v>1320</v>
      </c>
      <c r="I317" s="104" t="str">
        <f>IFERROR(H315+SUMPRODUCT((MOVIMIENTOS!$C$2:$C$5000=$A315)*(MOVIMIENTOS!$D$2:$D$5000=$G315)*(MOVIMIENTOS!$B$2:$B$5000="INGRESO")*MOVIMIENTOS!$E$2:$E$5000)-SUMPRODUCT((MOVIMIENTOS!$C$2:$C$5000=$A315)*(MOVIMIENTOS!$D$2:$D$5000=$G315)*(MOVIMIENTOS!$B$2:$B$5000="EGRESO")*MOVIMIENTOS!$E$2:$E$5000),"")</f>
        <v/>
      </c>
      <c r="J317" s="105" t="s">
        <v>240</v>
      </c>
      <c r="K317" s="105" t="s">
        <v>72</v>
      </c>
      <c r="L317" s="106">
        <v>46569</v>
      </c>
      <c r="M317" s="102" t="str">
        <f t="shared" ca="1" si="6"/>
        <v/>
      </c>
      <c r="N317" s="109" t="s">
        <v>26</v>
      </c>
    </row>
    <row r="318" spans="1:14" ht="16.05" customHeight="1" x14ac:dyDescent="0.3">
      <c r="A318" s="4" t="s">
        <v>985</v>
      </c>
      <c r="B318" s="5" t="s">
        <v>986</v>
      </c>
      <c r="C318" s="6" t="s">
        <v>987</v>
      </c>
      <c r="D318" s="7"/>
      <c r="E318" s="8" t="s">
        <v>22</v>
      </c>
      <c r="F318" s="9">
        <v>0</v>
      </c>
      <c r="G318" s="10" t="s">
        <v>988</v>
      </c>
      <c r="H318" s="28"/>
      <c r="I318" s="12" t="str">
        <f>IFERROR(H316+SUMPRODUCT((MOVIMIENTOS!$C$2:$C$5000=$A316)*(MOVIMIENTOS!$D$2:$D$5000=$G316)*(MOVIMIENTOS!$B$2:$B$5000="INGRESO")*MOVIMIENTOS!$E$2:$E$5000)-SUMPRODUCT((MOVIMIENTOS!$C$2:$C$5000=$A316)*(MOVIMIENTOS!$D$2:$D$5000=$G316)*(MOVIMIENTOS!$B$2:$B$5000="EGRESO")*MOVIMIENTOS!$E$2:$E$5000),"")</f>
        <v/>
      </c>
      <c r="J318" s="13" t="s">
        <v>48</v>
      </c>
      <c r="K318" s="13"/>
      <c r="L318" s="14">
        <v>46644</v>
      </c>
      <c r="M318" s="9" t="str">
        <f t="shared" ca="1" si="6"/>
        <v/>
      </c>
      <c r="N318" s="15" t="s">
        <v>26</v>
      </c>
    </row>
    <row r="319" spans="1:14" ht="16.05" customHeight="1" x14ac:dyDescent="0.3">
      <c r="A319" s="16" t="s">
        <v>985</v>
      </c>
      <c r="B319" s="17" t="s">
        <v>986</v>
      </c>
      <c r="C319" s="18" t="s">
        <v>987</v>
      </c>
      <c r="D319" s="19"/>
      <c r="E319" s="20" t="s">
        <v>22</v>
      </c>
      <c r="F319" s="21">
        <v>0</v>
      </c>
      <c r="G319" s="22" t="s">
        <v>989</v>
      </c>
      <c r="H319" s="23">
        <v>4</v>
      </c>
      <c r="I319" s="24" t="str">
        <f>IFERROR(H317+SUMPRODUCT((MOVIMIENTOS!$C$2:$C$5000=$A317)*(MOVIMIENTOS!$D$2:$D$5000=$G317)*(MOVIMIENTOS!$B$2:$B$5000="INGRESO")*MOVIMIENTOS!$E$2:$E$5000)-SUMPRODUCT((MOVIMIENTOS!$C$2:$C$5000=$A317)*(MOVIMIENTOS!$D$2:$D$5000=$G317)*(MOVIMIENTOS!$B$2:$B$5000="EGRESO")*MOVIMIENTOS!$E$2:$E$5000),"")</f>
        <v/>
      </c>
      <c r="J319" s="25" t="s">
        <v>48</v>
      </c>
      <c r="K319" s="25"/>
      <c r="L319" s="26">
        <v>46731</v>
      </c>
      <c r="M319" s="21">
        <f t="shared" ca="1" si="6"/>
        <v>443</v>
      </c>
      <c r="N319" s="27" t="s">
        <v>26</v>
      </c>
    </row>
    <row r="320" spans="1:14" ht="16.05" customHeight="1" x14ac:dyDescent="0.3">
      <c r="A320" s="4" t="s">
        <v>968</v>
      </c>
      <c r="B320" s="5" t="s">
        <v>969</v>
      </c>
      <c r="C320" s="6" t="s">
        <v>970</v>
      </c>
      <c r="D320" s="7"/>
      <c r="E320" s="8"/>
      <c r="F320" s="9">
        <v>0</v>
      </c>
      <c r="G320" s="10" t="s">
        <v>990</v>
      </c>
      <c r="H320" s="11">
        <v>3000</v>
      </c>
      <c r="I320" s="12" t="str">
        <f>IFERROR(H318+SUMPRODUCT((MOVIMIENTOS!$C$2:$C$5000=$A318)*(MOVIMIENTOS!$D$2:$D$5000=$G318)*(MOVIMIENTOS!$B$2:$B$5000="INGRESO")*MOVIMIENTOS!$E$2:$E$5000)-SUMPRODUCT((MOVIMIENTOS!$C$2:$C$5000=$A318)*(MOVIMIENTOS!$D$2:$D$5000=$G318)*(MOVIMIENTOS!$B$2:$B$5000="EGRESO")*MOVIMIENTOS!$E$2:$E$5000),"")</f>
        <v/>
      </c>
      <c r="J320" s="13" t="s">
        <v>156</v>
      </c>
      <c r="K320" s="13"/>
      <c r="L320" s="14">
        <v>47003</v>
      </c>
      <c r="M320" s="9">
        <f t="shared" ca="1" si="6"/>
        <v>518</v>
      </c>
      <c r="N320" s="15" t="s">
        <v>26</v>
      </c>
    </row>
    <row r="321" spans="1:14" ht="16.05" customHeight="1" x14ac:dyDescent="0.3">
      <c r="A321" s="98" t="s">
        <v>968</v>
      </c>
      <c r="B321" s="99" t="s">
        <v>969</v>
      </c>
      <c r="C321" s="100" t="s">
        <v>970</v>
      </c>
      <c r="D321" s="19"/>
      <c r="E321" s="20"/>
      <c r="F321" s="102">
        <v>0</v>
      </c>
      <c r="G321" s="103" t="s">
        <v>971</v>
      </c>
      <c r="H321" s="108">
        <v>1690</v>
      </c>
      <c r="I321" s="104" t="str">
        <f>IFERROR(H319+SUMPRODUCT((MOVIMIENTOS!$C$2:$C$5000=$A319)*(MOVIMIENTOS!$D$2:$D$5000=$G319)*(MOVIMIENTOS!$B$2:$B$5000="INGRESO")*MOVIMIENTOS!$E$2:$E$5000)-SUMPRODUCT((MOVIMIENTOS!$C$2:$C$5000=$A319)*(MOVIMIENTOS!$D$2:$D$5000=$G319)*(MOVIMIENTOS!$B$2:$B$5000="EGRESO")*MOVIMIENTOS!$E$2:$E$5000),"")</f>
        <v/>
      </c>
      <c r="J321" s="105" t="s">
        <v>156</v>
      </c>
      <c r="K321" s="25"/>
      <c r="L321" s="106">
        <v>47004</v>
      </c>
      <c r="M321" s="102">
        <f t="shared" ca="1" si="6"/>
        <v>605</v>
      </c>
      <c r="N321" s="109" t="s">
        <v>26</v>
      </c>
    </row>
    <row r="322" spans="1:14" ht="16.05" customHeight="1" x14ac:dyDescent="0.3">
      <c r="A322" s="4" t="s">
        <v>991</v>
      </c>
      <c r="B322" s="5" t="s">
        <v>992</v>
      </c>
      <c r="C322" s="6" t="s">
        <v>993</v>
      </c>
      <c r="D322" s="7"/>
      <c r="E322" s="8"/>
      <c r="F322" s="9">
        <v>0</v>
      </c>
      <c r="G322" s="10" t="s">
        <v>994</v>
      </c>
      <c r="H322" s="11">
        <v>1855</v>
      </c>
      <c r="I322" s="12" t="str">
        <f>IFERROR(H320+SUMPRODUCT((MOVIMIENTOS!$C$2:$C$5000=$A320)*(MOVIMIENTOS!$D$2:$D$5000=$G320)*(MOVIMIENTOS!$B$2:$B$5000="INGRESO")*MOVIMIENTOS!$E$2:$E$5000)-SUMPRODUCT((MOVIMIENTOS!$C$2:$C$5000=$A320)*(MOVIMIENTOS!$D$2:$D$5000=$G320)*(MOVIMIENTOS!$B$2:$B$5000="EGRESO")*MOVIMIENTOS!$E$2:$E$5000),"")</f>
        <v/>
      </c>
      <c r="J322" s="13" t="s">
        <v>37</v>
      </c>
      <c r="K322" s="13" t="s">
        <v>231</v>
      </c>
      <c r="L322" s="14">
        <v>46787</v>
      </c>
      <c r="M322" s="9">
        <f t="shared" ca="1" si="6"/>
        <v>877</v>
      </c>
      <c r="N322" s="15" t="s">
        <v>26</v>
      </c>
    </row>
    <row r="323" spans="1:14" ht="16.05" customHeight="1" x14ac:dyDescent="0.3">
      <c r="A323" s="16" t="s">
        <v>995</v>
      </c>
      <c r="B323" s="17" t="s">
        <v>996</v>
      </c>
      <c r="C323" s="18" t="s">
        <v>997</v>
      </c>
      <c r="D323" s="19"/>
      <c r="E323" s="20"/>
      <c r="F323" s="21">
        <v>0</v>
      </c>
      <c r="G323" s="22" t="s">
        <v>998</v>
      </c>
      <c r="H323" s="23">
        <v>1000</v>
      </c>
      <c r="I323" s="24" t="str">
        <f>IFERROR(H321+SUMPRODUCT((MOVIMIENTOS!$C$2:$C$5000=$A321)*(MOVIMIENTOS!$D$2:$D$5000=$G321)*(MOVIMIENTOS!$B$2:$B$5000="INGRESO")*MOVIMIENTOS!$E$2:$E$5000)-SUMPRODUCT((MOVIMIENTOS!$C$2:$C$5000=$A321)*(MOVIMIENTOS!$D$2:$D$5000=$G321)*(MOVIMIENTOS!$B$2:$B$5000="EGRESO")*MOVIMIENTOS!$E$2:$E$5000),"")</f>
        <v/>
      </c>
      <c r="J323" s="25" t="s">
        <v>143</v>
      </c>
      <c r="K323" s="25" t="s">
        <v>25</v>
      </c>
      <c r="L323" s="26">
        <v>46761</v>
      </c>
      <c r="M323" s="21">
        <f t="shared" ca="1" si="6"/>
        <v>878</v>
      </c>
      <c r="N323" s="27" t="s">
        <v>26</v>
      </c>
    </row>
    <row r="324" spans="1:14" ht="16.05" customHeight="1" x14ac:dyDescent="0.3">
      <c r="A324" s="4" t="s">
        <v>999</v>
      </c>
      <c r="B324" s="5" t="s">
        <v>1000</v>
      </c>
      <c r="C324" s="6" t="s">
        <v>1001</v>
      </c>
      <c r="D324" s="7"/>
      <c r="E324" s="8" t="s">
        <v>22</v>
      </c>
      <c r="F324" s="9">
        <v>0</v>
      </c>
      <c r="G324" s="10" t="s">
        <v>1002</v>
      </c>
      <c r="H324" s="11">
        <v>1000</v>
      </c>
      <c r="I324" s="12" t="str">
        <f>IFERROR(H322+SUMPRODUCT((MOVIMIENTOS!$C$2:$C$5000=$A322)*(MOVIMIENTOS!$D$2:$D$5000=$G322)*(MOVIMIENTOS!$B$2:$B$5000="INGRESO")*MOVIMIENTOS!$E$2:$E$5000)-SUMPRODUCT((MOVIMIENTOS!$C$2:$C$5000=$A322)*(MOVIMIENTOS!$D$2:$D$5000=$G322)*(MOVIMIENTOS!$B$2:$B$5000="EGRESO")*MOVIMIENTOS!$E$2:$E$5000),"")</f>
        <v/>
      </c>
      <c r="J324" s="13" t="s">
        <v>121</v>
      </c>
      <c r="K324" s="13" t="s">
        <v>72</v>
      </c>
      <c r="L324" s="14">
        <v>46529</v>
      </c>
      <c r="M324" s="9">
        <f t="shared" ca="1" si="6"/>
        <v>661</v>
      </c>
      <c r="N324" s="15" t="s">
        <v>26</v>
      </c>
    </row>
    <row r="325" spans="1:14" ht="16.05" customHeight="1" x14ac:dyDescent="0.3">
      <c r="A325" s="16" t="s">
        <v>1003</v>
      </c>
      <c r="B325" s="17" t="s">
        <v>1004</v>
      </c>
      <c r="C325" s="18" t="s">
        <v>1005</v>
      </c>
      <c r="D325" s="19"/>
      <c r="E325" s="20"/>
      <c r="F325" s="21">
        <v>0</v>
      </c>
      <c r="G325" s="22" t="s">
        <v>1006</v>
      </c>
      <c r="H325" s="23">
        <v>85</v>
      </c>
      <c r="I325" s="24" t="str">
        <f>IFERROR(H323+SUMPRODUCT((MOVIMIENTOS!$C$2:$C$5000=$A323)*(MOVIMIENTOS!$D$2:$D$5000=$G323)*(MOVIMIENTOS!$B$2:$B$5000="INGRESO")*MOVIMIENTOS!$E$2:$E$5000)-SUMPRODUCT((MOVIMIENTOS!$C$2:$C$5000=$A323)*(MOVIMIENTOS!$D$2:$D$5000=$G323)*(MOVIMIENTOS!$B$2:$B$5000="EGRESO")*MOVIMIENTOS!$E$2:$E$5000),"")</f>
        <v/>
      </c>
      <c r="J325" s="25" t="s">
        <v>37</v>
      </c>
      <c r="K325" s="25" t="s">
        <v>231</v>
      </c>
      <c r="L325" s="26">
        <v>46461</v>
      </c>
      <c r="M325" s="21">
        <f t="shared" ca="1" si="6"/>
        <v>635</v>
      </c>
      <c r="N325" s="27" t="s">
        <v>26</v>
      </c>
    </row>
    <row r="326" spans="1:14" ht="16.05" customHeight="1" x14ac:dyDescent="0.3">
      <c r="A326" s="4" t="s">
        <v>1003</v>
      </c>
      <c r="B326" s="5" t="s">
        <v>1004</v>
      </c>
      <c r="C326" s="6" t="s">
        <v>1005</v>
      </c>
      <c r="D326" s="7"/>
      <c r="E326" s="8" t="s">
        <v>52</v>
      </c>
      <c r="F326" s="9">
        <v>0</v>
      </c>
      <c r="G326" s="10" t="s">
        <v>1007</v>
      </c>
      <c r="H326" s="11">
        <v>1000</v>
      </c>
      <c r="I326" s="12" t="str">
        <f>IFERROR(H324+SUMPRODUCT((MOVIMIENTOS!$C$2:$C$5000=$A324)*(MOVIMIENTOS!$D$2:$D$5000=$G324)*(MOVIMIENTOS!$B$2:$B$5000="INGRESO")*MOVIMIENTOS!$E$2:$E$5000)-SUMPRODUCT((MOVIMIENTOS!$C$2:$C$5000=$A324)*(MOVIMIENTOS!$D$2:$D$5000=$G324)*(MOVIMIENTOS!$B$2:$B$5000="EGRESO")*MOVIMIENTOS!$E$2:$E$5000),"")</f>
        <v/>
      </c>
      <c r="J326" s="13" t="s">
        <v>240</v>
      </c>
      <c r="K326" s="13" t="s">
        <v>231</v>
      </c>
      <c r="L326" s="14">
        <v>46576</v>
      </c>
      <c r="M326" s="9">
        <f t="shared" ca="1" si="6"/>
        <v>403</v>
      </c>
      <c r="N326" s="15" t="s">
        <v>26</v>
      </c>
    </row>
    <row r="327" spans="1:14" ht="16.05" customHeight="1" x14ac:dyDescent="0.3">
      <c r="A327" s="16" t="s">
        <v>1008</v>
      </c>
      <c r="B327" s="17" t="s">
        <v>1009</v>
      </c>
      <c r="C327" s="18" t="s">
        <v>1010</v>
      </c>
      <c r="D327" s="19"/>
      <c r="E327" s="20"/>
      <c r="F327" s="21">
        <v>0</v>
      </c>
      <c r="G327" s="22" t="s">
        <v>1011</v>
      </c>
      <c r="H327" s="23">
        <v>1000</v>
      </c>
      <c r="I327" s="24" t="str">
        <f>IFERROR(H325+SUMPRODUCT((MOVIMIENTOS!$C$2:$C$5000=$A325)*(MOVIMIENTOS!$D$2:$D$5000=$G325)*(MOVIMIENTOS!$B$2:$B$5000="INGRESO")*MOVIMIENTOS!$E$2:$E$5000)-SUMPRODUCT((MOVIMIENTOS!$C$2:$C$5000=$A325)*(MOVIMIENTOS!$D$2:$D$5000=$G325)*(MOVIMIENTOS!$B$2:$B$5000="EGRESO")*MOVIMIENTOS!$E$2:$E$5000),"")</f>
        <v/>
      </c>
      <c r="J327" s="25" t="s">
        <v>37</v>
      </c>
      <c r="K327" s="25" t="s">
        <v>231</v>
      </c>
      <c r="L327" s="26">
        <v>46883</v>
      </c>
      <c r="M327" s="21">
        <f t="shared" ca="1" si="6"/>
        <v>335</v>
      </c>
      <c r="N327" s="27" t="s">
        <v>26</v>
      </c>
    </row>
    <row r="328" spans="1:14" ht="16.05" customHeight="1" x14ac:dyDescent="0.3">
      <c r="A328" s="4" t="s">
        <v>1012</v>
      </c>
      <c r="B328" s="5" t="s">
        <v>1013</v>
      </c>
      <c r="C328" s="6" t="s">
        <v>1014</v>
      </c>
      <c r="D328" s="7"/>
      <c r="E328" s="8" t="s">
        <v>22</v>
      </c>
      <c r="F328" s="9">
        <v>0</v>
      </c>
      <c r="G328" s="10" t="s">
        <v>1015</v>
      </c>
      <c r="H328" s="28"/>
      <c r="I328" s="12" t="str">
        <f>IFERROR(H326+SUMPRODUCT((MOVIMIENTOS!$C$2:$C$5000=$A326)*(MOVIMIENTOS!$D$2:$D$5000=$G326)*(MOVIMIENTOS!$B$2:$B$5000="INGRESO")*MOVIMIENTOS!$E$2:$E$5000)-SUMPRODUCT((MOVIMIENTOS!$C$2:$C$5000=$A326)*(MOVIMIENTOS!$D$2:$D$5000=$G326)*(MOVIMIENTOS!$B$2:$B$5000="EGRESO")*MOVIMIENTOS!$E$2:$E$5000),"")</f>
        <v/>
      </c>
      <c r="J328" s="13" t="s">
        <v>48</v>
      </c>
      <c r="K328" s="13"/>
      <c r="L328" s="14">
        <v>46709</v>
      </c>
      <c r="M328" s="9">
        <f t="shared" ca="1" si="6"/>
        <v>450</v>
      </c>
      <c r="N328" s="15" t="s">
        <v>26</v>
      </c>
    </row>
    <row r="329" spans="1:14" ht="16.05" customHeight="1" x14ac:dyDescent="0.3">
      <c r="A329" s="16" t="s">
        <v>1016</v>
      </c>
      <c r="B329" s="17" t="s">
        <v>1017</v>
      </c>
      <c r="C329" s="18" t="s">
        <v>1018</v>
      </c>
      <c r="D329" s="19"/>
      <c r="E329" s="20" t="s">
        <v>22</v>
      </c>
      <c r="F329" s="21">
        <v>0</v>
      </c>
      <c r="G329" s="22" t="s">
        <v>1019</v>
      </c>
      <c r="H329" s="29"/>
      <c r="I329" s="24" t="str">
        <f>IFERROR(H327+SUMPRODUCT((MOVIMIENTOS!$C$2:$C$5000=$A327)*(MOVIMIENTOS!$D$2:$D$5000=$G327)*(MOVIMIENTOS!$B$2:$B$5000="INGRESO")*MOVIMIENTOS!$E$2:$E$5000)-SUMPRODUCT((MOVIMIENTOS!$C$2:$C$5000=$A327)*(MOVIMIENTOS!$D$2:$D$5000=$G327)*(MOVIMIENTOS!$B$2:$B$5000="EGRESO")*MOVIMIENTOS!$E$2:$E$5000),"")</f>
        <v/>
      </c>
      <c r="J329" s="25" t="s">
        <v>48</v>
      </c>
      <c r="K329" s="25"/>
      <c r="L329" s="26">
        <v>46565</v>
      </c>
      <c r="M329" s="21">
        <f t="shared" ca="1" si="6"/>
        <v>757</v>
      </c>
      <c r="N329" s="27" t="s">
        <v>26</v>
      </c>
    </row>
    <row r="330" spans="1:14" ht="16.05" customHeight="1" x14ac:dyDescent="0.3">
      <c r="A330" s="4" t="s">
        <v>1020</v>
      </c>
      <c r="B330" s="5" t="s">
        <v>1021</v>
      </c>
      <c r="C330" s="6" t="s">
        <v>1022</v>
      </c>
      <c r="D330" s="7"/>
      <c r="E330" s="8" t="s">
        <v>22</v>
      </c>
      <c r="F330" s="9">
        <v>0</v>
      </c>
      <c r="G330" s="10" t="s">
        <v>1023</v>
      </c>
      <c r="H330" s="11">
        <v>16.7</v>
      </c>
      <c r="I330" s="12" t="str">
        <f>IFERROR(H328+SUMPRODUCT((MOVIMIENTOS!$C$2:$C$5000=$A328)*(MOVIMIENTOS!$D$2:$D$5000=$G328)*(MOVIMIENTOS!$B$2:$B$5000="INGRESO")*MOVIMIENTOS!$E$2:$E$5000)-SUMPRODUCT((MOVIMIENTOS!$C$2:$C$5000=$A328)*(MOVIMIENTOS!$D$2:$D$5000=$G328)*(MOVIMIENTOS!$B$2:$B$5000="EGRESO")*MOVIMIENTOS!$E$2:$E$5000),"")</f>
        <v/>
      </c>
      <c r="J330" s="13" t="s">
        <v>48</v>
      </c>
      <c r="K330" s="13"/>
      <c r="L330" s="14">
        <v>46722</v>
      </c>
      <c r="M330" s="9">
        <f t="shared" ca="1" si="6"/>
        <v>583</v>
      </c>
      <c r="N330" s="15" t="s">
        <v>26</v>
      </c>
    </row>
    <row r="331" spans="1:14" ht="16.05" customHeight="1" x14ac:dyDescent="0.3">
      <c r="A331" s="16" t="s">
        <v>1024</v>
      </c>
      <c r="B331" s="17" t="s">
        <v>1025</v>
      </c>
      <c r="C331" s="18" t="s">
        <v>1026</v>
      </c>
      <c r="D331" s="19"/>
      <c r="E331" s="20" t="s">
        <v>22</v>
      </c>
      <c r="F331" s="21">
        <v>0</v>
      </c>
      <c r="G331" s="22" t="s">
        <v>1027</v>
      </c>
      <c r="H331" s="29"/>
      <c r="I331" s="24" t="str">
        <f>IFERROR(H329+SUMPRODUCT((MOVIMIENTOS!$C$2:$C$5000=$A329)*(MOVIMIENTOS!$D$2:$D$5000=$G329)*(MOVIMIENTOS!$B$2:$B$5000="INGRESO")*MOVIMIENTOS!$E$2:$E$5000)-SUMPRODUCT((MOVIMIENTOS!$C$2:$C$5000=$A329)*(MOVIMIENTOS!$D$2:$D$5000=$G329)*(MOVIMIENTOS!$B$2:$B$5000="EGRESO")*MOVIMIENTOS!$E$2:$E$5000),"")</f>
        <v/>
      </c>
      <c r="J331" s="25" t="s">
        <v>48</v>
      </c>
      <c r="K331" s="25"/>
      <c r="L331" s="26">
        <v>46658</v>
      </c>
      <c r="M331" s="21">
        <f t="shared" ca="1" si="6"/>
        <v>439</v>
      </c>
      <c r="N331" s="27" t="s">
        <v>26</v>
      </c>
    </row>
    <row r="332" spans="1:14" ht="16.05" customHeight="1" x14ac:dyDescent="0.3">
      <c r="A332" s="4" t="s">
        <v>1024</v>
      </c>
      <c r="B332" s="5" t="s">
        <v>1025</v>
      </c>
      <c r="C332" s="6" t="s">
        <v>1026</v>
      </c>
      <c r="D332" s="7"/>
      <c r="E332" s="8" t="s">
        <v>22</v>
      </c>
      <c r="F332" s="9">
        <v>0</v>
      </c>
      <c r="G332" s="10" t="s">
        <v>171</v>
      </c>
      <c r="H332" s="11">
        <v>15</v>
      </c>
      <c r="I332" s="12" t="str">
        <f>IFERROR(H330+SUMPRODUCT((MOVIMIENTOS!$C$2:$C$5000=$A330)*(MOVIMIENTOS!$D$2:$D$5000=$G330)*(MOVIMIENTOS!$B$2:$B$5000="INGRESO")*MOVIMIENTOS!$E$2:$E$5000)-SUMPRODUCT((MOVIMIENTOS!$C$2:$C$5000=$A330)*(MOVIMIENTOS!$D$2:$D$5000=$G330)*(MOVIMIENTOS!$B$2:$B$5000="EGRESO")*MOVIMIENTOS!$E$2:$E$5000),"")</f>
        <v/>
      </c>
      <c r="J332" s="13" t="s">
        <v>48</v>
      </c>
      <c r="K332" s="13"/>
      <c r="L332" s="14">
        <v>46741</v>
      </c>
      <c r="M332" s="9">
        <f t="shared" ca="1" si="6"/>
        <v>596</v>
      </c>
      <c r="N332" s="15" t="s">
        <v>26</v>
      </c>
    </row>
    <row r="333" spans="1:14" ht="16.05" customHeight="1" x14ac:dyDescent="0.3">
      <c r="A333" s="16" t="s">
        <v>1028</v>
      </c>
      <c r="B333" s="17" t="s">
        <v>1029</v>
      </c>
      <c r="C333" s="18" t="s">
        <v>1030</v>
      </c>
      <c r="D333" s="19"/>
      <c r="E333" s="20" t="s">
        <v>141</v>
      </c>
      <c r="F333" s="21">
        <v>0</v>
      </c>
      <c r="G333" s="22" t="s">
        <v>1031</v>
      </c>
      <c r="H333" s="29"/>
      <c r="I333" s="24" t="str">
        <f>IFERROR(H331+SUMPRODUCT((MOVIMIENTOS!$C$2:$C$5000=$A331)*(MOVIMIENTOS!$D$2:$D$5000=$G331)*(MOVIMIENTOS!$B$2:$B$5000="INGRESO")*MOVIMIENTOS!$E$2:$E$5000)-SUMPRODUCT((MOVIMIENTOS!$C$2:$C$5000=$A331)*(MOVIMIENTOS!$D$2:$D$5000=$G331)*(MOVIMIENTOS!$B$2:$B$5000="EGRESO")*MOVIMIENTOS!$E$2:$E$5000),"")</f>
        <v/>
      </c>
      <c r="J333" s="25" t="s">
        <v>143</v>
      </c>
      <c r="K333" s="25" t="s">
        <v>115</v>
      </c>
      <c r="L333" s="25"/>
      <c r="M333" s="21">
        <f t="shared" ca="1" si="6"/>
        <v>532</v>
      </c>
      <c r="N333" s="30"/>
    </row>
    <row r="334" spans="1:14" ht="16.05" customHeight="1" x14ac:dyDescent="0.3">
      <c r="A334" s="4" t="s">
        <v>1028</v>
      </c>
      <c r="B334" s="5" t="s">
        <v>1029</v>
      </c>
      <c r="C334" s="6" t="s">
        <v>1030</v>
      </c>
      <c r="D334" s="7"/>
      <c r="E334" s="8" t="s">
        <v>141</v>
      </c>
      <c r="F334" s="9">
        <v>0</v>
      </c>
      <c r="G334" s="10" t="s">
        <v>1032</v>
      </c>
      <c r="H334" s="28"/>
      <c r="I334" s="12" t="str">
        <f>IFERROR(H332+SUMPRODUCT((MOVIMIENTOS!$C$2:$C$5000=$A332)*(MOVIMIENTOS!$D$2:$D$5000=$G332)*(MOVIMIENTOS!$B$2:$B$5000="INGRESO")*MOVIMIENTOS!$E$2:$E$5000)-SUMPRODUCT((MOVIMIENTOS!$C$2:$C$5000=$A332)*(MOVIMIENTOS!$D$2:$D$5000=$G332)*(MOVIMIENTOS!$B$2:$B$5000="EGRESO")*MOVIMIENTOS!$E$2:$E$5000),"")</f>
        <v/>
      </c>
      <c r="J334" s="13" t="s">
        <v>143</v>
      </c>
      <c r="K334" s="13" t="s">
        <v>115</v>
      </c>
      <c r="L334" s="13"/>
      <c r="M334" s="9">
        <f t="shared" ca="1" si="6"/>
        <v>615</v>
      </c>
      <c r="N334" s="31"/>
    </row>
    <row r="335" spans="1:14" ht="16.05" customHeight="1" x14ac:dyDescent="0.3">
      <c r="A335" s="32" t="s">
        <v>1033</v>
      </c>
      <c r="B335" s="33" t="s">
        <v>1034</v>
      </c>
      <c r="C335" s="34" t="s">
        <v>1035</v>
      </c>
      <c r="D335" s="35"/>
      <c r="E335" s="36"/>
      <c r="F335" s="37">
        <v>0</v>
      </c>
      <c r="G335" s="38" t="s">
        <v>1036</v>
      </c>
      <c r="H335" s="39"/>
      <c r="I335" s="40" t="str">
        <f>IFERROR(H333+SUMPRODUCT((MOVIMIENTOS!$C$2:$C$5000=$A333)*(MOVIMIENTOS!$D$2:$D$5000=$G333)*(MOVIMIENTOS!$B$2:$B$5000="INGRESO")*MOVIMIENTOS!$E$2:$E$5000)-SUMPRODUCT((MOVIMIENTOS!$C$2:$C$5000=$A333)*(MOVIMIENTOS!$D$2:$D$5000=$G333)*(MOVIMIENTOS!$B$2:$B$5000="EGRESO")*MOVIMIENTOS!$E$2:$E$5000),"")</f>
        <v/>
      </c>
      <c r="J335" s="41" t="s">
        <v>42</v>
      </c>
      <c r="K335" s="41" t="s">
        <v>72</v>
      </c>
      <c r="L335" s="42">
        <v>46084</v>
      </c>
      <c r="M335" s="37" t="str">
        <f t="shared" ca="1" si="6"/>
        <v/>
      </c>
      <c r="N335" s="43" t="s">
        <v>130</v>
      </c>
    </row>
    <row r="336" spans="1:14" ht="16.05" customHeight="1" x14ac:dyDescent="0.3">
      <c r="A336" s="4" t="s">
        <v>1037</v>
      </c>
      <c r="B336" s="5" t="s">
        <v>1038</v>
      </c>
      <c r="C336" s="6" t="s">
        <v>1039</v>
      </c>
      <c r="D336" s="7"/>
      <c r="E336" s="8" t="s">
        <v>52</v>
      </c>
      <c r="F336" s="9">
        <v>0</v>
      </c>
      <c r="G336" s="10" t="s">
        <v>1040</v>
      </c>
      <c r="H336" s="11">
        <v>1000</v>
      </c>
      <c r="I336" s="12" t="str">
        <f>IFERROR(H334+SUMPRODUCT((MOVIMIENTOS!$C$2:$C$5000=$A334)*(MOVIMIENTOS!$D$2:$D$5000=$G334)*(MOVIMIENTOS!$B$2:$B$5000="INGRESO")*MOVIMIENTOS!$E$2:$E$5000)-SUMPRODUCT((MOVIMIENTOS!$C$2:$C$5000=$A334)*(MOVIMIENTOS!$D$2:$D$5000=$G334)*(MOVIMIENTOS!$B$2:$B$5000="EGRESO")*MOVIMIENTOS!$E$2:$E$5000),"")</f>
        <v/>
      </c>
      <c r="J336" s="13" t="s">
        <v>240</v>
      </c>
      <c r="K336" s="13" t="s">
        <v>72</v>
      </c>
      <c r="L336" s="14">
        <v>46569</v>
      </c>
      <c r="M336" s="9" t="str">
        <f t="shared" ca="1" si="6"/>
        <v/>
      </c>
      <c r="N336" s="15" t="s">
        <v>26</v>
      </c>
    </row>
    <row r="337" spans="1:14" ht="16.05" customHeight="1" x14ac:dyDescent="0.3">
      <c r="A337" s="16" t="s">
        <v>1041</v>
      </c>
      <c r="B337" s="17" t="s">
        <v>1042</v>
      </c>
      <c r="C337" s="18" t="s">
        <v>1043</v>
      </c>
      <c r="D337" s="19"/>
      <c r="E337" s="20"/>
      <c r="F337" s="21">
        <v>0</v>
      </c>
      <c r="G337" s="22" t="s">
        <v>1044</v>
      </c>
      <c r="H337" s="23">
        <v>900</v>
      </c>
      <c r="I337" s="24" t="str">
        <f>IFERROR(H335+SUMPRODUCT((MOVIMIENTOS!$C$2:$C$5000=$A335)*(MOVIMIENTOS!$D$2:$D$5000=$G335)*(MOVIMIENTOS!$B$2:$B$5000="INGRESO")*MOVIMIENTOS!$E$2:$E$5000)-SUMPRODUCT((MOVIMIENTOS!$C$2:$C$5000=$A335)*(MOVIMIENTOS!$D$2:$D$5000=$G335)*(MOVIMIENTOS!$B$2:$B$5000="EGRESO")*MOVIMIENTOS!$E$2:$E$5000),"")</f>
        <v/>
      </c>
      <c r="J337" s="25" t="s">
        <v>42</v>
      </c>
      <c r="K337" s="25" t="s">
        <v>231</v>
      </c>
      <c r="L337" s="26">
        <v>46478</v>
      </c>
      <c r="M337" s="21">
        <f t="shared" ca="1" si="6"/>
        <v>-42</v>
      </c>
      <c r="N337" s="27" t="s">
        <v>26</v>
      </c>
    </row>
    <row r="338" spans="1:14" ht="16.05" customHeight="1" x14ac:dyDescent="0.3">
      <c r="A338" s="4" t="s">
        <v>1045</v>
      </c>
      <c r="B338" s="5" t="s">
        <v>1046</v>
      </c>
      <c r="C338" s="6" t="s">
        <v>1047</v>
      </c>
      <c r="D338" s="7"/>
      <c r="E338" s="8" t="s">
        <v>52</v>
      </c>
      <c r="F338" s="9">
        <v>0</v>
      </c>
      <c r="G338" s="10" t="s">
        <v>451</v>
      </c>
      <c r="H338" s="11">
        <v>990</v>
      </c>
      <c r="I338" s="12" t="str">
        <f>IFERROR(H336+SUMPRODUCT((MOVIMIENTOS!$C$2:$C$5000=$A336)*(MOVIMIENTOS!$D$2:$D$5000=$G336)*(MOVIMIENTOS!$B$2:$B$5000="INGRESO")*MOVIMIENTOS!$E$2:$E$5000)-SUMPRODUCT((MOVIMIENTOS!$C$2:$C$5000=$A336)*(MOVIMIENTOS!$D$2:$D$5000=$G336)*(MOVIMIENTOS!$B$2:$B$5000="EGRESO")*MOVIMIENTOS!$E$2:$E$5000),"")</f>
        <v/>
      </c>
      <c r="J338" s="13" t="s">
        <v>121</v>
      </c>
      <c r="K338" s="13" t="s">
        <v>72</v>
      </c>
      <c r="L338" s="14">
        <v>46543</v>
      </c>
      <c r="M338" s="9">
        <f t="shared" ref="M338:M369" ca="1" si="7">IF(L336="","",L336-TODAY())</f>
        <v>443</v>
      </c>
      <c r="N338" s="15" t="s">
        <v>26</v>
      </c>
    </row>
    <row r="339" spans="1:14" ht="16.05" customHeight="1" x14ac:dyDescent="0.3">
      <c r="A339" s="16" t="s">
        <v>1048</v>
      </c>
      <c r="B339" s="17" t="s">
        <v>1049</v>
      </c>
      <c r="C339" s="18" t="s">
        <v>1050</v>
      </c>
      <c r="D339" s="19"/>
      <c r="E339" s="20" t="s">
        <v>52</v>
      </c>
      <c r="F339" s="21">
        <v>0</v>
      </c>
      <c r="G339" s="22" t="s">
        <v>1051</v>
      </c>
      <c r="H339" s="23">
        <v>36.200000000000003</v>
      </c>
      <c r="I339" s="24" t="str">
        <f>IFERROR(H337+SUMPRODUCT((MOVIMIENTOS!$C$2:$C$5000=$A337)*(MOVIMIENTOS!$D$2:$D$5000=$G337)*(MOVIMIENTOS!$B$2:$B$5000="INGRESO")*MOVIMIENTOS!$E$2:$E$5000)-SUMPRODUCT((MOVIMIENTOS!$C$2:$C$5000=$A337)*(MOVIMIENTOS!$D$2:$D$5000=$G337)*(MOVIMIENTOS!$B$2:$B$5000="EGRESO")*MOVIMIENTOS!$E$2:$E$5000),"")</f>
        <v/>
      </c>
      <c r="J339" s="25" t="s">
        <v>48</v>
      </c>
      <c r="K339" s="25"/>
      <c r="L339" s="26">
        <v>46469</v>
      </c>
      <c r="M339" s="21">
        <f t="shared" ca="1" si="7"/>
        <v>352</v>
      </c>
      <c r="N339" s="27" t="s">
        <v>26</v>
      </c>
    </row>
    <row r="340" spans="1:14" ht="16.05" customHeight="1" x14ac:dyDescent="0.3">
      <c r="A340" s="4" t="s">
        <v>1052</v>
      </c>
      <c r="B340" s="5" t="s">
        <v>1053</v>
      </c>
      <c r="C340" s="6" t="s">
        <v>1054</v>
      </c>
      <c r="D340" s="7"/>
      <c r="E340" s="8" t="s">
        <v>52</v>
      </c>
      <c r="F340" s="9">
        <v>0</v>
      </c>
      <c r="G340" s="10" t="s">
        <v>1055</v>
      </c>
      <c r="H340" s="28"/>
      <c r="I340" s="12" t="str">
        <f>IFERROR(H338+SUMPRODUCT((MOVIMIENTOS!$C$2:$C$5000=$A338)*(MOVIMIENTOS!$D$2:$D$5000=$G338)*(MOVIMIENTOS!$B$2:$B$5000="INGRESO")*MOVIMIENTOS!$E$2:$E$5000)-SUMPRODUCT((MOVIMIENTOS!$C$2:$C$5000=$A338)*(MOVIMIENTOS!$D$2:$D$5000=$G338)*(MOVIMIENTOS!$B$2:$B$5000="EGRESO")*MOVIMIENTOS!$E$2:$E$5000),"")</f>
        <v/>
      </c>
      <c r="J340" s="13" t="s">
        <v>48</v>
      </c>
      <c r="K340" s="13"/>
      <c r="L340" s="14">
        <v>46459</v>
      </c>
      <c r="M340" s="9">
        <f t="shared" ca="1" si="7"/>
        <v>417</v>
      </c>
      <c r="N340" s="15" t="s">
        <v>26</v>
      </c>
    </row>
    <row r="341" spans="1:14" ht="16.05" customHeight="1" x14ac:dyDescent="0.3">
      <c r="A341" s="16" t="s">
        <v>1052</v>
      </c>
      <c r="B341" s="17" t="s">
        <v>1053</v>
      </c>
      <c r="C341" s="18" t="s">
        <v>1054</v>
      </c>
      <c r="D341" s="19"/>
      <c r="E341" s="20" t="s">
        <v>52</v>
      </c>
      <c r="F341" s="21">
        <v>0</v>
      </c>
      <c r="G341" s="22" t="s">
        <v>1056</v>
      </c>
      <c r="H341" s="23">
        <v>41.5</v>
      </c>
      <c r="I341" s="24" t="str">
        <f>IFERROR(H339+SUMPRODUCT((MOVIMIENTOS!$C$2:$C$5000=$A339)*(MOVIMIENTOS!$D$2:$D$5000=$G339)*(MOVIMIENTOS!$B$2:$B$5000="INGRESO")*MOVIMIENTOS!$E$2:$E$5000)-SUMPRODUCT((MOVIMIENTOS!$C$2:$C$5000=$A339)*(MOVIMIENTOS!$D$2:$D$5000=$G339)*(MOVIMIENTOS!$B$2:$B$5000="EGRESO")*MOVIMIENTOS!$E$2:$E$5000),"")</f>
        <v/>
      </c>
      <c r="J341" s="25" t="s">
        <v>48</v>
      </c>
      <c r="K341" s="25"/>
      <c r="L341" s="26">
        <v>46759</v>
      </c>
      <c r="M341" s="21">
        <f t="shared" ca="1" si="7"/>
        <v>343</v>
      </c>
      <c r="N341" s="27" t="s">
        <v>26</v>
      </c>
    </row>
    <row r="342" spans="1:14" ht="16.05" customHeight="1" x14ac:dyDescent="0.3">
      <c r="A342" s="4" t="s">
        <v>1057</v>
      </c>
      <c r="B342" s="5" t="s">
        <v>1058</v>
      </c>
      <c r="C342" s="6" t="s">
        <v>1059</v>
      </c>
      <c r="D342" s="7"/>
      <c r="E342" s="8" t="s">
        <v>52</v>
      </c>
      <c r="F342" s="9">
        <v>0</v>
      </c>
      <c r="G342" s="10" t="s">
        <v>1060</v>
      </c>
      <c r="H342" s="11">
        <v>97.2</v>
      </c>
      <c r="I342" s="12" t="str">
        <f>IFERROR(H340+SUMPRODUCT((MOVIMIENTOS!$C$2:$C$5000=$A340)*(MOVIMIENTOS!$D$2:$D$5000=$G340)*(MOVIMIENTOS!$B$2:$B$5000="INGRESO")*MOVIMIENTOS!$E$2:$E$5000)-SUMPRODUCT((MOVIMIENTOS!$C$2:$C$5000=$A340)*(MOVIMIENTOS!$D$2:$D$5000=$G340)*(MOVIMIENTOS!$B$2:$B$5000="EGRESO")*MOVIMIENTOS!$E$2:$E$5000),"")</f>
        <v/>
      </c>
      <c r="J342" s="13" t="s">
        <v>48</v>
      </c>
      <c r="K342" s="13"/>
      <c r="L342" s="14">
        <v>46448</v>
      </c>
      <c r="M342" s="9">
        <f t="shared" ca="1" si="7"/>
        <v>333</v>
      </c>
      <c r="N342" s="15" t="s">
        <v>26</v>
      </c>
    </row>
    <row r="343" spans="1:14" ht="16.05" customHeight="1" x14ac:dyDescent="0.3">
      <c r="A343" s="16" t="s">
        <v>1061</v>
      </c>
      <c r="B343" s="17" t="s">
        <v>1062</v>
      </c>
      <c r="C343" s="18" t="s">
        <v>1063</v>
      </c>
      <c r="D343" s="19"/>
      <c r="E343" s="20" t="s">
        <v>52</v>
      </c>
      <c r="F343" s="21">
        <v>0</v>
      </c>
      <c r="G343" s="22" t="s">
        <v>1064</v>
      </c>
      <c r="H343" s="23">
        <v>109.3</v>
      </c>
      <c r="I343" s="24" t="str">
        <f>IFERROR(H341+SUMPRODUCT((MOVIMIENTOS!$C$2:$C$5000=$A341)*(MOVIMIENTOS!$D$2:$D$5000=$G341)*(MOVIMIENTOS!$B$2:$B$5000="INGRESO")*MOVIMIENTOS!$E$2:$E$5000)-SUMPRODUCT((MOVIMIENTOS!$C$2:$C$5000=$A341)*(MOVIMIENTOS!$D$2:$D$5000=$G341)*(MOVIMIENTOS!$B$2:$B$5000="EGRESO")*MOVIMIENTOS!$E$2:$E$5000),"")</f>
        <v/>
      </c>
      <c r="J343" s="25" t="s">
        <v>48</v>
      </c>
      <c r="K343" s="25"/>
      <c r="L343" s="26">
        <v>46616</v>
      </c>
      <c r="M343" s="21">
        <f t="shared" ca="1" si="7"/>
        <v>633</v>
      </c>
      <c r="N343" s="27" t="s">
        <v>26</v>
      </c>
    </row>
    <row r="344" spans="1:14" ht="16.05" customHeight="1" x14ac:dyDescent="0.3">
      <c r="A344" s="4" t="s">
        <v>1065</v>
      </c>
      <c r="B344" s="5" t="s">
        <v>1066</v>
      </c>
      <c r="C344" s="6" t="s">
        <v>1067</v>
      </c>
      <c r="D344" s="7"/>
      <c r="E344" s="8"/>
      <c r="F344" s="9">
        <v>0</v>
      </c>
      <c r="G344" s="10" t="s">
        <v>1068</v>
      </c>
      <c r="H344" s="11">
        <v>9321.4</v>
      </c>
      <c r="I344" s="12" t="str">
        <f>IFERROR(H342+SUMPRODUCT((MOVIMIENTOS!$C$2:$C$5000=$A342)*(MOVIMIENTOS!$D$2:$D$5000=$G342)*(MOVIMIENTOS!$B$2:$B$5000="INGRESO")*MOVIMIENTOS!$E$2:$E$5000)-SUMPRODUCT((MOVIMIENTOS!$C$2:$C$5000=$A342)*(MOVIMIENTOS!$D$2:$D$5000=$G342)*(MOVIMIENTOS!$B$2:$B$5000="EGRESO")*MOVIMIENTOS!$E$2:$E$5000),"")</f>
        <v/>
      </c>
      <c r="J344" s="13" t="s">
        <v>114</v>
      </c>
      <c r="K344" s="13" t="s">
        <v>115</v>
      </c>
      <c r="L344" s="14">
        <v>46840</v>
      </c>
      <c r="M344" s="9">
        <f t="shared" ca="1" si="7"/>
        <v>322</v>
      </c>
      <c r="N344" s="15" t="s">
        <v>26</v>
      </c>
    </row>
    <row r="345" spans="1:14" ht="16.05" customHeight="1" x14ac:dyDescent="0.3">
      <c r="A345" s="16" t="s">
        <v>1069</v>
      </c>
      <c r="B345" s="17" t="s">
        <v>1070</v>
      </c>
      <c r="C345" s="18" t="s">
        <v>1071</v>
      </c>
      <c r="D345" s="19"/>
      <c r="E345" s="20"/>
      <c r="F345" s="21">
        <v>0</v>
      </c>
      <c r="G345" s="22" t="s">
        <v>1072</v>
      </c>
      <c r="H345" s="23">
        <v>3740000</v>
      </c>
      <c r="I345" s="24" t="str">
        <f>IFERROR(H343+SUMPRODUCT((MOVIMIENTOS!$C$2:$C$5000=$A343)*(MOVIMIENTOS!$D$2:$D$5000=$G343)*(MOVIMIENTOS!$B$2:$B$5000="INGRESO")*MOVIMIENTOS!$E$2:$E$5000)-SUMPRODUCT((MOVIMIENTOS!$C$2:$C$5000=$A343)*(MOVIMIENTOS!$D$2:$D$5000=$G343)*(MOVIMIENTOS!$B$2:$B$5000="EGRESO")*MOVIMIENTOS!$E$2:$E$5000),"")</f>
        <v/>
      </c>
      <c r="J345" s="25" t="s">
        <v>240</v>
      </c>
      <c r="K345" s="25" t="s">
        <v>158</v>
      </c>
      <c r="L345" s="26">
        <v>46381</v>
      </c>
      <c r="M345" s="21">
        <f t="shared" ca="1" si="7"/>
        <v>490</v>
      </c>
      <c r="N345" s="27" t="s">
        <v>26</v>
      </c>
    </row>
    <row r="346" spans="1:14" ht="16.05" customHeight="1" x14ac:dyDescent="0.3">
      <c r="A346" s="43" t="s">
        <v>1073</v>
      </c>
      <c r="B346" s="33" t="s">
        <v>1074</v>
      </c>
      <c r="C346" s="34" t="s">
        <v>1075</v>
      </c>
      <c r="D346" s="35"/>
      <c r="E346" s="36" t="s">
        <v>1076</v>
      </c>
      <c r="F346" s="37">
        <v>0</v>
      </c>
      <c r="G346" s="38" t="s">
        <v>1077</v>
      </c>
      <c r="H346" s="83">
        <v>1440000</v>
      </c>
      <c r="I346" s="40" t="str">
        <f>IFERROR(H344+SUMPRODUCT((MOVIMIENTOS!$C$2:$C$5000=$A344)*(MOVIMIENTOS!$D$2:$D$5000=$G344)*(MOVIMIENTOS!$B$2:$B$5000="INGRESO")*MOVIMIENTOS!$E$2:$E$5000)-SUMPRODUCT((MOVIMIENTOS!$C$2:$C$5000=$A344)*(MOVIMIENTOS!$D$2:$D$5000=$G344)*(MOVIMIENTOS!$B$2:$B$5000="EGRESO")*MOVIMIENTOS!$E$2:$E$5000),"")</f>
        <v/>
      </c>
      <c r="J346" s="41" t="s">
        <v>143</v>
      </c>
      <c r="K346" s="41" t="s">
        <v>1078</v>
      </c>
      <c r="L346" s="42">
        <v>46417</v>
      </c>
      <c r="M346" s="37">
        <f t="shared" ca="1" si="7"/>
        <v>714</v>
      </c>
      <c r="N346" s="43" t="s">
        <v>26</v>
      </c>
    </row>
    <row r="347" spans="1:14" ht="16.05" customHeight="1" x14ac:dyDescent="0.3">
      <c r="A347" s="16" t="s">
        <v>1079</v>
      </c>
      <c r="B347" s="17" t="s">
        <v>1080</v>
      </c>
      <c r="C347" s="18" t="s">
        <v>1081</v>
      </c>
      <c r="D347" s="19"/>
      <c r="E347" s="20" t="s">
        <v>52</v>
      </c>
      <c r="F347" s="21">
        <v>0</v>
      </c>
      <c r="G347" s="22" t="s">
        <v>1082</v>
      </c>
      <c r="H347" s="23">
        <v>270</v>
      </c>
      <c r="I347" s="24" t="str">
        <f>IFERROR(H345+SUMPRODUCT((MOVIMIENTOS!$C$2:$C$5000=$A345)*(MOVIMIENTOS!$D$2:$D$5000=$G345)*(MOVIMIENTOS!$B$2:$B$5000="INGRESO")*MOVIMIENTOS!$E$2:$E$5000)-SUMPRODUCT((MOVIMIENTOS!$C$2:$C$5000=$A345)*(MOVIMIENTOS!$D$2:$D$5000=$G345)*(MOVIMIENTOS!$B$2:$B$5000="EGRESO")*MOVIMIENTOS!$E$2:$E$5000),"")</f>
        <v/>
      </c>
      <c r="J347" s="25" t="s">
        <v>31</v>
      </c>
      <c r="K347" s="25" t="s">
        <v>158</v>
      </c>
      <c r="L347" s="26">
        <v>46328</v>
      </c>
      <c r="M347" s="21">
        <f t="shared" ca="1" si="7"/>
        <v>255</v>
      </c>
      <c r="N347" s="27" t="s">
        <v>26</v>
      </c>
    </row>
    <row r="348" spans="1:14" ht="16.05" customHeight="1" x14ac:dyDescent="0.3">
      <c r="A348" s="4" t="s">
        <v>1083</v>
      </c>
      <c r="B348" s="5" t="s">
        <v>1074</v>
      </c>
      <c r="C348" s="6" t="s">
        <v>1084</v>
      </c>
      <c r="D348" s="7"/>
      <c r="E348" s="8"/>
      <c r="F348" s="9">
        <v>0</v>
      </c>
      <c r="G348" s="10" t="s">
        <v>1085</v>
      </c>
      <c r="H348" s="11">
        <v>1562</v>
      </c>
      <c r="I348" s="12" t="str">
        <f>IFERROR(H346+SUMPRODUCT((MOVIMIENTOS!$C$2:$C$5000=$A346)*(MOVIMIENTOS!$D$2:$D$5000=$G346)*(MOVIMIENTOS!$B$2:$B$5000="INGRESO")*MOVIMIENTOS!$E$2:$E$5000)-SUMPRODUCT((MOVIMIENTOS!$C$2:$C$5000=$A346)*(MOVIMIENTOS!$D$2:$D$5000=$G346)*(MOVIMIENTOS!$B$2:$B$5000="EGRESO")*MOVIMIENTOS!$E$2:$E$5000),"")</f>
        <v/>
      </c>
      <c r="J348" s="13" t="s">
        <v>163</v>
      </c>
      <c r="K348" s="13" t="s">
        <v>231</v>
      </c>
      <c r="L348" s="14">
        <v>47383</v>
      </c>
      <c r="M348" s="9">
        <f t="shared" ca="1" si="7"/>
        <v>291</v>
      </c>
      <c r="N348" s="15" t="s">
        <v>26</v>
      </c>
    </row>
    <row r="349" spans="1:14" ht="16.05" customHeight="1" x14ac:dyDescent="0.3">
      <c r="A349" s="16" t="s">
        <v>1086</v>
      </c>
      <c r="B349" s="17" t="s">
        <v>271</v>
      </c>
      <c r="C349" s="18" t="s">
        <v>1087</v>
      </c>
      <c r="D349" s="19"/>
      <c r="E349" s="20"/>
      <c r="F349" s="21">
        <v>0</v>
      </c>
      <c r="G349" s="22" t="s">
        <v>1088</v>
      </c>
      <c r="H349" s="23">
        <v>312</v>
      </c>
      <c r="I349" s="24" t="str">
        <f>IFERROR(H347+SUMPRODUCT((MOVIMIENTOS!$C$2:$C$5000=$A347)*(MOVIMIENTOS!$D$2:$D$5000=$G347)*(MOVIMIENTOS!$B$2:$B$5000="INGRESO")*MOVIMIENTOS!$E$2:$E$5000)-SUMPRODUCT((MOVIMIENTOS!$C$2:$C$5000=$A347)*(MOVIMIENTOS!$D$2:$D$5000=$G347)*(MOVIMIENTOS!$B$2:$B$5000="EGRESO")*MOVIMIENTOS!$E$2:$E$5000),"")</f>
        <v/>
      </c>
      <c r="J349" s="25" t="s">
        <v>42</v>
      </c>
      <c r="K349" s="25" t="s">
        <v>158</v>
      </c>
      <c r="L349" s="26">
        <v>47714</v>
      </c>
      <c r="M349" s="21">
        <f t="shared" ca="1" si="7"/>
        <v>202</v>
      </c>
      <c r="N349" s="27" t="s">
        <v>26</v>
      </c>
    </row>
    <row r="350" spans="1:14" ht="16.05" customHeight="1" x14ac:dyDescent="0.3">
      <c r="A350" s="4" t="s">
        <v>1086</v>
      </c>
      <c r="B350" s="5" t="s">
        <v>271</v>
      </c>
      <c r="C350" s="6" t="s">
        <v>1087</v>
      </c>
      <c r="D350" s="7"/>
      <c r="E350" s="8"/>
      <c r="F350" s="9">
        <v>0</v>
      </c>
      <c r="G350" s="10" t="s">
        <v>1089</v>
      </c>
      <c r="H350" s="11">
        <v>3000</v>
      </c>
      <c r="I350" s="12" t="str">
        <f>IFERROR(H348+SUMPRODUCT((MOVIMIENTOS!$C$2:$C$5000=$A348)*(MOVIMIENTOS!$D$2:$D$5000=$G348)*(MOVIMIENTOS!$B$2:$B$5000="INGRESO")*MOVIMIENTOS!$E$2:$E$5000)-SUMPRODUCT((MOVIMIENTOS!$C$2:$C$5000=$A348)*(MOVIMIENTOS!$D$2:$D$5000=$G348)*(MOVIMIENTOS!$B$2:$B$5000="EGRESO")*MOVIMIENTOS!$E$2:$E$5000),"")</f>
        <v/>
      </c>
      <c r="J350" s="13" t="s">
        <v>42</v>
      </c>
      <c r="K350" s="13" t="s">
        <v>158</v>
      </c>
      <c r="L350" s="14">
        <v>47925</v>
      </c>
      <c r="M350" s="9">
        <f t="shared" ca="1" si="7"/>
        <v>1257</v>
      </c>
      <c r="N350" s="15" t="s">
        <v>26</v>
      </c>
    </row>
    <row r="351" spans="1:14" ht="16.05" customHeight="1" x14ac:dyDescent="0.3">
      <c r="A351" s="98" t="s">
        <v>1086</v>
      </c>
      <c r="B351" s="99" t="s">
        <v>271</v>
      </c>
      <c r="C351" s="100" t="s">
        <v>1087</v>
      </c>
      <c r="D351" s="19"/>
      <c r="E351" s="20"/>
      <c r="F351" s="102">
        <v>0</v>
      </c>
      <c r="G351" s="103" t="s">
        <v>1090</v>
      </c>
      <c r="H351" s="29"/>
      <c r="I351" s="104" t="str">
        <f>IFERROR(H349+SUMPRODUCT((MOVIMIENTOS!$C$2:$C$5000=$A349)*(MOVIMIENTOS!$D$2:$D$5000=$G349)*(MOVIMIENTOS!$B$2:$B$5000="INGRESO")*MOVIMIENTOS!$E$2:$E$5000)-SUMPRODUCT((MOVIMIENTOS!$C$2:$C$5000=$A349)*(MOVIMIENTOS!$D$2:$D$5000=$G349)*(MOVIMIENTOS!$B$2:$B$5000="EGRESO")*MOVIMIENTOS!$E$2:$E$5000),"")</f>
        <v/>
      </c>
      <c r="J351" s="105" t="s">
        <v>156</v>
      </c>
      <c r="K351" s="25"/>
      <c r="L351" s="106">
        <v>47714</v>
      </c>
      <c r="M351" s="102">
        <f t="shared" ca="1" si="7"/>
        <v>1588</v>
      </c>
      <c r="N351" s="109" t="s">
        <v>26</v>
      </c>
    </row>
    <row r="352" spans="1:14" ht="16.05" customHeight="1" x14ac:dyDescent="0.3">
      <c r="A352" s="98" t="s">
        <v>1086</v>
      </c>
      <c r="B352" s="99" t="s">
        <v>271</v>
      </c>
      <c r="C352" s="100" t="s">
        <v>1087</v>
      </c>
      <c r="D352" s="7"/>
      <c r="E352" s="8"/>
      <c r="F352" s="102">
        <v>0</v>
      </c>
      <c r="G352" s="103" t="s">
        <v>1090</v>
      </c>
      <c r="H352" s="108">
        <v>6000</v>
      </c>
      <c r="I352" s="104" t="str">
        <f>IFERROR(H350+SUMPRODUCT((MOVIMIENTOS!$C$2:$C$5000=$A350)*(MOVIMIENTOS!$D$2:$D$5000=$G350)*(MOVIMIENTOS!$B$2:$B$5000="INGRESO")*MOVIMIENTOS!$E$2:$E$5000)-SUMPRODUCT((MOVIMIENTOS!$C$2:$C$5000=$A350)*(MOVIMIENTOS!$D$2:$D$5000=$G350)*(MOVIMIENTOS!$B$2:$B$5000="EGRESO")*MOVIMIENTOS!$E$2:$E$5000),"")</f>
        <v/>
      </c>
      <c r="J352" s="105" t="s">
        <v>156</v>
      </c>
      <c r="K352" s="13"/>
      <c r="L352" s="13"/>
      <c r="M352" s="102">
        <f t="shared" ca="1" si="7"/>
        <v>1799</v>
      </c>
      <c r="N352" s="31"/>
    </row>
    <row r="353" spans="1:14" ht="16.05" customHeight="1" x14ac:dyDescent="0.3">
      <c r="A353" s="16" t="s">
        <v>1086</v>
      </c>
      <c r="B353" s="17" t="s">
        <v>271</v>
      </c>
      <c r="C353" s="18" t="s">
        <v>1087</v>
      </c>
      <c r="D353" s="19"/>
      <c r="E353" s="20"/>
      <c r="F353" s="21">
        <v>0</v>
      </c>
      <c r="G353" s="22" t="s">
        <v>1091</v>
      </c>
      <c r="H353" s="23">
        <v>16660</v>
      </c>
      <c r="I353" s="24" t="str">
        <f>IFERROR(H351+SUMPRODUCT((MOVIMIENTOS!$C$2:$C$5000=$A351)*(MOVIMIENTOS!$D$2:$D$5000=$G351)*(MOVIMIENTOS!$B$2:$B$5000="INGRESO")*MOVIMIENTOS!$E$2:$E$5000)-SUMPRODUCT((MOVIMIENTOS!$C$2:$C$5000=$A351)*(MOVIMIENTOS!$D$2:$D$5000=$G351)*(MOVIMIENTOS!$B$2:$B$5000="EGRESO")*MOVIMIENTOS!$E$2:$E$5000),"")</f>
        <v/>
      </c>
      <c r="J353" s="25" t="s">
        <v>156</v>
      </c>
      <c r="K353" s="25"/>
      <c r="L353" s="26">
        <v>47925</v>
      </c>
      <c r="M353" s="21">
        <f t="shared" ca="1" si="7"/>
        <v>1588</v>
      </c>
      <c r="N353" s="27" t="s">
        <v>26</v>
      </c>
    </row>
    <row r="354" spans="1:14" ht="16.05" customHeight="1" x14ac:dyDescent="0.3">
      <c r="A354" s="4" t="s">
        <v>1092</v>
      </c>
      <c r="B354" s="5" t="s">
        <v>1093</v>
      </c>
      <c r="C354" s="6" t="s">
        <v>1094</v>
      </c>
      <c r="D354" s="7"/>
      <c r="E354" s="8" t="s">
        <v>22</v>
      </c>
      <c r="F354" s="9">
        <v>0</v>
      </c>
      <c r="G354" s="10" t="s">
        <v>1095</v>
      </c>
      <c r="H354" s="11">
        <v>40</v>
      </c>
      <c r="I354" s="12" t="str">
        <f>IFERROR(H352+SUMPRODUCT((MOVIMIENTOS!$C$2:$C$5000=$A352)*(MOVIMIENTOS!$D$2:$D$5000=$G352)*(MOVIMIENTOS!$B$2:$B$5000="INGRESO")*MOVIMIENTOS!$E$2:$E$5000)-SUMPRODUCT((MOVIMIENTOS!$C$2:$C$5000=$A352)*(MOVIMIENTOS!$D$2:$D$5000=$G352)*(MOVIMIENTOS!$B$2:$B$5000="EGRESO")*MOVIMIENTOS!$E$2:$E$5000),"")</f>
        <v/>
      </c>
      <c r="J354" s="13" t="s">
        <v>163</v>
      </c>
      <c r="K354" s="13" t="s">
        <v>231</v>
      </c>
      <c r="L354" s="14">
        <v>46703</v>
      </c>
      <c r="M354" s="9" t="str">
        <f t="shared" ca="1" si="7"/>
        <v/>
      </c>
      <c r="N354" s="15" t="s">
        <v>26</v>
      </c>
    </row>
    <row r="355" spans="1:14" ht="16.05" customHeight="1" x14ac:dyDescent="0.3">
      <c r="A355" s="16" t="s">
        <v>1096</v>
      </c>
      <c r="B355" s="17" t="s">
        <v>1097</v>
      </c>
      <c r="C355" s="18" t="s">
        <v>1098</v>
      </c>
      <c r="D355" s="19"/>
      <c r="E355" s="20"/>
      <c r="F355" s="21">
        <v>0</v>
      </c>
      <c r="G355" s="22" t="s">
        <v>1099</v>
      </c>
      <c r="H355" s="23">
        <v>864</v>
      </c>
      <c r="I355" s="24" t="str">
        <f>IFERROR(H353+SUMPRODUCT((MOVIMIENTOS!$C$2:$C$5000=$A353)*(MOVIMIENTOS!$D$2:$D$5000=$G353)*(MOVIMIENTOS!$B$2:$B$5000="INGRESO")*MOVIMIENTOS!$E$2:$E$5000)-SUMPRODUCT((MOVIMIENTOS!$C$2:$C$5000=$A353)*(MOVIMIENTOS!$D$2:$D$5000=$G353)*(MOVIMIENTOS!$B$2:$B$5000="EGRESO")*MOVIMIENTOS!$E$2:$E$5000),"")</f>
        <v/>
      </c>
      <c r="J355" s="25" t="s">
        <v>114</v>
      </c>
      <c r="K355" s="25" t="s">
        <v>231</v>
      </c>
      <c r="L355" s="26">
        <v>46604</v>
      </c>
      <c r="M355" s="21">
        <f t="shared" ca="1" si="7"/>
        <v>1799</v>
      </c>
      <c r="N355" s="27" t="s">
        <v>26</v>
      </c>
    </row>
    <row r="356" spans="1:14" ht="16.05" customHeight="1" x14ac:dyDescent="0.3">
      <c r="A356" s="4" t="s">
        <v>1096</v>
      </c>
      <c r="B356" s="5" t="s">
        <v>1097</v>
      </c>
      <c r="C356" s="6" t="s">
        <v>1098</v>
      </c>
      <c r="D356" s="7"/>
      <c r="E356" s="8"/>
      <c r="F356" s="9">
        <v>0</v>
      </c>
      <c r="G356" s="10" t="s">
        <v>1100</v>
      </c>
      <c r="H356" s="11">
        <v>3980</v>
      </c>
      <c r="I356" s="12" t="str">
        <f>IFERROR(H354+SUMPRODUCT((MOVIMIENTOS!$C$2:$C$5000=$A354)*(MOVIMIENTOS!$D$2:$D$5000=$G354)*(MOVIMIENTOS!$B$2:$B$5000="INGRESO")*MOVIMIENTOS!$E$2:$E$5000)-SUMPRODUCT((MOVIMIENTOS!$C$2:$C$5000=$A354)*(MOVIMIENTOS!$D$2:$D$5000=$G354)*(MOVIMIENTOS!$B$2:$B$5000="EGRESO")*MOVIMIENTOS!$E$2:$E$5000),"")</f>
        <v/>
      </c>
      <c r="J356" s="13" t="s">
        <v>114</v>
      </c>
      <c r="K356" s="13" t="s">
        <v>231</v>
      </c>
      <c r="L356" s="14">
        <v>46627</v>
      </c>
      <c r="M356" s="9">
        <f t="shared" ca="1" si="7"/>
        <v>577</v>
      </c>
      <c r="N356" s="15" t="s">
        <v>26</v>
      </c>
    </row>
    <row r="357" spans="1:14" ht="16.05" customHeight="1" x14ac:dyDescent="0.3">
      <c r="A357" s="16" t="s">
        <v>1101</v>
      </c>
      <c r="B357" s="17" t="s">
        <v>1102</v>
      </c>
      <c r="C357" s="18" t="s">
        <v>1103</v>
      </c>
      <c r="D357" s="19"/>
      <c r="E357" s="20"/>
      <c r="F357" s="21">
        <v>0</v>
      </c>
      <c r="G357" s="22" t="s">
        <v>1104</v>
      </c>
      <c r="H357" s="23">
        <v>1000</v>
      </c>
      <c r="I357" s="24" t="str">
        <f>IFERROR(H355+SUMPRODUCT((MOVIMIENTOS!$C$2:$C$5000=$A355)*(MOVIMIENTOS!$D$2:$D$5000=$G355)*(MOVIMIENTOS!$B$2:$B$5000="INGRESO")*MOVIMIENTOS!$E$2:$E$5000)-SUMPRODUCT((MOVIMIENTOS!$C$2:$C$5000=$A355)*(MOVIMIENTOS!$D$2:$D$5000=$G355)*(MOVIMIENTOS!$B$2:$B$5000="EGRESO")*MOVIMIENTOS!$E$2:$E$5000),"")</f>
        <v/>
      </c>
      <c r="J357" s="25" t="s">
        <v>114</v>
      </c>
      <c r="K357" s="25" t="s">
        <v>72</v>
      </c>
      <c r="L357" s="26">
        <v>46528</v>
      </c>
      <c r="M357" s="21">
        <f t="shared" ca="1" si="7"/>
        <v>478</v>
      </c>
      <c r="N357" s="27" t="s">
        <v>26</v>
      </c>
    </row>
    <row r="358" spans="1:14" ht="16.05" customHeight="1" x14ac:dyDescent="0.3">
      <c r="A358" s="4" t="s">
        <v>1105</v>
      </c>
      <c r="B358" s="5" t="s">
        <v>1106</v>
      </c>
      <c r="C358" s="6" t="s">
        <v>1107</v>
      </c>
      <c r="D358" s="7"/>
      <c r="E358" s="8"/>
      <c r="F358" s="9">
        <v>0</v>
      </c>
      <c r="G358" s="10" t="s">
        <v>1108</v>
      </c>
      <c r="H358" s="11">
        <v>135</v>
      </c>
      <c r="I358" s="12" t="str">
        <f>IFERROR(H356+SUMPRODUCT((MOVIMIENTOS!$C$2:$C$5000=$A356)*(MOVIMIENTOS!$D$2:$D$5000=$G356)*(MOVIMIENTOS!$B$2:$B$5000="INGRESO")*MOVIMIENTOS!$E$2:$E$5000)-SUMPRODUCT((MOVIMIENTOS!$C$2:$C$5000=$A356)*(MOVIMIENTOS!$D$2:$D$5000=$G356)*(MOVIMIENTOS!$B$2:$B$5000="EGRESO")*MOVIMIENTOS!$E$2:$E$5000),"")</f>
        <v/>
      </c>
      <c r="J358" s="13" t="s">
        <v>402</v>
      </c>
      <c r="K358" s="13" t="s">
        <v>25</v>
      </c>
      <c r="L358" s="14">
        <v>46254</v>
      </c>
      <c r="M358" s="9">
        <f t="shared" ca="1" si="7"/>
        <v>501</v>
      </c>
      <c r="N358" s="15" t="s">
        <v>26</v>
      </c>
    </row>
    <row r="359" spans="1:14" ht="16.05" customHeight="1" x14ac:dyDescent="0.3">
      <c r="A359" s="16" t="s">
        <v>1105</v>
      </c>
      <c r="B359" s="17" t="s">
        <v>1106</v>
      </c>
      <c r="C359" s="18" t="s">
        <v>1107</v>
      </c>
      <c r="D359" s="19"/>
      <c r="E359" s="20"/>
      <c r="F359" s="21">
        <v>0</v>
      </c>
      <c r="G359" s="22" t="s">
        <v>1109</v>
      </c>
      <c r="H359" s="23">
        <v>3000</v>
      </c>
      <c r="I359" s="24" t="str">
        <f>IFERROR(H357+SUMPRODUCT((MOVIMIENTOS!$C$2:$C$5000=$A357)*(MOVIMIENTOS!$D$2:$D$5000=$G357)*(MOVIMIENTOS!$B$2:$B$5000="INGRESO")*MOVIMIENTOS!$E$2:$E$5000)-SUMPRODUCT((MOVIMIENTOS!$C$2:$C$5000=$A357)*(MOVIMIENTOS!$D$2:$D$5000=$G357)*(MOVIMIENTOS!$B$2:$B$5000="EGRESO")*MOVIMIENTOS!$E$2:$E$5000),"")</f>
        <v/>
      </c>
      <c r="J359" s="25" t="s">
        <v>402</v>
      </c>
      <c r="K359" s="25" t="s">
        <v>25</v>
      </c>
      <c r="L359" s="26">
        <v>46387</v>
      </c>
      <c r="M359" s="21">
        <f t="shared" ca="1" si="7"/>
        <v>402</v>
      </c>
      <c r="N359" s="27" t="s">
        <v>26</v>
      </c>
    </row>
    <row r="360" spans="1:14" ht="16.05" customHeight="1" x14ac:dyDescent="0.3">
      <c r="A360" s="110" t="s">
        <v>617</v>
      </c>
      <c r="B360" s="111" t="s">
        <v>618</v>
      </c>
      <c r="C360" s="100" t="s">
        <v>619</v>
      </c>
      <c r="D360" s="7"/>
      <c r="E360" s="8"/>
      <c r="F360" s="102">
        <v>0</v>
      </c>
      <c r="G360" s="103" t="s">
        <v>620</v>
      </c>
      <c r="H360" s="108">
        <v>18000</v>
      </c>
      <c r="I360" s="104" t="str">
        <f>IFERROR(H358+SUMPRODUCT((MOVIMIENTOS!$C$2:$C$5000=$A358)*(MOVIMIENTOS!$D$2:$D$5000=$G358)*(MOVIMIENTOS!$B$2:$B$5000="INGRESO")*MOVIMIENTOS!$E$2:$E$5000)-SUMPRODUCT((MOVIMIENTOS!$C$2:$C$5000=$A358)*(MOVIMIENTOS!$D$2:$D$5000=$G358)*(MOVIMIENTOS!$B$2:$B$5000="EGRESO")*MOVIMIENTOS!$E$2:$E$5000),"")</f>
        <v/>
      </c>
      <c r="J360" s="105" t="s">
        <v>156</v>
      </c>
      <c r="K360" s="13"/>
      <c r="L360" s="13"/>
      <c r="M360" s="102">
        <f t="shared" ca="1" si="7"/>
        <v>128</v>
      </c>
      <c r="N360" s="31"/>
    </row>
    <row r="361" spans="1:14" ht="16.05" customHeight="1" x14ac:dyDescent="0.3">
      <c r="A361" s="16" t="s">
        <v>1110</v>
      </c>
      <c r="B361" s="17" t="s">
        <v>1111</v>
      </c>
      <c r="C361" s="18" t="s">
        <v>1112</v>
      </c>
      <c r="D361" s="19"/>
      <c r="E361" s="20" t="s">
        <v>52</v>
      </c>
      <c r="F361" s="21">
        <v>0</v>
      </c>
      <c r="G361" s="22" t="s">
        <v>451</v>
      </c>
      <c r="H361" s="23">
        <v>785</v>
      </c>
      <c r="I361" s="24" t="str">
        <f>IFERROR(H359+SUMPRODUCT((MOVIMIENTOS!$C$2:$C$5000=$A359)*(MOVIMIENTOS!$D$2:$D$5000=$G359)*(MOVIMIENTOS!$B$2:$B$5000="INGRESO")*MOVIMIENTOS!$E$2:$E$5000)-SUMPRODUCT((MOVIMIENTOS!$C$2:$C$5000=$A359)*(MOVIMIENTOS!$D$2:$D$5000=$G359)*(MOVIMIENTOS!$B$2:$B$5000="EGRESO")*MOVIMIENTOS!$E$2:$E$5000),"")</f>
        <v/>
      </c>
      <c r="J361" s="25" t="s">
        <v>121</v>
      </c>
      <c r="K361" s="25" t="s">
        <v>72</v>
      </c>
      <c r="L361" s="26">
        <v>46543</v>
      </c>
      <c r="M361" s="21">
        <f t="shared" ca="1" si="7"/>
        <v>261</v>
      </c>
      <c r="N361" s="27" t="s">
        <v>26</v>
      </c>
    </row>
    <row r="362" spans="1:14" ht="16.05" customHeight="1" x14ac:dyDescent="0.3">
      <c r="A362" s="4" t="s">
        <v>1113</v>
      </c>
      <c r="B362" s="5" t="s">
        <v>1114</v>
      </c>
      <c r="C362" s="6" t="s">
        <v>1115</v>
      </c>
      <c r="D362" s="7"/>
      <c r="E362" s="8"/>
      <c r="F362" s="9">
        <v>0</v>
      </c>
      <c r="G362" s="10" t="s">
        <v>1116</v>
      </c>
      <c r="H362" s="11">
        <v>1757</v>
      </c>
      <c r="I362" s="12" t="str">
        <f>IFERROR(H360+SUMPRODUCT((MOVIMIENTOS!$C$2:$C$5000=$A360)*(MOVIMIENTOS!$D$2:$D$5000=$G360)*(MOVIMIENTOS!$B$2:$B$5000="INGRESO")*MOVIMIENTOS!$E$2:$E$5000)-SUMPRODUCT((MOVIMIENTOS!$C$2:$C$5000=$A360)*(MOVIMIENTOS!$D$2:$D$5000=$G360)*(MOVIMIENTOS!$B$2:$B$5000="EGRESO")*MOVIMIENTOS!$E$2:$E$5000),"")</f>
        <v/>
      </c>
      <c r="J362" s="13" t="s">
        <v>42</v>
      </c>
      <c r="K362" s="13" t="s">
        <v>158</v>
      </c>
      <c r="L362" s="14">
        <v>47715</v>
      </c>
      <c r="M362" s="9" t="str">
        <f t="shared" ca="1" si="7"/>
        <v/>
      </c>
      <c r="N362" s="15" t="s">
        <v>26</v>
      </c>
    </row>
    <row r="363" spans="1:14" ht="16.05" customHeight="1" x14ac:dyDescent="0.3">
      <c r="A363" s="16" t="s">
        <v>1117</v>
      </c>
      <c r="B363" s="17" t="s">
        <v>1118</v>
      </c>
      <c r="C363" s="18" t="s">
        <v>1119</v>
      </c>
      <c r="D363" s="19"/>
      <c r="E363" s="20"/>
      <c r="F363" s="21">
        <v>0</v>
      </c>
      <c r="G363" s="22" t="s">
        <v>1120</v>
      </c>
      <c r="H363" s="23">
        <v>25000</v>
      </c>
      <c r="I363" s="24" t="str">
        <f>IFERROR(H361+SUMPRODUCT((MOVIMIENTOS!$C$2:$C$5000=$A361)*(MOVIMIENTOS!$D$2:$D$5000=$G361)*(MOVIMIENTOS!$B$2:$B$5000="INGRESO")*MOVIMIENTOS!$E$2:$E$5000)-SUMPRODUCT((MOVIMIENTOS!$C$2:$C$5000=$A361)*(MOVIMIENTOS!$D$2:$D$5000=$G361)*(MOVIMIENTOS!$B$2:$B$5000="EGRESO")*MOVIMIENTOS!$E$2:$E$5000),"")</f>
        <v/>
      </c>
      <c r="J363" s="25" t="s">
        <v>156</v>
      </c>
      <c r="K363" s="25"/>
      <c r="L363" s="25"/>
      <c r="M363" s="21">
        <f t="shared" ca="1" si="7"/>
        <v>417</v>
      </c>
      <c r="N363" s="30"/>
    </row>
    <row r="364" spans="1:14" ht="16.05" customHeight="1" x14ac:dyDescent="0.3">
      <c r="A364" s="4" t="s">
        <v>1117</v>
      </c>
      <c r="B364" s="5" t="s">
        <v>1118</v>
      </c>
      <c r="C364" s="6" t="s">
        <v>1119</v>
      </c>
      <c r="D364" s="7"/>
      <c r="E364" s="8"/>
      <c r="F364" s="9">
        <v>0</v>
      </c>
      <c r="G364" s="10" t="s">
        <v>1121</v>
      </c>
      <c r="H364" s="11">
        <v>27989.7</v>
      </c>
      <c r="I364" s="12" t="str">
        <f>IFERROR(H362+SUMPRODUCT((MOVIMIENTOS!$C$2:$C$5000=$A362)*(MOVIMIENTOS!$D$2:$D$5000=$G362)*(MOVIMIENTOS!$B$2:$B$5000="INGRESO")*MOVIMIENTOS!$E$2:$E$5000)-SUMPRODUCT((MOVIMIENTOS!$C$2:$C$5000=$A362)*(MOVIMIENTOS!$D$2:$D$5000=$G362)*(MOVIMIENTOS!$B$2:$B$5000="EGRESO")*MOVIMIENTOS!$E$2:$E$5000),"")</f>
        <v/>
      </c>
      <c r="J364" s="13" t="s">
        <v>156</v>
      </c>
      <c r="K364" s="13"/>
      <c r="L364" s="14">
        <v>46534</v>
      </c>
      <c r="M364" s="9">
        <f t="shared" ca="1" si="7"/>
        <v>1589</v>
      </c>
      <c r="N364" s="15" t="s">
        <v>26</v>
      </c>
    </row>
    <row r="365" spans="1:14" ht="16.05" customHeight="1" x14ac:dyDescent="0.3">
      <c r="A365" s="16" t="s">
        <v>1122</v>
      </c>
      <c r="B365" s="17" t="s">
        <v>1123</v>
      </c>
      <c r="C365" s="18" t="s">
        <v>1124</v>
      </c>
      <c r="D365" s="19"/>
      <c r="E365" s="20" t="s">
        <v>52</v>
      </c>
      <c r="F365" s="21">
        <v>0</v>
      </c>
      <c r="G365" s="22" t="s">
        <v>1125</v>
      </c>
      <c r="H365" s="23">
        <v>3000</v>
      </c>
      <c r="I365" s="24" t="str">
        <f>IFERROR(H363+SUMPRODUCT((MOVIMIENTOS!$C$2:$C$5000=$A363)*(MOVIMIENTOS!$D$2:$D$5000=$G363)*(MOVIMIENTOS!$B$2:$B$5000="INGRESO")*MOVIMIENTOS!$E$2:$E$5000)-SUMPRODUCT((MOVIMIENTOS!$C$2:$C$5000=$A363)*(MOVIMIENTOS!$D$2:$D$5000=$G363)*(MOVIMIENTOS!$B$2:$B$5000="EGRESO")*MOVIMIENTOS!$E$2:$E$5000),"")</f>
        <v/>
      </c>
      <c r="J365" s="25" t="s">
        <v>163</v>
      </c>
      <c r="K365" s="25" t="s">
        <v>158</v>
      </c>
      <c r="L365" s="26">
        <v>46674</v>
      </c>
      <c r="M365" s="21" t="str">
        <f t="shared" ca="1" si="7"/>
        <v/>
      </c>
      <c r="N365" s="27" t="s">
        <v>26</v>
      </c>
    </row>
    <row r="366" spans="1:14" ht="16.05" customHeight="1" x14ac:dyDescent="0.3">
      <c r="A366" s="4" t="s">
        <v>1122</v>
      </c>
      <c r="B366" s="5" t="s">
        <v>1123</v>
      </c>
      <c r="C366" s="6" t="s">
        <v>1124</v>
      </c>
      <c r="D366" s="7"/>
      <c r="E366" s="8" t="s">
        <v>52</v>
      </c>
      <c r="F366" s="9">
        <v>0</v>
      </c>
      <c r="G366" s="10" t="s">
        <v>1126</v>
      </c>
      <c r="H366" s="11">
        <v>274</v>
      </c>
      <c r="I366" s="12" t="str">
        <f>IFERROR(H364+SUMPRODUCT((MOVIMIENTOS!$C$2:$C$5000=$A364)*(MOVIMIENTOS!$D$2:$D$5000=$G364)*(MOVIMIENTOS!$B$2:$B$5000="INGRESO")*MOVIMIENTOS!$E$2:$E$5000)-SUMPRODUCT((MOVIMIENTOS!$C$2:$C$5000=$A364)*(MOVIMIENTOS!$D$2:$D$5000=$G364)*(MOVIMIENTOS!$B$2:$B$5000="EGRESO")*MOVIMIENTOS!$E$2:$E$5000),"")</f>
        <v/>
      </c>
      <c r="J366" s="13" t="s">
        <v>163</v>
      </c>
      <c r="K366" s="13" t="s">
        <v>158</v>
      </c>
      <c r="L366" s="14">
        <v>46735</v>
      </c>
      <c r="M366" s="9">
        <f t="shared" ca="1" si="7"/>
        <v>408</v>
      </c>
      <c r="N366" s="15" t="s">
        <v>26</v>
      </c>
    </row>
    <row r="367" spans="1:14" ht="16.05" customHeight="1" x14ac:dyDescent="0.3">
      <c r="A367" s="16" t="s">
        <v>1127</v>
      </c>
      <c r="B367" s="17" t="s">
        <v>1128</v>
      </c>
      <c r="C367" s="18" t="s">
        <v>1129</v>
      </c>
      <c r="D367" s="19"/>
      <c r="E367" s="20"/>
      <c r="F367" s="21">
        <v>0</v>
      </c>
      <c r="G367" s="22" t="s">
        <v>1130</v>
      </c>
      <c r="H367" s="23">
        <v>1000</v>
      </c>
      <c r="I367" s="24" t="str">
        <f>IFERROR(H365+SUMPRODUCT((MOVIMIENTOS!$C$2:$C$5000=$A365)*(MOVIMIENTOS!$D$2:$D$5000=$G365)*(MOVIMIENTOS!$B$2:$B$5000="INGRESO")*MOVIMIENTOS!$E$2:$E$5000)-SUMPRODUCT((MOVIMIENTOS!$C$2:$C$5000=$A365)*(MOVIMIENTOS!$D$2:$D$5000=$G365)*(MOVIMIENTOS!$B$2:$B$5000="EGRESO")*MOVIMIENTOS!$E$2:$E$5000),"")</f>
        <v/>
      </c>
      <c r="J367" s="25" t="s">
        <v>114</v>
      </c>
      <c r="K367" s="25" t="s">
        <v>25</v>
      </c>
      <c r="L367" s="26">
        <v>46324</v>
      </c>
      <c r="M367" s="21">
        <f t="shared" ca="1" si="7"/>
        <v>548</v>
      </c>
      <c r="N367" s="27" t="s">
        <v>26</v>
      </c>
    </row>
    <row r="368" spans="1:14" ht="16.05" customHeight="1" x14ac:dyDescent="0.3">
      <c r="A368" s="4" t="s">
        <v>1131</v>
      </c>
      <c r="B368" s="5" t="s">
        <v>1132</v>
      </c>
      <c r="C368" s="6" t="s">
        <v>1133</v>
      </c>
      <c r="D368" s="7"/>
      <c r="E368" s="8"/>
      <c r="F368" s="9">
        <v>0</v>
      </c>
      <c r="G368" s="10" t="s">
        <v>1134</v>
      </c>
      <c r="H368" s="11">
        <v>207</v>
      </c>
      <c r="I368" s="12" t="str">
        <f>IFERROR(H366+SUMPRODUCT((MOVIMIENTOS!$C$2:$C$5000=$A366)*(MOVIMIENTOS!$D$2:$D$5000=$G366)*(MOVIMIENTOS!$B$2:$B$5000="INGRESO")*MOVIMIENTOS!$E$2:$E$5000)-SUMPRODUCT((MOVIMIENTOS!$C$2:$C$5000=$A366)*(MOVIMIENTOS!$D$2:$D$5000=$G366)*(MOVIMIENTOS!$B$2:$B$5000="EGRESO")*MOVIMIENTOS!$E$2:$E$5000),"")</f>
        <v/>
      </c>
      <c r="J368" s="13" t="s">
        <v>189</v>
      </c>
      <c r="K368" s="13" t="s">
        <v>72</v>
      </c>
      <c r="L368" s="14">
        <v>46419</v>
      </c>
      <c r="M368" s="9">
        <f t="shared" ca="1" si="7"/>
        <v>609</v>
      </c>
      <c r="N368" s="15" t="s">
        <v>26</v>
      </c>
    </row>
    <row r="369" spans="1:14" ht="16.05" customHeight="1" x14ac:dyDescent="0.3">
      <c r="A369" s="16" t="s">
        <v>1131</v>
      </c>
      <c r="B369" s="17" t="s">
        <v>1132</v>
      </c>
      <c r="C369" s="18" t="s">
        <v>1133</v>
      </c>
      <c r="D369" s="19"/>
      <c r="E369" s="20"/>
      <c r="F369" s="21">
        <v>0</v>
      </c>
      <c r="G369" s="22" t="s">
        <v>1135</v>
      </c>
      <c r="H369" s="29"/>
      <c r="I369" s="24" t="str">
        <f>IFERROR(H367+SUMPRODUCT((MOVIMIENTOS!$C$2:$C$5000=$A367)*(MOVIMIENTOS!$D$2:$D$5000=$G367)*(MOVIMIENTOS!$B$2:$B$5000="INGRESO")*MOVIMIENTOS!$E$2:$E$5000)-SUMPRODUCT((MOVIMIENTOS!$C$2:$C$5000=$A367)*(MOVIMIENTOS!$D$2:$D$5000=$G367)*(MOVIMIENTOS!$B$2:$B$5000="EGRESO")*MOVIMIENTOS!$E$2:$E$5000),"")</f>
        <v/>
      </c>
      <c r="J369" s="25" t="s">
        <v>189</v>
      </c>
      <c r="K369" s="25" t="s">
        <v>72</v>
      </c>
      <c r="L369" s="25"/>
      <c r="M369" s="21">
        <f t="shared" ca="1" si="7"/>
        <v>198</v>
      </c>
      <c r="N369" s="30"/>
    </row>
    <row r="370" spans="1:14" ht="16.05" customHeight="1" x14ac:dyDescent="0.3">
      <c r="A370" s="4" t="s">
        <v>1136</v>
      </c>
      <c r="B370" s="5" t="s">
        <v>1137</v>
      </c>
      <c r="C370" s="6" t="s">
        <v>1138</v>
      </c>
      <c r="D370" s="7"/>
      <c r="E370" s="8" t="s">
        <v>52</v>
      </c>
      <c r="F370" s="9">
        <v>0</v>
      </c>
      <c r="G370" s="10" t="s">
        <v>1139</v>
      </c>
      <c r="H370" s="11">
        <v>873</v>
      </c>
      <c r="I370" s="12" t="str">
        <f>IFERROR(H368+SUMPRODUCT((MOVIMIENTOS!$C$2:$C$5000=$A368)*(MOVIMIENTOS!$D$2:$D$5000=$G368)*(MOVIMIENTOS!$B$2:$B$5000="INGRESO")*MOVIMIENTOS!$E$2:$E$5000)-SUMPRODUCT((MOVIMIENTOS!$C$2:$C$5000=$A368)*(MOVIMIENTOS!$D$2:$D$5000=$G368)*(MOVIMIENTOS!$B$2:$B$5000="EGRESO")*MOVIMIENTOS!$E$2:$E$5000),"")</f>
        <v/>
      </c>
      <c r="J370" s="13" t="s">
        <v>240</v>
      </c>
      <c r="K370" s="13" t="s">
        <v>158</v>
      </c>
      <c r="L370" s="14">
        <v>46570</v>
      </c>
      <c r="M370" s="9">
        <f t="shared" ref="M370:M401" ca="1" si="8">IF(L368="","",L368-TODAY())</f>
        <v>293</v>
      </c>
      <c r="N370" s="15" t="s">
        <v>26</v>
      </c>
    </row>
    <row r="371" spans="1:14" ht="16.05" customHeight="1" x14ac:dyDescent="0.3">
      <c r="A371" s="16" t="s">
        <v>1140</v>
      </c>
      <c r="B371" s="17" t="s">
        <v>1141</v>
      </c>
      <c r="C371" s="18" t="s">
        <v>1142</v>
      </c>
      <c r="D371" s="19"/>
      <c r="E371" s="20"/>
      <c r="F371" s="21">
        <v>0</v>
      </c>
      <c r="G371" s="22" t="s">
        <v>1143</v>
      </c>
      <c r="H371" s="23">
        <v>1000</v>
      </c>
      <c r="I371" s="24" t="str">
        <f>IFERROR(H369+SUMPRODUCT((MOVIMIENTOS!$C$2:$C$5000=$A369)*(MOVIMIENTOS!$D$2:$D$5000=$G369)*(MOVIMIENTOS!$B$2:$B$5000="INGRESO")*MOVIMIENTOS!$E$2:$E$5000)-SUMPRODUCT((MOVIMIENTOS!$C$2:$C$5000=$A369)*(MOVIMIENTOS!$D$2:$D$5000=$G369)*(MOVIMIENTOS!$B$2:$B$5000="EGRESO")*MOVIMIENTOS!$E$2:$E$5000),"")</f>
        <v/>
      </c>
      <c r="J371" s="25" t="s">
        <v>114</v>
      </c>
      <c r="K371" s="25" t="s">
        <v>72</v>
      </c>
      <c r="L371" s="26">
        <v>46519</v>
      </c>
      <c r="M371" s="21" t="str">
        <f t="shared" ca="1" si="8"/>
        <v/>
      </c>
      <c r="N371" s="27" t="s">
        <v>26</v>
      </c>
    </row>
    <row r="372" spans="1:14" ht="16.05" customHeight="1" x14ac:dyDescent="0.3">
      <c r="A372" s="4" t="s">
        <v>1144</v>
      </c>
      <c r="B372" s="5" t="s">
        <v>1145</v>
      </c>
      <c r="C372" s="6" t="s">
        <v>1146</v>
      </c>
      <c r="D372" s="7"/>
      <c r="E372" s="8" t="s">
        <v>52</v>
      </c>
      <c r="F372" s="9">
        <v>0</v>
      </c>
      <c r="G372" s="10" t="s">
        <v>1147</v>
      </c>
      <c r="H372" s="11">
        <v>724</v>
      </c>
      <c r="I372" s="12" t="str">
        <f>IFERROR(H370+SUMPRODUCT((MOVIMIENTOS!$C$2:$C$5000=$A370)*(MOVIMIENTOS!$D$2:$D$5000=$G370)*(MOVIMIENTOS!$B$2:$B$5000="INGRESO")*MOVIMIENTOS!$E$2:$E$5000)-SUMPRODUCT((MOVIMIENTOS!$C$2:$C$5000=$A370)*(MOVIMIENTOS!$D$2:$D$5000=$G370)*(MOVIMIENTOS!$B$2:$B$5000="EGRESO")*MOVIMIENTOS!$E$2:$E$5000),"")</f>
        <v/>
      </c>
      <c r="J372" s="13" t="s">
        <v>24</v>
      </c>
      <c r="K372" s="13" t="s">
        <v>25</v>
      </c>
      <c r="L372" s="14">
        <v>46615</v>
      </c>
      <c r="M372" s="9">
        <f t="shared" ca="1" si="8"/>
        <v>444</v>
      </c>
      <c r="N372" s="15" t="s">
        <v>26</v>
      </c>
    </row>
    <row r="373" spans="1:14" ht="16.05" customHeight="1" x14ac:dyDescent="0.3">
      <c r="A373" s="16" t="s">
        <v>1148</v>
      </c>
      <c r="B373" s="17" t="s">
        <v>1149</v>
      </c>
      <c r="C373" s="18" t="s">
        <v>1150</v>
      </c>
      <c r="D373" s="19"/>
      <c r="E373" s="20" t="s">
        <v>52</v>
      </c>
      <c r="F373" s="21">
        <v>0</v>
      </c>
      <c r="G373" s="22" t="s">
        <v>1151</v>
      </c>
      <c r="H373" s="23">
        <v>980</v>
      </c>
      <c r="I373" s="24" t="str">
        <f>IFERROR(H371+SUMPRODUCT((MOVIMIENTOS!$C$2:$C$5000=$A371)*(MOVIMIENTOS!$D$2:$D$5000=$G371)*(MOVIMIENTOS!$B$2:$B$5000="INGRESO")*MOVIMIENTOS!$E$2:$E$5000)-SUMPRODUCT((MOVIMIENTOS!$C$2:$C$5000=$A371)*(MOVIMIENTOS!$D$2:$D$5000=$G371)*(MOVIMIENTOS!$B$2:$B$5000="EGRESO")*MOVIMIENTOS!$E$2:$E$5000),"")</f>
        <v/>
      </c>
      <c r="J373" s="25" t="s">
        <v>67</v>
      </c>
      <c r="K373" s="25" t="s">
        <v>72</v>
      </c>
      <c r="L373" s="26">
        <v>46601</v>
      </c>
      <c r="M373" s="21">
        <f t="shared" ca="1" si="8"/>
        <v>393</v>
      </c>
      <c r="N373" s="27" t="s">
        <v>26</v>
      </c>
    </row>
    <row r="374" spans="1:14" ht="16.05" customHeight="1" x14ac:dyDescent="0.3">
      <c r="A374" s="4" t="s">
        <v>1152</v>
      </c>
      <c r="B374" s="5" t="s">
        <v>1153</v>
      </c>
      <c r="C374" s="6" t="s">
        <v>1154</v>
      </c>
      <c r="D374" s="7"/>
      <c r="E374" s="8" t="s">
        <v>52</v>
      </c>
      <c r="F374" s="9">
        <v>0</v>
      </c>
      <c r="G374" s="10" t="s">
        <v>1155</v>
      </c>
      <c r="H374" s="11">
        <v>810</v>
      </c>
      <c r="I374" s="12" t="str">
        <f>IFERROR(H372+SUMPRODUCT((MOVIMIENTOS!$C$2:$C$5000=$A372)*(MOVIMIENTOS!$D$2:$D$5000=$G372)*(MOVIMIENTOS!$B$2:$B$5000="INGRESO")*MOVIMIENTOS!$E$2:$E$5000)-SUMPRODUCT((MOVIMIENTOS!$C$2:$C$5000=$A372)*(MOVIMIENTOS!$D$2:$D$5000=$G372)*(MOVIMIENTOS!$B$2:$B$5000="EGRESO")*MOVIMIENTOS!$E$2:$E$5000),"")</f>
        <v/>
      </c>
      <c r="J374" s="13" t="s">
        <v>67</v>
      </c>
      <c r="K374" s="13" t="s">
        <v>72</v>
      </c>
      <c r="L374" s="14">
        <v>46545</v>
      </c>
      <c r="M374" s="9">
        <f t="shared" ca="1" si="8"/>
        <v>489</v>
      </c>
      <c r="N374" s="15" t="s">
        <v>26</v>
      </c>
    </row>
    <row r="375" spans="1:14" ht="16.05" customHeight="1" x14ac:dyDescent="0.3">
      <c r="A375" s="16" t="s">
        <v>1156</v>
      </c>
      <c r="B375" s="17" t="s">
        <v>1157</v>
      </c>
      <c r="C375" s="18" t="s">
        <v>1158</v>
      </c>
      <c r="D375" s="19"/>
      <c r="E375" s="20" t="s">
        <v>52</v>
      </c>
      <c r="F375" s="21">
        <v>0</v>
      </c>
      <c r="G375" s="22" t="s">
        <v>1159</v>
      </c>
      <c r="H375" s="23">
        <v>928</v>
      </c>
      <c r="I375" s="24" t="str">
        <f>IFERROR(H373+SUMPRODUCT((MOVIMIENTOS!$C$2:$C$5000=$A373)*(MOVIMIENTOS!$D$2:$D$5000=$G373)*(MOVIMIENTOS!$B$2:$B$5000="INGRESO")*MOVIMIENTOS!$E$2:$E$5000)-SUMPRODUCT((MOVIMIENTOS!$C$2:$C$5000=$A373)*(MOVIMIENTOS!$D$2:$D$5000=$G373)*(MOVIMIENTOS!$B$2:$B$5000="EGRESO")*MOVIMIENTOS!$E$2:$E$5000),"")</f>
        <v/>
      </c>
      <c r="J375" s="25" t="s">
        <v>240</v>
      </c>
      <c r="K375" s="25" t="s">
        <v>158</v>
      </c>
      <c r="L375" s="26">
        <v>46578</v>
      </c>
      <c r="M375" s="21">
        <f t="shared" ca="1" si="8"/>
        <v>475</v>
      </c>
      <c r="N375" s="27" t="s">
        <v>26</v>
      </c>
    </row>
    <row r="376" spans="1:14" ht="16.05" customHeight="1" x14ac:dyDescent="0.3">
      <c r="A376" s="4" t="s">
        <v>1160</v>
      </c>
      <c r="B376" s="5" t="s">
        <v>1161</v>
      </c>
      <c r="C376" s="6" t="s">
        <v>1162</v>
      </c>
      <c r="D376" s="7"/>
      <c r="E376" s="8"/>
      <c r="F376" s="9">
        <v>0</v>
      </c>
      <c r="G376" s="10" t="s">
        <v>1163</v>
      </c>
      <c r="H376" s="11">
        <v>45000</v>
      </c>
      <c r="I376" s="12" t="str">
        <f>IFERROR(H374+SUMPRODUCT((MOVIMIENTOS!$C$2:$C$5000=$A374)*(MOVIMIENTOS!$D$2:$D$5000=$G374)*(MOVIMIENTOS!$B$2:$B$5000="INGRESO")*MOVIMIENTOS!$E$2:$E$5000)-SUMPRODUCT((MOVIMIENTOS!$C$2:$C$5000=$A374)*(MOVIMIENTOS!$D$2:$D$5000=$G374)*(MOVIMIENTOS!$B$2:$B$5000="EGRESO")*MOVIMIENTOS!$E$2:$E$5000),"")</f>
        <v/>
      </c>
      <c r="J376" s="13" t="s">
        <v>156</v>
      </c>
      <c r="K376" s="13"/>
      <c r="L376" s="13"/>
      <c r="M376" s="9">
        <f t="shared" ca="1" si="8"/>
        <v>419</v>
      </c>
      <c r="N376" s="31"/>
    </row>
    <row r="377" spans="1:14" ht="16.05" customHeight="1" x14ac:dyDescent="0.3">
      <c r="A377" s="16" t="s">
        <v>1160</v>
      </c>
      <c r="B377" s="17" t="s">
        <v>1161</v>
      </c>
      <c r="C377" s="18" t="s">
        <v>1162</v>
      </c>
      <c r="D377" s="19"/>
      <c r="E377" s="20"/>
      <c r="F377" s="21">
        <v>0</v>
      </c>
      <c r="G377" s="22" t="s">
        <v>1164</v>
      </c>
      <c r="H377" s="23">
        <v>24928</v>
      </c>
      <c r="I377" s="24" t="str">
        <f>IFERROR(H375+SUMPRODUCT((MOVIMIENTOS!$C$2:$C$5000=$A375)*(MOVIMIENTOS!$D$2:$D$5000=$G375)*(MOVIMIENTOS!$B$2:$B$5000="INGRESO")*MOVIMIENTOS!$E$2:$E$5000)-SUMPRODUCT((MOVIMIENTOS!$C$2:$C$5000=$A375)*(MOVIMIENTOS!$D$2:$D$5000=$G375)*(MOVIMIENTOS!$B$2:$B$5000="EGRESO")*MOVIMIENTOS!$E$2:$E$5000),"")</f>
        <v/>
      </c>
      <c r="J377" s="25" t="s">
        <v>42</v>
      </c>
      <c r="K377" s="25" t="s">
        <v>158</v>
      </c>
      <c r="L377" s="26">
        <v>46487</v>
      </c>
      <c r="M377" s="21">
        <f t="shared" ca="1" si="8"/>
        <v>452</v>
      </c>
      <c r="N377" s="27" t="s">
        <v>26</v>
      </c>
    </row>
    <row r="378" spans="1:14" ht="16.05" customHeight="1" x14ac:dyDescent="0.3">
      <c r="A378" s="4" t="s">
        <v>1160</v>
      </c>
      <c r="B378" s="5" t="s">
        <v>1161</v>
      </c>
      <c r="C378" s="6" t="s">
        <v>1165</v>
      </c>
      <c r="D378" s="7"/>
      <c r="E378" s="8"/>
      <c r="F378" s="9">
        <v>0</v>
      </c>
      <c r="G378" s="10" t="s">
        <v>1164</v>
      </c>
      <c r="H378" s="11">
        <v>25000</v>
      </c>
      <c r="I378" s="12" t="str">
        <f>IFERROR(H376+SUMPRODUCT((MOVIMIENTOS!$C$2:$C$5000=$A376)*(MOVIMIENTOS!$D$2:$D$5000=$G376)*(MOVIMIENTOS!$B$2:$B$5000="INGRESO")*MOVIMIENTOS!$E$2:$E$5000)-SUMPRODUCT((MOVIMIENTOS!$C$2:$C$5000=$A376)*(MOVIMIENTOS!$D$2:$D$5000=$G376)*(MOVIMIENTOS!$B$2:$B$5000="EGRESO")*MOVIMIENTOS!$E$2:$E$5000),"")</f>
        <v/>
      </c>
      <c r="J378" s="13" t="s">
        <v>156</v>
      </c>
      <c r="K378" s="13"/>
      <c r="L378" s="14">
        <v>46507</v>
      </c>
      <c r="M378" s="9" t="str">
        <f t="shared" ca="1" si="8"/>
        <v/>
      </c>
      <c r="N378" s="15" t="s">
        <v>26</v>
      </c>
    </row>
    <row r="379" spans="1:14" ht="16.05" customHeight="1" x14ac:dyDescent="0.3">
      <c r="A379" s="32" t="s">
        <v>1160</v>
      </c>
      <c r="B379" s="33" t="s">
        <v>1161</v>
      </c>
      <c r="C379" s="34" t="s">
        <v>1162</v>
      </c>
      <c r="D379" s="35"/>
      <c r="E379" s="36"/>
      <c r="F379" s="37">
        <v>0</v>
      </c>
      <c r="G379" s="38" t="s">
        <v>1166</v>
      </c>
      <c r="H379" s="39"/>
      <c r="I379" s="40" t="str">
        <f>IFERROR(H377+SUMPRODUCT((MOVIMIENTOS!$C$2:$C$5000=$A377)*(MOVIMIENTOS!$D$2:$D$5000=$G377)*(MOVIMIENTOS!$B$2:$B$5000="INGRESO")*MOVIMIENTOS!$E$2:$E$5000)-SUMPRODUCT((MOVIMIENTOS!$C$2:$C$5000=$A377)*(MOVIMIENTOS!$D$2:$D$5000=$G377)*(MOVIMIENTOS!$B$2:$B$5000="EGRESO")*MOVIMIENTOS!$E$2:$E$5000),"")</f>
        <v/>
      </c>
      <c r="J379" s="41" t="s">
        <v>42</v>
      </c>
      <c r="K379" s="41" t="s">
        <v>158</v>
      </c>
      <c r="L379" s="42">
        <v>46053</v>
      </c>
      <c r="M379" s="37">
        <f t="shared" ca="1" si="8"/>
        <v>361</v>
      </c>
      <c r="N379" s="43" t="s">
        <v>130</v>
      </c>
    </row>
    <row r="380" spans="1:14" ht="16.05" customHeight="1" x14ac:dyDescent="0.3">
      <c r="A380" s="32" t="s">
        <v>1160</v>
      </c>
      <c r="B380" s="33" t="s">
        <v>1161</v>
      </c>
      <c r="C380" s="34" t="s">
        <v>1165</v>
      </c>
      <c r="D380" s="35"/>
      <c r="E380" s="36"/>
      <c r="F380" s="37">
        <v>0</v>
      </c>
      <c r="G380" s="38" t="s">
        <v>1166</v>
      </c>
      <c r="H380" s="39"/>
      <c r="I380" s="40" t="str">
        <f>IFERROR(H378+SUMPRODUCT((MOVIMIENTOS!$C$2:$C$5000=$A378)*(MOVIMIENTOS!$D$2:$D$5000=$G378)*(MOVIMIENTOS!$B$2:$B$5000="INGRESO")*MOVIMIENTOS!$E$2:$E$5000)-SUMPRODUCT((MOVIMIENTOS!$C$2:$C$5000=$A378)*(MOVIMIENTOS!$D$2:$D$5000=$G378)*(MOVIMIENTOS!$B$2:$B$5000="EGRESO")*MOVIMIENTOS!$E$2:$E$5000),"")</f>
        <v/>
      </c>
      <c r="J380" s="41" t="s">
        <v>156</v>
      </c>
      <c r="K380" s="41"/>
      <c r="L380" s="42">
        <v>46053</v>
      </c>
      <c r="M380" s="37">
        <f t="shared" ca="1" si="8"/>
        <v>381</v>
      </c>
      <c r="N380" s="43" t="s">
        <v>130</v>
      </c>
    </row>
    <row r="381" spans="1:14" ht="16.05" customHeight="1" x14ac:dyDescent="0.3">
      <c r="A381" s="98" t="s">
        <v>1167</v>
      </c>
      <c r="B381" s="99" t="s">
        <v>1168</v>
      </c>
      <c r="C381" s="100" t="s">
        <v>1169</v>
      </c>
      <c r="D381" s="19"/>
      <c r="E381" s="20"/>
      <c r="F381" s="102">
        <v>0</v>
      </c>
      <c r="G381" s="103" t="s">
        <v>1170</v>
      </c>
      <c r="H381" s="108">
        <v>11790</v>
      </c>
      <c r="I381" s="104" t="str">
        <f>IFERROR(H379+SUMPRODUCT((MOVIMIENTOS!$C$2:$C$5000=$A379)*(MOVIMIENTOS!$D$2:$D$5000=$G379)*(MOVIMIENTOS!$B$2:$B$5000="INGRESO")*MOVIMIENTOS!$E$2:$E$5000)-SUMPRODUCT((MOVIMIENTOS!$C$2:$C$5000=$A379)*(MOVIMIENTOS!$D$2:$D$5000=$G379)*(MOVIMIENTOS!$B$2:$B$5000="EGRESO")*MOVIMIENTOS!$E$2:$E$5000),"")</f>
        <v/>
      </c>
      <c r="J381" s="105" t="s">
        <v>156</v>
      </c>
      <c r="K381" s="25"/>
      <c r="L381" s="106">
        <v>47032</v>
      </c>
      <c r="M381" s="102">
        <f t="shared" ca="1" si="8"/>
        <v>-73</v>
      </c>
      <c r="N381" s="109" t="s">
        <v>26</v>
      </c>
    </row>
    <row r="382" spans="1:14" ht="16.05" customHeight="1" x14ac:dyDescent="0.3">
      <c r="A382" s="98" t="s">
        <v>1167</v>
      </c>
      <c r="B382" s="99" t="s">
        <v>1168</v>
      </c>
      <c r="C382" s="100" t="s">
        <v>1169</v>
      </c>
      <c r="D382" s="7"/>
      <c r="E382" s="8"/>
      <c r="F382" s="102">
        <v>0</v>
      </c>
      <c r="G382" s="103" t="s">
        <v>1170</v>
      </c>
      <c r="H382" s="108">
        <v>18000</v>
      </c>
      <c r="I382" s="104" t="str">
        <f>IFERROR(H380+SUMPRODUCT((MOVIMIENTOS!$C$2:$C$5000=$A380)*(MOVIMIENTOS!$D$2:$D$5000=$G380)*(MOVIMIENTOS!$B$2:$B$5000="INGRESO")*MOVIMIENTOS!$E$2:$E$5000)-SUMPRODUCT((MOVIMIENTOS!$C$2:$C$5000=$A380)*(MOVIMIENTOS!$D$2:$D$5000=$G380)*(MOVIMIENTOS!$B$2:$B$5000="EGRESO")*MOVIMIENTOS!$E$2:$E$5000),"")</f>
        <v/>
      </c>
      <c r="J382" s="105" t="s">
        <v>156</v>
      </c>
      <c r="K382" s="13"/>
      <c r="L382" s="13"/>
      <c r="M382" s="102">
        <f t="shared" ca="1" si="8"/>
        <v>-73</v>
      </c>
      <c r="N382" s="31"/>
    </row>
    <row r="383" spans="1:14" ht="16.05" customHeight="1" x14ac:dyDescent="0.3">
      <c r="A383" s="16" t="s">
        <v>1167</v>
      </c>
      <c r="B383" s="17" t="s">
        <v>1168</v>
      </c>
      <c r="C383" s="18" t="s">
        <v>1169</v>
      </c>
      <c r="D383" s="19"/>
      <c r="E383" s="20"/>
      <c r="F383" s="21">
        <v>0</v>
      </c>
      <c r="G383" s="22" t="s">
        <v>1171</v>
      </c>
      <c r="H383" s="23">
        <v>5500</v>
      </c>
      <c r="I383" s="24" t="str">
        <f>IFERROR(H381+SUMPRODUCT((MOVIMIENTOS!$C$2:$C$5000=$A381)*(MOVIMIENTOS!$D$2:$D$5000=$G381)*(MOVIMIENTOS!$B$2:$B$5000="INGRESO")*MOVIMIENTOS!$E$2:$E$5000)-SUMPRODUCT((MOVIMIENTOS!$C$2:$C$5000=$A381)*(MOVIMIENTOS!$D$2:$D$5000=$G381)*(MOVIMIENTOS!$B$2:$B$5000="EGRESO")*MOVIMIENTOS!$E$2:$E$5000),"")</f>
        <v/>
      </c>
      <c r="J383" s="25" t="s">
        <v>156</v>
      </c>
      <c r="K383" s="25"/>
      <c r="L383" s="25"/>
      <c r="M383" s="21">
        <f t="shared" ca="1" si="8"/>
        <v>906</v>
      </c>
      <c r="N383" s="30"/>
    </row>
    <row r="384" spans="1:14" ht="16.05" customHeight="1" x14ac:dyDescent="0.3">
      <c r="A384" s="98" t="s">
        <v>1172</v>
      </c>
      <c r="B384" s="99" t="s">
        <v>1173</v>
      </c>
      <c r="C384" s="100" t="s">
        <v>1174</v>
      </c>
      <c r="D384" s="7"/>
      <c r="E384" s="8"/>
      <c r="F384" s="102">
        <v>0</v>
      </c>
      <c r="G384" s="103" t="s">
        <v>1175</v>
      </c>
      <c r="H384" s="108">
        <v>9800</v>
      </c>
      <c r="I384" s="104" t="str">
        <f>IFERROR(H382+SUMPRODUCT((MOVIMIENTOS!$C$2:$C$5000=$A382)*(MOVIMIENTOS!$D$2:$D$5000=$G382)*(MOVIMIENTOS!$B$2:$B$5000="INGRESO")*MOVIMIENTOS!$E$2:$E$5000)-SUMPRODUCT((MOVIMIENTOS!$C$2:$C$5000=$A382)*(MOVIMIENTOS!$D$2:$D$5000=$G382)*(MOVIMIENTOS!$B$2:$B$5000="EGRESO")*MOVIMIENTOS!$E$2:$E$5000),"")</f>
        <v/>
      </c>
      <c r="J384" s="105" t="s">
        <v>156</v>
      </c>
      <c r="K384" s="13"/>
      <c r="L384" s="106">
        <v>46329</v>
      </c>
      <c r="M384" s="102" t="str">
        <f t="shared" ca="1" si="8"/>
        <v/>
      </c>
      <c r="N384" s="109" t="s">
        <v>26</v>
      </c>
    </row>
    <row r="385" spans="1:14" ht="16.05" customHeight="1" x14ac:dyDescent="0.3">
      <c r="A385" s="98" t="s">
        <v>1172</v>
      </c>
      <c r="B385" s="99" t="s">
        <v>1173</v>
      </c>
      <c r="C385" s="100" t="s">
        <v>1174</v>
      </c>
      <c r="D385" s="19"/>
      <c r="E385" s="20"/>
      <c r="F385" s="102">
        <v>0</v>
      </c>
      <c r="G385" s="103" t="s">
        <v>1175</v>
      </c>
      <c r="H385" s="108">
        <v>10000</v>
      </c>
      <c r="I385" s="104" t="str">
        <f>IFERROR(H383+SUMPRODUCT((MOVIMIENTOS!$C$2:$C$5000=$A383)*(MOVIMIENTOS!$D$2:$D$5000=$G383)*(MOVIMIENTOS!$B$2:$B$5000="INGRESO")*MOVIMIENTOS!$E$2:$E$5000)-SUMPRODUCT((MOVIMIENTOS!$C$2:$C$5000=$A383)*(MOVIMIENTOS!$D$2:$D$5000=$G383)*(MOVIMIENTOS!$B$2:$B$5000="EGRESO")*MOVIMIENTOS!$E$2:$E$5000),"")</f>
        <v/>
      </c>
      <c r="J385" s="105" t="s">
        <v>156</v>
      </c>
      <c r="K385" s="25"/>
      <c r="L385" s="25"/>
      <c r="M385" s="102" t="str">
        <f t="shared" ca="1" si="8"/>
        <v/>
      </c>
      <c r="N385" s="30"/>
    </row>
    <row r="386" spans="1:14" ht="16.05" customHeight="1" x14ac:dyDescent="0.3">
      <c r="A386" s="4" t="s">
        <v>1176</v>
      </c>
      <c r="B386" s="5" t="s">
        <v>1177</v>
      </c>
      <c r="C386" s="6" t="s">
        <v>1178</v>
      </c>
      <c r="D386" s="7"/>
      <c r="E386" s="8" t="s">
        <v>35</v>
      </c>
      <c r="F386" s="9">
        <v>0</v>
      </c>
      <c r="G386" s="10" t="s">
        <v>1179</v>
      </c>
      <c r="H386" s="11">
        <v>2000</v>
      </c>
      <c r="I386" s="12" t="str">
        <f>IFERROR(H384+SUMPRODUCT((MOVIMIENTOS!$C$2:$C$5000=$A384)*(MOVIMIENTOS!$D$2:$D$5000=$G384)*(MOVIMIENTOS!$B$2:$B$5000="INGRESO")*MOVIMIENTOS!$E$2:$E$5000)-SUMPRODUCT((MOVIMIENTOS!$C$2:$C$5000=$A384)*(MOVIMIENTOS!$D$2:$D$5000=$G384)*(MOVIMIENTOS!$B$2:$B$5000="EGRESO")*MOVIMIENTOS!$E$2:$E$5000),"")</f>
        <v/>
      </c>
      <c r="J386" s="13" t="s">
        <v>67</v>
      </c>
      <c r="K386" s="13" t="s">
        <v>231</v>
      </c>
      <c r="L386" s="14">
        <v>46569</v>
      </c>
      <c r="M386" s="9">
        <f t="shared" ca="1" si="8"/>
        <v>203</v>
      </c>
      <c r="N386" s="15" t="s">
        <v>26</v>
      </c>
    </row>
    <row r="387" spans="1:14" ht="16.05" customHeight="1" x14ac:dyDescent="0.3">
      <c r="A387" s="16" t="s">
        <v>1180</v>
      </c>
      <c r="B387" s="17" t="s">
        <v>1181</v>
      </c>
      <c r="C387" s="18" t="s">
        <v>1182</v>
      </c>
      <c r="D387" s="19"/>
      <c r="E387" s="20"/>
      <c r="F387" s="21">
        <v>0</v>
      </c>
      <c r="G387" s="22" t="s">
        <v>1183</v>
      </c>
      <c r="H387" s="23">
        <v>785.2</v>
      </c>
      <c r="I387" s="24" t="str">
        <f>IFERROR(H385+SUMPRODUCT((MOVIMIENTOS!$C$2:$C$5000=$A385)*(MOVIMIENTOS!$D$2:$D$5000=$G385)*(MOVIMIENTOS!$B$2:$B$5000="INGRESO")*MOVIMIENTOS!$E$2:$E$5000)-SUMPRODUCT((MOVIMIENTOS!$C$2:$C$5000=$A385)*(MOVIMIENTOS!$D$2:$D$5000=$G385)*(MOVIMIENTOS!$B$2:$B$5000="EGRESO")*MOVIMIENTOS!$E$2:$E$5000),"")</f>
        <v/>
      </c>
      <c r="J387" s="25" t="s">
        <v>31</v>
      </c>
      <c r="K387" s="25" t="s">
        <v>158</v>
      </c>
      <c r="L387" s="26">
        <v>47248</v>
      </c>
      <c r="M387" s="21" t="str">
        <f t="shared" ca="1" si="8"/>
        <v/>
      </c>
      <c r="N387" s="27" t="s">
        <v>26</v>
      </c>
    </row>
    <row r="388" spans="1:14" ht="16.05" customHeight="1" x14ac:dyDescent="0.3">
      <c r="A388" s="4" t="s">
        <v>1184</v>
      </c>
      <c r="B388" s="5" t="s">
        <v>1185</v>
      </c>
      <c r="C388" s="6" t="s">
        <v>1186</v>
      </c>
      <c r="D388" s="7"/>
      <c r="E388" s="8" t="s">
        <v>22</v>
      </c>
      <c r="F388" s="9">
        <v>0</v>
      </c>
      <c r="G388" s="10" t="s">
        <v>109</v>
      </c>
      <c r="H388" s="11">
        <v>1120</v>
      </c>
      <c r="I388" s="12" t="str">
        <f>IFERROR(H386+SUMPRODUCT((MOVIMIENTOS!$C$2:$C$5000=$A386)*(MOVIMIENTOS!$D$2:$D$5000=$G386)*(MOVIMIENTOS!$B$2:$B$5000="INGRESO")*MOVIMIENTOS!$E$2:$E$5000)-SUMPRODUCT((MOVIMIENTOS!$C$2:$C$5000=$A386)*(MOVIMIENTOS!$D$2:$D$5000=$G386)*(MOVIMIENTOS!$B$2:$B$5000="EGRESO")*MOVIMIENTOS!$E$2:$E$5000),"")</f>
        <v/>
      </c>
      <c r="J388" s="13" t="s">
        <v>163</v>
      </c>
      <c r="K388" s="13" t="s">
        <v>231</v>
      </c>
      <c r="L388" s="14">
        <v>46712</v>
      </c>
      <c r="M388" s="9">
        <f t="shared" ca="1" si="8"/>
        <v>443</v>
      </c>
      <c r="N388" s="15" t="s">
        <v>26</v>
      </c>
    </row>
    <row r="389" spans="1:14" ht="16.05" customHeight="1" x14ac:dyDescent="0.3">
      <c r="A389" s="16" t="s">
        <v>1187</v>
      </c>
      <c r="B389" s="17" t="s">
        <v>1188</v>
      </c>
      <c r="C389" s="18" t="s">
        <v>1189</v>
      </c>
      <c r="D389" s="19"/>
      <c r="E389" s="20"/>
      <c r="F389" s="21">
        <v>0</v>
      </c>
      <c r="G389" s="22" t="s">
        <v>496</v>
      </c>
      <c r="H389" s="29"/>
      <c r="I389" s="24" t="str">
        <f>IFERROR(H387+SUMPRODUCT((MOVIMIENTOS!$C$2:$C$5000=$A387)*(MOVIMIENTOS!$D$2:$D$5000=$G387)*(MOVIMIENTOS!$B$2:$B$5000="INGRESO")*MOVIMIENTOS!$E$2:$E$5000)-SUMPRODUCT((MOVIMIENTOS!$C$2:$C$5000=$A387)*(MOVIMIENTOS!$D$2:$D$5000=$G387)*(MOVIMIENTOS!$B$2:$B$5000="EGRESO")*MOVIMIENTOS!$E$2:$E$5000),"")</f>
        <v/>
      </c>
      <c r="J389" s="25" t="s">
        <v>359</v>
      </c>
      <c r="K389" s="25" t="s">
        <v>115</v>
      </c>
      <c r="L389" s="26">
        <v>47259</v>
      </c>
      <c r="M389" s="21">
        <f t="shared" ca="1" si="8"/>
        <v>1122</v>
      </c>
      <c r="N389" s="27" t="s">
        <v>26</v>
      </c>
    </row>
    <row r="390" spans="1:14" ht="16.05" customHeight="1" x14ac:dyDescent="0.3">
      <c r="A390" s="4" t="s">
        <v>1190</v>
      </c>
      <c r="B390" s="5" t="s">
        <v>1191</v>
      </c>
      <c r="C390" s="6" t="s">
        <v>1192</v>
      </c>
      <c r="D390" s="7"/>
      <c r="E390" s="8"/>
      <c r="F390" s="9">
        <v>0</v>
      </c>
      <c r="G390" s="10" t="s">
        <v>1193</v>
      </c>
      <c r="H390" s="11">
        <v>0</v>
      </c>
      <c r="I390" s="12" t="str">
        <f>IFERROR(H388+SUMPRODUCT((MOVIMIENTOS!$C$2:$C$5000=$A388)*(MOVIMIENTOS!$D$2:$D$5000=$G388)*(MOVIMIENTOS!$B$2:$B$5000="INGRESO")*MOVIMIENTOS!$E$2:$E$5000)-SUMPRODUCT((MOVIMIENTOS!$C$2:$C$5000=$A388)*(MOVIMIENTOS!$D$2:$D$5000=$G388)*(MOVIMIENTOS!$B$2:$B$5000="EGRESO")*MOVIMIENTOS!$E$2:$E$5000),"")</f>
        <v/>
      </c>
      <c r="J390" s="13" t="s">
        <v>42</v>
      </c>
      <c r="K390" s="13" t="s">
        <v>231</v>
      </c>
      <c r="L390" s="14">
        <v>46279</v>
      </c>
      <c r="M390" s="9">
        <f t="shared" ca="1" si="8"/>
        <v>586</v>
      </c>
      <c r="N390" s="15" t="s">
        <v>26</v>
      </c>
    </row>
    <row r="391" spans="1:14" ht="16.05" customHeight="1" x14ac:dyDescent="0.3">
      <c r="A391" s="16" t="s">
        <v>1190</v>
      </c>
      <c r="B391" s="17" t="s">
        <v>1191</v>
      </c>
      <c r="C391" s="18" t="s">
        <v>1192</v>
      </c>
      <c r="D391" s="19"/>
      <c r="E391" s="20"/>
      <c r="F391" s="21">
        <v>0</v>
      </c>
      <c r="G391" s="22" t="s">
        <v>1194</v>
      </c>
      <c r="H391" s="23">
        <v>19496</v>
      </c>
      <c r="I391" s="24" t="str">
        <f>IFERROR(H389+SUMPRODUCT((MOVIMIENTOS!$C$2:$C$5000=$A389)*(MOVIMIENTOS!$D$2:$D$5000=$G389)*(MOVIMIENTOS!$B$2:$B$5000="INGRESO")*MOVIMIENTOS!$E$2:$E$5000)-SUMPRODUCT((MOVIMIENTOS!$C$2:$C$5000=$A389)*(MOVIMIENTOS!$D$2:$D$5000=$G389)*(MOVIMIENTOS!$B$2:$B$5000="EGRESO")*MOVIMIENTOS!$E$2:$E$5000),"")</f>
        <v/>
      </c>
      <c r="J391" s="25" t="s">
        <v>42</v>
      </c>
      <c r="K391" s="25" t="s">
        <v>231</v>
      </c>
      <c r="L391" s="26">
        <v>46279</v>
      </c>
      <c r="M391" s="21">
        <f t="shared" ca="1" si="8"/>
        <v>1133</v>
      </c>
      <c r="N391" s="27" t="s">
        <v>26</v>
      </c>
    </row>
    <row r="392" spans="1:14" ht="16.05" customHeight="1" x14ac:dyDescent="0.3">
      <c r="A392" s="4" t="s">
        <v>1195</v>
      </c>
      <c r="B392" s="5" t="s">
        <v>1196</v>
      </c>
      <c r="C392" s="6" t="s">
        <v>1197</v>
      </c>
      <c r="D392" s="7"/>
      <c r="E392" s="8"/>
      <c r="F392" s="9">
        <v>0</v>
      </c>
      <c r="G392" s="10" t="s">
        <v>1198</v>
      </c>
      <c r="H392" s="11">
        <v>2300</v>
      </c>
      <c r="I392" s="12" t="str">
        <f>IFERROR(H390+SUMPRODUCT((MOVIMIENTOS!$C$2:$C$5000=$A390)*(MOVIMIENTOS!$D$2:$D$5000=$G390)*(MOVIMIENTOS!$B$2:$B$5000="INGRESO")*MOVIMIENTOS!$E$2:$E$5000)-SUMPRODUCT((MOVIMIENTOS!$C$2:$C$5000=$A390)*(MOVIMIENTOS!$D$2:$D$5000=$G390)*(MOVIMIENTOS!$B$2:$B$5000="EGRESO")*MOVIMIENTOS!$E$2:$E$5000),"")</f>
        <v/>
      </c>
      <c r="J392" s="13" t="s">
        <v>37</v>
      </c>
      <c r="K392" s="13" t="s">
        <v>72</v>
      </c>
      <c r="L392" s="14">
        <v>46523</v>
      </c>
      <c r="M392" s="9">
        <f t="shared" ca="1" si="8"/>
        <v>153</v>
      </c>
      <c r="N392" s="15" t="s">
        <v>26</v>
      </c>
    </row>
    <row r="393" spans="1:14" ht="16.05" customHeight="1" x14ac:dyDescent="0.3">
      <c r="A393" s="16" t="s">
        <v>1195</v>
      </c>
      <c r="B393" s="17" t="s">
        <v>1196</v>
      </c>
      <c r="C393" s="18" t="s">
        <v>1197</v>
      </c>
      <c r="D393" s="19"/>
      <c r="E393" s="20"/>
      <c r="F393" s="21">
        <v>0</v>
      </c>
      <c r="G393" s="22" t="s">
        <v>1199</v>
      </c>
      <c r="H393" s="23">
        <v>3700</v>
      </c>
      <c r="I393" s="24" t="str">
        <f>IFERROR(H391+SUMPRODUCT((MOVIMIENTOS!$C$2:$C$5000=$A391)*(MOVIMIENTOS!$D$2:$D$5000=$G391)*(MOVIMIENTOS!$B$2:$B$5000="INGRESO")*MOVIMIENTOS!$E$2:$E$5000)-SUMPRODUCT((MOVIMIENTOS!$C$2:$C$5000=$A391)*(MOVIMIENTOS!$D$2:$D$5000=$G391)*(MOVIMIENTOS!$B$2:$B$5000="EGRESO")*MOVIMIENTOS!$E$2:$E$5000),"")</f>
        <v/>
      </c>
      <c r="J393" s="25" t="s">
        <v>37</v>
      </c>
      <c r="K393" s="25" t="s">
        <v>72</v>
      </c>
      <c r="L393" s="26">
        <v>46633</v>
      </c>
      <c r="M393" s="21">
        <f t="shared" ca="1" si="8"/>
        <v>153</v>
      </c>
      <c r="N393" s="27" t="s">
        <v>26</v>
      </c>
    </row>
    <row r="394" spans="1:14" ht="16.05" customHeight="1" x14ac:dyDescent="0.3">
      <c r="A394" s="4" t="s">
        <v>1195</v>
      </c>
      <c r="B394" s="5" t="s">
        <v>1196</v>
      </c>
      <c r="C394" s="6" t="s">
        <v>1197</v>
      </c>
      <c r="D394" s="7"/>
      <c r="E394" s="8"/>
      <c r="F394" s="9">
        <v>0</v>
      </c>
      <c r="G394" s="10" t="s">
        <v>1200</v>
      </c>
      <c r="H394" s="11">
        <v>3700</v>
      </c>
      <c r="I394" s="12" t="str">
        <f>IFERROR(H392+SUMPRODUCT((MOVIMIENTOS!$C$2:$C$5000=$A392)*(MOVIMIENTOS!$D$2:$D$5000=$G392)*(MOVIMIENTOS!$B$2:$B$5000="INGRESO")*MOVIMIENTOS!$E$2:$E$5000)-SUMPRODUCT((MOVIMIENTOS!$C$2:$C$5000=$A392)*(MOVIMIENTOS!$D$2:$D$5000=$G392)*(MOVIMIENTOS!$B$2:$B$5000="EGRESO")*MOVIMIENTOS!$E$2:$E$5000),"")</f>
        <v/>
      </c>
      <c r="J394" s="13" t="s">
        <v>37</v>
      </c>
      <c r="K394" s="13" t="s">
        <v>72</v>
      </c>
      <c r="L394" s="14">
        <v>46676</v>
      </c>
      <c r="M394" s="9">
        <f t="shared" ca="1" si="8"/>
        <v>397</v>
      </c>
      <c r="N394" s="15" t="s">
        <v>26</v>
      </c>
    </row>
    <row r="395" spans="1:14" ht="16.05" customHeight="1" x14ac:dyDescent="0.3">
      <c r="A395" s="16" t="s">
        <v>1195</v>
      </c>
      <c r="B395" s="17" t="s">
        <v>1196</v>
      </c>
      <c r="C395" s="18" t="s">
        <v>1197</v>
      </c>
      <c r="D395" s="19"/>
      <c r="E395" s="20"/>
      <c r="F395" s="21">
        <v>0</v>
      </c>
      <c r="G395" s="22" t="s">
        <v>1201</v>
      </c>
      <c r="H395" s="23">
        <v>1000</v>
      </c>
      <c r="I395" s="24" t="str">
        <f>IFERROR(H393+SUMPRODUCT((MOVIMIENTOS!$C$2:$C$5000=$A393)*(MOVIMIENTOS!$D$2:$D$5000=$G393)*(MOVIMIENTOS!$B$2:$B$5000="INGRESO")*MOVIMIENTOS!$E$2:$E$5000)-SUMPRODUCT((MOVIMIENTOS!$C$2:$C$5000=$A393)*(MOVIMIENTOS!$D$2:$D$5000=$G393)*(MOVIMIENTOS!$B$2:$B$5000="EGRESO")*MOVIMIENTOS!$E$2:$E$5000),"")</f>
        <v/>
      </c>
      <c r="J395" s="25" t="s">
        <v>37</v>
      </c>
      <c r="K395" s="25" t="s">
        <v>72</v>
      </c>
      <c r="L395" s="26">
        <v>46697</v>
      </c>
      <c r="M395" s="21">
        <f t="shared" ca="1" si="8"/>
        <v>507</v>
      </c>
      <c r="N395" s="27" t="s">
        <v>26</v>
      </c>
    </row>
    <row r="396" spans="1:14" ht="16.05" customHeight="1" x14ac:dyDescent="0.3">
      <c r="A396" s="4" t="s">
        <v>1202</v>
      </c>
      <c r="B396" s="5" t="s">
        <v>1203</v>
      </c>
      <c r="C396" s="6" t="s">
        <v>1204</v>
      </c>
      <c r="D396" s="7"/>
      <c r="E396" s="8"/>
      <c r="F396" s="9">
        <v>0</v>
      </c>
      <c r="G396" s="10" t="s">
        <v>1205</v>
      </c>
      <c r="H396" s="11">
        <v>13757</v>
      </c>
      <c r="I396" s="12" t="str">
        <f>IFERROR(H394+SUMPRODUCT((MOVIMIENTOS!$C$2:$C$5000=$A394)*(MOVIMIENTOS!$D$2:$D$5000=$G394)*(MOVIMIENTOS!$B$2:$B$5000="INGRESO")*MOVIMIENTOS!$E$2:$E$5000)-SUMPRODUCT((MOVIMIENTOS!$C$2:$C$5000=$A394)*(MOVIMIENTOS!$D$2:$D$5000=$G394)*(MOVIMIENTOS!$B$2:$B$5000="EGRESO")*MOVIMIENTOS!$E$2:$E$5000),"")</f>
        <v/>
      </c>
      <c r="J396" s="13" t="s">
        <v>37</v>
      </c>
      <c r="K396" s="13" t="s">
        <v>231</v>
      </c>
      <c r="L396" s="14">
        <v>46313</v>
      </c>
      <c r="M396" s="9">
        <f t="shared" ca="1" si="8"/>
        <v>550</v>
      </c>
      <c r="N396" s="15" t="s">
        <v>26</v>
      </c>
    </row>
    <row r="397" spans="1:14" ht="16.05" customHeight="1" x14ac:dyDescent="0.3">
      <c r="A397" s="16" t="s">
        <v>1206</v>
      </c>
      <c r="B397" s="17" t="s">
        <v>1207</v>
      </c>
      <c r="C397" s="18" t="s">
        <v>1208</v>
      </c>
      <c r="D397" s="19"/>
      <c r="E397" s="20" t="s">
        <v>22</v>
      </c>
      <c r="F397" s="21">
        <v>0</v>
      </c>
      <c r="G397" s="22" t="s">
        <v>1209</v>
      </c>
      <c r="H397" s="23">
        <v>30950</v>
      </c>
      <c r="I397" s="24" t="str">
        <f>IFERROR(H395+SUMPRODUCT((MOVIMIENTOS!$C$2:$C$5000=$A395)*(MOVIMIENTOS!$D$2:$D$5000=$G395)*(MOVIMIENTOS!$B$2:$B$5000="INGRESO")*MOVIMIENTOS!$E$2:$E$5000)-SUMPRODUCT((MOVIMIENTOS!$C$2:$C$5000=$A395)*(MOVIMIENTOS!$D$2:$D$5000=$G395)*(MOVIMIENTOS!$B$2:$B$5000="EGRESO")*MOVIMIENTOS!$E$2:$E$5000),"")</f>
        <v/>
      </c>
      <c r="J397" s="25" t="s">
        <v>121</v>
      </c>
      <c r="K397" s="25" t="s">
        <v>158</v>
      </c>
      <c r="L397" s="26">
        <v>46648</v>
      </c>
      <c r="M397" s="21">
        <f t="shared" ca="1" si="8"/>
        <v>571</v>
      </c>
      <c r="N397" s="27" t="s">
        <v>26</v>
      </c>
    </row>
    <row r="398" spans="1:14" ht="16.05" customHeight="1" x14ac:dyDescent="0.3">
      <c r="A398" s="4" t="s">
        <v>1206</v>
      </c>
      <c r="B398" s="5" t="s">
        <v>1207</v>
      </c>
      <c r="C398" s="6" t="s">
        <v>1208</v>
      </c>
      <c r="D398" s="7"/>
      <c r="E398" s="8" t="s">
        <v>22</v>
      </c>
      <c r="F398" s="9">
        <v>0</v>
      </c>
      <c r="G398" s="10" t="s">
        <v>1210</v>
      </c>
      <c r="H398" s="11">
        <v>4980</v>
      </c>
      <c r="I398" s="12" t="str">
        <f>IFERROR(H396+SUMPRODUCT((MOVIMIENTOS!$C$2:$C$5000=$A396)*(MOVIMIENTOS!$D$2:$D$5000=$G396)*(MOVIMIENTOS!$B$2:$B$5000="INGRESO")*MOVIMIENTOS!$E$2:$E$5000)-SUMPRODUCT((MOVIMIENTOS!$C$2:$C$5000=$A396)*(MOVIMIENTOS!$D$2:$D$5000=$G396)*(MOVIMIENTOS!$B$2:$B$5000="EGRESO")*MOVIMIENTOS!$E$2:$E$5000),"")</f>
        <v/>
      </c>
      <c r="J398" s="13" t="s">
        <v>121</v>
      </c>
      <c r="K398" s="13" t="s">
        <v>158</v>
      </c>
      <c r="L398" s="14">
        <v>46768</v>
      </c>
      <c r="M398" s="9">
        <f t="shared" ca="1" si="8"/>
        <v>187</v>
      </c>
      <c r="N398" s="15" t="s">
        <v>26</v>
      </c>
    </row>
    <row r="399" spans="1:14" ht="16.05" customHeight="1" x14ac:dyDescent="0.3">
      <c r="A399" s="16" t="s">
        <v>1211</v>
      </c>
      <c r="B399" s="17" t="s">
        <v>1212</v>
      </c>
      <c r="C399" s="18" t="s">
        <v>1213</v>
      </c>
      <c r="D399" s="19"/>
      <c r="E399" s="20"/>
      <c r="F399" s="21">
        <v>0</v>
      </c>
      <c r="G399" s="22" t="s">
        <v>496</v>
      </c>
      <c r="H399" s="29"/>
      <c r="I399" s="24" t="str">
        <f>IFERROR(H397+SUMPRODUCT((MOVIMIENTOS!$C$2:$C$5000=$A397)*(MOVIMIENTOS!$D$2:$D$5000=$G397)*(MOVIMIENTOS!$B$2:$B$5000="INGRESO")*MOVIMIENTOS!$E$2:$E$5000)-SUMPRODUCT((MOVIMIENTOS!$C$2:$C$5000=$A397)*(MOVIMIENTOS!$D$2:$D$5000=$G397)*(MOVIMIENTOS!$B$2:$B$5000="EGRESO")*MOVIMIENTOS!$E$2:$E$5000),"")</f>
        <v/>
      </c>
      <c r="J399" s="25" t="s">
        <v>359</v>
      </c>
      <c r="K399" s="25" t="s">
        <v>115</v>
      </c>
      <c r="L399" s="26">
        <v>46388</v>
      </c>
      <c r="M399" s="21">
        <f t="shared" ca="1" si="8"/>
        <v>522</v>
      </c>
      <c r="N399" s="27" t="s">
        <v>26</v>
      </c>
    </row>
    <row r="400" spans="1:14" ht="16.05" customHeight="1" x14ac:dyDescent="0.3">
      <c r="A400" s="4" t="s">
        <v>1214</v>
      </c>
      <c r="B400" s="5" t="s">
        <v>1215</v>
      </c>
      <c r="C400" s="6" t="s">
        <v>1216</v>
      </c>
      <c r="D400" s="7"/>
      <c r="E400" s="8" t="s">
        <v>22</v>
      </c>
      <c r="F400" s="9">
        <v>0</v>
      </c>
      <c r="G400" s="10" t="s">
        <v>1217</v>
      </c>
      <c r="H400" s="28"/>
      <c r="I400" s="12" t="str">
        <f>IFERROR(H398+SUMPRODUCT((MOVIMIENTOS!$C$2:$C$5000=$A398)*(MOVIMIENTOS!$D$2:$D$5000=$G398)*(MOVIMIENTOS!$B$2:$B$5000="INGRESO")*MOVIMIENTOS!$E$2:$E$5000)-SUMPRODUCT((MOVIMIENTOS!$C$2:$C$5000=$A398)*(MOVIMIENTOS!$D$2:$D$5000=$G398)*(MOVIMIENTOS!$B$2:$B$5000="EGRESO")*MOVIMIENTOS!$E$2:$E$5000),"")</f>
        <v/>
      </c>
      <c r="J400" s="13" t="s">
        <v>31</v>
      </c>
      <c r="K400" s="13" t="s">
        <v>158</v>
      </c>
      <c r="L400" s="14">
        <v>46517</v>
      </c>
      <c r="M400" s="9">
        <f t="shared" ca="1" si="8"/>
        <v>642</v>
      </c>
      <c r="N400" s="15" t="s">
        <v>26</v>
      </c>
    </row>
    <row r="401" spans="1:14" ht="16.05" customHeight="1" x14ac:dyDescent="0.3">
      <c r="A401" s="16" t="s">
        <v>1218</v>
      </c>
      <c r="B401" s="17" t="s">
        <v>1219</v>
      </c>
      <c r="C401" s="18" t="s">
        <v>1220</v>
      </c>
      <c r="D401" s="19"/>
      <c r="E401" s="20"/>
      <c r="F401" s="21">
        <v>0</v>
      </c>
      <c r="G401" s="22" t="s">
        <v>1221</v>
      </c>
      <c r="H401" s="23">
        <v>7030</v>
      </c>
      <c r="I401" s="24" t="str">
        <f>IFERROR(H399+SUMPRODUCT((MOVIMIENTOS!$C$2:$C$5000=$A399)*(MOVIMIENTOS!$D$2:$D$5000=$G399)*(MOVIMIENTOS!$B$2:$B$5000="INGRESO")*MOVIMIENTOS!$E$2:$E$5000)-SUMPRODUCT((MOVIMIENTOS!$C$2:$C$5000=$A399)*(MOVIMIENTOS!$D$2:$D$5000=$G399)*(MOVIMIENTOS!$B$2:$B$5000="EGRESO")*MOVIMIENTOS!$E$2:$E$5000),"")</f>
        <v/>
      </c>
      <c r="J401" s="25" t="s">
        <v>121</v>
      </c>
      <c r="K401" s="25" t="s">
        <v>72</v>
      </c>
      <c r="L401" s="26">
        <v>46476</v>
      </c>
      <c r="M401" s="21">
        <f t="shared" ca="1" si="8"/>
        <v>262</v>
      </c>
      <c r="N401" s="27" t="s">
        <v>26</v>
      </c>
    </row>
    <row r="402" spans="1:14" ht="16.05" customHeight="1" x14ac:dyDescent="0.3">
      <c r="A402" s="4" t="s">
        <v>1222</v>
      </c>
      <c r="B402" s="5" t="s">
        <v>1223</v>
      </c>
      <c r="C402" s="6" t="s">
        <v>1224</v>
      </c>
      <c r="D402" s="7"/>
      <c r="E402" s="8" t="s">
        <v>22</v>
      </c>
      <c r="F402" s="9">
        <v>0</v>
      </c>
      <c r="G402" s="10" t="s">
        <v>462</v>
      </c>
      <c r="H402" s="11">
        <v>900</v>
      </c>
      <c r="I402" s="12" t="str">
        <f>IFERROR(H400+SUMPRODUCT((MOVIMIENTOS!$C$2:$C$5000=$A400)*(MOVIMIENTOS!$D$2:$D$5000=$G400)*(MOVIMIENTOS!$B$2:$B$5000="INGRESO")*MOVIMIENTOS!$E$2:$E$5000)-SUMPRODUCT((MOVIMIENTOS!$C$2:$C$5000=$A400)*(MOVIMIENTOS!$D$2:$D$5000=$G400)*(MOVIMIENTOS!$B$2:$B$5000="EGRESO")*MOVIMIENTOS!$E$2:$E$5000),"")</f>
        <v/>
      </c>
      <c r="J402" s="13" t="s">
        <v>42</v>
      </c>
      <c r="K402" s="13" t="s">
        <v>158</v>
      </c>
      <c r="L402" s="14">
        <v>46591</v>
      </c>
      <c r="M402" s="9">
        <f t="shared" ref="M402:M412" ca="1" si="9">IF(L400="","",L400-TODAY())</f>
        <v>391</v>
      </c>
      <c r="N402" s="15" t="s">
        <v>26</v>
      </c>
    </row>
    <row r="403" spans="1:14" ht="16.05" customHeight="1" x14ac:dyDescent="0.3">
      <c r="A403" s="16" t="s">
        <v>1225</v>
      </c>
      <c r="B403" s="17" t="s">
        <v>1226</v>
      </c>
      <c r="C403" s="18" t="s">
        <v>1227</v>
      </c>
      <c r="D403" s="19"/>
      <c r="E403" s="20"/>
      <c r="F403" s="21">
        <v>0</v>
      </c>
      <c r="G403" s="22" t="s">
        <v>1228</v>
      </c>
      <c r="H403" s="23">
        <v>2198</v>
      </c>
      <c r="I403" s="24" t="str">
        <f>IFERROR(H401+SUMPRODUCT((MOVIMIENTOS!$C$2:$C$5000=$A401)*(MOVIMIENTOS!$D$2:$D$5000=$G401)*(MOVIMIENTOS!$B$2:$B$5000="INGRESO")*MOVIMIENTOS!$E$2:$E$5000)-SUMPRODUCT((MOVIMIENTOS!$C$2:$C$5000=$A401)*(MOVIMIENTOS!$D$2:$D$5000=$G401)*(MOVIMIENTOS!$B$2:$B$5000="EGRESO")*MOVIMIENTOS!$E$2:$E$5000),"")</f>
        <v/>
      </c>
      <c r="J403" s="25" t="s">
        <v>37</v>
      </c>
      <c r="K403" s="25" t="s">
        <v>158</v>
      </c>
      <c r="L403" s="26">
        <v>46919</v>
      </c>
      <c r="M403" s="21">
        <f t="shared" ca="1" si="9"/>
        <v>350</v>
      </c>
      <c r="N403" s="27" t="s">
        <v>26</v>
      </c>
    </row>
    <row r="404" spans="1:14" ht="16.05" customHeight="1" x14ac:dyDescent="0.3">
      <c r="A404" s="68" t="s">
        <v>1229</v>
      </c>
      <c r="B404" s="69" t="s">
        <v>356</v>
      </c>
      <c r="C404" s="70" t="s">
        <v>1230</v>
      </c>
      <c r="D404" s="71"/>
      <c r="E404" s="72"/>
      <c r="F404" s="73">
        <v>0</v>
      </c>
      <c r="G404" s="74" t="s">
        <v>1231</v>
      </c>
      <c r="H404" s="89">
        <v>1830</v>
      </c>
      <c r="I404" s="76" t="str">
        <f>IFERROR(H402+SUMPRODUCT((MOVIMIENTOS!$C$2:$C$5000=$A402)*(MOVIMIENTOS!$D$2:$D$5000=$G402)*(MOVIMIENTOS!$B$2:$B$5000="INGRESO")*MOVIMIENTOS!$E$2:$E$5000)-SUMPRODUCT((MOVIMIENTOS!$C$2:$C$5000=$A402)*(MOVIMIENTOS!$D$2:$D$5000=$G402)*(MOVIMIENTOS!$B$2:$B$5000="EGRESO")*MOVIMIENTOS!$E$2:$E$5000),"")</f>
        <v/>
      </c>
      <c r="J404" s="77" t="s">
        <v>114</v>
      </c>
      <c r="K404" s="77" t="s">
        <v>158</v>
      </c>
      <c r="L404" s="78">
        <v>46824</v>
      </c>
      <c r="M404" s="73">
        <f t="shared" ca="1" si="9"/>
        <v>465</v>
      </c>
      <c r="N404" s="79" t="s">
        <v>26</v>
      </c>
    </row>
    <row r="405" spans="1:14" ht="16.05" customHeight="1" x14ac:dyDescent="0.3">
      <c r="A405" s="68" t="s">
        <v>1229</v>
      </c>
      <c r="B405" s="69" t="s">
        <v>356</v>
      </c>
      <c r="C405" s="70" t="s">
        <v>1230</v>
      </c>
      <c r="D405" s="71"/>
      <c r="E405" s="72"/>
      <c r="F405" s="73">
        <v>0</v>
      </c>
      <c r="G405" s="74" t="s">
        <v>1232</v>
      </c>
      <c r="H405" s="89">
        <v>1714</v>
      </c>
      <c r="I405" s="76" t="str">
        <f>IFERROR(H403+SUMPRODUCT((MOVIMIENTOS!$C$2:$C$5000=$A403)*(MOVIMIENTOS!$D$2:$D$5000=$G403)*(MOVIMIENTOS!$B$2:$B$5000="INGRESO")*MOVIMIENTOS!$E$2:$E$5000)-SUMPRODUCT((MOVIMIENTOS!$C$2:$C$5000=$A403)*(MOVIMIENTOS!$D$2:$D$5000=$G403)*(MOVIMIENTOS!$B$2:$B$5000="EGRESO")*MOVIMIENTOS!$E$2:$E$5000),"")</f>
        <v/>
      </c>
      <c r="J405" s="77" t="s">
        <v>114</v>
      </c>
      <c r="K405" s="77" t="s">
        <v>158</v>
      </c>
      <c r="L405" s="78">
        <v>46841</v>
      </c>
      <c r="M405" s="73">
        <f t="shared" ca="1" si="9"/>
        <v>793</v>
      </c>
      <c r="N405" s="79" t="s">
        <v>26</v>
      </c>
    </row>
    <row r="406" spans="1:14" ht="16.05" customHeight="1" x14ac:dyDescent="0.3">
      <c r="A406" s="4" t="s">
        <v>1233</v>
      </c>
      <c r="B406" s="5" t="s">
        <v>1234</v>
      </c>
      <c r="C406" s="6" t="s">
        <v>1235</v>
      </c>
      <c r="D406" s="7"/>
      <c r="E406" s="8" t="s">
        <v>52</v>
      </c>
      <c r="F406" s="9">
        <v>0</v>
      </c>
      <c r="G406" s="10" t="s">
        <v>1236</v>
      </c>
      <c r="H406" s="11">
        <v>915</v>
      </c>
      <c r="I406" s="12" t="str">
        <f>IFERROR(H404+SUMPRODUCT((MOVIMIENTOS!$C$2:$C$5000=$A404)*(MOVIMIENTOS!$D$2:$D$5000=$G404)*(MOVIMIENTOS!$B$2:$B$5000="INGRESO")*MOVIMIENTOS!$E$2:$E$5000)-SUMPRODUCT((MOVIMIENTOS!$C$2:$C$5000=$A404)*(MOVIMIENTOS!$D$2:$D$5000=$G404)*(MOVIMIENTOS!$B$2:$B$5000="EGRESO")*MOVIMIENTOS!$E$2:$E$5000),"")</f>
        <v/>
      </c>
      <c r="J406" s="13" t="s">
        <v>67</v>
      </c>
      <c r="K406" s="13" t="s">
        <v>231</v>
      </c>
      <c r="L406" s="14">
        <v>46575</v>
      </c>
      <c r="M406" s="9">
        <f t="shared" ca="1" si="9"/>
        <v>698</v>
      </c>
      <c r="N406" s="15" t="s">
        <v>26</v>
      </c>
    </row>
    <row r="407" spans="1:14" ht="16.05" customHeight="1" x14ac:dyDescent="0.3">
      <c r="A407" s="16" t="s">
        <v>1237</v>
      </c>
      <c r="B407" s="17" t="s">
        <v>1238</v>
      </c>
      <c r="C407" s="18" t="s">
        <v>1239</v>
      </c>
      <c r="D407" s="19"/>
      <c r="E407" s="20"/>
      <c r="F407" s="21">
        <v>0</v>
      </c>
      <c r="G407" s="22" t="s">
        <v>1240</v>
      </c>
      <c r="H407" s="23">
        <v>1540</v>
      </c>
      <c r="I407" s="24" t="str">
        <f>IFERROR(H405+SUMPRODUCT((MOVIMIENTOS!$C$2:$C$5000=$A405)*(MOVIMIENTOS!$D$2:$D$5000=$G405)*(MOVIMIENTOS!$B$2:$B$5000="INGRESO")*MOVIMIENTOS!$E$2:$E$5000)-SUMPRODUCT((MOVIMIENTOS!$C$2:$C$5000=$A405)*(MOVIMIENTOS!$D$2:$D$5000=$G405)*(MOVIMIENTOS!$B$2:$B$5000="EGRESO")*MOVIMIENTOS!$E$2:$E$5000),"")</f>
        <v/>
      </c>
      <c r="J407" s="25" t="s">
        <v>31</v>
      </c>
      <c r="K407" s="25" t="s">
        <v>231</v>
      </c>
      <c r="L407" s="26">
        <v>46540</v>
      </c>
      <c r="M407" s="21">
        <f t="shared" ca="1" si="9"/>
        <v>715</v>
      </c>
      <c r="N407" s="27" t="s">
        <v>26</v>
      </c>
    </row>
    <row r="408" spans="1:14" ht="16.05" customHeight="1" x14ac:dyDescent="0.3">
      <c r="A408" s="4" t="s">
        <v>1237</v>
      </c>
      <c r="B408" s="5" t="s">
        <v>1238</v>
      </c>
      <c r="C408" s="6" t="s">
        <v>1239</v>
      </c>
      <c r="D408" s="7"/>
      <c r="E408" s="8"/>
      <c r="F408" s="9">
        <v>0</v>
      </c>
      <c r="G408" s="10" t="s">
        <v>1241</v>
      </c>
      <c r="H408" s="11">
        <v>2960</v>
      </c>
      <c r="I408" s="12" t="str">
        <f>IFERROR(H406+SUMPRODUCT((MOVIMIENTOS!$C$2:$C$5000=$A406)*(MOVIMIENTOS!$D$2:$D$5000=$G406)*(MOVIMIENTOS!$B$2:$B$5000="INGRESO")*MOVIMIENTOS!$E$2:$E$5000)-SUMPRODUCT((MOVIMIENTOS!$C$2:$C$5000=$A406)*(MOVIMIENTOS!$D$2:$D$5000=$G406)*(MOVIMIENTOS!$B$2:$B$5000="EGRESO")*MOVIMIENTOS!$E$2:$E$5000),"")</f>
        <v/>
      </c>
      <c r="J408" s="13" t="s">
        <v>31</v>
      </c>
      <c r="K408" s="13" t="s">
        <v>231</v>
      </c>
      <c r="L408" s="14">
        <v>46684</v>
      </c>
      <c r="M408" s="9">
        <f t="shared" ca="1" si="9"/>
        <v>449</v>
      </c>
      <c r="N408" s="15" t="s">
        <v>26</v>
      </c>
    </row>
    <row r="409" spans="1:14" ht="16.05" customHeight="1" x14ac:dyDescent="0.3">
      <c r="A409" s="16" t="s">
        <v>1242</v>
      </c>
      <c r="B409" s="17" t="s">
        <v>1243</v>
      </c>
      <c r="C409" s="18" t="s">
        <v>1244</v>
      </c>
      <c r="D409" s="19"/>
      <c r="E409" s="20" t="s">
        <v>52</v>
      </c>
      <c r="F409" s="21">
        <v>0</v>
      </c>
      <c r="G409" s="22" t="s">
        <v>740</v>
      </c>
      <c r="H409" s="23">
        <v>1000</v>
      </c>
      <c r="I409" s="24" t="str">
        <f>IFERROR(H407+SUMPRODUCT((MOVIMIENTOS!$C$2:$C$5000=$A407)*(MOVIMIENTOS!$D$2:$D$5000=$G407)*(MOVIMIENTOS!$B$2:$B$5000="INGRESO")*MOVIMIENTOS!$E$2:$E$5000)-SUMPRODUCT((MOVIMIENTOS!$C$2:$C$5000=$A407)*(MOVIMIENTOS!$D$2:$D$5000=$G407)*(MOVIMIENTOS!$B$2:$B$5000="EGRESO")*MOVIMIENTOS!$E$2:$E$5000),"")</f>
        <v/>
      </c>
      <c r="J409" s="25" t="s">
        <v>67</v>
      </c>
      <c r="K409" s="25" t="s">
        <v>231</v>
      </c>
      <c r="L409" s="26">
        <v>46569</v>
      </c>
      <c r="M409" s="21">
        <f t="shared" ca="1" si="9"/>
        <v>414</v>
      </c>
      <c r="N409" s="27" t="s">
        <v>26</v>
      </c>
    </row>
    <row r="410" spans="1:14" ht="16.05" customHeight="1" x14ac:dyDescent="0.3">
      <c r="A410" s="4" t="s">
        <v>1245</v>
      </c>
      <c r="B410" s="5" t="s">
        <v>1246</v>
      </c>
      <c r="C410" s="6" t="s">
        <v>1247</v>
      </c>
      <c r="D410" s="7"/>
      <c r="E410" s="8" t="s">
        <v>52</v>
      </c>
      <c r="F410" s="9">
        <v>0</v>
      </c>
      <c r="G410" s="10" t="s">
        <v>1248</v>
      </c>
      <c r="H410" s="11">
        <v>1000</v>
      </c>
      <c r="I410" s="12" t="str">
        <f>IFERROR(H408+SUMPRODUCT((MOVIMIENTOS!$C$2:$C$5000=$A408)*(MOVIMIENTOS!$D$2:$D$5000=$G408)*(MOVIMIENTOS!$B$2:$B$5000="INGRESO")*MOVIMIENTOS!$E$2:$E$5000)-SUMPRODUCT((MOVIMIENTOS!$C$2:$C$5000=$A408)*(MOVIMIENTOS!$D$2:$D$5000=$G408)*(MOVIMIENTOS!$B$2:$B$5000="EGRESO")*MOVIMIENTOS!$E$2:$E$5000),"")</f>
        <v/>
      </c>
      <c r="J410" s="13" t="s">
        <v>67</v>
      </c>
      <c r="K410" s="13" t="s">
        <v>231</v>
      </c>
      <c r="L410" s="14">
        <v>46579</v>
      </c>
      <c r="M410" s="9">
        <f t="shared" ca="1" si="9"/>
        <v>558</v>
      </c>
      <c r="N410" s="15" t="s">
        <v>26</v>
      </c>
    </row>
    <row r="411" spans="1:14" x14ac:dyDescent="0.3">
      <c r="A411" s="16" t="s">
        <v>1249</v>
      </c>
      <c r="B411" s="17" t="s">
        <v>1250</v>
      </c>
      <c r="C411" s="18" t="s">
        <v>1251</v>
      </c>
      <c r="D411" s="19"/>
      <c r="E411" s="20" t="s">
        <v>52</v>
      </c>
      <c r="F411" s="21">
        <v>0</v>
      </c>
      <c r="G411" s="22" t="s">
        <v>1252</v>
      </c>
      <c r="H411" s="23">
        <v>1000</v>
      </c>
      <c r="I411" s="24" t="str">
        <f>IFERROR(H409+SUMPRODUCT((MOVIMIENTOS!$C$2:$C$5000=$A409)*(MOVIMIENTOS!$D$2:$D$5000=$G409)*(MOVIMIENTOS!$B$2:$B$5000="INGRESO")*MOVIMIENTOS!$E$2:$E$5000)-SUMPRODUCT((MOVIMIENTOS!$C$2:$C$5000=$A409)*(MOVIMIENTOS!$D$2:$D$5000=$G409)*(MOVIMIENTOS!$B$2:$B$5000="EGRESO")*MOVIMIENTOS!$E$2:$E$5000),"")</f>
        <v/>
      </c>
      <c r="J411" s="25" t="s">
        <v>189</v>
      </c>
      <c r="K411" s="25" t="s">
        <v>158</v>
      </c>
      <c r="L411" s="26">
        <v>47100</v>
      </c>
      <c r="M411" s="21">
        <f t="shared" ca="1" si="9"/>
        <v>443</v>
      </c>
      <c r="N411" s="27" t="s">
        <v>26</v>
      </c>
    </row>
    <row r="412" spans="1:14" x14ac:dyDescent="0.3">
      <c r="A412" s="4" t="s">
        <v>1249</v>
      </c>
      <c r="B412" s="5" t="s">
        <v>1250</v>
      </c>
      <c r="C412" s="6" t="s">
        <v>1251</v>
      </c>
      <c r="D412" s="7"/>
      <c r="E412" s="8" t="s">
        <v>52</v>
      </c>
      <c r="F412" s="9">
        <v>0</v>
      </c>
      <c r="G412" s="10" t="s">
        <v>1253</v>
      </c>
      <c r="H412" s="11">
        <v>250</v>
      </c>
      <c r="I412" s="12" t="str">
        <f>IFERROR(H410+SUMPRODUCT((MOVIMIENTOS!$C$2:$C$5000=$A410)*(MOVIMIENTOS!$D$2:$D$5000=$G410)*(MOVIMIENTOS!$B$2:$B$5000="INGRESO")*MOVIMIENTOS!$E$2:$E$5000)-SUMPRODUCT((MOVIMIENTOS!$C$2:$C$5000=$A410)*(MOVIMIENTOS!$D$2:$D$5000=$G410)*(MOVIMIENTOS!$B$2:$B$5000="EGRESO")*MOVIMIENTOS!$E$2:$E$5000),"")</f>
        <v/>
      </c>
      <c r="J412" s="13" t="s">
        <v>240</v>
      </c>
      <c r="K412" s="13" t="s">
        <v>72</v>
      </c>
      <c r="L412" s="14">
        <v>46607</v>
      </c>
      <c r="M412" s="9">
        <f t="shared" ca="1" si="9"/>
        <v>453</v>
      </c>
      <c r="N412" s="15" t="s">
        <v>26</v>
      </c>
    </row>
    <row r="413" spans="1:14" x14ac:dyDescent="0.3">
      <c r="A413" t="s">
        <v>1254</v>
      </c>
      <c r="B413" t="s">
        <v>1114</v>
      </c>
      <c r="C413" t="s">
        <v>1255</v>
      </c>
      <c r="E413" t="s">
        <v>1256</v>
      </c>
      <c r="F413">
        <v>0</v>
      </c>
      <c r="G413" t="s">
        <v>484</v>
      </c>
      <c r="I413" t="str">
        <f>IFERROR(H413+SUMPRODUCT((MOVIMIENTOS!$C$2:$C$5000=$A413)*(MOVIMIENTOS!$D$2:$D$5000=$G413)*(MOVIMIENTOS!$B$2:$B$5000="INGRESO")*MOVIMIENTOS!$E$2:$E$5000)-SUMPRODUCT((MOVIMIENTOS!$C$2:$C$5000=$A413)*(MOVIMIENTOS!$D$2:$D$5000=$G413)*(MOVIMIENTOS!$B$2:$B$5000="EGRESO")*MOVIMIENTOS!$E$2:$E$5000),"")</f>
        <v/>
      </c>
      <c r="M413" t="str">
        <f ca="1">IF(L413="","",L413-TODAY())</f>
        <v/>
      </c>
      <c r="N413" t="s">
        <v>953</v>
      </c>
    </row>
    <row r="414" spans="1:14" x14ac:dyDescent="0.3">
      <c r="A414" t="s">
        <v>1257</v>
      </c>
      <c r="B414" t="s">
        <v>1258</v>
      </c>
      <c r="C414" t="s">
        <v>1259</v>
      </c>
      <c r="E414" t="s">
        <v>1260</v>
      </c>
      <c r="F414">
        <v>0</v>
      </c>
      <c r="G414" t="s">
        <v>484</v>
      </c>
      <c r="I414" t="str">
        <f>IFERROR(H414+SUMPRODUCT((MOVIMIENTOS!$C$2:$C$5000=$A414)*(MOVIMIENTOS!$D$2:$D$5000=$G414)*(MOVIMIENTOS!$B$2:$B$5000="INGRESO")*MOVIMIENTOS!$E$2:$E$5000)-SUMPRODUCT((MOVIMIENTOS!$C$2:$C$5000=$A414)*(MOVIMIENTOS!$D$2:$D$5000=$G414)*(MOVIMIENTOS!$B$2:$B$5000="EGRESO")*MOVIMIENTOS!$E$2:$E$5000),"")</f>
        <v/>
      </c>
      <c r="M414" t="str">
        <f ca="1">IF(L414="","",L414-TODAY())</f>
        <v/>
      </c>
      <c r="N414" t="s">
        <v>953</v>
      </c>
    </row>
    <row r="415" spans="1:14" x14ac:dyDescent="0.3">
      <c r="A415" t="s">
        <v>1261</v>
      </c>
      <c r="B415" t="s">
        <v>1262</v>
      </c>
      <c r="C415" t="s">
        <v>1263</v>
      </c>
      <c r="E415" t="s">
        <v>35</v>
      </c>
      <c r="F415">
        <v>0</v>
      </c>
      <c r="G415" t="s">
        <v>484</v>
      </c>
      <c r="I415" t="str">
        <f>IFERROR(H415+SUMPRODUCT((MOVIMIENTOS!$C$2:$C$5000=$A415)*(MOVIMIENTOS!$D$2:$D$5000=$G415)*(MOVIMIENTOS!$B$2:$B$5000="INGRESO")*MOVIMIENTOS!$E$2:$E$5000)-SUMPRODUCT((MOVIMIENTOS!$C$2:$C$5000=$A415)*(MOVIMIENTOS!$D$2:$D$5000=$G415)*(MOVIMIENTOS!$B$2:$B$5000="EGRESO")*MOVIMIENTOS!$E$2:$E$5000),"")</f>
        <v/>
      </c>
      <c r="J415" t="s">
        <v>67</v>
      </c>
      <c r="K415" t="s">
        <v>115</v>
      </c>
      <c r="M415" t="str">
        <f ca="1">IF(L415="","",L415-TODAY())</f>
        <v/>
      </c>
      <c r="N415" t="s">
        <v>953</v>
      </c>
    </row>
  </sheetData>
  <autoFilter ref="A5:N410" xr:uid="{00000000-0009-0000-0000-000000000000}"/>
  <mergeCells count="5">
    <mergeCell ref="G4:N4"/>
    <mergeCell ref="A3:N3"/>
    <mergeCell ref="A2:N2"/>
    <mergeCell ref="A4:F4"/>
    <mergeCell ref="A1:N1"/>
  </mergeCells>
  <dataValidations count="1">
    <dataValidation type="list" allowBlank="1" sqref="D6:D410" xr:uid="{00000000-0002-0000-0000-000000000000}">
      <formula1>"Líquido hidrosoluble,Líquido liposoluble,Polvo,Cera,Manteca,Gel"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2"/>
  <sheetViews>
    <sheetView showGridLines="0" workbookViewId="0">
      <pane ySplit="2" topLeftCell="A3" activePane="bottomLeft" state="frozen"/>
      <selection pane="bottomLeft"/>
    </sheetView>
  </sheetViews>
  <sheetFormatPr baseColWidth="10" defaultColWidth="8.88671875" defaultRowHeight="14.4" x14ac:dyDescent="0.3"/>
  <cols>
    <col min="1" max="1" width="13" customWidth="1"/>
    <col min="2" max="2" width="12" customWidth="1"/>
    <col min="3" max="3" width="13" customWidth="1"/>
    <col min="4" max="4" width="20" customWidth="1"/>
    <col min="5" max="5" width="13" customWidth="1"/>
    <col min="6" max="6" width="38" customWidth="1"/>
  </cols>
  <sheetData>
    <row r="1" spans="1:6" ht="28.05" customHeight="1" x14ac:dyDescent="0.3">
      <c r="A1" s="118" t="s">
        <v>1264</v>
      </c>
      <c r="B1" s="113"/>
      <c r="C1" s="113"/>
      <c r="D1" s="113"/>
      <c r="E1" s="113"/>
      <c r="F1" s="113"/>
    </row>
    <row r="2" spans="1:6" ht="22.05" customHeight="1" x14ac:dyDescent="0.3">
      <c r="A2" s="90" t="s">
        <v>1265</v>
      </c>
      <c r="B2" s="90" t="s">
        <v>8</v>
      </c>
      <c r="C2" s="90" t="s">
        <v>5</v>
      </c>
      <c r="D2" s="90" t="s">
        <v>11</v>
      </c>
      <c r="E2" s="90" t="s">
        <v>1266</v>
      </c>
      <c r="F2" s="90" t="s">
        <v>1267</v>
      </c>
    </row>
    <row r="3" spans="1:6" ht="16.95" customHeight="1" x14ac:dyDescent="0.3">
      <c r="A3" s="26"/>
      <c r="B3" s="25"/>
      <c r="C3" s="25"/>
      <c r="D3" s="25"/>
      <c r="E3" s="21"/>
      <c r="F3" s="18"/>
    </row>
    <row r="4" spans="1:6" ht="16.95" customHeight="1" x14ac:dyDescent="0.3">
      <c r="A4" s="91"/>
      <c r="B4" s="92"/>
      <c r="C4" s="92"/>
      <c r="D4" s="92"/>
      <c r="E4" s="93"/>
      <c r="F4" s="94"/>
    </row>
    <row r="5" spans="1:6" ht="16.95" customHeight="1" x14ac:dyDescent="0.3">
      <c r="A5" s="26"/>
      <c r="B5" s="25"/>
      <c r="C5" s="25"/>
      <c r="D5" s="25"/>
      <c r="E5" s="21"/>
      <c r="F5" s="18"/>
    </row>
    <row r="6" spans="1:6" ht="16.95" customHeight="1" x14ac:dyDescent="0.3">
      <c r="A6" s="91"/>
      <c r="B6" s="92"/>
      <c r="C6" s="92"/>
      <c r="D6" s="92"/>
      <c r="E6" s="93"/>
      <c r="F6" s="94"/>
    </row>
    <row r="7" spans="1:6" ht="16.95" customHeight="1" x14ac:dyDescent="0.3">
      <c r="A7" s="26"/>
      <c r="B7" s="25"/>
      <c r="C7" s="25"/>
      <c r="D7" s="25"/>
      <c r="E7" s="21"/>
      <c r="F7" s="18"/>
    </row>
    <row r="8" spans="1:6" ht="16.95" customHeight="1" x14ac:dyDescent="0.3">
      <c r="A8" s="91"/>
      <c r="B8" s="92"/>
      <c r="C8" s="92"/>
      <c r="D8" s="92"/>
      <c r="E8" s="93"/>
      <c r="F8" s="94"/>
    </row>
    <row r="9" spans="1:6" ht="16.95" customHeight="1" x14ac:dyDescent="0.3">
      <c r="A9" s="26"/>
      <c r="B9" s="25"/>
      <c r="C9" s="25"/>
      <c r="D9" s="25"/>
      <c r="E9" s="21"/>
      <c r="F9" s="18"/>
    </row>
    <row r="10" spans="1:6" ht="16.95" customHeight="1" x14ac:dyDescent="0.3">
      <c r="A10" s="91"/>
      <c r="B10" s="92"/>
      <c r="C10" s="92"/>
      <c r="D10" s="92"/>
      <c r="E10" s="93"/>
      <c r="F10" s="94"/>
    </row>
    <row r="11" spans="1:6" ht="16.95" customHeight="1" x14ac:dyDescent="0.3">
      <c r="A11" s="26"/>
      <c r="B11" s="25"/>
      <c r="C11" s="25"/>
      <c r="D11" s="25"/>
      <c r="E11" s="21"/>
      <c r="F11" s="18"/>
    </row>
    <row r="12" spans="1:6" ht="16.95" customHeight="1" x14ac:dyDescent="0.3">
      <c r="A12" s="91"/>
      <c r="B12" s="92"/>
      <c r="C12" s="92"/>
      <c r="D12" s="92"/>
      <c r="E12" s="93"/>
      <c r="F12" s="94"/>
    </row>
    <row r="13" spans="1:6" ht="16.95" customHeight="1" x14ac:dyDescent="0.3">
      <c r="A13" s="26"/>
      <c r="B13" s="25"/>
      <c r="C13" s="25"/>
      <c r="D13" s="25"/>
      <c r="E13" s="21"/>
      <c r="F13" s="18"/>
    </row>
    <row r="14" spans="1:6" ht="16.95" customHeight="1" x14ac:dyDescent="0.3">
      <c r="A14" s="91"/>
      <c r="B14" s="92"/>
      <c r="C14" s="92"/>
      <c r="D14" s="92"/>
      <c r="E14" s="93"/>
      <c r="F14" s="94"/>
    </row>
    <row r="15" spans="1:6" ht="16.95" customHeight="1" x14ac:dyDescent="0.3">
      <c r="A15" s="26"/>
      <c r="B15" s="25"/>
      <c r="C15" s="25"/>
      <c r="D15" s="25"/>
      <c r="E15" s="21"/>
      <c r="F15" s="18"/>
    </row>
    <row r="16" spans="1:6" ht="16.95" customHeight="1" x14ac:dyDescent="0.3">
      <c r="A16" s="91"/>
      <c r="B16" s="92"/>
      <c r="C16" s="92"/>
      <c r="D16" s="92"/>
      <c r="E16" s="93"/>
      <c r="F16" s="94"/>
    </row>
    <row r="17" spans="1:6" ht="16.95" customHeight="1" x14ac:dyDescent="0.3">
      <c r="A17" s="26"/>
      <c r="B17" s="25"/>
      <c r="C17" s="25"/>
      <c r="D17" s="25"/>
      <c r="E17" s="21"/>
      <c r="F17" s="18"/>
    </row>
    <row r="18" spans="1:6" ht="16.95" customHeight="1" x14ac:dyDescent="0.3">
      <c r="A18" s="91"/>
      <c r="B18" s="92"/>
      <c r="C18" s="92"/>
      <c r="D18" s="92"/>
      <c r="E18" s="93"/>
      <c r="F18" s="94"/>
    </row>
    <row r="19" spans="1:6" ht="16.95" customHeight="1" x14ac:dyDescent="0.3">
      <c r="A19" s="26"/>
      <c r="B19" s="25"/>
      <c r="C19" s="25"/>
      <c r="D19" s="25"/>
      <c r="E19" s="21"/>
      <c r="F19" s="18"/>
    </row>
    <row r="20" spans="1:6" ht="16.95" customHeight="1" x14ac:dyDescent="0.3">
      <c r="A20" s="91"/>
      <c r="B20" s="92"/>
      <c r="C20" s="92"/>
      <c r="D20" s="92"/>
      <c r="E20" s="93"/>
      <c r="F20" s="94"/>
    </row>
    <row r="21" spans="1:6" ht="16.95" customHeight="1" x14ac:dyDescent="0.3">
      <c r="A21" s="26"/>
      <c r="B21" s="25"/>
      <c r="C21" s="25"/>
      <c r="D21" s="25"/>
      <c r="E21" s="21"/>
      <c r="F21" s="18"/>
    </row>
    <row r="22" spans="1:6" ht="16.95" customHeight="1" x14ac:dyDescent="0.3">
      <c r="A22" s="91"/>
      <c r="B22" s="92"/>
      <c r="C22" s="92"/>
      <c r="D22" s="92"/>
      <c r="E22" s="93"/>
      <c r="F22" s="94"/>
    </row>
    <row r="23" spans="1:6" ht="16.95" customHeight="1" x14ac:dyDescent="0.3">
      <c r="A23" s="26"/>
      <c r="B23" s="25"/>
      <c r="C23" s="25"/>
      <c r="D23" s="25"/>
      <c r="E23" s="21"/>
      <c r="F23" s="18"/>
    </row>
    <row r="24" spans="1:6" ht="16.95" customHeight="1" x14ac:dyDescent="0.3">
      <c r="A24" s="91"/>
      <c r="B24" s="92"/>
      <c r="C24" s="92"/>
      <c r="D24" s="92"/>
      <c r="E24" s="93"/>
      <c r="F24" s="94"/>
    </row>
    <row r="25" spans="1:6" ht="16.95" customHeight="1" x14ac:dyDescent="0.3">
      <c r="A25" s="26"/>
      <c r="B25" s="25"/>
      <c r="C25" s="25"/>
      <c r="D25" s="25"/>
      <c r="E25" s="21"/>
      <c r="F25" s="18"/>
    </row>
    <row r="26" spans="1:6" ht="16.95" customHeight="1" x14ac:dyDescent="0.3">
      <c r="A26" s="91"/>
      <c r="B26" s="92"/>
      <c r="C26" s="92"/>
      <c r="D26" s="92"/>
      <c r="E26" s="93"/>
      <c r="F26" s="94"/>
    </row>
    <row r="27" spans="1:6" ht="16.95" customHeight="1" x14ac:dyDescent="0.3">
      <c r="A27" s="26"/>
      <c r="B27" s="25"/>
      <c r="C27" s="25"/>
      <c r="D27" s="25"/>
      <c r="E27" s="21"/>
      <c r="F27" s="18"/>
    </row>
    <row r="28" spans="1:6" ht="16.95" customHeight="1" x14ac:dyDescent="0.3">
      <c r="A28" s="91"/>
      <c r="B28" s="92"/>
      <c r="C28" s="92"/>
      <c r="D28" s="92"/>
      <c r="E28" s="93"/>
      <c r="F28" s="94"/>
    </row>
    <row r="29" spans="1:6" ht="16.95" customHeight="1" x14ac:dyDescent="0.3">
      <c r="A29" s="26"/>
      <c r="B29" s="25"/>
      <c r="C29" s="25"/>
      <c r="D29" s="25"/>
      <c r="E29" s="21"/>
      <c r="F29" s="18"/>
    </row>
    <row r="30" spans="1:6" ht="16.95" customHeight="1" x14ac:dyDescent="0.3">
      <c r="A30" s="91"/>
      <c r="B30" s="92"/>
      <c r="C30" s="92"/>
      <c r="D30" s="92"/>
      <c r="E30" s="93"/>
      <c r="F30" s="94"/>
    </row>
    <row r="31" spans="1:6" ht="16.95" customHeight="1" x14ac:dyDescent="0.3">
      <c r="A31" s="26"/>
      <c r="B31" s="25"/>
      <c r="C31" s="25"/>
      <c r="D31" s="25"/>
      <c r="E31" s="21"/>
      <c r="F31" s="18"/>
    </row>
    <row r="32" spans="1:6" ht="16.95" customHeight="1" x14ac:dyDescent="0.3">
      <c r="A32" s="91"/>
      <c r="B32" s="92"/>
      <c r="C32" s="92"/>
      <c r="D32" s="92"/>
      <c r="E32" s="93"/>
      <c r="F32" s="94"/>
    </row>
    <row r="33" spans="1:6" ht="16.95" customHeight="1" x14ac:dyDescent="0.3">
      <c r="A33" s="26"/>
      <c r="B33" s="25"/>
      <c r="C33" s="25"/>
      <c r="D33" s="25"/>
      <c r="E33" s="21"/>
      <c r="F33" s="18"/>
    </row>
    <row r="34" spans="1:6" ht="16.95" customHeight="1" x14ac:dyDescent="0.3">
      <c r="A34" s="91"/>
      <c r="B34" s="92"/>
      <c r="C34" s="92"/>
      <c r="D34" s="92"/>
      <c r="E34" s="93"/>
      <c r="F34" s="94"/>
    </row>
    <row r="35" spans="1:6" ht="16.95" customHeight="1" x14ac:dyDescent="0.3">
      <c r="A35" s="26"/>
      <c r="B35" s="25"/>
      <c r="C35" s="25"/>
      <c r="D35" s="25"/>
      <c r="E35" s="21"/>
      <c r="F35" s="18"/>
    </row>
    <row r="36" spans="1:6" ht="16.95" customHeight="1" x14ac:dyDescent="0.3">
      <c r="A36" s="91"/>
      <c r="B36" s="92"/>
      <c r="C36" s="92"/>
      <c r="D36" s="92"/>
      <c r="E36" s="93"/>
      <c r="F36" s="94"/>
    </row>
    <row r="37" spans="1:6" ht="16.95" customHeight="1" x14ac:dyDescent="0.3">
      <c r="A37" s="26"/>
      <c r="B37" s="25"/>
      <c r="C37" s="25"/>
      <c r="D37" s="25"/>
      <c r="E37" s="21"/>
      <c r="F37" s="18"/>
    </row>
    <row r="38" spans="1:6" ht="16.95" customHeight="1" x14ac:dyDescent="0.3">
      <c r="A38" s="91"/>
      <c r="B38" s="92"/>
      <c r="C38" s="92"/>
      <c r="D38" s="92"/>
      <c r="E38" s="93"/>
      <c r="F38" s="94"/>
    </row>
    <row r="39" spans="1:6" ht="16.95" customHeight="1" x14ac:dyDescent="0.3">
      <c r="A39" s="26"/>
      <c r="B39" s="25"/>
      <c r="C39" s="25"/>
      <c r="D39" s="25"/>
      <c r="E39" s="21"/>
      <c r="F39" s="18"/>
    </row>
    <row r="40" spans="1:6" ht="16.95" customHeight="1" x14ac:dyDescent="0.3">
      <c r="A40" s="91"/>
      <c r="B40" s="92"/>
      <c r="C40" s="92"/>
      <c r="D40" s="92"/>
      <c r="E40" s="93"/>
      <c r="F40" s="94"/>
    </row>
    <row r="41" spans="1:6" ht="16.95" customHeight="1" x14ac:dyDescent="0.3">
      <c r="A41" s="26"/>
      <c r="B41" s="25"/>
      <c r="C41" s="25"/>
      <c r="D41" s="25"/>
      <c r="E41" s="21"/>
      <c r="F41" s="18"/>
    </row>
    <row r="42" spans="1:6" ht="16.95" customHeight="1" x14ac:dyDescent="0.3">
      <c r="A42" s="91"/>
      <c r="B42" s="92"/>
      <c r="C42" s="92"/>
      <c r="D42" s="92"/>
      <c r="E42" s="93"/>
      <c r="F42" s="94"/>
    </row>
    <row r="43" spans="1:6" ht="16.95" customHeight="1" x14ac:dyDescent="0.3">
      <c r="A43" s="26"/>
      <c r="B43" s="25"/>
      <c r="C43" s="25"/>
      <c r="D43" s="25"/>
      <c r="E43" s="21"/>
      <c r="F43" s="18"/>
    </row>
    <row r="44" spans="1:6" ht="16.95" customHeight="1" x14ac:dyDescent="0.3">
      <c r="A44" s="91"/>
      <c r="B44" s="92"/>
      <c r="C44" s="92"/>
      <c r="D44" s="92"/>
      <c r="E44" s="93"/>
      <c r="F44" s="94"/>
    </row>
    <row r="45" spans="1:6" ht="16.95" customHeight="1" x14ac:dyDescent="0.3">
      <c r="A45" s="26"/>
      <c r="B45" s="25"/>
      <c r="C45" s="25"/>
      <c r="D45" s="25"/>
      <c r="E45" s="21"/>
      <c r="F45" s="18"/>
    </row>
    <row r="46" spans="1:6" ht="16.95" customHeight="1" x14ac:dyDescent="0.3">
      <c r="A46" s="91"/>
      <c r="B46" s="92"/>
      <c r="C46" s="92"/>
      <c r="D46" s="92"/>
      <c r="E46" s="93"/>
      <c r="F46" s="94"/>
    </row>
    <row r="47" spans="1:6" ht="16.95" customHeight="1" x14ac:dyDescent="0.3">
      <c r="A47" s="26"/>
      <c r="B47" s="25"/>
      <c r="C47" s="25"/>
      <c r="D47" s="25"/>
      <c r="E47" s="21"/>
      <c r="F47" s="18"/>
    </row>
    <row r="48" spans="1:6" ht="16.95" customHeight="1" x14ac:dyDescent="0.3">
      <c r="A48" s="91"/>
      <c r="B48" s="92"/>
      <c r="C48" s="92"/>
      <c r="D48" s="92"/>
      <c r="E48" s="93"/>
      <c r="F48" s="94"/>
    </row>
    <row r="49" spans="1:6" ht="16.95" customHeight="1" x14ac:dyDescent="0.3">
      <c r="A49" s="26"/>
      <c r="B49" s="25"/>
      <c r="C49" s="25"/>
      <c r="D49" s="25"/>
      <c r="E49" s="21"/>
      <c r="F49" s="18"/>
    </row>
    <row r="50" spans="1:6" ht="16.95" customHeight="1" x14ac:dyDescent="0.3">
      <c r="A50" s="91"/>
      <c r="B50" s="92"/>
      <c r="C50" s="92"/>
      <c r="D50" s="92"/>
      <c r="E50" s="93"/>
      <c r="F50" s="94"/>
    </row>
    <row r="51" spans="1:6" ht="16.95" customHeight="1" x14ac:dyDescent="0.3">
      <c r="A51" s="26"/>
      <c r="B51" s="25"/>
      <c r="C51" s="25"/>
      <c r="D51" s="25"/>
      <c r="E51" s="21"/>
      <c r="F51" s="18"/>
    </row>
    <row r="52" spans="1:6" ht="16.95" customHeight="1" x14ac:dyDescent="0.3">
      <c r="A52" s="91"/>
      <c r="B52" s="92"/>
      <c r="C52" s="92"/>
      <c r="D52" s="92"/>
      <c r="E52" s="93"/>
      <c r="F52" s="94"/>
    </row>
  </sheetData>
  <mergeCells count="1">
    <mergeCell ref="A1:F1"/>
  </mergeCells>
  <dataValidations count="1">
    <dataValidation type="list" allowBlank="1" sqref="B3:B5000" xr:uid="{00000000-0002-0000-0100-000000000000}">
      <formula1>"INGRESO,EGRESO"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showGridLines="0" workbookViewId="0"/>
  </sheetViews>
  <sheetFormatPr baseColWidth="10" defaultColWidth="8.88671875" defaultRowHeight="14.4" x14ac:dyDescent="0.3"/>
  <cols>
    <col min="1" max="1" width="13" customWidth="1"/>
    <col min="2" max="2" width="28" customWidth="1"/>
    <col min="3" max="3" width="20" customWidth="1"/>
    <col min="4" max="4" width="14" customWidth="1"/>
    <col min="5" max="5" width="11" customWidth="1"/>
    <col min="6" max="6" width="14" customWidth="1"/>
  </cols>
  <sheetData>
    <row r="1" spans="1:6" ht="28.05" customHeight="1" x14ac:dyDescent="0.3">
      <c r="A1" s="122" t="s">
        <v>1268</v>
      </c>
      <c r="B1" s="113"/>
      <c r="C1" s="113"/>
      <c r="D1" s="113"/>
      <c r="E1" s="113"/>
      <c r="F1" s="113"/>
    </row>
    <row r="2" spans="1:6" ht="6" customHeight="1" x14ac:dyDescent="0.3"/>
    <row r="3" spans="1:6" ht="22.05" customHeight="1" x14ac:dyDescent="0.3">
      <c r="A3" s="125" t="s">
        <v>1269</v>
      </c>
      <c r="B3" s="113"/>
      <c r="C3" s="113"/>
      <c r="D3" s="113"/>
      <c r="E3" s="113"/>
      <c r="F3" s="113"/>
    </row>
    <row r="4" spans="1:6" ht="19.95" customHeight="1" x14ac:dyDescent="0.3">
      <c r="A4" s="95" t="s">
        <v>5</v>
      </c>
      <c r="B4" s="95" t="s">
        <v>7</v>
      </c>
      <c r="C4" s="95" t="s">
        <v>11</v>
      </c>
      <c r="D4" s="95" t="s">
        <v>1270</v>
      </c>
      <c r="E4" s="95" t="s">
        <v>14</v>
      </c>
      <c r="F4" s="95" t="s">
        <v>1271</v>
      </c>
    </row>
    <row r="5" spans="1:6" ht="18" customHeight="1" x14ac:dyDescent="0.3">
      <c r="A5" s="123" t="s">
        <v>1272</v>
      </c>
      <c r="B5" s="113"/>
      <c r="C5" s="113"/>
      <c r="D5" s="113"/>
      <c r="E5" s="113"/>
      <c r="F5" s="113"/>
    </row>
    <row r="6" spans="1:6" ht="6" customHeight="1" x14ac:dyDescent="0.3"/>
    <row r="7" spans="1:6" ht="22.05" customHeight="1" x14ac:dyDescent="0.3">
      <c r="A7" s="127" t="s">
        <v>1273</v>
      </c>
      <c r="B7" s="113"/>
      <c r="C7" s="113"/>
      <c r="D7" s="113"/>
      <c r="E7" s="113"/>
      <c r="F7" s="113"/>
    </row>
    <row r="8" spans="1:6" ht="19.95" customHeight="1" x14ac:dyDescent="0.3">
      <c r="A8" s="96" t="s">
        <v>5</v>
      </c>
      <c r="B8" s="96" t="s">
        <v>7</v>
      </c>
      <c r="C8" s="96" t="s">
        <v>11</v>
      </c>
      <c r="D8" s="96" t="s">
        <v>1270</v>
      </c>
      <c r="E8" s="96" t="s">
        <v>14</v>
      </c>
      <c r="F8" s="96" t="s">
        <v>1271</v>
      </c>
    </row>
    <row r="9" spans="1:6" ht="18" customHeight="1" x14ac:dyDescent="0.3">
      <c r="A9" s="124" t="s">
        <v>1274</v>
      </c>
      <c r="B9" s="113"/>
      <c r="C9" s="113"/>
      <c r="D9" s="113"/>
      <c r="E9" s="113"/>
      <c r="F9" s="113"/>
    </row>
    <row r="10" spans="1:6" ht="6" customHeight="1" x14ac:dyDescent="0.3"/>
    <row r="11" spans="1:6" ht="22.05" customHeight="1" x14ac:dyDescent="0.3">
      <c r="A11" s="119" t="s">
        <v>1275</v>
      </c>
      <c r="B11" s="113"/>
      <c r="C11" s="113"/>
      <c r="D11" s="113"/>
      <c r="E11" s="113"/>
      <c r="F11" s="113"/>
    </row>
    <row r="12" spans="1:6" ht="19.95" customHeight="1" x14ac:dyDescent="0.3">
      <c r="A12" s="97" t="s">
        <v>5</v>
      </c>
      <c r="B12" s="97" t="s">
        <v>7</v>
      </c>
      <c r="C12" s="97" t="s">
        <v>11</v>
      </c>
      <c r="D12" s="97" t="s">
        <v>1270</v>
      </c>
      <c r="E12" s="97" t="s">
        <v>14</v>
      </c>
      <c r="F12" s="97" t="s">
        <v>1271</v>
      </c>
    </row>
    <row r="13" spans="1:6" ht="18" customHeight="1" x14ac:dyDescent="0.3">
      <c r="A13" s="120" t="s">
        <v>1276</v>
      </c>
      <c r="B13" s="113"/>
      <c r="C13" s="113"/>
      <c r="D13" s="113"/>
      <c r="E13" s="113"/>
      <c r="F13" s="113"/>
    </row>
    <row r="14" spans="1:6" ht="6" customHeight="1" x14ac:dyDescent="0.3"/>
    <row r="15" spans="1:6" ht="22.05" customHeight="1" x14ac:dyDescent="0.3">
      <c r="A15" s="125" t="s">
        <v>1277</v>
      </c>
      <c r="B15" s="113"/>
      <c r="C15" s="113"/>
      <c r="D15" s="113"/>
      <c r="E15" s="113"/>
      <c r="F15" s="113"/>
    </row>
    <row r="16" spans="1:6" ht="19.95" customHeight="1" x14ac:dyDescent="0.3">
      <c r="A16" s="95" t="s">
        <v>5</v>
      </c>
      <c r="B16" s="95" t="s">
        <v>7</v>
      </c>
      <c r="C16" s="95" t="s">
        <v>11</v>
      </c>
      <c r="D16" s="95" t="s">
        <v>1270</v>
      </c>
      <c r="E16" s="95" t="s">
        <v>14</v>
      </c>
      <c r="F16" s="95" t="s">
        <v>1271</v>
      </c>
    </row>
    <row r="17" spans="1:6" ht="18" customHeight="1" x14ac:dyDescent="0.3">
      <c r="A17" s="123" t="s">
        <v>1278</v>
      </c>
      <c r="B17" s="113"/>
      <c r="C17" s="113"/>
      <c r="D17" s="113"/>
      <c r="E17" s="113"/>
      <c r="F17" s="113"/>
    </row>
    <row r="18" spans="1:6" ht="6" customHeight="1" x14ac:dyDescent="0.3"/>
    <row r="19" spans="1:6" ht="22.05" customHeight="1" x14ac:dyDescent="0.3">
      <c r="A19" s="121" t="s">
        <v>1279</v>
      </c>
      <c r="B19" s="113"/>
      <c r="C19" s="113"/>
      <c r="D19" s="113"/>
      <c r="E19" s="113"/>
      <c r="F19" s="113"/>
    </row>
    <row r="20" spans="1:6" ht="19.95" customHeight="1" x14ac:dyDescent="0.3">
      <c r="A20" s="1" t="s">
        <v>5</v>
      </c>
      <c r="B20" s="1" t="s">
        <v>7</v>
      </c>
      <c r="C20" s="1" t="s">
        <v>11</v>
      </c>
      <c r="D20" s="1" t="s">
        <v>1270</v>
      </c>
      <c r="E20" s="1" t="s">
        <v>14</v>
      </c>
      <c r="F20" s="1" t="s">
        <v>1271</v>
      </c>
    </row>
    <row r="21" spans="1:6" ht="18" customHeight="1" x14ac:dyDescent="0.3">
      <c r="A21" s="126" t="s">
        <v>1280</v>
      </c>
      <c r="B21" s="113"/>
      <c r="C21" s="113"/>
      <c r="D21" s="113"/>
      <c r="E21" s="113"/>
      <c r="F21" s="113"/>
    </row>
  </sheetData>
  <mergeCells count="11">
    <mergeCell ref="A21:F21"/>
    <mergeCell ref="A15:F15"/>
    <mergeCell ref="A7:F7"/>
    <mergeCell ref="A11:F11"/>
    <mergeCell ref="A13:F13"/>
    <mergeCell ref="A19:F19"/>
    <mergeCell ref="A1:F1"/>
    <mergeCell ref="A5:F5"/>
    <mergeCell ref="A9:F9"/>
    <mergeCell ref="A17:F17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INVENTARIO</vt:lpstr>
      <vt:lpstr>MOVIMIENTOS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2026-04-14T01:13:45Z</dcterms:created>
  <dcterms:modified xsi:type="dcterms:W3CDTF">2026-04-14T19:18:21Z</dcterms:modified>
</cp:coreProperties>
</file>