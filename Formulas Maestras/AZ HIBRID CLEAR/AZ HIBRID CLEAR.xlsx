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Espagiria/Formulas Maestras/AZ HIBRID CLEAR/"/>
    </mc:Choice>
  </mc:AlternateContent>
  <xr:revisionPtr revIDLastSave="5" documentId="11_C5C8CCE8B7FC6EA1210214907D188A03CE479339" xr6:coauthVersionLast="47" xr6:coauthVersionMax="47" xr10:uidLastSave="{E0746904-3355-4B40-9A54-E68FE984B090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ACONDICIONAMIENTO" sheetId="8" r:id="rId8"/>
    <sheet name="ESTADO DE LIMPIEZA DE A Y E" sheetId="9" r:id="rId9"/>
    <sheet name="COA PT" sheetId="10" r:id="rId10"/>
    <sheet name="ROTULO DE DISPENSACION" sheetId="11" r:id="rId11"/>
    <sheet name="INSPECCIÓN ETIQUETAS " sheetId="12" r:id="rId12"/>
    <sheet name="PRODUCTO EN PROCESO" sheetId="13" r:id="rId13"/>
    <sheet name="INSPECCIÓN DE PRODUCTO FINAL" sheetId="14" r:id="rId14"/>
    <sheet name="ENVASADO NO CONTINUO" sheetId="15" r:id="rId15"/>
    <sheet name="ROTULO PT" sheetId="16" r:id="rId16"/>
  </sheets>
  <externalReferences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yzPpYQL9GgnmJk6gxODZBaJBVzjshl3E+mJn0dLDTIo="/>
    </ext>
  </extLst>
</workbook>
</file>

<file path=xl/calcChain.xml><?xml version="1.0" encoding="utf-8"?>
<calcChain xmlns="http://schemas.openxmlformats.org/spreadsheetml/2006/main">
  <c r="C16" i="13" l="1"/>
  <c r="H16" i="13" s="1"/>
  <c r="H15" i="13"/>
  <c r="C15" i="13"/>
  <c r="C14" i="13"/>
  <c r="H14" i="13" s="1"/>
  <c r="C13" i="13"/>
  <c r="H13" i="13" s="1"/>
  <c r="H9" i="12"/>
  <c r="H377" i="11"/>
  <c r="C377" i="11"/>
  <c r="H376" i="11"/>
  <c r="C375" i="11"/>
  <c r="H363" i="11"/>
  <c r="C363" i="11"/>
  <c r="C361" i="11"/>
  <c r="H349" i="11"/>
  <c r="C349" i="11"/>
  <c r="H335" i="11"/>
  <c r="C335" i="11"/>
  <c r="H334" i="11"/>
  <c r="C333" i="11"/>
  <c r="H321" i="11"/>
  <c r="C321" i="11"/>
  <c r="C319" i="11"/>
  <c r="H307" i="11"/>
  <c r="C307" i="11"/>
  <c r="H293" i="11"/>
  <c r="C293" i="11"/>
  <c r="H292" i="11"/>
  <c r="C291" i="11"/>
  <c r="H279" i="11"/>
  <c r="C279" i="11"/>
  <c r="C277" i="11"/>
  <c r="H265" i="11"/>
  <c r="C265" i="11"/>
  <c r="H251" i="11"/>
  <c r="C251" i="11"/>
  <c r="H250" i="11"/>
  <c r="C249" i="11"/>
  <c r="H237" i="11"/>
  <c r="C237" i="11"/>
  <c r="C235" i="11"/>
  <c r="H223" i="11"/>
  <c r="C223" i="11"/>
  <c r="H209" i="11"/>
  <c r="C209" i="11"/>
  <c r="H208" i="11"/>
  <c r="C207" i="11"/>
  <c r="H195" i="11"/>
  <c r="C195" i="11"/>
  <c r="C193" i="11"/>
  <c r="H181" i="11"/>
  <c r="C181" i="11"/>
  <c r="H166" i="11"/>
  <c r="C166" i="11"/>
  <c r="H165" i="11"/>
  <c r="C164" i="11"/>
  <c r="H152" i="11"/>
  <c r="C152" i="11"/>
  <c r="C150" i="11"/>
  <c r="H138" i="11"/>
  <c r="C138" i="11"/>
  <c r="H124" i="11"/>
  <c r="C124" i="11"/>
  <c r="H123" i="11"/>
  <c r="C122" i="11"/>
  <c r="H110" i="11"/>
  <c r="C110" i="11"/>
  <c r="C108" i="11"/>
  <c r="H96" i="11"/>
  <c r="C96" i="11"/>
  <c r="H82" i="11"/>
  <c r="C82" i="11"/>
  <c r="H81" i="11"/>
  <c r="C80" i="11"/>
  <c r="H66" i="11"/>
  <c r="C66" i="11"/>
  <c r="C64" i="11"/>
  <c r="H52" i="11"/>
  <c r="C52" i="11"/>
  <c r="H38" i="11"/>
  <c r="C38" i="11"/>
  <c r="H37" i="11"/>
  <c r="C36" i="11"/>
  <c r="H23" i="11"/>
  <c r="C23" i="11"/>
  <c r="C21" i="11"/>
  <c r="H8" i="11"/>
  <c r="C8" i="11"/>
  <c r="D16" i="10"/>
  <c r="D15" i="10"/>
  <c r="D14" i="10"/>
  <c r="D8" i="10"/>
  <c r="O7" i="7"/>
  <c r="M43" i="4"/>
  <c r="H43" i="4"/>
  <c r="C43" i="4"/>
  <c r="A43" i="4"/>
  <c r="M42" i="4"/>
  <c r="H42" i="4"/>
  <c r="C42" i="4"/>
  <c r="A42" i="4"/>
  <c r="M41" i="4"/>
  <c r="H41" i="4"/>
  <c r="C41" i="4"/>
  <c r="A41" i="4"/>
  <c r="M40" i="4"/>
  <c r="H40" i="4"/>
  <c r="C40" i="4"/>
  <c r="A40" i="4"/>
  <c r="M39" i="4"/>
  <c r="H39" i="4"/>
  <c r="C39" i="4"/>
  <c r="A39" i="4"/>
  <c r="M38" i="4"/>
  <c r="H38" i="4"/>
  <c r="C38" i="4"/>
  <c r="A38" i="4"/>
  <c r="M37" i="4"/>
  <c r="H37" i="4"/>
  <c r="C37" i="4"/>
  <c r="A37" i="4"/>
  <c r="M36" i="4"/>
  <c r="H36" i="4"/>
  <c r="C36" i="4"/>
  <c r="A36" i="4"/>
  <c r="M35" i="4"/>
  <c r="H35" i="4"/>
  <c r="C35" i="4"/>
  <c r="A35" i="4"/>
  <c r="M34" i="4"/>
  <c r="H34" i="4"/>
  <c r="C34" i="4"/>
  <c r="A34" i="4"/>
  <c r="M33" i="4"/>
  <c r="H33" i="4"/>
  <c r="C33" i="4"/>
  <c r="A33" i="4"/>
  <c r="M32" i="4"/>
  <c r="H32" i="4"/>
  <c r="C32" i="4"/>
  <c r="A32" i="4"/>
  <c r="M31" i="4"/>
  <c r="H31" i="4"/>
  <c r="C31" i="4"/>
  <c r="A31" i="4"/>
  <c r="M30" i="4"/>
  <c r="H30" i="4"/>
  <c r="C30" i="4"/>
  <c r="A30" i="4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M42" i="3"/>
  <c r="N41" i="3"/>
  <c r="C378" i="11" s="1"/>
  <c r="N40" i="3"/>
  <c r="K42" i="4" s="1"/>
  <c r="N39" i="3"/>
  <c r="C350" i="11" s="1"/>
  <c r="N38" i="3"/>
  <c r="C336" i="11" s="1"/>
  <c r="N37" i="3"/>
  <c r="C322" i="11" s="1"/>
  <c r="N36" i="3"/>
  <c r="C308" i="11" s="1"/>
  <c r="N35" i="3"/>
  <c r="K37" i="4" s="1"/>
  <c r="N34" i="3"/>
  <c r="C280" i="11" s="1"/>
  <c r="N31" i="3"/>
  <c r="C238" i="11" s="1"/>
  <c r="N30" i="3"/>
  <c r="K32" i="4" s="1"/>
  <c r="N29" i="3"/>
  <c r="K31" i="4" s="1"/>
  <c r="N24" i="3"/>
  <c r="C139" i="11" s="1"/>
  <c r="N23" i="3"/>
  <c r="C125" i="11" s="1"/>
  <c r="N22" i="3"/>
  <c r="K24" i="4" s="1"/>
  <c r="N21" i="3"/>
  <c r="C97" i="11" s="1"/>
  <c r="N20" i="3"/>
  <c r="C83" i="11" s="1"/>
  <c r="N19" i="3"/>
  <c r="C67" i="11" s="1"/>
  <c r="N18" i="3"/>
  <c r="C53" i="11" s="1"/>
  <c r="N17" i="3"/>
  <c r="K19" i="4" s="1"/>
  <c r="N16" i="3"/>
  <c r="C24" i="11" s="1"/>
  <c r="N33" i="3"/>
  <c r="M11" i="3"/>
  <c r="F9" i="4" s="1"/>
  <c r="F9" i="5" s="1"/>
  <c r="D7" i="6" s="1"/>
  <c r="J7" i="7" s="1"/>
  <c r="J8" i="8" s="1"/>
  <c r="H7" i="10" s="1"/>
  <c r="C9" i="12" s="1"/>
  <c r="G11" i="3"/>
  <c r="I8" i="6" s="1"/>
  <c r="M10" i="3"/>
  <c r="H362" i="11" s="1"/>
  <c r="G10" i="2"/>
  <c r="N9" i="2"/>
  <c r="G9" i="2"/>
  <c r="N8" i="2"/>
  <c r="G8" i="2"/>
  <c r="G10" i="3" s="1"/>
  <c r="H8" i="12" s="1"/>
  <c r="G7" i="2"/>
  <c r="G9" i="3" s="1"/>
  <c r="K25" i="4" l="1"/>
  <c r="C111" i="11"/>
  <c r="K33" i="4"/>
  <c r="C364" i="11"/>
  <c r="K26" i="4"/>
  <c r="K43" i="4"/>
  <c r="K18" i="4"/>
  <c r="C224" i="11"/>
  <c r="K36" i="4"/>
  <c r="K35" i="4"/>
  <c r="C266" i="11"/>
  <c r="C362" i="11"/>
  <c r="C320" i="11"/>
  <c r="C278" i="11"/>
  <c r="C236" i="11"/>
  <c r="C194" i="11"/>
  <c r="C151" i="11"/>
  <c r="C109" i="11"/>
  <c r="C65" i="11"/>
  <c r="C22" i="11"/>
  <c r="C334" i="11"/>
  <c r="C208" i="11"/>
  <c r="C123" i="11"/>
  <c r="C37" i="11"/>
  <c r="F7" i="4"/>
  <c r="F7" i="5" s="1"/>
  <c r="D6" i="6" s="1"/>
  <c r="F6" i="7" s="1"/>
  <c r="C348" i="11"/>
  <c r="C222" i="11"/>
  <c r="C95" i="11"/>
  <c r="C7" i="11"/>
  <c r="C306" i="11"/>
  <c r="C264" i="11"/>
  <c r="C180" i="11"/>
  <c r="C137" i="11"/>
  <c r="C51" i="11"/>
  <c r="C376" i="11"/>
  <c r="C250" i="11"/>
  <c r="C165" i="11"/>
  <c r="C81" i="11"/>
  <c r="C292" i="11"/>
  <c r="K22" i="4"/>
  <c r="K40" i="4"/>
  <c r="C210" i="11"/>
  <c r="C294" i="11"/>
  <c r="C50" i="11"/>
  <c r="C136" i="11"/>
  <c r="C221" i="11"/>
  <c r="C347" i="11"/>
  <c r="N26" i="3"/>
  <c r="H95" i="11"/>
  <c r="H264" i="11"/>
  <c r="N27" i="3"/>
  <c r="F8" i="4"/>
  <c r="F8" i="5" s="1"/>
  <c r="D8" i="6" s="1"/>
  <c r="F7" i="7" s="1"/>
  <c r="F8" i="8" s="1"/>
  <c r="D7" i="10" s="1"/>
  <c r="C10" i="12" s="1"/>
  <c r="D9" i="6"/>
  <c r="C39" i="11"/>
  <c r="C6" i="11"/>
  <c r="C94" i="11"/>
  <c r="C179" i="11"/>
  <c r="C263" i="11"/>
  <c r="C305" i="11"/>
  <c r="N25" i="3"/>
  <c r="K23" i="4"/>
  <c r="K41" i="4"/>
  <c r="H7" i="11"/>
  <c r="H51" i="11"/>
  <c r="H137" i="11"/>
  <c r="H180" i="11"/>
  <c r="H222" i="11"/>
  <c r="H306" i="11"/>
  <c r="H348" i="11"/>
  <c r="N28" i="3"/>
  <c r="K20" i="4"/>
  <c r="K38" i="4"/>
  <c r="N32" i="3"/>
  <c r="H22" i="11"/>
  <c r="H65" i="11"/>
  <c r="H109" i="11"/>
  <c r="H151" i="11"/>
  <c r="H194" i="11"/>
  <c r="H236" i="11"/>
  <c r="H278" i="11"/>
  <c r="H320" i="11"/>
  <c r="N15" i="3"/>
  <c r="K21" i="4"/>
  <c r="K39" i="4"/>
  <c r="K28" i="4" l="1"/>
  <c r="C167" i="11"/>
  <c r="K17" i="4"/>
  <c r="C9" i="11"/>
  <c r="N42" i="3"/>
  <c r="C153" i="11"/>
  <c r="K27" i="4"/>
  <c r="C252" i="11"/>
  <c r="K34" i="4"/>
  <c r="D6" i="10"/>
  <c r="C8" i="12" s="1"/>
  <c r="F7" i="8"/>
  <c r="C196" i="11"/>
  <c r="K30" i="4"/>
  <c r="C182" i="11"/>
  <c r="K29" i="4"/>
</calcChain>
</file>

<file path=xl/sharedStrings.xml><?xml version="1.0" encoding="utf-8"?>
<sst xmlns="http://schemas.openxmlformats.org/spreadsheetml/2006/main" count="1743" uniqueCount="478">
  <si>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</si>
  <si>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</si>
  <si>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</si>
  <si>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</si>
  <si>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</si>
  <si>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</si>
  <si>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</si>
  <si>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</si>
  <si>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</si>
  <si>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</si>
  <si>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</si>
  <si>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AZ HIBRID CLEAR</t>
  </si>
  <si>
    <t>LOTE</t>
  </si>
  <si>
    <t>252591</t>
  </si>
  <si>
    <t>OP</t>
  </si>
  <si>
    <t>OP-L-127</t>
  </si>
  <si>
    <t>PRESENTACIÓN</t>
  </si>
  <si>
    <t>15 mL</t>
  </si>
  <si>
    <t>TAMAÑO LOTE (kg)</t>
  </si>
  <si>
    <t>CLIENTE</t>
  </si>
  <si>
    <t>ANIMUS LAB</t>
  </si>
  <si>
    <t>NOTIFICACIÓN SANITARIA</t>
  </si>
  <si>
    <t>EN TRAMITE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</si>
  <si>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</si>
  <si>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</si>
  <si>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</si>
  <si>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</si>
  <si>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</si>
  <si>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</si>
  <si>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</si>
  <si>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</si>
  <si>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</si>
  <si>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</si>
  <si>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</si>
  <si>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</si>
  <si>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</si>
  <si>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</si>
  <si>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</si>
  <si>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</si>
  <si>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</si>
  <si>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</si>
  <si>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</si>
  <si>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</si>
  <si>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</si>
  <si>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</si>
  <si>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</si>
  <si>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</si>
  <si>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</si>
  <si>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</si>
  <si>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</si>
  <si>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</si>
  <si>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</si>
  <si>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</si>
  <si>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</si>
  <si>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</si>
  <si>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</si>
  <si>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</si>
  <si>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</si>
  <si>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</si>
  <si>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</si>
  <si>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</si>
  <si>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</si>
  <si>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</si>
  <si>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</si>
  <si>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</si>
  <si>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</si>
  <si>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</si>
  <si>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</si>
  <si>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</si>
  <si>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</si>
  <si>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</si>
  <si>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</si>
  <si>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</si>
  <si>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</si>
  <si>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</si>
  <si>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</si>
  <si>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</si>
  <si>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</si>
  <si>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</si>
  <si>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</si>
  <si>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</si>
  <si>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</si>
  <si>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</si>
  <si>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</si>
  <si>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</si>
  <si>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</si>
  <si>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</si>
  <si>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</si>
  <si>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</si>
  <si>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</si>
  <si>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</si>
  <si>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</si>
  <si>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</si>
  <si>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</si>
  <si>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</si>
  <si>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</si>
  <si>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</si>
  <si>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</si>
  <si>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</si>
  <si>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</si>
  <si>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</si>
  <si>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</si>
  <si>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</si>
  <si>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</si>
  <si>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CARBOPOL</t>
  </si>
  <si>
    <t>MPCARBSO01</t>
  </si>
  <si>
    <t>GOMA XANTAN</t>
  </si>
  <si>
    <t>MPGOXASO01</t>
  </si>
  <si>
    <t>EDTA DISODICO</t>
  </si>
  <si>
    <t>MPEDDISO01</t>
  </si>
  <si>
    <t>TRIETANOLAMINA 85%</t>
  </si>
  <si>
    <t>MPTRIELO01</t>
  </si>
  <si>
    <t>DIR-152124</t>
  </si>
  <si>
    <t>PROPILENGLICOL</t>
  </si>
  <si>
    <t>MPPROLISO01</t>
  </si>
  <si>
    <t>LYPH250515</t>
  </si>
  <si>
    <t>ACIDO CAPRILOIL SALICILICO</t>
  </si>
  <si>
    <t>MPACCASAS01</t>
  </si>
  <si>
    <t>YT20250625</t>
  </si>
  <si>
    <t>ACIDO AZELAICO</t>
  </si>
  <si>
    <t>MPACAZSO01</t>
  </si>
  <si>
    <t>YT-20241217</t>
  </si>
  <si>
    <t>HIDROXIDO DE SODIO (SODA CAUSTICA)</t>
  </si>
  <si>
    <t>MPHIDSOLI01</t>
  </si>
  <si>
    <t>AZELOLIL DIGLICINATO DE POTASIO</t>
  </si>
  <si>
    <t>MPAZDISO01</t>
  </si>
  <si>
    <t>YT-20250624</t>
  </si>
  <si>
    <t>EPI-ON (AZELAMIDOPROPIL DIMETIL AMINA)</t>
  </si>
  <si>
    <t>MPAZEDILO01</t>
  </si>
  <si>
    <t>AR198401</t>
  </si>
  <si>
    <t xml:space="preserve">NIACINAMIDA </t>
  </si>
  <si>
    <t>MPNIACSO01</t>
  </si>
  <si>
    <t>LYPH250726</t>
  </si>
  <si>
    <t>ACIDO TRANEXAMICO</t>
  </si>
  <si>
    <t>MPACTRSO01</t>
  </si>
  <si>
    <t>LYPH250618</t>
  </si>
  <si>
    <t>FOSFATO DE ASCORBILO SODICO</t>
  </si>
  <si>
    <t>MPFOASSO01</t>
  </si>
  <si>
    <t>YT-20250317</t>
  </si>
  <si>
    <t>ZINC PCA</t>
  </si>
  <si>
    <t>MPZINPCASO1</t>
  </si>
  <si>
    <t>2212343ZNB</t>
  </si>
  <si>
    <t>ACIDO HIALURONICO 50 KD</t>
  </si>
  <si>
    <t>MPACHISO01</t>
  </si>
  <si>
    <t>YT-HA20250622</t>
  </si>
  <si>
    <t>ACIDO HIALURONICO 300 KD</t>
  </si>
  <si>
    <t>MPACHISO02</t>
  </si>
  <si>
    <t>YT-HA20250326</t>
  </si>
  <si>
    <t>PANTENOL POLVO</t>
  </si>
  <si>
    <t>MPPANTSO01</t>
  </si>
  <si>
    <t>YT-20250402</t>
  </si>
  <si>
    <t>ECTOINA</t>
  </si>
  <si>
    <t>MPECTOSO01</t>
  </si>
  <si>
    <t>YT-20250123</t>
  </si>
  <si>
    <t>BETAINA</t>
  </si>
  <si>
    <t>MPBETASO02</t>
  </si>
  <si>
    <t>YT-20240405</t>
  </si>
  <si>
    <t>TERPENOS SOLUBLES 80%</t>
  </si>
  <si>
    <t>MPTERSSO01</t>
  </si>
  <si>
    <t>FITATO DE SODIO</t>
  </si>
  <si>
    <t>MPFISOSO01</t>
  </si>
  <si>
    <t>YT-20250606</t>
  </si>
  <si>
    <t>ACETYL TETRAPEPTIDE-40</t>
  </si>
  <si>
    <t>MPACETETSO01</t>
  </si>
  <si>
    <t>LYPH250717</t>
  </si>
  <si>
    <t>1,2 HEXANEDIOL</t>
  </si>
  <si>
    <t>MPHEXDILI01</t>
  </si>
  <si>
    <t>YT-20250504</t>
  </si>
  <si>
    <t>VITAMINA E POLVO</t>
  </si>
  <si>
    <t>MPVITESO01</t>
  </si>
  <si>
    <t>022411A014</t>
  </si>
  <si>
    <t>GRANSIL VX419</t>
  </si>
  <si>
    <t>MPGRANLI01</t>
  </si>
  <si>
    <t>980305S1125</t>
  </si>
  <si>
    <t>BIOSURE FE</t>
  </si>
  <si>
    <t>MPBIOFELI01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</si>
  <si>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</si>
  <si>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</si>
  <si>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</si>
  <si>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</si>
  <si>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</si>
  <si>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</si>
  <si>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</si>
  <si>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</si>
  <si>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</si>
  <si>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</si>
  <si>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</si>
  <si>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</si>
  <si>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</si>
  <si>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</si>
  <si>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</si>
  <si>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</si>
  <si>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</si>
  <si>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</si>
  <si>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</si>
  <si>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</si>
  <si>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</si>
  <si>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</si>
  <si>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</si>
  <si>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  <family val="1"/>
      </rPr>
      <t>NOTA:</t>
    </r>
    <r>
      <rPr>
        <sz val="12"/>
        <color theme="1"/>
        <rFont val="Times New Roman"/>
        <family val="1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</si>
  <si>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</si>
  <si>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</si>
  <si>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</si>
  <si>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</si>
  <si>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</si>
  <si>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</si>
  <si>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</si>
  <si>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</si>
  <si>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</si>
  <si>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</si>
  <si>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</si>
  <si>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</si>
  <si>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</si>
  <si>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</si>
  <si>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</si>
  <si>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</si>
  <si>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</si>
  <si>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</si>
  <si>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</si>
  <si>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</si>
  <si>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</si>
  <si>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</si>
  <si>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</si>
  <si>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</si>
  <si>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</si>
  <si>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</si>
  <si>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</si>
  <si>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</si>
  <si>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</si>
  <si>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</si>
  <si>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</si>
  <si>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</si>
  <si>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</si>
  <si>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</si>
  <si>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</si>
  <si>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</si>
  <si>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</si>
  <si>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</si>
  <si>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</si>
  <si>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</si>
  <si>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</si>
  <si>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 xml:space="preserve"> Líquido acuoso claro, sin haze ni partículas</t>
  </si>
  <si>
    <t>Viscosidad</t>
  </si>
  <si>
    <t>INFORMATIVO</t>
  </si>
  <si>
    <t>Densidad</t>
  </si>
  <si>
    <t>1,045 ± 0,015 g/mL</t>
  </si>
  <si>
    <t>pH</t>
  </si>
  <si>
    <t>6,0 - 6,1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</si>
  <si>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</si>
  <si>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</si>
  <si>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</si>
  <si>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</si>
  <si>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</si>
  <si>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</si>
  <si>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</si>
  <si>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</si>
  <si>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</si>
  <si>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</si>
  <si>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</si>
  <si>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</si>
  <si>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</si>
  <si>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</si>
  <si>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</si>
  <si>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</si>
  <si>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</si>
  <si>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</si>
  <si>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</si>
  <si>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</si>
  <si>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</si>
  <si>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</si>
  <si>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</si>
  <si>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</si>
  <si>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</si>
  <si>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</si>
  <si>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</si>
  <si>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</si>
  <si>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</si>
  <si>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</si>
  <si>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</si>
  <si>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</si>
  <si>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</si>
  <si>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</si>
  <si>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</si>
  <si>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</si>
  <si>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</si>
  <si>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</si>
  <si>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</si>
  <si>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</si>
  <si>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</si>
  <si>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</si>
  <si>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</si>
  <si>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</si>
  <si>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</si>
  <si>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</si>
  <si>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</si>
  <si>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</si>
  <si>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</si>
  <si>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</si>
  <si>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</si>
  <si>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</si>
  <si>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</si>
  <si>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</si>
  <si>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</si>
  <si>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</si>
  <si>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</si>
  <si>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</si>
  <si>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</si>
  <si>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</si>
  <si>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</si>
  <si>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</si>
  <si>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  <family val="1"/>
      </rPr>
      <t xml:space="preserve">TAREAS A REALIZAR </t>
    </r>
    <r>
      <rPr>
        <i/>
        <sz val="12"/>
        <color rgb="FF000000"/>
        <rFont val="Times New Roman"/>
        <family val="1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</si>
  <si>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</si>
  <si>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</si>
  <si>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</si>
  <si>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</si>
  <si>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</si>
  <si>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</si>
  <si>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</si>
  <si>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</si>
  <si>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</si>
  <si>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</si>
  <si>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</si>
  <si>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</si>
  <si>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</si>
  <si>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</si>
  <si>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</si>
  <si>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</si>
  <si>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</si>
  <si>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</si>
  <si>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</si>
  <si>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</si>
  <si>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</si>
  <si>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</si>
  <si>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</si>
  <si>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</si>
  <si>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</si>
  <si>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</si>
  <si>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</si>
  <si>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</si>
  <si>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</si>
  <si>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</si>
  <si>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</si>
  <si>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</si>
  <si>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</si>
  <si>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</si>
  <si>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</si>
  <si>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</si>
  <si>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</si>
  <si>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</si>
  <si>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</si>
  <si>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</si>
  <si>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</si>
  <si>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</si>
  <si>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</si>
  <si>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</si>
  <si>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</si>
  <si>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</si>
  <si>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</si>
  <si>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</si>
  <si>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</si>
  <si>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</si>
  <si>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</si>
  <si>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</si>
  <si>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</si>
  <si>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</si>
  <si>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</si>
  <si>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 xml:space="preserve"> Incoloro a amarillo pálido</t>
  </si>
  <si>
    <t>Organoléptico</t>
  </si>
  <si>
    <t>Olor</t>
  </si>
  <si>
    <t>Neutro.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</si>
  <si>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</si>
  <si>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</si>
  <si>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</si>
  <si>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</si>
  <si>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</si>
  <si>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</si>
  <si>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</si>
  <si>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</si>
  <si>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</si>
  <si>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</si>
  <si>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</si>
  <si>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</si>
  <si>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</si>
  <si>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</si>
  <si>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</si>
  <si>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</si>
  <si>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</si>
  <si>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</si>
  <si>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</si>
  <si>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</si>
  <si>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</si>
  <si>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</si>
  <si>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</si>
  <si>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</si>
  <si>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</si>
  <si>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</si>
  <si>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</si>
  <si>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</si>
  <si>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</si>
  <si>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</si>
  <si>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</si>
  <si>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</si>
  <si>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30 mL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</si>
  <si>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</si>
  <si>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</si>
  <si>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</si>
  <si>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</si>
  <si>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</si>
  <si>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</si>
  <si>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</si>
  <si>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</si>
  <si>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</si>
  <si>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</si>
  <si>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</si>
  <si>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</si>
  <si>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</si>
  <si>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</si>
  <si>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</si>
  <si>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</si>
  <si>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</si>
  <si>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</si>
  <si>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</si>
  <si>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</si>
  <si>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</si>
  <si>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</si>
  <si>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</si>
  <si>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</si>
  <si>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</si>
  <si>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</si>
  <si>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</si>
  <si>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</si>
  <si>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</si>
  <si>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</si>
  <si>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</si>
  <si>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 xml:space="preserve">PRESENTACIÓN </t>
  </si>
  <si>
    <t>ESPECIFICACIÓN</t>
  </si>
  <si>
    <r>
      <rPr>
        <sz val="14"/>
        <color theme="1"/>
        <rFont val="Times New Roman"/>
        <family val="1"/>
      </rPr>
      <t xml:space="preserve">ETIQUETA ACORDE A LO ESTIPULADO EN </t>
    </r>
    <r>
      <rPr>
        <b/>
        <sz val="14"/>
        <color theme="1"/>
        <rFont val="Times New Roman"/>
        <family val="1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</si>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</sst>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#,##0.000"/>
    <numFmt numFmtId="172" formatCode="0.000"/>
    <numFmt numFmtId="173" formatCode="mmm\ yyyy"/>
  </numFmts>
  <fonts count="31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3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3"/>
      <color rgb="FF000000"/>
      <name val="Verdana"/>
      <family val="2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13"/>
      <color theme="1"/>
      <name val="Verdana"/>
      <family val="2"/>
    </font>
    <font>
      <sz val="10"/>
      <color rgb="FF000000"/>
      <name val="Times New Roman"/>
      <family val="1"/>
    </font>
    <font>
      <sz val="11"/>
      <color theme="1"/>
      <name val="Verdana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000000"/>
      <name val="Arial"/>
      <family val="2"/>
    </font>
    <font>
      <b/>
      <sz val="14"/>
      <color rgb="FF000000"/>
      <name val="Times New Roman"/>
      <family val="1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b/>
      <sz val="19"/>
      <color theme="1"/>
      <name val="Times New Roman"/>
      <family val="1"/>
    </font>
    <font>
      <sz val="19"/>
      <color theme="1"/>
      <name val="Times New Roman"/>
      <family val="1"/>
    </font>
    <font>
      <i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9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6" fillId="0" borderId="0" xfId="0" applyFont="1" applyAlignment="1">
      <alignment horizontal="center"/>
    </xf>
    <xf numFmtId="0" fontId="1" fillId="2" borderId="29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wrapText="1"/>
    </xf>
    <xf numFmtId="0" fontId="1" fillId="0" borderId="29" xfId="0" applyFont="1" applyBorder="1" applyAlignment="1">
      <alignment wrapText="1"/>
    </xf>
    <xf numFmtId="0" fontId="1" fillId="0" borderId="29" xfId="0" applyFont="1" applyBorder="1" applyAlignment="1">
      <alignment horizontal="center" vertical="center" wrapText="1"/>
    </xf>
    <xf numFmtId="2" fontId="3" fillId="0" borderId="29" xfId="0" applyNumberFormat="1" applyFont="1" applyBorder="1" applyAlignment="1">
      <alignment vertical="center"/>
    </xf>
    <xf numFmtId="0" fontId="3" fillId="0" borderId="29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170" fontId="3" fillId="0" borderId="52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166" fontId="3" fillId="0" borderId="56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/>
    </xf>
    <xf numFmtId="2" fontId="9" fillId="0" borderId="29" xfId="0" applyNumberFormat="1" applyFont="1" applyBorder="1" applyAlignment="1">
      <alignment horizontal="center"/>
    </xf>
    <xf numFmtId="172" fontId="9" fillId="0" borderId="29" xfId="0" applyNumberFormat="1" applyFont="1" applyBorder="1" applyAlignment="1">
      <alignment horizontal="center"/>
    </xf>
    <xf numFmtId="2" fontId="4" fillId="6" borderId="2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2" fontId="1" fillId="7" borderId="55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/>
    </xf>
    <xf numFmtId="0" fontId="1" fillId="0" borderId="19" xfId="0" applyFont="1" applyBorder="1" applyAlignment="1">
      <alignment horizontal="right"/>
    </xf>
    <xf numFmtId="0" fontId="3" fillId="0" borderId="32" xfId="0" applyFont="1" applyBorder="1"/>
    <xf numFmtId="0" fontId="1" fillId="0" borderId="32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17" xfId="0" applyFont="1" applyBorder="1"/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61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17" xfId="0" applyNumberFormat="1" applyFont="1" applyBorder="1"/>
    <xf numFmtId="0" fontId="13" fillId="0" borderId="0" xfId="0" applyFont="1"/>
    <xf numFmtId="0" fontId="14" fillId="0" borderId="17" xfId="0" applyFont="1" applyBorder="1"/>
    <xf numFmtId="0" fontId="14" fillId="0" borderId="56" xfId="0" applyFont="1" applyBorder="1"/>
    <xf numFmtId="0" fontId="1" fillId="3" borderId="52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vertical="center" wrapText="1"/>
    </xf>
    <xf numFmtId="0" fontId="3" fillId="4" borderId="64" xfId="0" applyFont="1" applyFill="1" applyBorder="1" applyAlignment="1">
      <alignment horizontal="left" vertical="center" wrapText="1"/>
    </xf>
    <xf numFmtId="0" fontId="3" fillId="4" borderId="65" xfId="0" applyFont="1" applyFill="1" applyBorder="1" applyAlignment="1">
      <alignment horizontal="left" vertical="center" wrapText="1"/>
    </xf>
    <xf numFmtId="0" fontId="1" fillId="4" borderId="65" xfId="0" applyFont="1" applyFill="1" applyBorder="1" applyAlignment="1">
      <alignment horizontal="center" vertical="center" wrapText="1"/>
    </xf>
    <xf numFmtId="0" fontId="1" fillId="4" borderId="6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left"/>
    </xf>
    <xf numFmtId="2" fontId="6" fillId="0" borderId="0" xfId="0" applyNumberFormat="1" applyFont="1"/>
    <xf numFmtId="171" fontId="17" fillId="0" borderId="0" xfId="0" applyNumberFormat="1" applyFont="1" applyAlignment="1">
      <alignment horizontal="center"/>
    </xf>
    <xf numFmtId="0" fontId="3" fillId="4" borderId="68" xfId="0" applyFont="1" applyFill="1" applyBorder="1" applyAlignment="1">
      <alignment horizontal="left" vertical="center" wrapText="1"/>
    </xf>
    <xf numFmtId="0" fontId="3" fillId="4" borderId="65" xfId="0" applyFont="1" applyFill="1" applyBorder="1" applyAlignment="1">
      <alignment horizontal="center" vertical="center" wrapText="1"/>
    </xf>
    <xf numFmtId="0" fontId="6" fillId="0" borderId="32" xfId="0" applyFont="1" applyBorder="1"/>
    <xf numFmtId="165" fontId="6" fillId="0" borderId="29" xfId="0" applyNumberFormat="1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1" fillId="3" borderId="69" xfId="0" applyFont="1" applyFill="1" applyBorder="1" applyAlignment="1">
      <alignment horizontal="center" vertical="center" wrapText="1"/>
    </xf>
    <xf numFmtId="0" fontId="6" fillId="4" borderId="68" xfId="0" applyFont="1" applyFill="1" applyBorder="1" applyAlignment="1">
      <alignment horizontal="left" vertical="center" wrapText="1"/>
    </xf>
    <xf numFmtId="0" fontId="6" fillId="4" borderId="65" xfId="0" applyFont="1" applyFill="1" applyBorder="1" applyAlignment="1">
      <alignment horizontal="center" vertical="center" wrapText="1"/>
    </xf>
    <xf numFmtId="0" fontId="6" fillId="4" borderId="65" xfId="0" applyFont="1" applyFill="1" applyBorder="1" applyAlignment="1">
      <alignment horizontal="left" vertical="center" wrapText="1"/>
    </xf>
    <xf numFmtId="0" fontId="7" fillId="4" borderId="71" xfId="0" applyFont="1" applyFill="1" applyBorder="1" applyAlignment="1">
      <alignment horizontal="left" vertical="center" wrapText="1"/>
    </xf>
    <xf numFmtId="0" fontId="6" fillId="4" borderId="71" xfId="0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29" xfId="0" applyNumberFormat="1" applyFont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" fontId="5" fillId="3" borderId="29" xfId="0" applyNumberFormat="1" applyFont="1" applyFill="1" applyBorder="1" applyAlignment="1">
      <alignment horizontal="center" vertical="center"/>
    </xf>
    <xf numFmtId="1" fontId="5" fillId="0" borderId="73" xfId="0" applyNumberFormat="1" applyFont="1" applyBorder="1" applyAlignment="1">
      <alignment horizontal="center" vertical="center" wrapText="1"/>
    </xf>
    <xf numFmtId="1" fontId="5" fillId="0" borderId="72" xfId="0" applyNumberFormat="1" applyFont="1" applyBorder="1" applyAlignment="1">
      <alignment horizontal="center" vertical="center" wrapText="1"/>
    </xf>
    <xf numFmtId="1" fontId="20" fillId="0" borderId="69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1" fontId="5" fillId="0" borderId="55" xfId="0" applyNumberFormat="1" applyFont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 vertical="center" wrapText="1"/>
    </xf>
    <xf numFmtId="1" fontId="5" fillId="0" borderId="5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0" fontId="3" fillId="4" borderId="75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4" borderId="81" xfId="0" applyFont="1" applyFill="1" applyBorder="1" applyAlignment="1">
      <alignment vertical="center" wrapText="1"/>
    </xf>
    <xf numFmtId="0" fontId="21" fillId="0" borderId="29" xfId="0" applyFont="1" applyBorder="1" applyAlignment="1">
      <alignment horizontal="center" vertical="center"/>
    </xf>
    <xf numFmtId="164" fontId="21" fillId="0" borderId="29" xfId="0" applyNumberFormat="1" applyFont="1" applyBorder="1" applyAlignment="1">
      <alignment horizontal="center" vertical="center"/>
    </xf>
    <xf numFmtId="165" fontId="21" fillId="0" borderId="29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21" fillId="0" borderId="4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right" wrapText="1"/>
    </xf>
    <xf numFmtId="0" fontId="22" fillId="0" borderId="0" xfId="0" applyFont="1" applyAlignment="1">
      <alignment wrapText="1"/>
    </xf>
    <xf numFmtId="0" fontId="22" fillId="0" borderId="16" xfId="0" applyFont="1" applyBorder="1"/>
    <xf numFmtId="0" fontId="21" fillId="0" borderId="7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72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2" fillId="0" borderId="5" xfId="0" applyFont="1" applyBorder="1"/>
    <xf numFmtId="0" fontId="24" fillId="0" borderId="5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5" fillId="0" borderId="59" xfId="0" applyFont="1" applyBorder="1" applyAlignment="1">
      <alignment horizontal="right" vertical="center" wrapText="1"/>
    </xf>
    <xf numFmtId="0" fontId="25" fillId="0" borderId="12" xfId="0" applyFont="1" applyBorder="1" applyAlignment="1">
      <alignment horizontal="right" wrapText="1"/>
    </xf>
    <xf numFmtId="0" fontId="19" fillId="0" borderId="0" xfId="0" applyFont="1" applyAlignment="1">
      <alignment wrapText="1"/>
    </xf>
    <xf numFmtId="0" fontId="25" fillId="0" borderId="30" xfId="0" applyFont="1" applyBorder="1" applyAlignment="1">
      <alignment horizontal="right" wrapText="1"/>
    </xf>
    <xf numFmtId="0" fontId="25" fillId="0" borderId="5" xfId="0" applyFont="1" applyBorder="1" applyAlignment="1">
      <alignment horizontal="right" wrapText="1"/>
    </xf>
    <xf numFmtId="0" fontId="25" fillId="0" borderId="5" xfId="0" applyFont="1" applyBorder="1" applyAlignment="1">
      <alignment horizontal="right" vertical="center" wrapText="1"/>
    </xf>
    <xf numFmtId="0" fontId="25" fillId="0" borderId="16" xfId="0" applyFont="1" applyBorder="1" applyAlignment="1">
      <alignment horizontal="right" wrapText="1"/>
    </xf>
    <xf numFmtId="0" fontId="25" fillId="0" borderId="0" xfId="0" applyFont="1" applyAlignment="1">
      <alignment horizontal="right" wrapText="1"/>
    </xf>
    <xf numFmtId="0" fontId="19" fillId="0" borderId="17" xfId="0" applyFont="1" applyBorder="1" applyAlignment="1">
      <alignment wrapText="1"/>
    </xf>
    <xf numFmtId="0" fontId="19" fillId="0" borderId="11" xfId="0" applyFont="1" applyBorder="1" applyAlignment="1">
      <alignment wrapText="1"/>
    </xf>
    <xf numFmtId="0" fontId="19" fillId="0" borderId="61" xfId="0" applyFont="1" applyBorder="1" applyAlignment="1">
      <alignment wrapText="1"/>
    </xf>
    <xf numFmtId="0" fontId="25" fillId="0" borderId="49" xfId="0" applyFont="1" applyBorder="1" applyAlignment="1">
      <alignment horizontal="left" vertical="center"/>
    </xf>
    <xf numFmtId="0" fontId="19" fillId="0" borderId="25" xfId="0" applyFont="1" applyBorder="1" applyAlignment="1">
      <alignment wrapText="1"/>
    </xf>
    <xf numFmtId="0" fontId="6" fillId="0" borderId="25" xfId="0" applyFont="1" applyBorder="1"/>
    <xf numFmtId="0" fontId="19" fillId="0" borderId="50" xfId="0" applyFont="1" applyBorder="1" applyAlignment="1">
      <alignment wrapText="1"/>
    </xf>
    <xf numFmtId="167" fontId="6" fillId="0" borderId="0" xfId="0" applyNumberFormat="1" applyFont="1"/>
    <xf numFmtId="2" fontId="19" fillId="0" borderId="25" xfId="0" applyNumberFormat="1" applyFont="1" applyBorder="1" applyAlignment="1">
      <alignment wrapText="1"/>
    </xf>
    <xf numFmtId="2" fontId="6" fillId="0" borderId="25" xfId="0" applyNumberFormat="1" applyFont="1" applyBorder="1"/>
    <xf numFmtId="0" fontId="1" fillId="0" borderId="8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21" fillId="6" borderId="29" xfId="0" applyFont="1" applyFill="1" applyBorder="1" applyAlignment="1">
      <alignment horizontal="center" vertical="center" wrapText="1"/>
    </xf>
    <xf numFmtId="0" fontId="26" fillId="0" borderId="0" xfId="0" applyFont="1"/>
    <xf numFmtId="0" fontId="21" fillId="0" borderId="4" xfId="0" applyFont="1" applyBorder="1" applyAlignment="1">
      <alignment horizontal="center" wrapText="1"/>
    </xf>
    <xf numFmtId="0" fontId="24" fillId="0" borderId="72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19" fillId="0" borderId="17" xfId="0" applyFont="1" applyBorder="1" applyAlignment="1">
      <alignment horizontal="center" vertical="center"/>
    </xf>
    <xf numFmtId="0" fontId="21" fillId="0" borderId="91" xfId="0" applyFont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164" fontId="21" fillId="0" borderId="88" xfId="0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19" fillId="0" borderId="17" xfId="0" applyFont="1" applyBorder="1"/>
    <xf numFmtId="0" fontId="21" fillId="0" borderId="33" xfId="0" applyFont="1" applyBorder="1" applyAlignment="1">
      <alignment horizontal="center" vertical="center"/>
    </xf>
    <xf numFmtId="165" fontId="21" fillId="0" borderId="88" xfId="0" applyNumberFormat="1" applyFont="1" applyBorder="1" applyAlignment="1">
      <alignment horizontal="center" vertical="center"/>
    </xf>
    <xf numFmtId="164" fontId="1" fillId="0" borderId="8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5" fontId="1" fillId="0" borderId="87" xfId="0" applyNumberFormat="1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 wrapText="1"/>
    </xf>
    <xf numFmtId="0" fontId="6" fillId="0" borderId="17" xfId="0" applyFont="1" applyBorder="1"/>
    <xf numFmtId="0" fontId="6" fillId="0" borderId="8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wrapText="1"/>
    </xf>
    <xf numFmtId="0" fontId="6" fillId="0" borderId="89" xfId="0" applyFont="1" applyBorder="1"/>
    <xf numFmtId="0" fontId="7" fillId="0" borderId="88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24" fillId="6" borderId="29" xfId="0" applyFont="1" applyFill="1" applyBorder="1" applyAlignment="1">
      <alignment horizontal="center" vertical="center" wrapText="1"/>
    </xf>
    <xf numFmtId="0" fontId="24" fillId="6" borderId="93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29" xfId="0" applyFont="1" applyBorder="1" applyAlignment="1">
      <alignment vertical="center" wrapText="1"/>
    </xf>
    <xf numFmtId="0" fontId="21" fillId="0" borderId="29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wrapText="1"/>
    </xf>
    <xf numFmtId="0" fontId="6" fillId="0" borderId="90" xfId="0" applyFont="1" applyBorder="1" applyAlignment="1">
      <alignment wrapText="1"/>
    </xf>
    <xf numFmtId="0" fontId="6" fillId="0" borderId="89" xfId="0" applyFont="1" applyBorder="1" applyAlignment="1">
      <alignment wrapText="1"/>
    </xf>
    <xf numFmtId="0" fontId="7" fillId="0" borderId="46" xfId="0" applyFont="1" applyBorder="1" applyAlignment="1">
      <alignment horizontal="center" vertical="center" wrapText="1"/>
    </xf>
    <xf numFmtId="0" fontId="7" fillId="0" borderId="88" xfId="0" applyFont="1" applyBorder="1" applyAlignment="1">
      <alignment vertical="center" wrapText="1"/>
    </xf>
    <xf numFmtId="0" fontId="6" fillId="0" borderId="88" xfId="0" applyFont="1" applyBorder="1" applyAlignment="1">
      <alignment wrapText="1"/>
    </xf>
    <xf numFmtId="0" fontId="6" fillId="0" borderId="90" xfId="0" applyFont="1" applyBorder="1" applyAlignment="1">
      <alignment vertical="center" wrapText="1"/>
    </xf>
    <xf numFmtId="0" fontId="28" fillId="0" borderId="88" xfId="0" applyFont="1" applyBorder="1" applyAlignment="1">
      <alignment horizontal="center" vertical="center"/>
    </xf>
    <xf numFmtId="0" fontId="28" fillId="0" borderId="8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0" fontId="28" fillId="0" borderId="87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8" fillId="0" borderId="88" xfId="0" applyFont="1" applyBorder="1" applyAlignment="1">
      <alignment horizontal="center" wrapText="1"/>
    </xf>
    <xf numFmtId="0" fontId="28" fillId="0" borderId="9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1" fillId="0" borderId="51" xfId="0" applyFont="1" applyBorder="1" applyAlignment="1">
      <alignment horizontal="center" vertical="center"/>
    </xf>
    <xf numFmtId="0" fontId="2" fillId="0" borderId="48" xfId="0" applyFont="1" applyBorder="1"/>
    <xf numFmtId="0" fontId="1" fillId="0" borderId="31" xfId="0" applyFont="1" applyBorder="1" applyAlignment="1">
      <alignment horizontal="center" vertical="center"/>
    </xf>
    <xf numFmtId="0" fontId="2" fillId="0" borderId="33" xfId="0" applyFont="1" applyBorder="1"/>
    <xf numFmtId="0" fontId="2" fillId="0" borderId="49" xfId="0" applyFont="1" applyBorder="1"/>
    <xf numFmtId="0" fontId="2" fillId="0" borderId="50" xfId="0" applyFont="1" applyBorder="1"/>
    <xf numFmtId="0" fontId="1" fillId="0" borderId="15" xfId="0" applyFont="1" applyBorder="1" applyAlignment="1">
      <alignment horizontal="center" vertical="center"/>
    </xf>
    <xf numFmtId="0" fontId="2" fillId="0" borderId="14" xfId="0" applyFont="1" applyBorder="1"/>
    <xf numFmtId="165" fontId="1" fillId="0" borderId="4" xfId="0" applyNumberFormat="1" applyFont="1" applyBorder="1" applyAlignment="1">
      <alignment horizontal="center" vertical="center"/>
    </xf>
    <xf numFmtId="0" fontId="2" fillId="0" borderId="32" xfId="0" applyFont="1" applyBorder="1"/>
    <xf numFmtId="0" fontId="2" fillId="0" borderId="16" xfId="0" applyFont="1" applyBorder="1"/>
    <xf numFmtId="0" fontId="0" fillId="0" borderId="0" xfId="0"/>
    <xf numFmtId="0" fontId="2" fillId="0" borderId="25" xfId="0" applyFont="1" applyBorder="1"/>
    <xf numFmtId="0" fontId="1" fillId="0" borderId="46" xfId="0" applyFont="1" applyBorder="1" applyAlignment="1">
      <alignment horizontal="center" vertical="center"/>
    </xf>
    <xf numFmtId="0" fontId="2" fillId="0" borderId="47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wrapText="1"/>
    </xf>
    <xf numFmtId="0" fontId="2" fillId="0" borderId="9" xfId="0" applyFont="1" applyBorder="1"/>
    <xf numFmtId="0" fontId="3" fillId="0" borderId="31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36" xfId="0" applyFont="1" applyBorder="1"/>
    <xf numFmtId="0" fontId="3" fillId="0" borderId="4" xfId="0" applyFont="1" applyBorder="1" applyAlignment="1">
      <alignment horizontal="center" vertical="center"/>
    </xf>
    <xf numFmtId="0" fontId="2" fillId="0" borderId="15" xfId="0" applyFont="1" applyBorder="1"/>
    <xf numFmtId="0" fontId="2" fillId="0" borderId="5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2" fontId="4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1" fillId="2" borderId="44" xfId="0" applyFont="1" applyFill="1" applyBorder="1" applyAlignment="1">
      <alignment horizontal="center" vertical="center"/>
    </xf>
    <xf numFmtId="0" fontId="2" fillId="0" borderId="45" xfId="0" applyFont="1" applyBorder="1"/>
    <xf numFmtId="167" fontId="4" fillId="0" borderId="20" xfId="0" applyNumberFormat="1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 wrapText="1"/>
    </xf>
    <xf numFmtId="0" fontId="2" fillId="0" borderId="51" xfId="0" applyFont="1" applyBorder="1"/>
    <xf numFmtId="0" fontId="1" fillId="2" borderId="23" xfId="0" applyFont="1" applyFill="1" applyBorder="1" applyAlignment="1">
      <alignment horizontal="center" vertical="center"/>
    </xf>
    <xf numFmtId="2" fontId="8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171" fontId="8" fillId="0" borderId="4" xfId="0" applyNumberFormat="1" applyFont="1" applyBorder="1" applyAlignment="1">
      <alignment horizontal="left"/>
    </xf>
    <xf numFmtId="171" fontId="8" fillId="0" borderId="4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0" borderId="11" xfId="0" applyFont="1" applyBorder="1" applyAlignment="1">
      <alignment horizontal="center"/>
    </xf>
    <xf numFmtId="0" fontId="2" fillId="0" borderId="1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7" fillId="0" borderId="49" xfId="0" applyFont="1" applyBorder="1" applyAlignment="1">
      <alignment horizontal="center"/>
    </xf>
    <xf numFmtId="0" fontId="1" fillId="0" borderId="31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right"/>
    </xf>
    <xf numFmtId="0" fontId="1" fillId="7" borderId="23" xfId="0" applyFont="1" applyFill="1" applyBorder="1" applyAlignment="1">
      <alignment horizontal="center" vertical="center"/>
    </xf>
    <xf numFmtId="1" fontId="1" fillId="7" borderId="20" xfId="0" applyNumberFormat="1" applyFont="1" applyFill="1" applyBorder="1" applyAlignment="1">
      <alignment horizontal="center" vertical="center"/>
    </xf>
    <xf numFmtId="0" fontId="2" fillId="0" borderId="27" xfId="0" applyFont="1" applyBorder="1"/>
    <xf numFmtId="0" fontId="1" fillId="0" borderId="2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60" xfId="0" applyFont="1" applyBorder="1" applyAlignment="1">
      <alignment horizontal="left" vertical="center" wrapText="1"/>
    </xf>
    <xf numFmtId="0" fontId="2" fillId="0" borderId="13" xfId="0" applyFont="1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2" xfId="0" applyFont="1" applyBorder="1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0" borderId="26" xfId="0" applyFont="1" applyBorder="1"/>
    <xf numFmtId="167" fontId="3" fillId="0" borderId="2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31" xfId="0" applyFont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" fillId="0" borderId="10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2" fillId="0" borderId="34" xfId="0" applyFont="1" applyBorder="1"/>
    <xf numFmtId="0" fontId="2" fillId="0" borderId="37" xfId="0" applyFont="1" applyBorder="1"/>
    <xf numFmtId="0" fontId="1" fillId="0" borderId="35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wrapText="1"/>
    </xf>
    <xf numFmtId="0" fontId="1" fillId="2" borderId="38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1" fillId="2" borderId="42" xfId="0" applyFont="1" applyFill="1" applyBorder="1" applyAlignment="1">
      <alignment horizontal="center" vertical="center"/>
    </xf>
    <xf numFmtId="0" fontId="2" fillId="0" borderId="43" xfId="0" applyFont="1" applyBorder="1"/>
    <xf numFmtId="0" fontId="1" fillId="3" borderId="44" xfId="0" applyFont="1" applyFill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4" borderId="4" xfId="0" applyNumberFormat="1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71" fontId="4" fillId="0" borderId="11" xfId="0" applyNumberFormat="1" applyFont="1" applyBorder="1"/>
    <xf numFmtId="2" fontId="4" fillId="0" borderId="10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 vertical="center"/>
    </xf>
    <xf numFmtId="171" fontId="9" fillId="0" borderId="11" xfId="0" applyNumberFormat="1" applyFont="1" applyBorder="1"/>
    <xf numFmtId="0" fontId="1" fillId="0" borderId="16" xfId="0" applyFont="1" applyBorder="1" applyAlignment="1">
      <alignment horizontal="left" vertical="top" wrapText="1"/>
    </xf>
    <xf numFmtId="0" fontId="1" fillId="4" borderId="28" xfId="0" applyFont="1" applyFill="1" applyBorder="1" applyAlignment="1">
      <alignment horizontal="left" vertical="center" wrapText="1"/>
    </xf>
    <xf numFmtId="0" fontId="3" fillId="4" borderId="6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168" fontId="6" fillId="0" borderId="0" xfId="0" applyNumberFormat="1" applyFont="1"/>
    <xf numFmtId="0" fontId="1" fillId="4" borderId="23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left" vertical="center" wrapText="1"/>
    </xf>
    <xf numFmtId="165" fontId="3" fillId="4" borderId="20" xfId="0" applyNumberFormat="1" applyFont="1" applyFill="1" applyBorder="1" applyAlignment="1">
      <alignment horizontal="center" vertical="center" wrapText="1"/>
    </xf>
    <xf numFmtId="171" fontId="16" fillId="0" borderId="11" xfId="0" applyNumberFormat="1" applyFont="1" applyBorder="1" applyAlignment="1">
      <alignment vertical="center"/>
    </xf>
    <xf numFmtId="0" fontId="6" fillId="0" borderId="1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62" xfId="0" applyFont="1" applyFill="1" applyBorder="1" applyAlignment="1">
      <alignment horizontal="center" vertical="center" wrapText="1"/>
    </xf>
    <xf numFmtId="0" fontId="2" fillId="0" borderId="63" xfId="0" applyFont="1" applyBorder="1"/>
    <xf numFmtId="0" fontId="1" fillId="0" borderId="8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171" fontId="15" fillId="0" borderId="0" xfId="0" applyNumberFormat="1" applyFont="1"/>
    <xf numFmtId="0" fontId="1" fillId="3" borderId="18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23" xfId="0" applyFont="1" applyFill="1" applyBorder="1" applyAlignment="1">
      <alignment horizontal="left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2" fontId="9" fillId="0" borderId="11" xfId="0" applyNumberFormat="1" applyFont="1" applyBorder="1"/>
    <xf numFmtId="171" fontId="15" fillId="6" borderId="0" xfId="0" applyNumberFormat="1" applyFont="1" applyFill="1"/>
    <xf numFmtId="0" fontId="8" fillId="0" borderId="4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8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 vertical="center" wrapText="1"/>
    </xf>
    <xf numFmtId="0" fontId="6" fillId="0" borderId="46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61" xfId="0" applyFont="1" applyBorder="1"/>
    <xf numFmtId="0" fontId="4" fillId="0" borderId="1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14" fontId="7" fillId="0" borderId="20" xfId="0" applyNumberFormat="1" applyFont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6" fillId="4" borderId="49" xfId="0" applyFont="1" applyFill="1" applyBorder="1" applyAlignment="1">
      <alignment horizontal="center" vertical="center" wrapText="1"/>
    </xf>
    <xf numFmtId="1" fontId="18" fillId="5" borderId="28" xfId="0" applyNumberFormat="1" applyFont="1" applyFill="1" applyBorder="1" applyAlignment="1">
      <alignment horizontal="center" vertical="center" wrapText="1"/>
    </xf>
    <xf numFmtId="0" fontId="6" fillId="0" borderId="60" xfId="0" applyFont="1" applyBorder="1" applyAlignment="1">
      <alignment wrapText="1"/>
    </xf>
    <xf numFmtId="0" fontId="7" fillId="4" borderId="18" xfId="0" applyFont="1" applyFill="1" applyBorder="1" applyAlignment="1">
      <alignment horizontal="left" vertical="center" wrapText="1"/>
    </xf>
    <xf numFmtId="0" fontId="7" fillId="4" borderId="23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wrapText="1"/>
    </xf>
    <xf numFmtId="0" fontId="7" fillId="0" borderId="31" xfId="0" applyFont="1" applyBorder="1" applyAlignment="1">
      <alignment horizontal="left" vertical="top" wrapText="1"/>
    </xf>
    <xf numFmtId="0" fontId="7" fillId="0" borderId="70" xfId="0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" fillId="0" borderId="53" xfId="0" applyFont="1" applyBorder="1" applyAlignment="1">
      <alignment horizontal="center" vertical="center"/>
    </xf>
    <xf numFmtId="0" fontId="2" fillId="0" borderId="72" xfId="0" applyFont="1" applyBorder="1"/>
    <xf numFmtId="165" fontId="3" fillId="0" borderId="4" xfId="0" applyNumberFormat="1" applyFont="1" applyBorder="1" applyAlignment="1">
      <alignment horizontal="center" vertical="center"/>
    </xf>
    <xf numFmtId="170" fontId="3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6" borderId="53" xfId="0" applyFont="1" applyFill="1" applyBorder="1" applyAlignment="1">
      <alignment horizontal="center" vertical="center" wrapText="1"/>
    </xf>
    <xf numFmtId="0" fontId="2" fillId="0" borderId="73" xfId="0" applyFont="1" applyBorder="1"/>
    <xf numFmtId="0" fontId="1" fillId="2" borderId="18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wrapText="1"/>
    </xf>
    <xf numFmtId="1" fontId="5" fillId="3" borderId="38" xfId="0" applyNumberFormat="1" applyFont="1" applyFill="1" applyBorder="1" applyAlignment="1">
      <alignment horizontal="center" vertical="center" wrapText="1"/>
    </xf>
    <xf numFmtId="0" fontId="2" fillId="0" borderId="74" xfId="0" applyFont="1" applyBorder="1"/>
    <xf numFmtId="1" fontId="5" fillId="3" borderId="4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1" fontId="5" fillId="3" borderId="40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2" borderId="44" xfId="0" applyFont="1" applyFill="1" applyBorder="1" applyAlignment="1">
      <alignment horizontal="left" vertical="center"/>
    </xf>
    <xf numFmtId="0" fontId="1" fillId="2" borderId="4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3" borderId="28" xfId="0" applyNumberFormat="1" applyFont="1" applyFill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left" vertical="center" wrapText="1"/>
    </xf>
    <xf numFmtId="1" fontId="5" fillId="0" borderId="23" xfId="0" applyNumberFormat="1" applyFont="1" applyBorder="1" applyAlignment="1">
      <alignment horizontal="center" vertical="center" wrapText="1"/>
    </xf>
    <xf numFmtId="1" fontId="5" fillId="5" borderId="46" xfId="0" applyNumberFormat="1" applyFont="1" applyFill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right" vertical="center" wrapText="1"/>
    </xf>
    <xf numFmtId="1" fontId="5" fillId="0" borderId="32" xfId="0" applyNumberFormat="1" applyFont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right" vertical="center" wrapText="1"/>
    </xf>
    <xf numFmtId="1" fontId="5" fillId="0" borderId="19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left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right" vertical="center" wrapText="1"/>
    </xf>
    <xf numFmtId="1" fontId="5" fillId="0" borderId="16" xfId="0" applyNumberFormat="1" applyFont="1" applyBorder="1" applyAlignment="1">
      <alignment horizontal="right" vertical="center" wrapText="1"/>
    </xf>
    <xf numFmtId="1" fontId="5" fillId="0" borderId="49" xfId="0" applyNumberFormat="1" applyFont="1" applyBorder="1" applyAlignment="1">
      <alignment horizontal="righ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3" fillId="4" borderId="42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right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80" xfId="0" applyFont="1" applyFill="1" applyBorder="1" applyAlignment="1">
      <alignment horizontal="left" vertical="center" wrapText="1"/>
    </xf>
    <xf numFmtId="0" fontId="1" fillId="4" borderId="60" xfId="0" applyFont="1" applyFill="1" applyBorder="1" applyAlignment="1">
      <alignment horizontal="left" vertical="top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7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2" fillId="0" borderId="78" xfId="0" applyFont="1" applyBorder="1"/>
    <xf numFmtId="0" fontId="1" fillId="4" borderId="38" xfId="0" applyFont="1" applyFill="1" applyBorder="1" applyAlignment="1">
      <alignment horizontal="center" vertical="center" wrapText="1"/>
    </xf>
    <xf numFmtId="0" fontId="3" fillId="4" borderId="77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left" vertical="center" wrapText="1"/>
    </xf>
    <xf numFmtId="0" fontId="1" fillId="3" borderId="7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165" fontId="2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19" fillId="0" borderId="4" xfId="0" applyFont="1" applyBorder="1"/>
    <xf numFmtId="164" fontId="21" fillId="0" borderId="4" xfId="0" applyNumberFormat="1" applyFont="1" applyBorder="1" applyAlignment="1">
      <alignment horizontal="center" vertical="center"/>
    </xf>
    <xf numFmtId="0" fontId="19" fillId="0" borderId="0" xfId="0" applyFont="1"/>
    <xf numFmtId="0" fontId="22" fillId="0" borderId="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right" wrapText="1"/>
    </xf>
    <xf numFmtId="0" fontId="22" fillId="0" borderId="11" xfId="0" applyFont="1" applyBorder="1" applyAlignment="1">
      <alignment horizontal="center" wrapText="1"/>
    </xf>
    <xf numFmtId="0" fontId="21" fillId="0" borderId="4" xfId="0" applyFont="1" applyBorder="1" applyAlignment="1">
      <alignment horizontal="right" vertical="center" wrapText="1"/>
    </xf>
    <xf numFmtId="0" fontId="22" fillId="0" borderId="4" xfId="0" applyFont="1" applyBorder="1" applyAlignment="1">
      <alignment vertical="center" wrapText="1"/>
    </xf>
    <xf numFmtId="0" fontId="23" fillId="0" borderId="10" xfId="0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 textRotation="90" wrapText="1"/>
    </xf>
    <xf numFmtId="0" fontId="2" fillId="0" borderId="83" xfId="0" applyFont="1" applyBorder="1"/>
    <xf numFmtId="0" fontId="22" fillId="0" borderId="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textRotation="90" wrapText="1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1" xfId="0" applyFont="1" applyBorder="1"/>
    <xf numFmtId="0" fontId="21" fillId="0" borderId="4" xfId="0" applyFont="1" applyBorder="1" applyAlignment="1">
      <alignment horizontal="left" vertical="center" wrapText="1"/>
    </xf>
    <xf numFmtId="0" fontId="21" fillId="4" borderId="4" xfId="0" applyFont="1" applyFill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vertical="center" wrapText="1"/>
    </xf>
    <xf numFmtId="0" fontId="22" fillId="0" borderId="20" xfId="0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left" vertical="center" wrapText="1"/>
    </xf>
    <xf numFmtId="0" fontId="1" fillId="0" borderId="87" xfId="0" applyFont="1" applyBorder="1" applyAlignment="1">
      <alignment horizontal="center" vertical="center" wrapText="1"/>
    </xf>
    <xf numFmtId="0" fontId="2" fillId="0" borderId="89" xfId="0" applyFont="1" applyBorder="1"/>
    <xf numFmtId="0" fontId="2" fillId="0" borderId="90" xfId="0" applyFont="1" applyBorder="1"/>
    <xf numFmtId="2" fontId="1" fillId="0" borderId="31" xfId="0" applyNumberFormat="1" applyFont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 wrapText="1"/>
    </xf>
    <xf numFmtId="0" fontId="2" fillId="0" borderId="85" xfId="0" applyFont="1" applyBorder="1"/>
    <xf numFmtId="0" fontId="1" fillId="0" borderId="35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86" xfId="0" applyFont="1" applyBorder="1"/>
    <xf numFmtId="165" fontId="1" fillId="0" borderId="20" xfId="0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14" fillId="0" borderId="11" xfId="0" applyNumberFormat="1" applyFont="1" applyBorder="1" applyAlignment="1">
      <alignment horizontal="center" wrapText="1"/>
    </xf>
    <xf numFmtId="2" fontId="19" fillId="0" borderId="11" xfId="0" applyNumberFormat="1" applyFont="1" applyBorder="1" applyAlignment="1">
      <alignment wrapText="1"/>
    </xf>
    <xf numFmtId="165" fontId="14" fillId="0" borderId="10" xfId="0" applyNumberFormat="1" applyFont="1" applyBorder="1" applyAlignment="1">
      <alignment horizontal="center" vertical="center" wrapText="1"/>
    </xf>
    <xf numFmtId="49" fontId="14" fillId="0" borderId="10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wrapText="1"/>
    </xf>
    <xf numFmtId="165" fontId="1" fillId="0" borderId="46" xfId="0" applyNumberFormat="1" applyFont="1" applyBorder="1" applyAlignment="1">
      <alignment horizontal="center" vertical="center"/>
    </xf>
    <xf numFmtId="171" fontId="14" fillId="0" borderId="4" xfId="0" applyNumberFormat="1" applyFont="1" applyBorder="1" applyAlignment="1">
      <alignment horizontal="center" vertical="center" wrapText="1"/>
    </xf>
    <xf numFmtId="2" fontId="1" fillId="0" borderId="35" xfId="0" applyNumberFormat="1" applyFont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173" fontId="22" fillId="4" borderId="4" xfId="0" applyNumberFormat="1" applyFont="1" applyFill="1" applyBorder="1" applyAlignment="1">
      <alignment horizontal="center" vertical="center" wrapText="1"/>
    </xf>
    <xf numFmtId="1" fontId="22" fillId="4" borderId="4" xfId="0" applyNumberFormat="1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wrapText="1"/>
    </xf>
    <xf numFmtId="0" fontId="22" fillId="0" borderId="4" xfId="0" applyFont="1" applyBorder="1" applyAlignment="1">
      <alignment horizontal="left" vertical="center" wrapText="1"/>
    </xf>
    <xf numFmtId="0" fontId="21" fillId="6" borderId="53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wrapText="1"/>
    </xf>
    <xf numFmtId="0" fontId="24" fillId="0" borderId="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wrapText="1"/>
    </xf>
    <xf numFmtId="0" fontId="6" fillId="0" borderId="31" xfId="0" applyFont="1" applyBorder="1" applyAlignment="1">
      <alignment horizontal="center" wrapText="1"/>
    </xf>
    <xf numFmtId="0" fontId="6" fillId="0" borderId="46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9" fillId="0" borderId="46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166" fontId="3" fillId="0" borderId="46" xfId="0" applyNumberFormat="1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/>
    </xf>
    <xf numFmtId="0" fontId="21" fillId="6" borderId="4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/>
    </xf>
    <xf numFmtId="0" fontId="26" fillId="0" borderId="4" xfId="0" applyFont="1" applyBorder="1"/>
    <xf numFmtId="0" fontId="13" fillId="0" borderId="4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/>
    </xf>
    <xf numFmtId="164" fontId="28" fillId="0" borderId="46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2" xfId="0" applyFont="1" applyBorder="1" applyAlignment="1">
      <alignment horizontal="center" vertical="center"/>
    </xf>
    <xf numFmtId="165" fontId="28" fillId="0" borderId="4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wrapText="1"/>
    </xf>
    <xf numFmtId="0" fontId="3" fillId="0" borderId="46" xfId="0" applyFont="1" applyBorder="1" applyAlignment="1">
      <alignment horizontal="center" wrapText="1"/>
    </xf>
    <xf numFmtId="0" fontId="3" fillId="0" borderId="49" xfId="0" applyFont="1" applyBorder="1" applyAlignment="1">
      <alignment wrapText="1"/>
    </xf>
    <xf numFmtId="0" fontId="28" fillId="0" borderId="87" xfId="0" applyFont="1" applyBorder="1" applyAlignment="1">
      <alignment horizontal="center" vertical="center" wrapText="1"/>
    </xf>
    <xf numFmtId="0" fontId="6" fillId="0" borderId="53" xfId="0" applyFont="1" applyBorder="1"/>
    <xf numFmtId="0" fontId="29" fillId="0" borderId="31" xfId="0" applyFont="1" applyBorder="1" applyAlignment="1">
      <alignment horizontal="center" wrapText="1"/>
    </xf>
    <xf numFmtId="0" fontId="28" fillId="0" borderId="33" xfId="0" applyFont="1" applyBorder="1" applyAlignment="1">
      <alignment horizontal="center" vertical="center" wrapText="1"/>
    </xf>
    <xf numFmtId="0" fontId="28" fillId="0" borderId="3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33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32</xdr:row>
      <xdr:rowOff>0</xdr:rowOff>
    </xdr:from>
    <xdr:ext cx="25717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56</xdr:row>
      <xdr:rowOff>0</xdr:rowOff>
    </xdr:from>
    <xdr:ext cx="2571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56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56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56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56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56</xdr:row>
      <xdr:rowOff>0</xdr:rowOff>
    </xdr:from>
    <xdr:ext cx="257175" cy="323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56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56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49</xdr:row>
      <xdr:rowOff>0</xdr:rowOff>
    </xdr:from>
    <xdr:ext cx="257175" cy="3238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49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49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49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57175" cy="323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28</xdr:row>
      <xdr:rowOff>0</xdr:rowOff>
    </xdr:from>
    <xdr:ext cx="2571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28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28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28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57175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21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35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173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187</xdr:row>
      <xdr:rowOff>104775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201</xdr:row>
      <xdr:rowOff>104775</xdr:rowOff>
    </xdr:from>
    <xdr:ext cx="1028700" cy="73342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215</xdr:row>
      <xdr:rowOff>104775</xdr:rowOff>
    </xdr:from>
    <xdr:ext cx="1028700" cy="733425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229</xdr:row>
      <xdr:rowOff>104775</xdr:rowOff>
    </xdr:from>
    <xdr:ext cx="1028700" cy="733425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243</xdr:row>
      <xdr:rowOff>104775</xdr:rowOff>
    </xdr:from>
    <xdr:ext cx="1028700" cy="733425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257</xdr:row>
      <xdr:rowOff>104775</xdr:rowOff>
    </xdr:from>
    <xdr:ext cx="1028700" cy="733425"/>
    <xdr:pic>
      <xdr:nvPicPr>
        <xdr:cNvPr id="24" name="image1.png" title="Image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271</xdr:row>
      <xdr:rowOff>104775</xdr:rowOff>
    </xdr:from>
    <xdr:ext cx="1028700" cy="733425"/>
    <xdr:pic>
      <xdr:nvPicPr>
        <xdr:cNvPr id="25" name="image1.png" title="Image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285</xdr:row>
      <xdr:rowOff>104775</xdr:rowOff>
    </xdr:from>
    <xdr:ext cx="1028700" cy="733425"/>
    <xdr:pic>
      <xdr:nvPicPr>
        <xdr:cNvPr id="26" name="image1.png" title="Image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299</xdr:row>
      <xdr:rowOff>104775</xdr:rowOff>
    </xdr:from>
    <xdr:ext cx="1028700" cy="733425"/>
    <xdr:pic>
      <xdr:nvPicPr>
        <xdr:cNvPr id="27" name="image1.png" title="Image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313</xdr:row>
      <xdr:rowOff>104775</xdr:rowOff>
    </xdr:from>
    <xdr:ext cx="1028700" cy="733425"/>
    <xdr:pic>
      <xdr:nvPicPr>
        <xdr:cNvPr id="28" name="image1.png" title="Image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327</xdr:row>
      <xdr:rowOff>104775</xdr:rowOff>
    </xdr:from>
    <xdr:ext cx="1028700" cy="733425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341</xdr:row>
      <xdr:rowOff>104775</xdr:rowOff>
    </xdr:from>
    <xdr:ext cx="1028700" cy="733425"/>
    <xdr:pic>
      <xdr:nvPicPr>
        <xdr:cNvPr id="30" name="image1.png" title="Image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355</xdr:row>
      <xdr:rowOff>104775</xdr:rowOff>
    </xdr:from>
    <xdr:ext cx="1028700" cy="733425"/>
    <xdr:pic>
      <xdr:nvPicPr>
        <xdr:cNvPr id="31" name="image1.png" title="Image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369</xdr:row>
      <xdr:rowOff>104775</xdr:rowOff>
    </xdr:from>
    <xdr:ext cx="1028700" cy="733425"/>
    <xdr:pic>
      <xdr:nvPicPr>
        <xdr:cNvPr id="32" name="image1.png" title="Image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838325" cy="12858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27</xdr:row>
      <xdr:rowOff>371475</xdr:rowOff>
    </xdr:from>
    <xdr:ext cx="1838325" cy="128587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46</xdr:row>
      <xdr:rowOff>238125</xdr:rowOff>
    </xdr:from>
    <xdr:ext cx="1838325" cy="128587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65</xdr:row>
      <xdr:rowOff>219075</xdr:rowOff>
    </xdr:from>
    <xdr:ext cx="1838325" cy="128587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SPECCI&#211;N%20ETIQUET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ECCIÓN ETIQUETAS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69"/>
      <c r="B1" s="250"/>
      <c r="C1" s="270"/>
      <c r="D1" s="269" t="s">
        <v>0</v>
      </c>
      <c r="E1" s="250"/>
      <c r="F1" s="250"/>
      <c r="G1" s="250"/>
      <c r="H1" s="250"/>
      <c r="I1" s="250"/>
      <c r="J1" s="250"/>
      <c r="K1" s="250"/>
      <c r="L1" s="270"/>
      <c r="M1" s="274" t="s">
        <v>1</v>
      </c>
      <c r="N1" s="227"/>
      <c r="O1" s="275" t="s">
        <v>2</v>
      </c>
      <c r="P1" s="233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71"/>
      <c r="B2" s="213"/>
      <c r="C2" s="220"/>
      <c r="D2" s="272"/>
      <c r="E2" s="252"/>
      <c r="F2" s="252"/>
      <c r="G2" s="252"/>
      <c r="H2" s="252"/>
      <c r="I2" s="252"/>
      <c r="J2" s="252"/>
      <c r="K2" s="252"/>
      <c r="L2" s="273"/>
      <c r="M2" s="276" t="s">
        <v>3</v>
      </c>
      <c r="N2" s="273"/>
      <c r="O2" s="277">
        <v>1</v>
      </c>
      <c r="P2" s="268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71"/>
      <c r="B3" s="213"/>
      <c r="C3" s="220"/>
      <c r="D3" s="278" t="s">
        <v>4</v>
      </c>
      <c r="E3" s="250"/>
      <c r="F3" s="250"/>
      <c r="G3" s="250"/>
      <c r="H3" s="250"/>
      <c r="I3" s="250"/>
      <c r="J3" s="250"/>
      <c r="K3" s="250"/>
      <c r="L3" s="270"/>
      <c r="M3" s="276" t="s">
        <v>5</v>
      </c>
      <c r="N3" s="273"/>
      <c r="O3" s="274" t="s">
        <v>6</v>
      </c>
      <c r="P3" s="209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71"/>
      <c r="B4" s="213"/>
      <c r="C4" s="220"/>
      <c r="D4" s="271"/>
      <c r="E4" s="213"/>
      <c r="F4" s="213"/>
      <c r="G4" s="213"/>
      <c r="H4" s="213"/>
      <c r="I4" s="213"/>
      <c r="J4" s="213"/>
      <c r="K4" s="213"/>
      <c r="L4" s="220"/>
      <c r="M4" s="269" t="s">
        <v>7</v>
      </c>
      <c r="N4" s="270"/>
      <c r="O4" s="208" t="s">
        <v>8</v>
      </c>
      <c r="P4" s="209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72"/>
      <c r="B5" s="252"/>
      <c r="C5" s="273"/>
      <c r="D5" s="272"/>
      <c r="E5" s="252"/>
      <c r="F5" s="252"/>
      <c r="G5" s="252"/>
      <c r="H5" s="252"/>
      <c r="I5" s="252"/>
      <c r="J5" s="252"/>
      <c r="K5" s="252"/>
      <c r="L5" s="273"/>
      <c r="M5" s="272"/>
      <c r="N5" s="273"/>
      <c r="O5" s="210" t="s">
        <v>9</v>
      </c>
      <c r="P5" s="209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36" t="s">
        <v>10</v>
      </c>
      <c r="B7" s="226"/>
      <c r="C7" s="226"/>
      <c r="D7" s="226"/>
      <c r="E7" s="227"/>
      <c r="F7" s="279" t="s">
        <v>11</v>
      </c>
      <c r="G7" s="223"/>
      <c r="H7" s="223"/>
      <c r="I7" s="223"/>
      <c r="J7" s="223"/>
      <c r="K7" s="223"/>
      <c r="L7" s="223"/>
      <c r="M7" s="223"/>
      <c r="N7" s="223"/>
      <c r="O7" s="233"/>
      <c r="P7" s="8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36" t="s">
        <v>12</v>
      </c>
      <c r="B8" s="226"/>
      <c r="C8" s="226"/>
      <c r="D8" s="226"/>
      <c r="E8" s="227"/>
      <c r="F8" s="280" t="s">
        <v>13</v>
      </c>
      <c r="G8" s="226"/>
      <c r="H8" s="226"/>
      <c r="I8" s="226"/>
      <c r="J8" s="227"/>
      <c r="K8" s="228" t="s">
        <v>14</v>
      </c>
      <c r="L8" s="227"/>
      <c r="M8" s="225" t="s">
        <v>15</v>
      </c>
      <c r="N8" s="226"/>
      <c r="O8" s="226"/>
      <c r="P8" s="209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36" t="s">
        <v>16</v>
      </c>
      <c r="B9" s="226"/>
      <c r="C9" s="226"/>
      <c r="D9" s="226"/>
      <c r="E9" s="227"/>
      <c r="F9" s="225" t="s">
        <v>17</v>
      </c>
      <c r="G9" s="226"/>
      <c r="H9" s="226"/>
      <c r="I9" s="226"/>
      <c r="J9" s="227"/>
      <c r="K9" s="228" t="s">
        <v>18</v>
      </c>
      <c r="L9" s="227"/>
      <c r="M9" s="281">
        <v>5.5</v>
      </c>
      <c r="N9" s="226"/>
      <c r="O9" s="226"/>
      <c r="P9" s="209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36" t="s">
        <v>19</v>
      </c>
      <c r="B10" s="226"/>
      <c r="C10" s="226"/>
      <c r="D10" s="226"/>
      <c r="E10" s="227"/>
      <c r="F10" s="225" t="s">
        <v>20</v>
      </c>
      <c r="G10" s="226"/>
      <c r="H10" s="226"/>
      <c r="I10" s="226"/>
      <c r="J10" s="226"/>
      <c r="K10" s="226"/>
      <c r="L10" s="226"/>
      <c r="M10" s="226"/>
      <c r="N10" s="226"/>
      <c r="O10" s="226"/>
      <c r="P10" s="209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36" t="s">
        <v>21</v>
      </c>
      <c r="B11" s="226"/>
      <c r="C11" s="226"/>
      <c r="D11" s="226"/>
      <c r="E11" s="227"/>
      <c r="F11" s="282" t="s">
        <v>22</v>
      </c>
      <c r="G11" s="238"/>
      <c r="H11" s="238"/>
      <c r="I11" s="238"/>
      <c r="J11" s="231"/>
      <c r="K11" s="229" t="s">
        <v>23</v>
      </c>
      <c r="L11" s="227"/>
      <c r="M11" s="281"/>
      <c r="N11" s="226"/>
      <c r="O11" s="226"/>
      <c r="P11" s="209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44" t="s">
        <v>24</v>
      </c>
      <c r="B12" s="238"/>
      <c r="C12" s="238"/>
      <c r="D12" s="238"/>
      <c r="E12" s="231"/>
      <c r="F12" s="283" t="s">
        <v>25</v>
      </c>
      <c r="G12" s="214"/>
      <c r="H12" s="214"/>
      <c r="I12" s="214"/>
      <c r="J12" s="284"/>
      <c r="K12" s="230" t="s">
        <v>26</v>
      </c>
      <c r="L12" s="231"/>
      <c r="M12" s="285"/>
      <c r="N12" s="238"/>
      <c r="O12" s="238"/>
      <c r="P12" s="264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86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22" t="s">
        <v>27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3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10" t="s">
        <v>28</v>
      </c>
      <c r="B15" s="274" t="s">
        <v>29</v>
      </c>
      <c r="C15" s="226"/>
      <c r="D15" s="226"/>
      <c r="E15" s="226"/>
      <c r="F15" s="226"/>
      <c r="G15" s="226"/>
      <c r="H15" s="226"/>
      <c r="I15" s="226"/>
      <c r="J15" s="226"/>
      <c r="K15" s="227"/>
      <c r="L15" s="274" t="s">
        <v>30</v>
      </c>
      <c r="M15" s="227"/>
      <c r="N15" s="274" t="s">
        <v>31</v>
      </c>
      <c r="O15" s="226"/>
      <c r="P15" s="20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1">
        <v>1</v>
      </c>
      <c r="B16" s="287" t="s">
        <v>32</v>
      </c>
      <c r="C16" s="226"/>
      <c r="D16" s="226"/>
      <c r="E16" s="226"/>
      <c r="F16" s="226"/>
      <c r="G16" s="226"/>
      <c r="H16" s="226"/>
      <c r="I16" s="226"/>
      <c r="J16" s="226"/>
      <c r="K16" s="227"/>
      <c r="L16" s="274"/>
      <c r="M16" s="227"/>
      <c r="N16" s="274"/>
      <c r="O16" s="226"/>
      <c r="P16" s="20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2">
        <v>2</v>
      </c>
      <c r="B17" s="287" t="s">
        <v>33</v>
      </c>
      <c r="C17" s="226"/>
      <c r="D17" s="226"/>
      <c r="E17" s="226"/>
      <c r="F17" s="226"/>
      <c r="G17" s="226"/>
      <c r="H17" s="226"/>
      <c r="I17" s="226"/>
      <c r="J17" s="226"/>
      <c r="K17" s="227"/>
      <c r="L17" s="274"/>
      <c r="M17" s="227"/>
      <c r="N17" s="274"/>
      <c r="O17" s="226"/>
      <c r="P17" s="209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1">
        <v>3</v>
      </c>
      <c r="B18" s="287" t="s">
        <v>34</v>
      </c>
      <c r="C18" s="226"/>
      <c r="D18" s="226"/>
      <c r="E18" s="226"/>
      <c r="F18" s="226"/>
      <c r="G18" s="226"/>
      <c r="H18" s="226"/>
      <c r="I18" s="226"/>
      <c r="J18" s="226"/>
      <c r="K18" s="227"/>
      <c r="L18" s="274"/>
      <c r="M18" s="227"/>
      <c r="N18" s="274"/>
      <c r="O18" s="226"/>
      <c r="P18" s="20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2">
        <v>4</v>
      </c>
      <c r="B19" s="287" t="s">
        <v>35</v>
      </c>
      <c r="C19" s="226"/>
      <c r="D19" s="226"/>
      <c r="E19" s="226"/>
      <c r="F19" s="226"/>
      <c r="G19" s="226"/>
      <c r="H19" s="226"/>
      <c r="I19" s="226"/>
      <c r="J19" s="226"/>
      <c r="K19" s="227"/>
      <c r="L19" s="274"/>
      <c r="M19" s="227"/>
      <c r="N19" s="274"/>
      <c r="O19" s="226"/>
      <c r="P19" s="209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1">
        <v>5</v>
      </c>
      <c r="B20" s="287" t="s">
        <v>36</v>
      </c>
      <c r="C20" s="226"/>
      <c r="D20" s="226"/>
      <c r="E20" s="226"/>
      <c r="F20" s="226"/>
      <c r="G20" s="226"/>
      <c r="H20" s="226"/>
      <c r="I20" s="226"/>
      <c r="J20" s="226"/>
      <c r="K20" s="227"/>
      <c r="L20" s="274"/>
      <c r="M20" s="227"/>
      <c r="N20" s="274"/>
      <c r="O20" s="226"/>
      <c r="P20" s="209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1">
        <v>6</v>
      </c>
      <c r="B21" s="287" t="s">
        <v>37</v>
      </c>
      <c r="C21" s="226"/>
      <c r="D21" s="226"/>
      <c r="E21" s="226"/>
      <c r="F21" s="226"/>
      <c r="G21" s="226"/>
      <c r="H21" s="226"/>
      <c r="I21" s="226"/>
      <c r="J21" s="226"/>
      <c r="K21" s="227"/>
      <c r="L21" s="274"/>
      <c r="M21" s="227"/>
      <c r="N21" s="274"/>
      <c r="O21" s="226"/>
      <c r="P21" s="209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1">
        <v>7</v>
      </c>
      <c r="B22" s="287" t="s">
        <v>38</v>
      </c>
      <c r="C22" s="226"/>
      <c r="D22" s="226"/>
      <c r="E22" s="226"/>
      <c r="F22" s="226"/>
      <c r="G22" s="226"/>
      <c r="H22" s="226"/>
      <c r="I22" s="226"/>
      <c r="J22" s="226"/>
      <c r="K22" s="227"/>
      <c r="L22" s="274"/>
      <c r="M22" s="227"/>
      <c r="N22" s="274"/>
      <c r="O22" s="226"/>
      <c r="P22" s="209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1">
        <v>8</v>
      </c>
      <c r="B23" s="287" t="s">
        <v>39</v>
      </c>
      <c r="C23" s="226"/>
      <c r="D23" s="226"/>
      <c r="E23" s="226"/>
      <c r="F23" s="226"/>
      <c r="G23" s="226"/>
      <c r="H23" s="226"/>
      <c r="I23" s="226"/>
      <c r="J23" s="226"/>
      <c r="K23" s="227"/>
      <c r="L23" s="274"/>
      <c r="M23" s="227"/>
      <c r="N23" s="274"/>
      <c r="O23" s="226"/>
      <c r="P23" s="209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2">
        <v>9</v>
      </c>
      <c r="B24" s="287" t="s">
        <v>40</v>
      </c>
      <c r="C24" s="226"/>
      <c r="D24" s="226"/>
      <c r="E24" s="226"/>
      <c r="F24" s="226"/>
      <c r="G24" s="226"/>
      <c r="H24" s="226"/>
      <c r="I24" s="226"/>
      <c r="J24" s="226"/>
      <c r="K24" s="227"/>
      <c r="L24" s="274"/>
      <c r="M24" s="227"/>
      <c r="N24" s="274"/>
      <c r="O24" s="226"/>
      <c r="P24" s="209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1">
        <v>10</v>
      </c>
      <c r="B25" s="287" t="s">
        <v>41</v>
      </c>
      <c r="C25" s="226"/>
      <c r="D25" s="226"/>
      <c r="E25" s="226"/>
      <c r="F25" s="226"/>
      <c r="G25" s="226"/>
      <c r="H25" s="226"/>
      <c r="I25" s="226"/>
      <c r="J25" s="226"/>
      <c r="K25" s="227"/>
      <c r="L25" s="274"/>
      <c r="M25" s="227"/>
      <c r="N25" s="274"/>
      <c r="O25" s="226"/>
      <c r="P25" s="209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1">
        <v>11</v>
      </c>
      <c r="B26" s="287" t="s">
        <v>42</v>
      </c>
      <c r="C26" s="226"/>
      <c r="D26" s="226"/>
      <c r="E26" s="226"/>
      <c r="F26" s="226"/>
      <c r="G26" s="226"/>
      <c r="H26" s="226"/>
      <c r="I26" s="226"/>
      <c r="J26" s="226"/>
      <c r="K26" s="227"/>
      <c r="L26" s="274"/>
      <c r="M26" s="227"/>
      <c r="N26" s="274"/>
      <c r="O26" s="226"/>
      <c r="P26" s="209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1">
        <v>12</v>
      </c>
      <c r="B27" s="287" t="s">
        <v>43</v>
      </c>
      <c r="C27" s="226"/>
      <c r="D27" s="226"/>
      <c r="E27" s="226"/>
      <c r="F27" s="226"/>
      <c r="G27" s="226"/>
      <c r="H27" s="226"/>
      <c r="I27" s="226"/>
      <c r="J27" s="226"/>
      <c r="K27" s="227"/>
      <c r="L27" s="274"/>
      <c r="M27" s="227"/>
      <c r="N27" s="274"/>
      <c r="O27" s="226"/>
      <c r="P27" s="209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2">
        <v>13</v>
      </c>
      <c r="B28" s="287" t="s">
        <v>44</v>
      </c>
      <c r="C28" s="226"/>
      <c r="D28" s="226"/>
      <c r="E28" s="226"/>
      <c r="F28" s="226"/>
      <c r="G28" s="226"/>
      <c r="H28" s="226"/>
      <c r="I28" s="226"/>
      <c r="J28" s="226"/>
      <c r="K28" s="227"/>
      <c r="L28" s="274"/>
      <c r="M28" s="227"/>
      <c r="N28" s="274"/>
      <c r="O28" s="226"/>
      <c r="P28" s="209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91" t="s">
        <v>45</v>
      </c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05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92" t="s">
        <v>46</v>
      </c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89"/>
      <c r="B31" s="226"/>
      <c r="C31" s="226"/>
      <c r="D31" s="226"/>
      <c r="E31" s="226"/>
      <c r="F31" s="226"/>
      <c r="G31" s="226"/>
      <c r="H31" s="226"/>
      <c r="I31" s="226"/>
      <c r="J31" s="227"/>
      <c r="K31" s="293"/>
      <c r="L31" s="226"/>
      <c r="M31" s="226"/>
      <c r="N31" s="226"/>
      <c r="O31" s="226"/>
      <c r="P31" s="22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88" t="s">
        <v>47</v>
      </c>
      <c r="B32" s="226"/>
      <c r="C32" s="226"/>
      <c r="D32" s="226"/>
      <c r="E32" s="226"/>
      <c r="F32" s="226"/>
      <c r="G32" s="226"/>
      <c r="H32" s="226"/>
      <c r="I32" s="226"/>
      <c r="J32" s="227"/>
      <c r="K32" s="274" t="s">
        <v>48</v>
      </c>
      <c r="L32" s="226"/>
      <c r="M32" s="226"/>
      <c r="N32" s="226"/>
      <c r="O32" s="226"/>
      <c r="P32" s="227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92" t="s">
        <v>49</v>
      </c>
      <c r="B33" s="226"/>
      <c r="C33" s="226"/>
      <c r="D33" s="226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7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94" t="s">
        <v>50</v>
      </c>
      <c r="B34" s="226"/>
      <c r="C34" s="226"/>
      <c r="D34" s="226"/>
      <c r="E34" s="226"/>
      <c r="F34" s="226"/>
      <c r="G34" s="227"/>
      <c r="H34" s="295"/>
      <c r="I34" s="226"/>
      <c r="J34" s="226"/>
      <c r="K34" s="226"/>
      <c r="L34" s="226"/>
      <c r="M34" s="226"/>
      <c r="N34" s="226"/>
      <c r="O34" s="226"/>
      <c r="P34" s="22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88" t="s">
        <v>51</v>
      </c>
      <c r="B35" s="226"/>
      <c r="C35" s="226"/>
      <c r="D35" s="226"/>
      <c r="E35" s="226"/>
      <c r="F35" s="226"/>
      <c r="G35" s="227"/>
      <c r="H35" s="289"/>
      <c r="I35" s="226"/>
      <c r="J35" s="226"/>
      <c r="K35" s="226"/>
      <c r="L35" s="226"/>
      <c r="M35" s="226"/>
      <c r="N35" s="226"/>
      <c r="O35" s="226"/>
      <c r="P35" s="22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2"/>
      <c r="L36" s="2"/>
      <c r="M36" s="14"/>
      <c r="N36" s="15"/>
      <c r="O36" s="1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90" t="s">
        <v>52</v>
      </c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4"/>
      <c r="N38" s="15"/>
      <c r="O38" s="15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4"/>
      <c r="N39" s="15"/>
      <c r="O39" s="1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4"/>
      <c r="N40" s="15"/>
      <c r="O40" s="1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N16:P16"/>
    <mergeCell ref="B17:K17"/>
    <mergeCell ref="L17:M17"/>
    <mergeCell ref="N17:P17"/>
    <mergeCell ref="B18:K18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F12:J12"/>
    <mergeCell ref="K12:L12"/>
    <mergeCell ref="M12:P12"/>
    <mergeCell ref="A13:P13"/>
    <mergeCell ref="A14:P14"/>
    <mergeCell ref="M9:P9"/>
    <mergeCell ref="F9:J9"/>
    <mergeCell ref="K9:L9"/>
    <mergeCell ref="F10:P10"/>
    <mergeCell ref="F11:J11"/>
    <mergeCell ref="K11:L11"/>
    <mergeCell ref="M11:P11"/>
    <mergeCell ref="F7:O7"/>
    <mergeCell ref="A8:E8"/>
    <mergeCell ref="F8:J8"/>
    <mergeCell ref="K8:L8"/>
    <mergeCell ref="M8:P8"/>
    <mergeCell ref="A9:E9"/>
    <mergeCell ref="A10:E10"/>
    <mergeCell ref="A11:E11"/>
    <mergeCell ref="A12:E12"/>
    <mergeCell ref="A7:E7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04"/>
      <c r="B1" s="211"/>
      <c r="C1" s="307"/>
      <c r="D1" s="309" t="s">
        <v>0</v>
      </c>
      <c r="E1" s="211"/>
      <c r="F1" s="211"/>
      <c r="G1" s="211"/>
      <c r="H1" s="211"/>
      <c r="I1" s="211"/>
      <c r="J1" s="211"/>
      <c r="K1" s="211"/>
      <c r="L1" s="307"/>
      <c r="M1" s="275" t="s">
        <v>1</v>
      </c>
      <c r="N1" s="224"/>
      <c r="O1" s="275" t="s">
        <v>53</v>
      </c>
      <c r="P1" s="233"/>
    </row>
    <row r="2" spans="1:19" ht="15" customHeight="1" x14ac:dyDescent="0.45">
      <c r="A2" s="212"/>
      <c r="B2" s="213"/>
      <c r="C2" s="220"/>
      <c r="D2" s="272"/>
      <c r="E2" s="252"/>
      <c r="F2" s="252"/>
      <c r="G2" s="252"/>
      <c r="H2" s="252"/>
      <c r="I2" s="252"/>
      <c r="J2" s="252"/>
      <c r="K2" s="252"/>
      <c r="L2" s="273"/>
      <c r="M2" s="274" t="s">
        <v>3</v>
      </c>
      <c r="N2" s="227"/>
      <c r="O2" s="310">
        <v>1</v>
      </c>
      <c r="P2" s="209"/>
    </row>
    <row r="3" spans="1:19" ht="15.75" customHeight="1" x14ac:dyDescent="0.45">
      <c r="A3" s="212"/>
      <c r="B3" s="213"/>
      <c r="C3" s="220"/>
      <c r="D3" s="278" t="s">
        <v>54</v>
      </c>
      <c r="E3" s="250"/>
      <c r="F3" s="250"/>
      <c r="G3" s="250"/>
      <c r="H3" s="250"/>
      <c r="I3" s="250"/>
      <c r="J3" s="250"/>
      <c r="K3" s="250"/>
      <c r="L3" s="270"/>
      <c r="M3" s="274" t="s">
        <v>5</v>
      </c>
      <c r="N3" s="227"/>
      <c r="O3" s="274" t="s">
        <v>6</v>
      </c>
      <c r="P3" s="209"/>
      <c r="Q3" s="13"/>
      <c r="R3" s="13"/>
      <c r="S3" s="13"/>
    </row>
    <row r="4" spans="1:19" ht="15.75" customHeight="1" x14ac:dyDescent="0.45">
      <c r="A4" s="212"/>
      <c r="B4" s="213"/>
      <c r="C4" s="220"/>
      <c r="D4" s="271"/>
      <c r="E4" s="213"/>
      <c r="F4" s="213"/>
      <c r="G4" s="213"/>
      <c r="H4" s="213"/>
      <c r="I4" s="213"/>
      <c r="J4" s="213"/>
      <c r="K4" s="213"/>
      <c r="L4" s="220"/>
      <c r="M4" s="311" t="s">
        <v>7</v>
      </c>
      <c r="N4" s="220"/>
      <c r="O4" s="208" t="s">
        <v>8</v>
      </c>
      <c r="P4" s="209"/>
      <c r="Q4" s="13"/>
      <c r="R4" s="13"/>
      <c r="S4" s="13"/>
    </row>
    <row r="5" spans="1:19" ht="15.75" customHeight="1" x14ac:dyDescent="0.45">
      <c r="A5" s="308"/>
      <c r="B5" s="252"/>
      <c r="C5" s="273"/>
      <c r="D5" s="272"/>
      <c r="E5" s="252"/>
      <c r="F5" s="252"/>
      <c r="G5" s="252"/>
      <c r="H5" s="252"/>
      <c r="I5" s="252"/>
      <c r="J5" s="252"/>
      <c r="K5" s="252"/>
      <c r="L5" s="273"/>
      <c r="M5" s="272"/>
      <c r="N5" s="273"/>
      <c r="O5" s="210" t="s">
        <v>9</v>
      </c>
      <c r="P5" s="209"/>
      <c r="Q5" s="13"/>
      <c r="R5" s="13"/>
      <c r="S5" s="13"/>
    </row>
    <row r="6" spans="1:19" ht="12" customHeight="1" x14ac:dyDescent="0.45">
      <c r="A6" s="312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20"/>
      <c r="Q6" s="13"/>
      <c r="R6" s="13"/>
      <c r="S6" s="13"/>
    </row>
    <row r="7" spans="1:19" ht="30" customHeight="1" x14ac:dyDescent="0.45">
      <c r="A7" s="228" t="s">
        <v>10</v>
      </c>
      <c r="B7" s="226"/>
      <c r="C7" s="226"/>
      <c r="D7" s="226"/>
      <c r="E7" s="226"/>
      <c r="F7" s="227"/>
      <c r="G7" s="225" t="str">
        <f>'LISTA CHEQUEO'!F7</f>
        <v>AZ HIBRID CLEAR</v>
      </c>
      <c r="H7" s="226"/>
      <c r="I7" s="226"/>
      <c r="J7" s="226"/>
      <c r="K7" s="226"/>
      <c r="L7" s="226"/>
      <c r="M7" s="226"/>
      <c r="N7" s="226"/>
      <c r="O7" s="226"/>
      <c r="P7" s="209"/>
      <c r="Q7" s="13"/>
      <c r="R7" s="13"/>
      <c r="S7" s="13"/>
    </row>
    <row r="8" spans="1:19" ht="30" customHeight="1" x14ac:dyDescent="0.45">
      <c r="A8" s="313" t="s">
        <v>21</v>
      </c>
      <c r="B8" s="298"/>
      <c r="C8" s="298"/>
      <c r="D8" s="298"/>
      <c r="E8" s="298"/>
      <c r="F8" s="298"/>
      <c r="G8" s="237" t="str">
        <f>'LISTA CHEQUEO'!F11</f>
        <v>EN TRAMITE</v>
      </c>
      <c r="H8" s="238"/>
      <c r="I8" s="238"/>
      <c r="J8" s="238"/>
      <c r="K8" s="231"/>
      <c r="L8" s="314" t="s">
        <v>55</v>
      </c>
      <c r="M8" s="315"/>
      <c r="N8" s="280" t="str">
        <f>'LISTA CHEQUEO'!F8</f>
        <v>252591</v>
      </c>
      <c r="O8" s="226"/>
      <c r="P8" s="227"/>
      <c r="Q8" s="13"/>
      <c r="R8" s="13"/>
      <c r="S8" s="13"/>
    </row>
    <row r="9" spans="1:19" ht="30" customHeight="1" x14ac:dyDescent="0.45">
      <c r="A9" s="316" t="s">
        <v>56</v>
      </c>
      <c r="B9" s="317"/>
      <c r="C9" s="317"/>
      <c r="D9" s="317"/>
      <c r="E9" s="317"/>
      <c r="F9" s="317"/>
      <c r="G9" s="237" t="str">
        <f>'LISTA CHEQUEO'!F12</f>
        <v>SOLUCION</v>
      </c>
      <c r="H9" s="238"/>
      <c r="I9" s="238"/>
      <c r="J9" s="238"/>
      <c r="K9" s="231"/>
      <c r="L9" s="318" t="s">
        <v>57</v>
      </c>
      <c r="M9" s="240"/>
      <c r="N9" s="225" t="str">
        <f>'LISTA CHEQUEO'!M8</f>
        <v>OP-L-127</v>
      </c>
      <c r="O9" s="226"/>
      <c r="P9" s="209"/>
      <c r="Q9" s="13"/>
      <c r="R9" s="13"/>
      <c r="S9" s="13"/>
    </row>
    <row r="10" spans="1:19" ht="30" customHeight="1" x14ac:dyDescent="0.45">
      <c r="A10" s="228" t="s">
        <v>58</v>
      </c>
      <c r="B10" s="226"/>
      <c r="C10" s="226"/>
      <c r="D10" s="226"/>
      <c r="E10" s="226"/>
      <c r="F10" s="227"/>
      <c r="G10" s="319">
        <f>'LISTA CHEQUEO'!M9</f>
        <v>5.5</v>
      </c>
      <c r="H10" s="226"/>
      <c r="I10" s="226"/>
      <c r="J10" s="226"/>
      <c r="K10" s="227"/>
      <c r="L10" s="292" t="s">
        <v>59</v>
      </c>
      <c r="M10" s="227"/>
      <c r="N10" s="320"/>
      <c r="O10" s="226"/>
      <c r="P10" s="227"/>
      <c r="Q10" s="13"/>
      <c r="R10" s="13"/>
      <c r="S10" s="13"/>
    </row>
    <row r="11" spans="1:19" ht="12" customHeight="1" x14ac:dyDescent="0.45">
      <c r="A11" s="294"/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7"/>
      <c r="Q11" s="13"/>
      <c r="R11" s="13"/>
      <c r="S11" s="13"/>
    </row>
    <row r="12" spans="1:19" ht="42.75" customHeight="1" x14ac:dyDescent="0.45">
      <c r="A12" s="297" t="s">
        <v>60</v>
      </c>
      <c r="B12" s="298"/>
      <c r="C12" s="298"/>
      <c r="D12" s="298"/>
      <c r="E12" s="298"/>
      <c r="F12" s="298"/>
      <c r="G12" s="299"/>
      <c r="H12" s="252"/>
      <c r="I12" s="252"/>
      <c r="J12" s="252"/>
      <c r="K12" s="252"/>
      <c r="L12" s="252"/>
      <c r="M12" s="252"/>
      <c r="N12" s="252"/>
      <c r="O12" s="252"/>
      <c r="P12" s="273"/>
      <c r="Q12" s="13"/>
      <c r="R12" s="13"/>
      <c r="S12" s="13"/>
    </row>
    <row r="13" spans="1:19" ht="43.5" customHeight="1" x14ac:dyDescent="0.45">
      <c r="A13" s="229" t="s">
        <v>61</v>
      </c>
      <c r="B13" s="226"/>
      <c r="C13" s="226"/>
      <c r="D13" s="226"/>
      <c r="E13" s="226"/>
      <c r="F13" s="227"/>
      <c r="G13" s="229" t="s">
        <v>62</v>
      </c>
      <c r="H13" s="227"/>
      <c r="I13" s="229" t="s">
        <v>63</v>
      </c>
      <c r="J13" s="227"/>
      <c r="K13" s="229" t="s">
        <v>64</v>
      </c>
      <c r="L13" s="227"/>
      <c r="M13" s="229" t="s">
        <v>65</v>
      </c>
      <c r="N13" s="227"/>
      <c r="O13" s="229" t="s">
        <v>66</v>
      </c>
      <c r="P13" s="227"/>
      <c r="Q13" s="13"/>
      <c r="R13" s="13"/>
      <c r="S13" s="13"/>
    </row>
    <row r="14" spans="1:19" ht="24.75" customHeight="1" x14ac:dyDescent="0.45">
      <c r="A14" s="300" t="s">
        <v>67</v>
      </c>
      <c r="B14" s="226"/>
      <c r="C14" s="226"/>
      <c r="D14" s="226"/>
      <c r="E14" s="226"/>
      <c r="F14" s="227"/>
      <c r="G14" s="296"/>
      <c r="H14" s="227"/>
      <c r="I14" s="296"/>
      <c r="J14" s="227"/>
      <c r="K14" s="296"/>
      <c r="L14" s="227"/>
      <c r="M14" s="296"/>
      <c r="N14" s="227"/>
      <c r="O14" s="296"/>
      <c r="P14" s="227"/>
      <c r="Q14" s="13"/>
      <c r="R14" s="13"/>
      <c r="S14" s="13"/>
    </row>
    <row r="15" spans="1:19" ht="27.75" customHeight="1" x14ac:dyDescent="0.45">
      <c r="A15" s="300" t="s">
        <v>68</v>
      </c>
      <c r="B15" s="226"/>
      <c r="C15" s="226"/>
      <c r="D15" s="226"/>
      <c r="E15" s="226"/>
      <c r="F15" s="227"/>
      <c r="G15" s="303"/>
      <c r="H15" s="227"/>
      <c r="I15" s="303"/>
      <c r="J15" s="227"/>
      <c r="K15" s="303"/>
      <c r="L15" s="227"/>
      <c r="M15" s="303"/>
      <c r="N15" s="227"/>
      <c r="O15" s="303"/>
      <c r="P15" s="227"/>
      <c r="Q15" s="13"/>
      <c r="R15" s="13"/>
      <c r="S15" s="13"/>
    </row>
    <row r="16" spans="1:19" ht="16.5" customHeight="1" x14ac:dyDescent="0.45">
      <c r="A16" s="302" t="s">
        <v>69</v>
      </c>
      <c r="B16" s="250"/>
      <c r="C16" s="250"/>
      <c r="D16" s="250"/>
      <c r="E16" s="250"/>
      <c r="F16" s="270"/>
      <c r="G16" s="17" t="s">
        <v>70</v>
      </c>
      <c r="H16" s="17" t="s">
        <v>71</v>
      </c>
      <c r="I16" s="17" t="s">
        <v>70</v>
      </c>
      <c r="J16" s="17" t="s">
        <v>71</v>
      </c>
      <c r="K16" s="17" t="s">
        <v>70</v>
      </c>
      <c r="L16" s="17" t="s">
        <v>71</v>
      </c>
      <c r="M16" s="17" t="s">
        <v>70</v>
      </c>
      <c r="N16" s="17" t="s">
        <v>71</v>
      </c>
      <c r="O16" s="17" t="s">
        <v>70</v>
      </c>
      <c r="P16" s="17" t="s">
        <v>71</v>
      </c>
      <c r="Q16" s="13"/>
      <c r="R16" s="13"/>
      <c r="S16" s="13"/>
    </row>
    <row r="17" spans="1:19" ht="16.5" customHeight="1" x14ac:dyDescent="0.45">
      <c r="A17" s="271"/>
      <c r="B17" s="213"/>
      <c r="C17" s="213"/>
      <c r="D17" s="213"/>
      <c r="E17" s="213"/>
      <c r="F17" s="220"/>
      <c r="G17" s="18"/>
      <c r="H17" s="18"/>
      <c r="I17" s="18"/>
      <c r="J17" s="18"/>
      <c r="K17" s="18"/>
      <c r="L17" s="18"/>
      <c r="M17" s="19"/>
      <c r="N17" s="19"/>
      <c r="O17" s="19"/>
      <c r="P17" s="19"/>
      <c r="Q17" s="13"/>
      <c r="R17" s="13"/>
      <c r="S17" s="13"/>
    </row>
    <row r="18" spans="1:19" ht="16.5" customHeight="1" x14ac:dyDescent="0.45">
      <c r="A18" s="272"/>
      <c r="B18" s="252"/>
      <c r="C18" s="252"/>
      <c r="D18" s="252"/>
      <c r="E18" s="252"/>
      <c r="F18" s="273"/>
      <c r="G18" s="20" t="s">
        <v>72</v>
      </c>
      <c r="H18" s="20" t="s">
        <v>73</v>
      </c>
      <c r="I18" s="20" t="s">
        <v>72</v>
      </c>
      <c r="J18" s="20" t="s">
        <v>73</v>
      </c>
      <c r="K18" s="20" t="s">
        <v>72</v>
      </c>
      <c r="L18" s="20" t="s">
        <v>73</v>
      </c>
      <c r="M18" s="17" t="s">
        <v>72</v>
      </c>
      <c r="N18" s="17" t="s">
        <v>73</v>
      </c>
      <c r="O18" s="17" t="s">
        <v>72</v>
      </c>
      <c r="P18" s="17" t="s">
        <v>73</v>
      </c>
      <c r="Q18" s="13"/>
      <c r="R18" s="13"/>
      <c r="S18" s="13"/>
    </row>
    <row r="19" spans="1:19" ht="54" customHeight="1" x14ac:dyDescent="0.45">
      <c r="A19" s="301" t="s">
        <v>74</v>
      </c>
      <c r="B19" s="226"/>
      <c r="C19" s="226"/>
      <c r="D19" s="226"/>
      <c r="E19" s="226"/>
      <c r="F19" s="227"/>
      <c r="G19" s="18"/>
      <c r="H19" s="18"/>
      <c r="I19" s="18"/>
      <c r="J19" s="18"/>
      <c r="K19" s="18"/>
      <c r="L19" s="18"/>
      <c r="M19" s="19"/>
      <c r="N19" s="19"/>
      <c r="O19" s="19"/>
      <c r="P19" s="19"/>
      <c r="Q19" s="13"/>
      <c r="R19" s="13"/>
      <c r="S19" s="13"/>
    </row>
    <row r="20" spans="1:19" ht="30.75" customHeight="1" x14ac:dyDescent="0.45">
      <c r="A20" s="301" t="s">
        <v>75</v>
      </c>
      <c r="B20" s="226"/>
      <c r="C20" s="226"/>
      <c r="D20" s="226"/>
      <c r="E20" s="226"/>
      <c r="F20" s="227"/>
      <c r="G20" s="21"/>
      <c r="H20" s="21"/>
      <c r="I20" s="22"/>
      <c r="J20" s="22"/>
      <c r="K20" s="22"/>
      <c r="L20" s="22"/>
      <c r="M20" s="22"/>
      <c r="N20" s="23"/>
      <c r="O20" s="24"/>
      <c r="P20" s="24"/>
      <c r="Q20" s="13"/>
      <c r="R20" s="13"/>
      <c r="S20" s="13"/>
    </row>
    <row r="21" spans="1:19" ht="39" customHeight="1" x14ac:dyDescent="0.45">
      <c r="A21" s="301" t="s">
        <v>76</v>
      </c>
      <c r="B21" s="226"/>
      <c r="C21" s="226"/>
      <c r="D21" s="226"/>
      <c r="E21" s="226"/>
      <c r="F21" s="227"/>
      <c r="G21" s="21"/>
      <c r="H21" s="21"/>
      <c r="I21" s="22"/>
      <c r="J21" s="22"/>
      <c r="K21" s="22"/>
      <c r="L21" s="22"/>
      <c r="M21" s="22"/>
      <c r="N21" s="23"/>
      <c r="O21" s="24"/>
      <c r="P21" s="24"/>
      <c r="Q21" s="13"/>
      <c r="R21" s="13"/>
      <c r="S21" s="13"/>
    </row>
    <row r="22" spans="1:19" ht="36.75" customHeight="1" x14ac:dyDescent="0.45">
      <c r="A22" s="301" t="s">
        <v>77</v>
      </c>
      <c r="B22" s="226"/>
      <c r="C22" s="226"/>
      <c r="D22" s="226"/>
      <c r="E22" s="226"/>
      <c r="F22" s="227"/>
      <c r="G22" s="21"/>
      <c r="H22" s="21"/>
      <c r="I22" s="22"/>
      <c r="J22" s="22"/>
      <c r="K22" s="22"/>
      <c r="L22" s="22"/>
      <c r="M22" s="22"/>
      <c r="N22" s="23"/>
      <c r="O22" s="24"/>
      <c r="P22" s="24"/>
      <c r="Q22" s="13"/>
      <c r="R22" s="13"/>
      <c r="S22" s="13"/>
    </row>
    <row r="23" spans="1:19" ht="45" customHeight="1" x14ac:dyDescent="0.45">
      <c r="A23" s="301" t="s">
        <v>78</v>
      </c>
      <c r="B23" s="226"/>
      <c r="C23" s="226"/>
      <c r="D23" s="226"/>
      <c r="E23" s="226"/>
      <c r="F23" s="227"/>
      <c r="G23" s="21"/>
      <c r="H23" s="21"/>
      <c r="I23" s="22"/>
      <c r="J23" s="22"/>
      <c r="K23" s="22"/>
      <c r="L23" s="22"/>
      <c r="M23" s="22"/>
      <c r="N23" s="23"/>
      <c r="O23" s="24"/>
      <c r="P23" s="24"/>
      <c r="Q23" s="13"/>
      <c r="R23" s="13"/>
      <c r="S23" s="13"/>
    </row>
    <row r="24" spans="1:19" ht="54" customHeight="1" x14ac:dyDescent="0.45">
      <c r="A24" s="301" t="s">
        <v>79</v>
      </c>
      <c r="B24" s="226"/>
      <c r="C24" s="226"/>
      <c r="D24" s="226"/>
      <c r="E24" s="226"/>
      <c r="F24" s="227"/>
      <c r="G24" s="21"/>
      <c r="H24" s="21"/>
      <c r="I24" s="22"/>
      <c r="J24" s="22"/>
      <c r="K24" s="22"/>
      <c r="L24" s="22"/>
      <c r="M24" s="22"/>
      <c r="N24" s="23"/>
      <c r="O24" s="24"/>
      <c r="P24" s="24"/>
      <c r="Q24" s="13"/>
      <c r="R24" s="13"/>
      <c r="S24" s="13"/>
    </row>
    <row r="25" spans="1:19" ht="42" customHeight="1" x14ac:dyDescent="0.45">
      <c r="A25" s="301" t="s">
        <v>80</v>
      </c>
      <c r="B25" s="226"/>
      <c r="C25" s="226"/>
      <c r="D25" s="226"/>
      <c r="E25" s="226"/>
      <c r="F25" s="227"/>
      <c r="G25" s="21"/>
      <c r="H25" s="21"/>
      <c r="I25" s="22"/>
      <c r="J25" s="22"/>
      <c r="K25" s="22"/>
      <c r="L25" s="22"/>
      <c r="M25" s="22"/>
      <c r="N25" s="23"/>
      <c r="O25" s="24"/>
      <c r="P25" s="24"/>
      <c r="Q25" s="13"/>
      <c r="R25" s="13"/>
      <c r="S25" s="13"/>
    </row>
    <row r="26" spans="1:19" ht="57.75" customHeight="1" x14ac:dyDescent="0.45">
      <c r="A26" s="301" t="s">
        <v>81</v>
      </c>
      <c r="B26" s="226"/>
      <c r="C26" s="226"/>
      <c r="D26" s="226"/>
      <c r="E26" s="226"/>
      <c r="F26" s="227"/>
      <c r="G26" s="21"/>
      <c r="H26" s="21"/>
      <c r="I26" s="22"/>
      <c r="J26" s="22"/>
      <c r="K26" s="22"/>
      <c r="L26" s="22"/>
      <c r="M26" s="22"/>
      <c r="N26" s="23"/>
      <c r="O26" s="24"/>
      <c r="P26" s="24"/>
      <c r="Q26" s="13"/>
      <c r="R26" s="13"/>
      <c r="S26" s="13"/>
    </row>
    <row r="27" spans="1:19" ht="37.5" customHeight="1" x14ac:dyDescent="0.45">
      <c r="A27" s="301" t="s">
        <v>82</v>
      </c>
      <c r="B27" s="226"/>
      <c r="C27" s="226"/>
      <c r="D27" s="226"/>
      <c r="E27" s="226"/>
      <c r="F27" s="227"/>
      <c r="G27" s="21"/>
      <c r="H27" s="21"/>
      <c r="I27" s="22"/>
      <c r="J27" s="22"/>
      <c r="K27" s="22"/>
      <c r="L27" s="22"/>
      <c r="M27" s="22"/>
      <c r="N27" s="23"/>
      <c r="O27" s="24"/>
      <c r="P27" s="24"/>
      <c r="Q27" s="13"/>
      <c r="R27" s="13"/>
      <c r="S27" s="13"/>
    </row>
    <row r="28" spans="1:19" ht="41.25" customHeight="1" x14ac:dyDescent="0.45">
      <c r="A28" s="301" t="s">
        <v>83</v>
      </c>
      <c r="B28" s="226"/>
      <c r="C28" s="226"/>
      <c r="D28" s="226"/>
      <c r="E28" s="226"/>
      <c r="F28" s="227"/>
      <c r="G28" s="21"/>
      <c r="H28" s="21"/>
      <c r="I28" s="22"/>
      <c r="J28" s="22"/>
      <c r="K28" s="22"/>
      <c r="L28" s="22"/>
      <c r="M28" s="22"/>
      <c r="N28" s="23"/>
      <c r="O28" s="24"/>
      <c r="P28" s="24"/>
      <c r="Q28" s="13"/>
      <c r="R28" s="13"/>
      <c r="S28" s="13"/>
    </row>
    <row r="29" spans="1:19" ht="49.5" customHeight="1" x14ac:dyDescent="0.45">
      <c r="A29" s="301" t="s">
        <v>84</v>
      </c>
      <c r="B29" s="226"/>
      <c r="C29" s="226"/>
      <c r="D29" s="226"/>
      <c r="E29" s="226"/>
      <c r="F29" s="227"/>
      <c r="G29" s="21"/>
      <c r="H29" s="21"/>
      <c r="I29" s="22"/>
      <c r="J29" s="22"/>
      <c r="K29" s="22"/>
      <c r="L29" s="22"/>
      <c r="M29" s="22"/>
      <c r="N29" s="23"/>
      <c r="O29" s="24"/>
      <c r="P29" s="24"/>
      <c r="Q29" s="13"/>
      <c r="R29" s="13"/>
      <c r="S29" s="13"/>
    </row>
    <row r="30" spans="1:19" ht="27" customHeight="1" x14ac:dyDescent="0.45">
      <c r="A30" s="301" t="s">
        <v>85</v>
      </c>
      <c r="B30" s="226"/>
      <c r="C30" s="226"/>
      <c r="D30" s="226"/>
      <c r="E30" s="226"/>
      <c r="F30" s="227"/>
      <c r="G30" s="21"/>
      <c r="H30" s="21"/>
      <c r="I30" s="22"/>
      <c r="J30" s="22"/>
      <c r="K30" s="22"/>
      <c r="L30" s="22"/>
      <c r="M30" s="22"/>
      <c r="N30" s="23"/>
      <c r="O30" s="24"/>
      <c r="P30" s="24"/>
      <c r="Q30" s="13"/>
      <c r="R30" s="13"/>
      <c r="S30" s="13"/>
    </row>
    <row r="31" spans="1:19" ht="21.75" customHeight="1" x14ac:dyDescent="0.45">
      <c r="A31" s="288" t="s">
        <v>86</v>
      </c>
      <c r="B31" s="226"/>
      <c r="C31" s="226"/>
      <c r="D31" s="226"/>
      <c r="E31" s="226"/>
      <c r="F31" s="227"/>
      <c r="G31" s="295"/>
      <c r="H31" s="227"/>
      <c r="I31" s="295"/>
      <c r="J31" s="227"/>
      <c r="K31" s="295"/>
      <c r="L31" s="227"/>
      <c r="M31" s="295"/>
      <c r="N31" s="227"/>
      <c r="O31" s="295"/>
      <c r="P31" s="227"/>
      <c r="Q31" s="13"/>
      <c r="R31" s="13"/>
      <c r="S31" s="13"/>
    </row>
    <row r="32" spans="1:19" ht="21" customHeight="1" x14ac:dyDescent="0.45">
      <c r="A32" s="294" t="s">
        <v>87</v>
      </c>
      <c r="B32" s="226"/>
      <c r="C32" s="226"/>
      <c r="D32" s="226"/>
      <c r="E32" s="226"/>
      <c r="F32" s="227"/>
      <c r="G32" s="295"/>
      <c r="H32" s="227"/>
      <c r="I32" s="295"/>
      <c r="J32" s="227"/>
      <c r="K32" s="295"/>
      <c r="L32" s="227"/>
      <c r="M32" s="295"/>
      <c r="N32" s="227"/>
      <c r="O32" s="295"/>
      <c r="P32" s="227"/>
      <c r="Q32" s="13"/>
      <c r="R32" s="13"/>
      <c r="S32" s="13"/>
    </row>
    <row r="33" spans="1:19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4"/>
      <c r="N33" s="15"/>
      <c r="O33" s="15"/>
      <c r="P33" s="2"/>
      <c r="Q33" s="13"/>
      <c r="R33" s="13"/>
      <c r="S33" s="13"/>
    </row>
    <row r="34" spans="1:19" ht="42" customHeight="1" x14ac:dyDescent="0.45">
      <c r="A34" s="306" t="s">
        <v>45</v>
      </c>
      <c r="B34" s="250"/>
      <c r="C34" s="250"/>
      <c r="D34" s="250"/>
      <c r="E34" s="250"/>
      <c r="F34" s="270"/>
      <c r="G34" s="304"/>
      <c r="H34" s="250"/>
      <c r="I34" s="250"/>
      <c r="J34" s="250"/>
      <c r="K34" s="250"/>
      <c r="L34" s="250"/>
      <c r="M34" s="250"/>
      <c r="N34" s="250"/>
      <c r="O34" s="250"/>
      <c r="P34" s="270"/>
      <c r="Q34" s="13"/>
      <c r="R34" s="13"/>
      <c r="S34" s="13"/>
    </row>
    <row r="35" spans="1:19" ht="45.75" customHeight="1" x14ac:dyDescent="0.45">
      <c r="A35" s="271"/>
      <c r="B35" s="213"/>
      <c r="C35" s="213"/>
      <c r="D35" s="213"/>
      <c r="E35" s="213"/>
      <c r="F35" s="220"/>
      <c r="G35" s="271"/>
      <c r="H35" s="213"/>
      <c r="I35" s="213"/>
      <c r="J35" s="213"/>
      <c r="K35" s="213"/>
      <c r="L35" s="213"/>
      <c r="M35" s="213"/>
      <c r="N35" s="213"/>
      <c r="O35" s="213"/>
      <c r="P35" s="220"/>
      <c r="Q35" s="13"/>
      <c r="R35" s="13"/>
      <c r="S35" s="13"/>
    </row>
    <row r="36" spans="1:19" ht="15.75" customHeight="1" x14ac:dyDescent="0.45">
      <c r="A36" s="272"/>
      <c r="B36" s="252"/>
      <c r="C36" s="252"/>
      <c r="D36" s="252"/>
      <c r="E36" s="252"/>
      <c r="F36" s="273"/>
      <c r="G36" s="272"/>
      <c r="H36" s="252"/>
      <c r="I36" s="252"/>
      <c r="J36" s="252"/>
      <c r="K36" s="252"/>
      <c r="L36" s="252"/>
      <c r="M36" s="252"/>
      <c r="N36" s="252"/>
      <c r="O36" s="252"/>
      <c r="P36" s="273"/>
      <c r="Q36" s="13"/>
      <c r="R36" s="13"/>
      <c r="S36" s="13"/>
    </row>
    <row r="37" spans="1:19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5"/>
      <c r="O37" s="15"/>
      <c r="P37" s="2"/>
      <c r="Q37" s="13"/>
      <c r="R37" s="13"/>
      <c r="S37" s="13"/>
    </row>
    <row r="38" spans="1:19" ht="15.75" customHeight="1" x14ac:dyDescent="0.45">
      <c r="A38" s="305" t="s">
        <v>88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13"/>
      <c r="R38" s="13"/>
      <c r="S38" s="13"/>
    </row>
    <row r="39" spans="1:19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A9:F9"/>
    <mergeCell ref="G9:K9"/>
    <mergeCell ref="L9:M9"/>
    <mergeCell ref="N9:P9"/>
    <mergeCell ref="G10:K10"/>
    <mergeCell ref="L10:M10"/>
    <mergeCell ref="N10:P10"/>
    <mergeCell ref="A6:P6"/>
    <mergeCell ref="A7:F7"/>
    <mergeCell ref="G7:P7"/>
    <mergeCell ref="A8:F8"/>
    <mergeCell ref="G8:K8"/>
    <mergeCell ref="L8:M8"/>
    <mergeCell ref="N8:P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G15:H15"/>
    <mergeCell ref="I15:J15"/>
    <mergeCell ref="K15:L15"/>
    <mergeCell ref="M15:N15"/>
    <mergeCell ref="O15:P15"/>
    <mergeCell ref="A19:F19"/>
    <mergeCell ref="A20:F20"/>
    <mergeCell ref="A21:F21"/>
    <mergeCell ref="A22:F22"/>
    <mergeCell ref="A15:F15"/>
    <mergeCell ref="A16:F18"/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7"/>
  <sheetViews>
    <sheetView tabSelected="1" topLeftCell="A36" workbookViewId="0">
      <selection activeCell="A14" sqref="A14:P42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21.53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  <col min="18" max="18" width="18.265625" customWidth="1"/>
  </cols>
  <sheetData>
    <row r="1" spans="1:22" ht="15" customHeight="1" x14ac:dyDescent="0.45">
      <c r="A1" s="204" t="s">
        <v>89</v>
      </c>
      <c r="B1" s="211"/>
      <c r="C1" s="205"/>
      <c r="D1" s="204" t="s">
        <v>0</v>
      </c>
      <c r="E1" s="211"/>
      <c r="F1" s="211"/>
      <c r="G1" s="211"/>
      <c r="H1" s="211"/>
      <c r="I1" s="211"/>
      <c r="J1" s="211"/>
      <c r="K1" s="211"/>
      <c r="L1" s="205"/>
      <c r="M1" s="215" t="s">
        <v>1</v>
      </c>
      <c r="N1" s="216"/>
      <c r="O1" s="215" t="s">
        <v>90</v>
      </c>
      <c r="P1" s="203"/>
    </row>
    <row r="2" spans="1:22" ht="15" customHeight="1" x14ac:dyDescent="0.45">
      <c r="A2" s="212"/>
      <c r="B2" s="213"/>
      <c r="C2" s="201"/>
      <c r="D2" s="206"/>
      <c r="E2" s="214"/>
      <c r="F2" s="214"/>
      <c r="G2" s="214"/>
      <c r="H2" s="214"/>
      <c r="I2" s="214"/>
      <c r="J2" s="214"/>
      <c r="K2" s="214"/>
      <c r="L2" s="207"/>
      <c r="M2" s="215" t="s">
        <v>3</v>
      </c>
      <c r="N2" s="203"/>
      <c r="O2" s="217">
        <v>1</v>
      </c>
      <c r="P2" s="201"/>
    </row>
    <row r="3" spans="1:22" ht="15.75" customHeight="1" x14ac:dyDescent="0.45">
      <c r="A3" s="212"/>
      <c r="B3" s="213"/>
      <c r="C3" s="201"/>
      <c r="D3" s="218" t="s">
        <v>91</v>
      </c>
      <c r="E3" s="213"/>
      <c r="F3" s="213"/>
      <c r="G3" s="213"/>
      <c r="H3" s="213"/>
      <c r="I3" s="213"/>
      <c r="J3" s="213"/>
      <c r="K3" s="213"/>
      <c r="L3" s="201"/>
      <c r="M3" s="200" t="s">
        <v>5</v>
      </c>
      <c r="N3" s="201"/>
      <c r="O3" s="202" t="s">
        <v>6</v>
      </c>
      <c r="P3" s="203"/>
      <c r="Q3" s="13"/>
    </row>
    <row r="4" spans="1:22" ht="15.75" customHeight="1" x14ac:dyDescent="0.45">
      <c r="A4" s="212"/>
      <c r="B4" s="213"/>
      <c r="C4" s="201"/>
      <c r="D4" s="213"/>
      <c r="E4" s="213"/>
      <c r="F4" s="213"/>
      <c r="G4" s="213"/>
      <c r="H4" s="213"/>
      <c r="I4" s="213"/>
      <c r="J4" s="213"/>
      <c r="K4" s="213"/>
      <c r="L4" s="201"/>
      <c r="M4" s="204" t="s">
        <v>7</v>
      </c>
      <c r="N4" s="205"/>
      <c r="O4" s="208" t="s">
        <v>8</v>
      </c>
      <c r="P4" s="209"/>
      <c r="Q4" s="13"/>
    </row>
    <row r="5" spans="1:22" ht="15.75" customHeight="1" x14ac:dyDescent="0.45">
      <c r="A5" s="206"/>
      <c r="B5" s="214"/>
      <c r="C5" s="207"/>
      <c r="D5" s="214"/>
      <c r="E5" s="214"/>
      <c r="F5" s="214"/>
      <c r="G5" s="214"/>
      <c r="H5" s="214"/>
      <c r="I5" s="214"/>
      <c r="J5" s="214"/>
      <c r="K5" s="214"/>
      <c r="L5" s="207"/>
      <c r="M5" s="206"/>
      <c r="N5" s="207"/>
      <c r="O5" s="210" t="s">
        <v>9</v>
      </c>
      <c r="P5" s="209"/>
      <c r="Q5" s="13"/>
    </row>
    <row r="6" spans="1:22" ht="12" customHeight="1" x14ac:dyDescent="0.45">
      <c r="A6" s="219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20"/>
      <c r="Q6" s="13"/>
    </row>
    <row r="7" spans="1:22" ht="26.25" customHeight="1" x14ac:dyDescent="0.45">
      <c r="A7" s="221" t="s">
        <v>92</v>
      </c>
      <c r="B7" s="211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05"/>
      <c r="Q7" s="13"/>
    </row>
    <row r="8" spans="1:22" ht="26.25" customHeight="1" x14ac:dyDescent="0.45">
      <c r="A8" s="206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07"/>
      <c r="Q8" s="13"/>
    </row>
    <row r="9" spans="1:22" ht="36" customHeight="1" x14ac:dyDescent="0.45">
      <c r="A9" s="222" t="s">
        <v>10</v>
      </c>
      <c r="B9" s="223"/>
      <c r="C9" s="223"/>
      <c r="D9" s="223"/>
      <c r="E9" s="223"/>
      <c r="F9" s="224"/>
      <c r="G9" s="225" t="str">
        <f>'DESPEJE DE LINEA'!G7</f>
        <v>AZ HIBRID CLEAR</v>
      </c>
      <c r="H9" s="226"/>
      <c r="I9" s="226"/>
      <c r="J9" s="226"/>
      <c r="K9" s="226"/>
      <c r="L9" s="226"/>
      <c r="M9" s="226"/>
      <c r="N9" s="226"/>
      <c r="O9" s="226"/>
      <c r="P9" s="209"/>
      <c r="Q9" s="13"/>
    </row>
    <row r="10" spans="1:22" ht="36" customHeight="1" x14ac:dyDescent="0.45">
      <c r="A10" s="236" t="s">
        <v>21</v>
      </c>
      <c r="B10" s="226"/>
      <c r="C10" s="226"/>
      <c r="D10" s="226"/>
      <c r="E10" s="226"/>
      <c r="F10" s="227"/>
      <c r="G10" s="225" t="str">
        <f>'DESPEJE DE LINEA'!G8</f>
        <v>EN TRAMITE</v>
      </c>
      <c r="H10" s="226"/>
      <c r="I10" s="226"/>
      <c r="J10" s="227"/>
      <c r="K10" s="228" t="s">
        <v>55</v>
      </c>
      <c r="L10" s="227"/>
      <c r="M10" s="28" t="str">
        <f>'DESPEJE DE LINEA'!N8</f>
        <v>252591</v>
      </c>
      <c r="N10" s="229" t="s">
        <v>59</v>
      </c>
      <c r="O10" s="227"/>
      <c r="P10" s="29"/>
      <c r="Q10" s="13"/>
    </row>
    <row r="11" spans="1:22" ht="36" customHeight="1" x14ac:dyDescent="0.45">
      <c r="A11" s="236" t="s">
        <v>56</v>
      </c>
      <c r="B11" s="226"/>
      <c r="C11" s="226"/>
      <c r="D11" s="226"/>
      <c r="E11" s="226"/>
      <c r="F11" s="227"/>
      <c r="G11" s="237" t="str">
        <f>'DESPEJE DE LINEA'!G9</f>
        <v>SOLUCION</v>
      </c>
      <c r="H11" s="238"/>
      <c r="I11" s="238"/>
      <c r="J11" s="231"/>
      <c r="K11" s="239" t="s">
        <v>93</v>
      </c>
      <c r="L11" s="240"/>
      <c r="M11" s="30" t="str">
        <f>'DESPEJE DE LINEA'!N9</f>
        <v>OP-L-127</v>
      </c>
      <c r="N11" s="229" t="s">
        <v>94</v>
      </c>
      <c r="O11" s="227"/>
      <c r="P11" s="31"/>
      <c r="Q11" s="13"/>
    </row>
    <row r="12" spans="1:22" ht="36" customHeight="1" x14ac:dyDescent="0.45">
      <c r="A12" s="244" t="s">
        <v>95</v>
      </c>
      <c r="B12" s="238"/>
      <c r="C12" s="238"/>
      <c r="D12" s="238"/>
      <c r="E12" s="238"/>
      <c r="F12" s="231"/>
      <c r="G12" s="241"/>
      <c r="H12" s="238"/>
      <c r="I12" s="238"/>
      <c r="J12" s="231"/>
      <c r="K12" s="230" t="s">
        <v>96</v>
      </c>
      <c r="L12" s="231"/>
      <c r="M12" s="32"/>
      <c r="N12" s="230" t="s">
        <v>58</v>
      </c>
      <c r="O12" s="231"/>
      <c r="P12" s="33">
        <v>36</v>
      </c>
      <c r="Q12" s="13"/>
    </row>
    <row r="13" spans="1:22" ht="12" customHeight="1" x14ac:dyDescent="0.45">
      <c r="A13" s="242"/>
      <c r="B13" s="243"/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13"/>
    </row>
    <row r="14" spans="1:22" ht="42.75" customHeight="1" x14ac:dyDescent="0.45">
      <c r="A14" s="34" t="s">
        <v>97</v>
      </c>
      <c r="B14" s="232" t="s">
        <v>98</v>
      </c>
      <c r="C14" s="223"/>
      <c r="D14" s="223"/>
      <c r="E14" s="223"/>
      <c r="F14" s="224"/>
      <c r="G14" s="232" t="s">
        <v>99</v>
      </c>
      <c r="H14" s="223"/>
      <c r="I14" s="224"/>
      <c r="J14" s="232" t="s">
        <v>12</v>
      </c>
      <c r="K14" s="223"/>
      <c r="L14" s="224"/>
      <c r="M14" s="35" t="s">
        <v>100</v>
      </c>
      <c r="N14" s="232" t="s">
        <v>101</v>
      </c>
      <c r="O14" s="223"/>
      <c r="P14" s="233"/>
      <c r="Q14" s="13"/>
    </row>
    <row r="15" spans="1:22" ht="16.5" customHeight="1" x14ac:dyDescent="0.45">
      <c r="A15" s="36">
        <v>1</v>
      </c>
      <c r="B15" s="245" t="s">
        <v>102</v>
      </c>
      <c r="C15" s="226"/>
      <c r="D15" s="226"/>
      <c r="E15" s="226"/>
      <c r="F15" s="227"/>
      <c r="G15" s="246" t="s">
        <v>103</v>
      </c>
      <c r="H15" s="226"/>
      <c r="I15" s="227"/>
      <c r="J15" s="246">
        <v>20250915</v>
      </c>
      <c r="K15" s="226"/>
      <c r="L15" s="227"/>
      <c r="M15" s="37">
        <v>47.77</v>
      </c>
      <c r="N15" s="234">
        <f t="shared" ref="N15:N41" si="0">(+$P$12*M15/100)*1000</f>
        <v>17197.199999999997</v>
      </c>
      <c r="O15" s="226"/>
      <c r="P15" s="209"/>
      <c r="Q15" s="13"/>
      <c r="R15" s="235"/>
      <c r="S15" s="213"/>
      <c r="T15" s="213"/>
      <c r="U15" s="16"/>
      <c r="V15" s="16"/>
    </row>
    <row r="16" spans="1:22" ht="16.5" customHeight="1" x14ac:dyDescent="0.45">
      <c r="A16" s="36">
        <v>2</v>
      </c>
      <c r="B16" s="245" t="s">
        <v>104</v>
      </c>
      <c r="C16" s="226"/>
      <c r="D16" s="226"/>
      <c r="E16" s="226"/>
      <c r="F16" s="227"/>
      <c r="G16" s="246" t="s">
        <v>105</v>
      </c>
      <c r="H16" s="226"/>
      <c r="I16" s="227"/>
      <c r="J16" s="246">
        <v>214016</v>
      </c>
      <c r="K16" s="226"/>
      <c r="L16" s="227"/>
      <c r="M16" s="37">
        <v>0.2</v>
      </c>
      <c r="N16" s="234">
        <f t="shared" si="0"/>
        <v>72.000000000000014</v>
      </c>
      <c r="O16" s="226"/>
      <c r="P16" s="209"/>
      <c r="Q16" s="13"/>
      <c r="R16" s="235"/>
      <c r="S16" s="213"/>
      <c r="T16" s="213"/>
      <c r="U16" s="16"/>
      <c r="V16" s="16"/>
    </row>
    <row r="17" spans="1:22" ht="16.5" customHeight="1" x14ac:dyDescent="0.45">
      <c r="A17" s="36">
        <v>3</v>
      </c>
      <c r="B17" s="245" t="s">
        <v>106</v>
      </c>
      <c r="C17" s="226"/>
      <c r="D17" s="226"/>
      <c r="E17" s="226"/>
      <c r="F17" s="227"/>
      <c r="G17" s="246" t="s">
        <v>107</v>
      </c>
      <c r="H17" s="226"/>
      <c r="I17" s="227"/>
      <c r="J17" s="246">
        <v>520241101004</v>
      </c>
      <c r="K17" s="226"/>
      <c r="L17" s="227"/>
      <c r="M17" s="37">
        <v>0.1</v>
      </c>
      <c r="N17" s="234">
        <f t="shared" si="0"/>
        <v>36.000000000000007</v>
      </c>
      <c r="O17" s="226"/>
      <c r="P17" s="209"/>
      <c r="Q17" s="13"/>
      <c r="R17" s="235"/>
      <c r="S17" s="213"/>
      <c r="T17" s="213"/>
      <c r="U17" s="16"/>
      <c r="V17" s="16"/>
    </row>
    <row r="18" spans="1:22" ht="16.5" customHeight="1" x14ac:dyDescent="0.45">
      <c r="A18" s="36">
        <v>4</v>
      </c>
      <c r="B18" s="247" t="s">
        <v>108</v>
      </c>
      <c r="C18" s="226"/>
      <c r="D18" s="226"/>
      <c r="E18" s="226"/>
      <c r="F18" s="227"/>
      <c r="G18" s="246" t="s">
        <v>109</v>
      </c>
      <c r="H18" s="226"/>
      <c r="I18" s="227"/>
      <c r="J18" s="246">
        <v>20240815</v>
      </c>
      <c r="K18" s="226"/>
      <c r="L18" s="227"/>
      <c r="M18" s="37">
        <v>0.05</v>
      </c>
      <c r="N18" s="234">
        <f t="shared" si="0"/>
        <v>18.000000000000004</v>
      </c>
      <c r="O18" s="226"/>
      <c r="P18" s="209"/>
      <c r="Q18" s="13"/>
      <c r="R18" s="235"/>
      <c r="S18" s="213"/>
      <c r="T18" s="213"/>
      <c r="U18" s="16"/>
      <c r="V18" s="16"/>
    </row>
    <row r="19" spans="1:22" ht="16.5" customHeight="1" x14ac:dyDescent="0.45">
      <c r="A19" s="36">
        <v>5</v>
      </c>
      <c r="B19" s="247" t="s">
        <v>110</v>
      </c>
      <c r="C19" s="226"/>
      <c r="D19" s="226"/>
      <c r="E19" s="226"/>
      <c r="F19" s="227"/>
      <c r="G19" s="246" t="s">
        <v>111</v>
      </c>
      <c r="H19" s="226"/>
      <c r="I19" s="227"/>
      <c r="J19" s="246" t="s">
        <v>112</v>
      </c>
      <c r="K19" s="226"/>
      <c r="L19" s="227"/>
      <c r="M19" s="37">
        <v>1.25</v>
      </c>
      <c r="N19" s="234">
        <f t="shared" si="0"/>
        <v>450</v>
      </c>
      <c r="O19" s="226"/>
      <c r="P19" s="209"/>
      <c r="Q19" s="13"/>
      <c r="R19" s="235"/>
      <c r="S19" s="213"/>
      <c r="T19" s="213"/>
      <c r="U19" s="16"/>
      <c r="V19" s="16"/>
    </row>
    <row r="20" spans="1:22" ht="15" customHeight="1" x14ac:dyDescent="0.45">
      <c r="A20" s="36">
        <v>6</v>
      </c>
      <c r="B20" s="247" t="s">
        <v>113</v>
      </c>
      <c r="C20" s="226"/>
      <c r="D20" s="226"/>
      <c r="E20" s="226"/>
      <c r="F20" s="227"/>
      <c r="G20" s="246" t="s">
        <v>114</v>
      </c>
      <c r="H20" s="226"/>
      <c r="I20" s="227"/>
      <c r="J20" s="246" t="s">
        <v>115</v>
      </c>
      <c r="K20" s="226"/>
      <c r="L20" s="227"/>
      <c r="M20" s="37">
        <v>20</v>
      </c>
      <c r="N20" s="234">
        <f t="shared" si="0"/>
        <v>7200</v>
      </c>
      <c r="O20" s="226"/>
      <c r="P20" s="209"/>
      <c r="Q20" s="13"/>
      <c r="R20" s="235"/>
      <c r="S20" s="213"/>
      <c r="T20" s="213"/>
      <c r="U20" s="16"/>
      <c r="V20" s="16"/>
    </row>
    <row r="21" spans="1:22" ht="15" customHeight="1" x14ac:dyDescent="0.45">
      <c r="A21" s="36">
        <v>7</v>
      </c>
      <c r="B21" s="247" t="s">
        <v>116</v>
      </c>
      <c r="C21" s="226"/>
      <c r="D21" s="226"/>
      <c r="E21" s="226"/>
      <c r="F21" s="227"/>
      <c r="G21" s="246" t="s">
        <v>117</v>
      </c>
      <c r="H21" s="226"/>
      <c r="I21" s="227"/>
      <c r="J21" s="246" t="s">
        <v>118</v>
      </c>
      <c r="K21" s="226"/>
      <c r="L21" s="227"/>
      <c r="M21" s="37">
        <v>0.5</v>
      </c>
      <c r="N21" s="234">
        <f t="shared" si="0"/>
        <v>180</v>
      </c>
      <c r="O21" s="226"/>
      <c r="P21" s="209"/>
      <c r="Q21" s="13"/>
      <c r="R21" s="235"/>
      <c r="S21" s="213"/>
      <c r="T21" s="213"/>
      <c r="U21" s="16"/>
      <c r="V21" s="16"/>
    </row>
    <row r="22" spans="1:22" ht="15" customHeight="1" x14ac:dyDescent="0.45">
      <c r="A22" s="36">
        <v>8</v>
      </c>
      <c r="B22" s="247" t="s">
        <v>119</v>
      </c>
      <c r="C22" s="226"/>
      <c r="D22" s="226"/>
      <c r="E22" s="226"/>
      <c r="F22" s="227"/>
      <c r="G22" s="246" t="s">
        <v>120</v>
      </c>
      <c r="H22" s="226"/>
      <c r="I22" s="227"/>
      <c r="J22" s="246" t="s">
        <v>121</v>
      </c>
      <c r="K22" s="226"/>
      <c r="L22" s="227"/>
      <c r="M22" s="37">
        <v>6</v>
      </c>
      <c r="N22" s="234">
        <f t="shared" si="0"/>
        <v>2160</v>
      </c>
      <c r="O22" s="226"/>
      <c r="P22" s="209"/>
      <c r="Q22" s="13"/>
      <c r="R22" s="235"/>
      <c r="S22" s="213"/>
      <c r="T22" s="213"/>
      <c r="U22" s="16"/>
      <c r="V22" s="16"/>
    </row>
    <row r="23" spans="1:22" ht="15" customHeight="1" x14ac:dyDescent="0.45">
      <c r="A23" s="36">
        <v>9</v>
      </c>
      <c r="B23" s="247" t="s">
        <v>122</v>
      </c>
      <c r="C23" s="226"/>
      <c r="D23" s="226"/>
      <c r="E23" s="226"/>
      <c r="F23" s="227"/>
      <c r="G23" s="246" t="s">
        <v>123</v>
      </c>
      <c r="H23" s="226"/>
      <c r="I23" s="227"/>
      <c r="J23" s="246">
        <v>77480528</v>
      </c>
      <c r="K23" s="226"/>
      <c r="L23" s="227"/>
      <c r="M23" s="37">
        <v>0.95</v>
      </c>
      <c r="N23" s="234">
        <f t="shared" si="0"/>
        <v>341.99999999999994</v>
      </c>
      <c r="O23" s="226"/>
      <c r="P23" s="209"/>
      <c r="Q23" s="13"/>
      <c r="R23" s="235"/>
      <c r="S23" s="213"/>
      <c r="T23" s="213"/>
      <c r="U23" s="16"/>
      <c r="V23" s="16"/>
    </row>
    <row r="24" spans="1:22" ht="15" customHeight="1" x14ac:dyDescent="0.45">
      <c r="A24" s="36">
        <v>10</v>
      </c>
      <c r="B24" s="247" t="s">
        <v>124</v>
      </c>
      <c r="C24" s="226"/>
      <c r="D24" s="226"/>
      <c r="E24" s="226"/>
      <c r="F24" s="227"/>
      <c r="G24" s="246" t="s">
        <v>125</v>
      </c>
      <c r="H24" s="226"/>
      <c r="I24" s="227"/>
      <c r="J24" s="246" t="s">
        <v>126</v>
      </c>
      <c r="K24" s="226"/>
      <c r="L24" s="227"/>
      <c r="M24" s="37">
        <v>5</v>
      </c>
      <c r="N24" s="234">
        <f t="shared" si="0"/>
        <v>1800</v>
      </c>
      <c r="O24" s="226"/>
      <c r="P24" s="209"/>
      <c r="Q24" s="13"/>
      <c r="R24" s="235"/>
      <c r="S24" s="213"/>
      <c r="T24" s="213"/>
      <c r="U24" s="16"/>
      <c r="V24" s="16"/>
    </row>
    <row r="25" spans="1:22" ht="15" customHeight="1" x14ac:dyDescent="0.45">
      <c r="A25" s="36">
        <v>11</v>
      </c>
      <c r="B25" s="247" t="s">
        <v>127</v>
      </c>
      <c r="C25" s="226"/>
      <c r="D25" s="226"/>
      <c r="E25" s="226"/>
      <c r="F25" s="227"/>
      <c r="G25" s="246" t="s">
        <v>128</v>
      </c>
      <c r="H25" s="226"/>
      <c r="I25" s="227"/>
      <c r="J25" s="246" t="s">
        <v>129</v>
      </c>
      <c r="K25" s="226"/>
      <c r="L25" s="227"/>
      <c r="M25" s="37">
        <v>4</v>
      </c>
      <c r="N25" s="234">
        <f t="shared" si="0"/>
        <v>1440</v>
      </c>
      <c r="O25" s="226"/>
      <c r="P25" s="209"/>
      <c r="Q25" s="13"/>
      <c r="R25" s="235"/>
      <c r="S25" s="213"/>
      <c r="T25" s="213"/>
      <c r="U25" s="16"/>
      <c r="V25" s="16"/>
    </row>
    <row r="26" spans="1:22" ht="18" customHeight="1" x14ac:dyDescent="0.45">
      <c r="A26" s="36">
        <v>12</v>
      </c>
      <c r="B26" s="247" t="s">
        <v>130</v>
      </c>
      <c r="C26" s="226"/>
      <c r="D26" s="226"/>
      <c r="E26" s="226"/>
      <c r="F26" s="227"/>
      <c r="G26" s="246" t="s">
        <v>131</v>
      </c>
      <c r="H26" s="226"/>
      <c r="I26" s="227"/>
      <c r="J26" s="246" t="s">
        <v>132</v>
      </c>
      <c r="K26" s="226"/>
      <c r="L26" s="227"/>
      <c r="M26" s="37">
        <v>5</v>
      </c>
      <c r="N26" s="234">
        <f t="shared" si="0"/>
        <v>1800</v>
      </c>
      <c r="O26" s="226"/>
      <c r="P26" s="209"/>
      <c r="Q26" s="13"/>
      <c r="R26" s="235"/>
      <c r="S26" s="213"/>
      <c r="T26" s="213"/>
      <c r="U26" s="16"/>
      <c r="V26" s="16"/>
    </row>
    <row r="27" spans="1:22" ht="18" customHeight="1" x14ac:dyDescent="0.45">
      <c r="A27" s="36">
        <v>13</v>
      </c>
      <c r="B27" s="247" t="s">
        <v>133</v>
      </c>
      <c r="C27" s="226"/>
      <c r="D27" s="226"/>
      <c r="E27" s="226"/>
      <c r="F27" s="227"/>
      <c r="G27" s="246" t="s">
        <v>134</v>
      </c>
      <c r="H27" s="226"/>
      <c r="I27" s="227"/>
      <c r="J27" s="246" t="s">
        <v>135</v>
      </c>
      <c r="K27" s="226"/>
      <c r="L27" s="227"/>
      <c r="M27" s="37">
        <v>3</v>
      </c>
      <c r="N27" s="234">
        <f t="shared" si="0"/>
        <v>1080</v>
      </c>
      <c r="O27" s="226"/>
      <c r="P27" s="209"/>
      <c r="Q27" s="13"/>
      <c r="R27" s="235"/>
      <c r="S27" s="213"/>
      <c r="T27" s="213"/>
      <c r="U27" s="16"/>
      <c r="V27" s="16"/>
    </row>
    <row r="28" spans="1:22" ht="18" customHeight="1" x14ac:dyDescent="0.45">
      <c r="A28" s="36">
        <v>14</v>
      </c>
      <c r="B28" s="248" t="s">
        <v>136</v>
      </c>
      <c r="C28" s="226"/>
      <c r="D28" s="226"/>
      <c r="E28" s="226"/>
      <c r="F28" s="227"/>
      <c r="G28" s="246" t="s">
        <v>137</v>
      </c>
      <c r="H28" s="226"/>
      <c r="I28" s="227"/>
      <c r="J28" s="246" t="s">
        <v>138</v>
      </c>
      <c r="K28" s="226"/>
      <c r="L28" s="227"/>
      <c r="M28" s="37">
        <v>2</v>
      </c>
      <c r="N28" s="234">
        <f t="shared" si="0"/>
        <v>720</v>
      </c>
      <c r="O28" s="226"/>
      <c r="P28" s="209"/>
      <c r="Q28" s="13"/>
      <c r="R28" s="235"/>
      <c r="S28" s="213"/>
      <c r="T28" s="213"/>
      <c r="U28" s="16"/>
      <c r="V28" s="16"/>
    </row>
    <row r="29" spans="1:22" ht="18" customHeight="1" x14ac:dyDescent="0.45">
      <c r="A29" s="36">
        <v>15</v>
      </c>
      <c r="B29" s="247" t="s">
        <v>139</v>
      </c>
      <c r="C29" s="226"/>
      <c r="D29" s="226"/>
      <c r="E29" s="226"/>
      <c r="F29" s="227"/>
      <c r="G29" s="246" t="s">
        <v>140</v>
      </c>
      <c r="H29" s="226"/>
      <c r="I29" s="227"/>
      <c r="J29" s="246" t="s">
        <v>141</v>
      </c>
      <c r="K29" s="226"/>
      <c r="L29" s="227"/>
      <c r="M29" s="37">
        <v>0.5</v>
      </c>
      <c r="N29" s="234">
        <f t="shared" si="0"/>
        <v>180</v>
      </c>
      <c r="O29" s="226"/>
      <c r="P29" s="209"/>
      <c r="Q29" s="13"/>
      <c r="R29" s="235"/>
      <c r="S29" s="213"/>
      <c r="T29" s="213"/>
      <c r="U29" s="16"/>
      <c r="V29" s="16"/>
    </row>
    <row r="30" spans="1:22" ht="18" customHeight="1" x14ac:dyDescent="0.45">
      <c r="A30" s="36">
        <v>16</v>
      </c>
      <c r="B30" s="248" t="s">
        <v>142</v>
      </c>
      <c r="C30" s="226"/>
      <c r="D30" s="226"/>
      <c r="E30" s="226"/>
      <c r="F30" s="227"/>
      <c r="G30" s="246" t="s">
        <v>143</v>
      </c>
      <c r="H30" s="226"/>
      <c r="I30" s="227"/>
      <c r="J30" s="246" t="s">
        <v>144</v>
      </c>
      <c r="K30" s="226"/>
      <c r="L30" s="227"/>
      <c r="M30" s="37">
        <v>0.05</v>
      </c>
      <c r="N30" s="234">
        <f t="shared" si="0"/>
        <v>18.000000000000004</v>
      </c>
      <c r="O30" s="226"/>
      <c r="P30" s="209"/>
      <c r="Q30" s="13"/>
      <c r="R30" s="235"/>
      <c r="S30" s="213"/>
      <c r="T30" s="213"/>
      <c r="U30" s="16"/>
      <c r="V30" s="16"/>
    </row>
    <row r="31" spans="1:22" ht="18" customHeight="1" x14ac:dyDescent="0.45">
      <c r="A31" s="36">
        <v>17</v>
      </c>
      <c r="B31" s="248" t="s">
        <v>145</v>
      </c>
      <c r="C31" s="226"/>
      <c r="D31" s="226"/>
      <c r="E31" s="226"/>
      <c r="F31" s="227"/>
      <c r="G31" s="246" t="s">
        <v>146</v>
      </c>
      <c r="H31" s="226"/>
      <c r="I31" s="227"/>
      <c r="J31" s="246" t="s">
        <v>147</v>
      </c>
      <c r="K31" s="226"/>
      <c r="L31" s="227"/>
      <c r="M31" s="37">
        <v>0.05</v>
      </c>
      <c r="N31" s="234">
        <f t="shared" si="0"/>
        <v>18.000000000000004</v>
      </c>
      <c r="O31" s="226"/>
      <c r="P31" s="209"/>
      <c r="Q31" s="13"/>
      <c r="R31" s="235"/>
      <c r="S31" s="213"/>
      <c r="T31" s="213"/>
      <c r="U31" s="16"/>
      <c r="V31" s="16"/>
    </row>
    <row r="32" spans="1:22" ht="18" customHeight="1" x14ac:dyDescent="0.45">
      <c r="A32" s="36">
        <v>18</v>
      </c>
      <c r="B32" s="247" t="s">
        <v>148</v>
      </c>
      <c r="C32" s="226"/>
      <c r="D32" s="226"/>
      <c r="E32" s="226"/>
      <c r="F32" s="227"/>
      <c r="G32" s="246" t="s">
        <v>149</v>
      </c>
      <c r="H32" s="226"/>
      <c r="I32" s="227"/>
      <c r="J32" s="246" t="s">
        <v>150</v>
      </c>
      <c r="K32" s="226"/>
      <c r="L32" s="227"/>
      <c r="M32" s="37">
        <v>0.05</v>
      </c>
      <c r="N32" s="234">
        <f t="shared" si="0"/>
        <v>18.000000000000004</v>
      </c>
      <c r="O32" s="226"/>
      <c r="P32" s="209"/>
      <c r="Q32" s="13"/>
      <c r="R32" s="235"/>
      <c r="S32" s="213"/>
      <c r="T32" s="213"/>
      <c r="U32" s="16"/>
      <c r="V32" s="16"/>
    </row>
    <row r="33" spans="1:22" ht="18" customHeight="1" x14ac:dyDescent="0.45">
      <c r="A33" s="36">
        <v>19</v>
      </c>
      <c r="B33" s="247" t="s">
        <v>151</v>
      </c>
      <c r="C33" s="226"/>
      <c r="D33" s="226"/>
      <c r="E33" s="226"/>
      <c r="F33" s="227"/>
      <c r="G33" s="246" t="s">
        <v>152</v>
      </c>
      <c r="H33" s="226"/>
      <c r="I33" s="227"/>
      <c r="J33" s="246" t="s">
        <v>153</v>
      </c>
      <c r="K33" s="226"/>
      <c r="L33" s="227"/>
      <c r="M33" s="37">
        <v>0.1</v>
      </c>
      <c r="N33" s="234">
        <f t="shared" si="0"/>
        <v>36.000000000000007</v>
      </c>
      <c r="O33" s="226"/>
      <c r="P33" s="209"/>
      <c r="Q33" s="13"/>
      <c r="R33" s="235"/>
      <c r="S33" s="213"/>
      <c r="T33" s="213"/>
      <c r="U33" s="16"/>
      <c r="V33" s="16"/>
    </row>
    <row r="34" spans="1:22" ht="18" customHeight="1" x14ac:dyDescent="0.45">
      <c r="A34" s="36">
        <v>20</v>
      </c>
      <c r="B34" s="247" t="s">
        <v>154</v>
      </c>
      <c r="C34" s="226"/>
      <c r="D34" s="226"/>
      <c r="E34" s="226"/>
      <c r="F34" s="227"/>
      <c r="G34" s="246" t="s">
        <v>155</v>
      </c>
      <c r="H34" s="226"/>
      <c r="I34" s="227"/>
      <c r="J34" s="246" t="s">
        <v>156</v>
      </c>
      <c r="K34" s="226"/>
      <c r="L34" s="227"/>
      <c r="M34" s="37">
        <v>0.05</v>
      </c>
      <c r="N34" s="234">
        <f t="shared" si="0"/>
        <v>18.000000000000004</v>
      </c>
      <c r="O34" s="226"/>
      <c r="P34" s="209"/>
      <c r="Q34" s="13"/>
      <c r="R34" s="235"/>
      <c r="S34" s="213"/>
      <c r="T34" s="213"/>
      <c r="U34" s="16"/>
      <c r="V34" s="16"/>
    </row>
    <row r="35" spans="1:22" ht="18" customHeight="1" x14ac:dyDescent="0.45">
      <c r="A35" s="36">
        <v>21</v>
      </c>
      <c r="B35" s="247" t="s">
        <v>157</v>
      </c>
      <c r="C35" s="226"/>
      <c r="D35" s="226"/>
      <c r="E35" s="226"/>
      <c r="F35" s="227"/>
      <c r="G35" s="246" t="s">
        <v>158</v>
      </c>
      <c r="H35" s="226"/>
      <c r="I35" s="227"/>
      <c r="J35" s="246" t="s">
        <v>153</v>
      </c>
      <c r="K35" s="226"/>
      <c r="L35" s="227"/>
      <c r="M35" s="37">
        <v>0.05</v>
      </c>
      <c r="N35" s="234">
        <f t="shared" si="0"/>
        <v>18.000000000000004</v>
      </c>
      <c r="O35" s="226"/>
      <c r="P35" s="209"/>
      <c r="Q35" s="13"/>
      <c r="R35" s="235"/>
      <c r="S35" s="213"/>
      <c r="T35" s="213"/>
      <c r="U35" s="16"/>
      <c r="V35" s="16"/>
    </row>
    <row r="36" spans="1:22" ht="18" customHeight="1" x14ac:dyDescent="0.45">
      <c r="A36" s="36">
        <v>22</v>
      </c>
      <c r="B36" s="247" t="s">
        <v>159</v>
      </c>
      <c r="C36" s="226"/>
      <c r="D36" s="226"/>
      <c r="E36" s="226"/>
      <c r="F36" s="227"/>
      <c r="G36" s="246" t="s">
        <v>160</v>
      </c>
      <c r="H36" s="226"/>
      <c r="I36" s="227"/>
      <c r="J36" s="246" t="s">
        <v>161</v>
      </c>
      <c r="K36" s="226"/>
      <c r="L36" s="227"/>
      <c r="M36" s="37">
        <v>0.03</v>
      </c>
      <c r="N36" s="234">
        <f t="shared" si="0"/>
        <v>10.8</v>
      </c>
      <c r="O36" s="226"/>
      <c r="P36" s="209"/>
      <c r="Q36" s="13"/>
      <c r="R36" s="235"/>
      <c r="S36" s="213"/>
      <c r="T36" s="213"/>
      <c r="U36" s="16"/>
      <c r="V36" s="16"/>
    </row>
    <row r="37" spans="1:22" ht="18" customHeight="1" x14ac:dyDescent="0.45">
      <c r="A37" s="36">
        <v>23</v>
      </c>
      <c r="B37" s="247" t="s">
        <v>162</v>
      </c>
      <c r="C37" s="226"/>
      <c r="D37" s="226"/>
      <c r="E37" s="226"/>
      <c r="F37" s="227"/>
      <c r="G37" s="246" t="s">
        <v>163</v>
      </c>
      <c r="H37" s="226"/>
      <c r="I37" s="227"/>
      <c r="J37" s="246" t="s">
        <v>164</v>
      </c>
      <c r="K37" s="226"/>
      <c r="L37" s="227"/>
      <c r="M37" s="38">
        <v>3.0000000000000001E-3</v>
      </c>
      <c r="N37" s="234">
        <f t="shared" si="0"/>
        <v>1.08</v>
      </c>
      <c r="O37" s="226"/>
      <c r="P37" s="209"/>
      <c r="Q37" s="13"/>
      <c r="R37" s="235"/>
      <c r="S37" s="213"/>
      <c r="T37" s="213"/>
      <c r="U37" s="16"/>
      <c r="V37" s="16"/>
    </row>
    <row r="38" spans="1:22" ht="18" customHeight="1" x14ac:dyDescent="0.45">
      <c r="A38" s="36">
        <v>24</v>
      </c>
      <c r="B38" s="247" t="s">
        <v>165</v>
      </c>
      <c r="C38" s="226"/>
      <c r="D38" s="226"/>
      <c r="E38" s="226"/>
      <c r="F38" s="227"/>
      <c r="G38" s="246" t="s">
        <v>166</v>
      </c>
      <c r="H38" s="226"/>
      <c r="I38" s="227"/>
      <c r="J38" s="246" t="s">
        <v>167</v>
      </c>
      <c r="K38" s="226"/>
      <c r="L38" s="227"/>
      <c r="M38" s="37">
        <v>0.5</v>
      </c>
      <c r="N38" s="234">
        <f t="shared" si="0"/>
        <v>180</v>
      </c>
      <c r="O38" s="226"/>
      <c r="P38" s="209"/>
      <c r="Q38" s="13"/>
      <c r="R38" s="235"/>
      <c r="S38" s="213"/>
      <c r="T38" s="213"/>
      <c r="U38" s="16"/>
      <c r="V38" s="16"/>
    </row>
    <row r="39" spans="1:22" ht="18" customHeight="1" x14ac:dyDescent="0.45">
      <c r="A39" s="36">
        <v>25</v>
      </c>
      <c r="B39" s="247" t="s">
        <v>168</v>
      </c>
      <c r="C39" s="226"/>
      <c r="D39" s="226"/>
      <c r="E39" s="226"/>
      <c r="F39" s="227"/>
      <c r="G39" s="246" t="s">
        <v>169</v>
      </c>
      <c r="H39" s="226"/>
      <c r="I39" s="227"/>
      <c r="J39" s="246" t="s">
        <v>170</v>
      </c>
      <c r="K39" s="226"/>
      <c r="L39" s="227"/>
      <c r="M39" s="37">
        <v>0.8</v>
      </c>
      <c r="N39" s="234">
        <f t="shared" si="0"/>
        <v>288.00000000000006</v>
      </c>
      <c r="O39" s="226"/>
      <c r="P39" s="209"/>
      <c r="Q39" s="13"/>
      <c r="R39" s="235"/>
      <c r="S39" s="213"/>
      <c r="T39" s="213"/>
      <c r="U39" s="16"/>
      <c r="V39" s="16"/>
    </row>
    <row r="40" spans="1:22" ht="18" customHeight="1" x14ac:dyDescent="0.45">
      <c r="A40" s="36">
        <v>26</v>
      </c>
      <c r="B40" s="247" t="s">
        <v>171</v>
      </c>
      <c r="C40" s="226"/>
      <c r="D40" s="226"/>
      <c r="E40" s="226"/>
      <c r="F40" s="227"/>
      <c r="G40" s="246" t="s">
        <v>172</v>
      </c>
      <c r="H40" s="226"/>
      <c r="I40" s="227"/>
      <c r="J40" s="246" t="s">
        <v>173</v>
      </c>
      <c r="K40" s="226"/>
      <c r="L40" s="227"/>
      <c r="M40" s="37">
        <v>1</v>
      </c>
      <c r="N40" s="234">
        <f t="shared" si="0"/>
        <v>360</v>
      </c>
      <c r="O40" s="226"/>
      <c r="P40" s="209"/>
      <c r="Q40" s="13"/>
      <c r="R40" s="235"/>
      <c r="S40" s="213"/>
      <c r="T40" s="213"/>
      <c r="U40" s="16"/>
      <c r="V40" s="16"/>
    </row>
    <row r="41" spans="1:22" ht="18" customHeight="1" x14ac:dyDescent="0.45">
      <c r="A41" s="36">
        <v>27</v>
      </c>
      <c r="B41" s="247" t="s">
        <v>174</v>
      </c>
      <c r="C41" s="226"/>
      <c r="D41" s="226"/>
      <c r="E41" s="226"/>
      <c r="F41" s="227"/>
      <c r="G41" s="246" t="s">
        <v>175</v>
      </c>
      <c r="H41" s="226"/>
      <c r="I41" s="227"/>
      <c r="J41" s="246">
        <v>250127005</v>
      </c>
      <c r="K41" s="226"/>
      <c r="L41" s="227"/>
      <c r="M41" s="39">
        <v>1</v>
      </c>
      <c r="N41" s="234">
        <f t="shared" si="0"/>
        <v>360</v>
      </c>
      <c r="O41" s="226"/>
      <c r="P41" s="209"/>
      <c r="Q41" s="13"/>
      <c r="R41" s="40"/>
      <c r="S41" s="41"/>
      <c r="T41" s="41"/>
      <c r="U41" s="16"/>
      <c r="V41" s="16"/>
    </row>
    <row r="42" spans="1:22" ht="21" customHeight="1" x14ac:dyDescent="0.45">
      <c r="A42" s="262" t="s">
        <v>176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1"/>
      <c r="M42" s="42">
        <f>SUM(M15:M41)</f>
        <v>100.00299999999999</v>
      </c>
      <c r="N42" s="263">
        <f>SUM(N15:P41)</f>
        <v>36001.08</v>
      </c>
      <c r="O42" s="238"/>
      <c r="P42" s="264"/>
      <c r="Q42" s="13"/>
      <c r="R42" s="40"/>
      <c r="S42" s="43"/>
      <c r="T42" s="43"/>
    </row>
    <row r="43" spans="1:22" ht="18" customHeight="1" x14ac:dyDescent="0.45">
      <c r="A43" s="265" t="s">
        <v>177</v>
      </c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33"/>
      <c r="Q43" s="13"/>
      <c r="R43" s="40"/>
      <c r="S43" s="43"/>
      <c r="T43" s="43"/>
    </row>
    <row r="44" spans="1:22" ht="51" customHeight="1" x14ac:dyDescent="0.45">
      <c r="A44" s="266" t="s">
        <v>178</v>
      </c>
      <c r="B44" s="226"/>
      <c r="C44" s="226"/>
      <c r="D44" s="226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09"/>
      <c r="Q44" s="13"/>
      <c r="R44" s="40"/>
      <c r="S44" s="43"/>
      <c r="T44" s="43"/>
    </row>
    <row r="45" spans="1:22" ht="33" customHeight="1" x14ac:dyDescent="0.45">
      <c r="A45" s="266" t="s">
        <v>179</v>
      </c>
      <c r="B45" s="226"/>
      <c r="C45" s="226"/>
      <c r="D45" s="226"/>
      <c r="E45" s="2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09"/>
      <c r="Q45" s="13"/>
      <c r="R45" s="40"/>
      <c r="S45" s="43"/>
      <c r="T45" s="43"/>
    </row>
    <row r="46" spans="1:22" ht="30.75" customHeight="1" x14ac:dyDescent="0.45">
      <c r="A46" s="266" t="s">
        <v>180</v>
      </c>
      <c r="B46" s="226"/>
      <c r="C46" s="226"/>
      <c r="D46" s="226"/>
      <c r="E46" s="2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09"/>
      <c r="Q46" s="13"/>
      <c r="R46" s="40"/>
      <c r="S46" s="43"/>
      <c r="T46" s="43"/>
    </row>
    <row r="47" spans="1:22" ht="18" customHeight="1" x14ac:dyDescent="0.45">
      <c r="A47" s="267" t="s">
        <v>181</v>
      </c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68"/>
      <c r="Q47" s="13"/>
      <c r="R47" s="40"/>
      <c r="S47" s="43"/>
      <c r="T47" s="43"/>
    </row>
    <row r="48" spans="1:22" ht="34.5" customHeight="1" x14ac:dyDescent="0.45">
      <c r="A48" s="258" t="s">
        <v>45</v>
      </c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05"/>
      <c r="Q48" s="13"/>
      <c r="R48" s="40"/>
      <c r="S48" s="43"/>
      <c r="T48" s="43"/>
    </row>
    <row r="49" spans="1:20" ht="27" customHeight="1" x14ac:dyDescent="0.45">
      <c r="A49" s="206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07"/>
      <c r="Q49" s="13"/>
      <c r="R49" s="40"/>
      <c r="S49" s="44"/>
      <c r="T49" s="44"/>
    </row>
    <row r="50" spans="1:20" ht="19.5" customHeight="1" x14ac:dyDescent="0.45">
      <c r="A50" s="259" t="s">
        <v>182</v>
      </c>
      <c r="B50" s="211"/>
      <c r="C50" s="211"/>
      <c r="D50" s="211"/>
      <c r="E50" s="211"/>
      <c r="F50" s="45"/>
      <c r="G50" s="260"/>
      <c r="H50" s="223"/>
      <c r="I50" s="223"/>
      <c r="J50" s="223"/>
      <c r="K50" s="223"/>
      <c r="L50" s="223"/>
      <c r="M50" s="46"/>
      <c r="N50" s="47" t="s">
        <v>67</v>
      </c>
      <c r="O50" s="261"/>
      <c r="P50" s="233"/>
      <c r="Q50" s="13"/>
      <c r="R50" s="40"/>
      <c r="S50" s="44"/>
      <c r="T50" s="44"/>
    </row>
    <row r="51" spans="1:20" ht="18" customHeight="1" x14ac:dyDescent="0.45">
      <c r="A51" s="255"/>
      <c r="B51" s="213"/>
      <c r="C51" s="213"/>
      <c r="D51" s="213"/>
      <c r="E51" s="213"/>
      <c r="F51" s="2"/>
      <c r="G51" s="249" t="s">
        <v>183</v>
      </c>
      <c r="H51" s="250"/>
      <c r="I51" s="250"/>
      <c r="J51" s="250"/>
      <c r="K51" s="250"/>
      <c r="L51" s="250"/>
      <c r="M51" s="2"/>
      <c r="N51" s="49"/>
      <c r="O51" s="49"/>
      <c r="P51" s="50"/>
      <c r="Q51" s="13"/>
      <c r="R51" s="256"/>
      <c r="S51" s="213"/>
      <c r="T51" s="213"/>
    </row>
    <row r="52" spans="1:20" ht="19.5" customHeight="1" x14ac:dyDescent="0.45">
      <c r="A52" s="254" t="s">
        <v>184</v>
      </c>
      <c r="B52" s="213"/>
      <c r="C52" s="213"/>
      <c r="D52" s="213"/>
      <c r="E52" s="213"/>
      <c r="F52" s="52"/>
      <c r="G52" s="251"/>
      <c r="H52" s="252"/>
      <c r="I52" s="252"/>
      <c r="J52" s="252"/>
      <c r="K52" s="252"/>
      <c r="L52" s="252"/>
      <c r="M52" s="2"/>
      <c r="N52" s="53" t="s">
        <v>67</v>
      </c>
      <c r="O52" s="52"/>
      <c r="P52" s="54"/>
      <c r="Q52" s="13"/>
      <c r="R52" s="256"/>
      <c r="S52" s="213"/>
      <c r="T52" s="213"/>
    </row>
    <row r="53" spans="1:20" ht="33.75" customHeight="1" x14ac:dyDescent="0.45">
      <c r="A53" s="255"/>
      <c r="B53" s="213"/>
      <c r="C53" s="213"/>
      <c r="D53" s="213"/>
      <c r="E53" s="213"/>
      <c r="F53" s="2"/>
      <c r="G53" s="253" t="s">
        <v>185</v>
      </c>
      <c r="H53" s="250"/>
      <c r="I53" s="250"/>
      <c r="J53" s="250"/>
      <c r="K53" s="250"/>
      <c r="L53" s="250"/>
      <c r="M53" s="55"/>
      <c r="N53" s="56"/>
      <c r="O53" s="56"/>
      <c r="P53" s="50"/>
      <c r="Q53" s="13"/>
      <c r="R53" s="256"/>
      <c r="S53" s="213"/>
      <c r="T53" s="213"/>
    </row>
    <row r="54" spans="1:20" ht="19.5" customHeight="1" x14ac:dyDescent="0.45">
      <c r="A54" s="254" t="s">
        <v>186</v>
      </c>
      <c r="B54" s="213"/>
      <c r="C54" s="213"/>
      <c r="D54" s="213"/>
      <c r="E54" s="213"/>
      <c r="F54" s="52"/>
      <c r="G54" s="251"/>
      <c r="H54" s="252"/>
      <c r="I54" s="252"/>
      <c r="J54" s="252"/>
      <c r="K54" s="252"/>
      <c r="L54" s="252"/>
      <c r="M54" s="2"/>
      <c r="N54" s="53" t="s">
        <v>67</v>
      </c>
      <c r="O54" s="52"/>
      <c r="P54" s="54"/>
      <c r="Q54" s="13"/>
    </row>
    <row r="55" spans="1:20" ht="19.5" customHeight="1" x14ac:dyDescent="0.45">
      <c r="A55" s="51"/>
      <c r="B55" s="53"/>
      <c r="C55" s="53"/>
      <c r="D55" s="53"/>
      <c r="E55" s="53"/>
      <c r="F55" s="249" t="s">
        <v>187</v>
      </c>
      <c r="G55" s="250"/>
      <c r="H55" s="250"/>
      <c r="I55" s="250"/>
      <c r="J55" s="250"/>
      <c r="K55" s="250"/>
      <c r="L55" s="250"/>
      <c r="M55" s="2"/>
      <c r="N55" s="53"/>
      <c r="O55" s="53"/>
      <c r="P55" s="57"/>
      <c r="Q55" s="13"/>
    </row>
    <row r="56" spans="1:20" ht="19.5" customHeight="1" x14ac:dyDescent="0.45">
      <c r="A56" s="257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07"/>
      <c r="Q56" s="13"/>
    </row>
    <row r="57" spans="1:20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</row>
    <row r="58" spans="1:20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</row>
    <row r="59" spans="1:20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</row>
    <row r="60" spans="1:20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</row>
    <row r="61" spans="1:20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</row>
    <row r="62" spans="1:20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</row>
    <row r="63" spans="1:20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</row>
    <row r="64" spans="1:20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</row>
    <row r="65" spans="1:17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</row>
    <row r="66" spans="1:17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</row>
    <row r="67" spans="1:17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</row>
    <row r="68" spans="1:17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</row>
    <row r="69" spans="1:17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</row>
    <row r="70" spans="1:17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</row>
    <row r="71" spans="1:17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</row>
    <row r="72" spans="1:17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</row>
    <row r="73" spans="1:17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</row>
    <row r="74" spans="1:17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</row>
    <row r="75" spans="1:17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</row>
    <row r="76" spans="1:17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</row>
    <row r="77" spans="1:17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</row>
    <row r="78" spans="1:17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</row>
    <row r="79" spans="1:17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</row>
    <row r="80" spans="1:17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</row>
    <row r="81" spans="1:17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</row>
    <row r="82" spans="1:17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</row>
    <row r="83" spans="1:17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</row>
    <row r="84" spans="1:17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</row>
    <row r="85" spans="1:17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</row>
    <row r="86" spans="1:17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</row>
    <row r="87" spans="1:17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</row>
    <row r="88" spans="1:17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</row>
    <row r="89" spans="1:17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</row>
    <row r="90" spans="1:17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</row>
    <row r="91" spans="1:17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</row>
    <row r="92" spans="1:17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</row>
    <row r="93" spans="1:17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</row>
    <row r="94" spans="1:17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</row>
    <row r="95" spans="1:17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</row>
    <row r="96" spans="1:17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</row>
    <row r="97" spans="1:17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</row>
    <row r="98" spans="1:17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</row>
    <row r="99" spans="1:17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</row>
    <row r="100" spans="1:17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</row>
    <row r="101" spans="1:17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</row>
    <row r="102" spans="1:17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</row>
    <row r="103" spans="1:17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</row>
    <row r="104" spans="1:17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</row>
    <row r="105" spans="1:17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</row>
    <row r="106" spans="1:17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</row>
    <row r="107" spans="1:17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</row>
    <row r="108" spans="1:17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</row>
    <row r="109" spans="1:17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</row>
    <row r="110" spans="1:17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</row>
    <row r="111" spans="1:17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</row>
    <row r="112" spans="1:17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</row>
    <row r="113" spans="1:17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</row>
    <row r="114" spans="1:17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</row>
    <row r="115" spans="1:17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</row>
    <row r="116" spans="1:17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</row>
    <row r="117" spans="1:17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</row>
    <row r="118" spans="1:17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</row>
    <row r="119" spans="1:17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</row>
    <row r="120" spans="1:17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</row>
    <row r="121" spans="1:17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</row>
    <row r="122" spans="1:17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</row>
    <row r="123" spans="1:17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</row>
    <row r="124" spans="1:17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</row>
    <row r="125" spans="1:17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</row>
    <row r="126" spans="1:17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</row>
    <row r="127" spans="1:17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</row>
    <row r="128" spans="1:17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</row>
    <row r="129" spans="1:17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</row>
    <row r="130" spans="1:17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</row>
    <row r="131" spans="1:17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</row>
    <row r="132" spans="1:17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</row>
    <row r="133" spans="1:17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</row>
    <row r="134" spans="1:17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</row>
    <row r="135" spans="1:17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</row>
    <row r="136" spans="1:17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</row>
    <row r="137" spans="1:17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</row>
    <row r="138" spans="1:17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</row>
    <row r="139" spans="1:17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</row>
    <row r="140" spans="1:17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</row>
    <row r="141" spans="1:17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</row>
    <row r="142" spans="1:17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</row>
    <row r="143" spans="1:17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</row>
    <row r="144" spans="1:17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</row>
    <row r="145" spans="1:17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</row>
    <row r="146" spans="1:17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</row>
    <row r="147" spans="1:17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</row>
    <row r="148" spans="1:17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</row>
    <row r="149" spans="1:17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</row>
    <row r="150" spans="1:17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</row>
    <row r="151" spans="1:17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</row>
    <row r="152" spans="1:17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</row>
    <row r="153" spans="1:17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</row>
    <row r="154" spans="1:17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</row>
    <row r="155" spans="1:17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</row>
    <row r="156" spans="1:17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</row>
    <row r="157" spans="1:17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</row>
    <row r="158" spans="1:17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</row>
    <row r="159" spans="1:17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</row>
    <row r="160" spans="1:17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</row>
    <row r="161" spans="1:17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</row>
    <row r="162" spans="1:17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</row>
    <row r="163" spans="1:17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</row>
    <row r="164" spans="1:17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</row>
    <row r="165" spans="1:17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</row>
    <row r="166" spans="1:17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</row>
    <row r="167" spans="1:17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</row>
    <row r="168" spans="1:17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</row>
    <row r="169" spans="1:17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</row>
    <row r="170" spans="1:17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</row>
    <row r="171" spans="1:17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</row>
    <row r="172" spans="1:17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</row>
    <row r="173" spans="1:17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</row>
    <row r="174" spans="1:17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</row>
    <row r="175" spans="1:17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</row>
    <row r="176" spans="1:17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</row>
    <row r="177" spans="1:17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</row>
    <row r="178" spans="1:17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</row>
    <row r="179" spans="1:17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</row>
    <row r="180" spans="1:17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</row>
    <row r="181" spans="1:17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</row>
    <row r="182" spans="1:17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</row>
    <row r="183" spans="1:17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</row>
    <row r="184" spans="1:17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</row>
    <row r="185" spans="1:17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</row>
    <row r="186" spans="1:17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</row>
    <row r="187" spans="1:17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</row>
    <row r="188" spans="1:17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</row>
    <row r="189" spans="1:17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</row>
    <row r="190" spans="1:17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</row>
    <row r="191" spans="1:17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</row>
    <row r="192" spans="1:17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</row>
    <row r="193" spans="1:17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</row>
    <row r="194" spans="1:17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</row>
    <row r="195" spans="1:17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</row>
    <row r="196" spans="1:17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</row>
    <row r="197" spans="1:17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</row>
    <row r="198" spans="1:17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</row>
    <row r="199" spans="1:17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</row>
    <row r="200" spans="1:17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</row>
    <row r="201" spans="1:17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</row>
    <row r="202" spans="1:17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</row>
    <row r="203" spans="1:17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</row>
    <row r="204" spans="1:17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</row>
    <row r="205" spans="1:17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</row>
    <row r="206" spans="1:17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</row>
    <row r="207" spans="1:17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</row>
    <row r="208" spans="1:17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</row>
    <row r="209" spans="1:17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</row>
    <row r="210" spans="1:17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</row>
    <row r="211" spans="1:17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</row>
    <row r="212" spans="1:17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</row>
    <row r="213" spans="1:17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</row>
    <row r="214" spans="1:17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</row>
    <row r="215" spans="1:17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</row>
    <row r="216" spans="1:17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</row>
    <row r="217" spans="1:17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</row>
    <row r="218" spans="1:17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</row>
    <row r="219" spans="1:17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</row>
    <row r="220" spans="1:17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</row>
    <row r="221" spans="1:17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</row>
    <row r="222" spans="1:17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</row>
    <row r="223" spans="1:17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</row>
    <row r="224" spans="1:17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</row>
    <row r="225" spans="1:17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</row>
    <row r="226" spans="1:17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</row>
    <row r="227" spans="1:17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</row>
    <row r="228" spans="1:17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</row>
    <row r="229" spans="1:17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</row>
    <row r="230" spans="1:17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</row>
    <row r="231" spans="1:17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</row>
    <row r="232" spans="1:17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</row>
    <row r="233" spans="1:17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</row>
    <row r="234" spans="1:17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</row>
    <row r="235" spans="1:17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</row>
    <row r="236" spans="1:17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</row>
    <row r="237" spans="1:17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</row>
    <row r="238" spans="1:17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</row>
    <row r="239" spans="1:17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</row>
    <row r="240" spans="1:17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</row>
    <row r="241" spans="1:17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</row>
    <row r="242" spans="1:17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</row>
    <row r="243" spans="1:17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</row>
    <row r="244" spans="1:17" ht="15.75" customHeight="1" x14ac:dyDescent="0.4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</row>
    <row r="245" spans="1:17" ht="15.75" customHeight="1" x14ac:dyDescent="0.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</row>
    <row r="246" spans="1:17" ht="15.75" customHeight="1" x14ac:dyDescent="0.4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</row>
    <row r="247" spans="1:17" ht="15.75" customHeight="1" x14ac:dyDescent="0.4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25"/>
      <c r="N247" s="26"/>
      <c r="O247" s="26"/>
      <c r="P247" s="13"/>
      <c r="Q247" s="13"/>
    </row>
    <row r="248" spans="1:17" ht="15.75" customHeight="1" x14ac:dyDescent="0.4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25"/>
      <c r="N248" s="26"/>
      <c r="O248" s="26"/>
      <c r="P248" s="13"/>
      <c r="Q248" s="13"/>
    </row>
    <row r="249" spans="1:17" ht="15.75" customHeight="1" x14ac:dyDescent="0.4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25"/>
      <c r="N249" s="26"/>
      <c r="O249" s="26"/>
      <c r="P249" s="13"/>
      <c r="Q249" s="13"/>
    </row>
    <row r="250" spans="1:17" ht="15.75" customHeight="1" x14ac:dyDescent="0.4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25"/>
      <c r="N250" s="26"/>
      <c r="O250" s="26"/>
      <c r="P250" s="13"/>
      <c r="Q250" s="13"/>
    </row>
    <row r="251" spans="1:17" ht="15.75" customHeight="1" x14ac:dyDescent="0.4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25"/>
      <c r="N251" s="26"/>
      <c r="O251" s="26"/>
      <c r="P251" s="13"/>
      <c r="Q251" s="13"/>
    </row>
    <row r="252" spans="1:17" ht="15.75" customHeight="1" x14ac:dyDescent="0.4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25"/>
      <c r="N252" s="26"/>
      <c r="O252" s="26"/>
      <c r="P252" s="13"/>
      <c r="Q252" s="13"/>
    </row>
    <row r="253" spans="1:17" ht="15.75" customHeight="1" x14ac:dyDescent="0.4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25"/>
      <c r="N253" s="26"/>
      <c r="O253" s="26"/>
      <c r="P253" s="13"/>
      <c r="Q253" s="13"/>
    </row>
    <row r="254" spans="1:17" ht="15.75" customHeight="1" x14ac:dyDescent="0.4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25"/>
      <c r="N254" s="26"/>
      <c r="O254" s="26"/>
      <c r="P254" s="13"/>
      <c r="Q254" s="13"/>
    </row>
    <row r="255" spans="1:17" ht="15.75" customHeight="1" x14ac:dyDescent="0.4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25"/>
      <c r="N255" s="26"/>
      <c r="O255" s="26"/>
      <c r="P255" s="13"/>
      <c r="Q255" s="13"/>
    </row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</sheetData>
  <mergeCells count="191">
    <mergeCell ref="A42:L42"/>
    <mergeCell ref="N42:P42"/>
    <mergeCell ref="A43:P43"/>
    <mergeCell ref="A44:P44"/>
    <mergeCell ref="A45:P45"/>
    <mergeCell ref="A46:P46"/>
    <mergeCell ref="A47:P47"/>
    <mergeCell ref="N40:P40"/>
    <mergeCell ref="N41:P41"/>
    <mergeCell ref="B40:F40"/>
    <mergeCell ref="G40:I40"/>
    <mergeCell ref="J40:L40"/>
    <mergeCell ref="R40:T40"/>
    <mergeCell ref="B41:F41"/>
    <mergeCell ref="G41:I41"/>
    <mergeCell ref="J41:L41"/>
    <mergeCell ref="R36:T36"/>
    <mergeCell ref="G37:I37"/>
    <mergeCell ref="J37:L37"/>
    <mergeCell ref="R37:T37"/>
    <mergeCell ref="B37:F37"/>
    <mergeCell ref="B38:F38"/>
    <mergeCell ref="G38:I38"/>
    <mergeCell ref="J38:L38"/>
    <mergeCell ref="B39:F39"/>
    <mergeCell ref="G39:I39"/>
    <mergeCell ref="J39:L39"/>
    <mergeCell ref="A56:P56"/>
    <mergeCell ref="A48:P49"/>
    <mergeCell ref="A50:E50"/>
    <mergeCell ref="G50:L50"/>
    <mergeCell ref="O50:P50"/>
    <mergeCell ref="A51:E51"/>
    <mergeCell ref="R51:T51"/>
    <mergeCell ref="R52:T52"/>
    <mergeCell ref="B33:F33"/>
    <mergeCell ref="B34:F34"/>
    <mergeCell ref="G34:I34"/>
    <mergeCell ref="J34:L34"/>
    <mergeCell ref="B35:F35"/>
    <mergeCell ref="G35:I35"/>
    <mergeCell ref="J35:L35"/>
    <mergeCell ref="N36:P36"/>
    <mergeCell ref="N37:P37"/>
    <mergeCell ref="N38:P38"/>
    <mergeCell ref="R38:T38"/>
    <mergeCell ref="N39:P39"/>
    <mergeCell ref="R39:T39"/>
    <mergeCell ref="B36:F36"/>
    <mergeCell ref="G36:I36"/>
    <mergeCell ref="J36:L36"/>
    <mergeCell ref="G51:L51"/>
    <mergeCell ref="G52:L52"/>
    <mergeCell ref="G53:L53"/>
    <mergeCell ref="G54:L54"/>
    <mergeCell ref="F55:L55"/>
    <mergeCell ref="A52:E52"/>
    <mergeCell ref="A53:E53"/>
    <mergeCell ref="A54:E54"/>
    <mergeCell ref="R53:T53"/>
    <mergeCell ref="N32:P32"/>
    <mergeCell ref="N33:P33"/>
    <mergeCell ref="N34:P34"/>
    <mergeCell ref="R34:T34"/>
    <mergeCell ref="N35:P35"/>
    <mergeCell ref="R35:T35"/>
    <mergeCell ref="B32:F32"/>
    <mergeCell ref="G32:I32"/>
    <mergeCell ref="J32:L32"/>
    <mergeCell ref="R32:T32"/>
    <mergeCell ref="G33:I33"/>
    <mergeCell ref="J33:L33"/>
    <mergeCell ref="R33:T33"/>
    <mergeCell ref="N28:P28"/>
    <mergeCell ref="N29:P29"/>
    <mergeCell ref="N30:P30"/>
    <mergeCell ref="R30:T30"/>
    <mergeCell ref="N31:P31"/>
    <mergeCell ref="R31:T31"/>
    <mergeCell ref="B28:F28"/>
    <mergeCell ref="G28:I28"/>
    <mergeCell ref="J28:L28"/>
    <mergeCell ref="R28:T28"/>
    <mergeCell ref="G29:I29"/>
    <mergeCell ref="J29:L29"/>
    <mergeCell ref="R29:T29"/>
    <mergeCell ref="B29:F29"/>
    <mergeCell ref="B30:F30"/>
    <mergeCell ref="G30:I30"/>
    <mergeCell ref="J30:L30"/>
    <mergeCell ref="B31:F31"/>
    <mergeCell ref="G31:I31"/>
    <mergeCell ref="J31:L31"/>
    <mergeCell ref="R26:T26"/>
    <mergeCell ref="R27:T27"/>
    <mergeCell ref="G27:I27"/>
    <mergeCell ref="J27:L27"/>
    <mergeCell ref="B25:F25"/>
    <mergeCell ref="B26:F26"/>
    <mergeCell ref="G26:I26"/>
    <mergeCell ref="J26:L26"/>
    <mergeCell ref="N26:P26"/>
    <mergeCell ref="B27:F27"/>
    <mergeCell ref="N27:P27"/>
    <mergeCell ref="N20:P20"/>
    <mergeCell ref="N21:P21"/>
    <mergeCell ref="N22:P22"/>
    <mergeCell ref="R22:T22"/>
    <mergeCell ref="N23:P23"/>
    <mergeCell ref="R23:T23"/>
    <mergeCell ref="B20:F20"/>
    <mergeCell ref="G20:I20"/>
    <mergeCell ref="J20:L20"/>
    <mergeCell ref="R20:T20"/>
    <mergeCell ref="G21:I21"/>
    <mergeCell ref="J21:L21"/>
    <mergeCell ref="R21:T21"/>
    <mergeCell ref="B21:F21"/>
    <mergeCell ref="B22:F22"/>
    <mergeCell ref="G22:I22"/>
    <mergeCell ref="J22:L22"/>
    <mergeCell ref="B23:F23"/>
    <mergeCell ref="G23:I23"/>
    <mergeCell ref="J23:L23"/>
    <mergeCell ref="N16:P16"/>
    <mergeCell ref="N17:P17"/>
    <mergeCell ref="N18:P18"/>
    <mergeCell ref="R18:T18"/>
    <mergeCell ref="N19:P19"/>
    <mergeCell ref="R19:T19"/>
    <mergeCell ref="B16:F16"/>
    <mergeCell ref="G16:I16"/>
    <mergeCell ref="J16:L16"/>
    <mergeCell ref="R16:T16"/>
    <mergeCell ref="G17:I17"/>
    <mergeCell ref="J17:L17"/>
    <mergeCell ref="R17:T17"/>
    <mergeCell ref="B17:F17"/>
    <mergeCell ref="B18:F18"/>
    <mergeCell ref="G18:I18"/>
    <mergeCell ref="J18:L18"/>
    <mergeCell ref="B19:F19"/>
    <mergeCell ref="G19:I19"/>
    <mergeCell ref="J19:L19"/>
    <mergeCell ref="N24:P24"/>
    <mergeCell ref="N25:P25"/>
    <mergeCell ref="B24:F24"/>
    <mergeCell ref="G24:I24"/>
    <mergeCell ref="J24:L24"/>
    <mergeCell ref="R24:T24"/>
    <mergeCell ref="G25:I25"/>
    <mergeCell ref="J25:L25"/>
    <mergeCell ref="R25:T25"/>
    <mergeCell ref="N14:P14"/>
    <mergeCell ref="N15:P15"/>
    <mergeCell ref="R15:T15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06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7.398437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 x14ac:dyDescent="0.45">
      <c r="A1" s="204"/>
      <c r="B1" s="211"/>
      <c r="C1" s="307"/>
      <c r="D1" s="309" t="s">
        <v>0</v>
      </c>
      <c r="E1" s="211"/>
      <c r="F1" s="211"/>
      <c r="G1" s="211"/>
      <c r="H1" s="211"/>
      <c r="I1" s="211"/>
      <c r="J1" s="211"/>
      <c r="K1" s="211"/>
      <c r="L1" s="307"/>
      <c r="M1" s="275" t="s">
        <v>1</v>
      </c>
      <c r="N1" s="224"/>
      <c r="O1" s="275" t="s">
        <v>188</v>
      </c>
      <c r="P1" s="233"/>
      <c r="Q1" s="13"/>
      <c r="R1" s="13"/>
      <c r="S1" s="13"/>
      <c r="T1" s="13"/>
      <c r="U1" s="13"/>
    </row>
    <row r="2" spans="1:21" ht="21" customHeight="1" x14ac:dyDescent="0.45">
      <c r="A2" s="212"/>
      <c r="B2" s="213"/>
      <c r="C2" s="220"/>
      <c r="D2" s="272"/>
      <c r="E2" s="252"/>
      <c r="F2" s="252"/>
      <c r="G2" s="252"/>
      <c r="H2" s="252"/>
      <c r="I2" s="252"/>
      <c r="J2" s="252"/>
      <c r="K2" s="252"/>
      <c r="L2" s="273"/>
      <c r="M2" s="276" t="s">
        <v>3</v>
      </c>
      <c r="N2" s="273"/>
      <c r="O2" s="277">
        <v>1</v>
      </c>
      <c r="P2" s="268"/>
      <c r="Q2" s="13"/>
      <c r="R2" s="13"/>
      <c r="S2" s="13"/>
      <c r="T2" s="13"/>
      <c r="U2" s="13"/>
    </row>
    <row r="3" spans="1:21" ht="18.75" customHeight="1" x14ac:dyDescent="0.5">
      <c r="A3" s="212"/>
      <c r="B3" s="213"/>
      <c r="C3" s="220"/>
      <c r="D3" s="278" t="s">
        <v>189</v>
      </c>
      <c r="E3" s="250"/>
      <c r="F3" s="250"/>
      <c r="G3" s="250"/>
      <c r="H3" s="250"/>
      <c r="I3" s="250"/>
      <c r="J3" s="250"/>
      <c r="K3" s="250"/>
      <c r="L3" s="250"/>
      <c r="M3" s="276" t="s">
        <v>5</v>
      </c>
      <c r="N3" s="273"/>
      <c r="O3" s="274" t="s">
        <v>6</v>
      </c>
      <c r="P3" s="209"/>
      <c r="Q3" s="58"/>
      <c r="R3" s="58"/>
      <c r="S3" s="58"/>
      <c r="T3" s="58"/>
      <c r="U3" s="58"/>
    </row>
    <row r="4" spans="1:21" ht="15.75" customHeight="1" x14ac:dyDescent="0.45">
      <c r="A4" s="212"/>
      <c r="B4" s="213"/>
      <c r="C4" s="220"/>
      <c r="D4" s="271"/>
      <c r="E4" s="213"/>
      <c r="F4" s="213"/>
      <c r="G4" s="213"/>
      <c r="H4" s="213"/>
      <c r="I4" s="213"/>
      <c r="J4" s="213"/>
      <c r="K4" s="213"/>
      <c r="L4" s="213"/>
      <c r="M4" s="269" t="s">
        <v>7</v>
      </c>
      <c r="N4" s="270"/>
      <c r="O4" s="208" t="s">
        <v>8</v>
      </c>
      <c r="P4" s="209"/>
      <c r="Q4" s="13"/>
      <c r="R4" s="13"/>
      <c r="S4" s="13"/>
      <c r="T4" s="13"/>
      <c r="U4" s="13"/>
    </row>
    <row r="5" spans="1:21" ht="15.75" customHeight="1" x14ac:dyDescent="0.45">
      <c r="A5" s="308"/>
      <c r="B5" s="252"/>
      <c r="C5" s="273"/>
      <c r="D5" s="272"/>
      <c r="E5" s="252"/>
      <c r="F5" s="252"/>
      <c r="G5" s="252"/>
      <c r="H5" s="252"/>
      <c r="I5" s="252"/>
      <c r="J5" s="252"/>
      <c r="K5" s="252"/>
      <c r="L5" s="252"/>
      <c r="M5" s="272"/>
      <c r="N5" s="273"/>
      <c r="O5" s="210" t="s">
        <v>9</v>
      </c>
      <c r="P5" s="209"/>
      <c r="Q5" s="13"/>
      <c r="R5" s="13"/>
      <c r="S5" s="13"/>
      <c r="T5" s="13"/>
      <c r="U5" s="13"/>
    </row>
    <row r="6" spans="1:21" ht="12" customHeight="1" x14ac:dyDescent="0.45">
      <c r="A6" s="340"/>
      <c r="B6" s="252"/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13"/>
      <c r="R6" s="13"/>
      <c r="S6" s="13"/>
      <c r="T6" s="13"/>
      <c r="U6" s="13"/>
    </row>
    <row r="7" spans="1:21" ht="36" customHeight="1" x14ac:dyDescent="0.45">
      <c r="A7" s="313" t="s">
        <v>10</v>
      </c>
      <c r="B7" s="298"/>
      <c r="C7" s="298"/>
      <c r="D7" s="298"/>
      <c r="E7" s="315"/>
      <c r="F7" s="225" t="str">
        <f>OP!G9</f>
        <v>AZ HIBRID CLEAR</v>
      </c>
      <c r="G7" s="226"/>
      <c r="H7" s="226"/>
      <c r="I7" s="226"/>
      <c r="J7" s="226"/>
      <c r="K7" s="226"/>
      <c r="L7" s="226"/>
      <c r="M7" s="226"/>
      <c r="N7" s="226"/>
      <c r="O7" s="226"/>
      <c r="P7" s="209"/>
      <c r="Q7" s="13"/>
      <c r="R7" s="13"/>
      <c r="S7" s="13"/>
      <c r="T7" s="13"/>
      <c r="U7" s="13"/>
    </row>
    <row r="8" spans="1:21" ht="36" customHeight="1" x14ac:dyDescent="0.45">
      <c r="A8" s="341" t="s">
        <v>55</v>
      </c>
      <c r="B8" s="226"/>
      <c r="C8" s="226"/>
      <c r="D8" s="226"/>
      <c r="E8" s="227"/>
      <c r="F8" s="280" t="str">
        <f>OP!M10</f>
        <v>252591</v>
      </c>
      <c r="G8" s="227"/>
      <c r="H8" s="314" t="s">
        <v>190</v>
      </c>
      <c r="I8" s="298"/>
      <c r="J8" s="298"/>
      <c r="K8" s="298"/>
      <c r="L8" s="285"/>
      <c r="M8" s="264"/>
      <c r="N8" s="229" t="s">
        <v>191</v>
      </c>
      <c r="O8" s="227"/>
      <c r="P8" s="59"/>
      <c r="Q8" s="13"/>
      <c r="R8" s="13"/>
      <c r="S8" s="13"/>
      <c r="T8" s="13"/>
      <c r="U8" s="13"/>
    </row>
    <row r="9" spans="1:21" ht="36" customHeight="1" x14ac:dyDescent="0.45">
      <c r="A9" s="342" t="s">
        <v>192</v>
      </c>
      <c r="B9" s="238"/>
      <c r="C9" s="238"/>
      <c r="D9" s="238"/>
      <c r="E9" s="231"/>
      <c r="F9" s="225" t="str">
        <f>OP!M11</f>
        <v>OP-L-127</v>
      </c>
      <c r="G9" s="209"/>
      <c r="H9" s="343" t="s">
        <v>193</v>
      </c>
      <c r="I9" s="238"/>
      <c r="J9" s="238"/>
      <c r="K9" s="231"/>
      <c r="L9" s="344"/>
      <c r="M9" s="231"/>
      <c r="N9" s="345" t="s">
        <v>194</v>
      </c>
      <c r="O9" s="346"/>
      <c r="P9" s="60"/>
      <c r="Q9" s="13"/>
      <c r="R9" s="13"/>
      <c r="S9" s="13"/>
      <c r="T9" s="13"/>
      <c r="U9" s="13"/>
    </row>
    <row r="10" spans="1:21" ht="12" customHeight="1" x14ac:dyDescent="0.5">
      <c r="A10" s="347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20"/>
      <c r="Q10" s="58"/>
      <c r="R10" s="58"/>
      <c r="S10" s="58"/>
      <c r="T10" s="58"/>
      <c r="U10" s="58"/>
    </row>
    <row r="11" spans="1:21" ht="21" customHeight="1" x14ac:dyDescent="0.45">
      <c r="A11" s="350" t="s">
        <v>195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7"/>
      <c r="N11" s="292" t="s">
        <v>196</v>
      </c>
      <c r="O11" s="227"/>
      <c r="P11" s="61" t="s">
        <v>197</v>
      </c>
      <c r="Q11" s="13"/>
      <c r="R11" s="13"/>
      <c r="S11" s="13"/>
      <c r="T11" s="13"/>
      <c r="U11" s="13"/>
    </row>
    <row r="12" spans="1:21" ht="36.75" customHeight="1" x14ac:dyDescent="0.45">
      <c r="A12" s="351" t="s">
        <v>198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7"/>
      <c r="N12" s="333"/>
      <c r="O12" s="227"/>
      <c r="P12" s="62"/>
      <c r="Q12" s="13"/>
      <c r="R12" s="13"/>
      <c r="S12" s="13"/>
      <c r="T12" s="13"/>
      <c r="U12" s="13"/>
    </row>
    <row r="13" spans="1:21" ht="12" customHeight="1" x14ac:dyDescent="0.45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5"/>
      <c r="O13" s="65"/>
      <c r="P13" s="66"/>
      <c r="Q13" s="13"/>
      <c r="R13" s="13"/>
      <c r="S13" s="13"/>
      <c r="T13" s="13"/>
      <c r="U13" s="13"/>
    </row>
    <row r="14" spans="1:21" ht="18.75" customHeight="1" x14ac:dyDescent="0.45">
      <c r="A14" s="352" t="s">
        <v>199</v>
      </c>
      <c r="B14" s="238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64"/>
      <c r="Q14" s="13"/>
      <c r="R14" s="13"/>
      <c r="S14" s="13"/>
      <c r="T14" s="13"/>
      <c r="U14" s="13"/>
    </row>
    <row r="15" spans="1:21" ht="24.75" customHeight="1" x14ac:dyDescent="0.45">
      <c r="A15" s="353" t="s">
        <v>200</v>
      </c>
      <c r="B15" s="223"/>
      <c r="C15" s="223"/>
      <c r="D15" s="223"/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33"/>
      <c r="Q15" s="67"/>
      <c r="R15" s="67"/>
      <c r="S15" s="67"/>
      <c r="T15" s="67"/>
      <c r="U15" s="67"/>
    </row>
    <row r="16" spans="1:21" ht="27" customHeight="1" x14ac:dyDescent="0.45">
      <c r="A16" s="354" t="s">
        <v>201</v>
      </c>
      <c r="B16" s="227"/>
      <c r="C16" s="348" t="s">
        <v>202</v>
      </c>
      <c r="D16" s="226"/>
      <c r="E16" s="226"/>
      <c r="F16" s="226"/>
      <c r="G16" s="227"/>
      <c r="H16" s="348" t="s">
        <v>100</v>
      </c>
      <c r="I16" s="226"/>
      <c r="J16" s="227"/>
      <c r="K16" s="348" t="s">
        <v>101</v>
      </c>
      <c r="L16" s="227"/>
      <c r="M16" s="348" t="s">
        <v>12</v>
      </c>
      <c r="N16" s="227"/>
      <c r="O16" s="348" t="s">
        <v>203</v>
      </c>
      <c r="P16" s="209"/>
      <c r="Q16" s="67"/>
      <c r="R16" s="67"/>
      <c r="S16" s="67"/>
      <c r="T16" s="67"/>
      <c r="U16" s="67"/>
    </row>
    <row r="17" spans="1:21" ht="20.25" customHeight="1" x14ac:dyDescent="0.45">
      <c r="A17" s="321" t="str">
        <f>OP!G15</f>
        <v>MPAGUALI01</v>
      </c>
      <c r="B17" s="227"/>
      <c r="C17" s="355" t="str">
        <f>OP!B15</f>
        <v>AGUA DESIONIZADA</v>
      </c>
      <c r="D17" s="252"/>
      <c r="E17" s="252"/>
      <c r="F17" s="252"/>
      <c r="G17" s="273"/>
      <c r="H17" s="323">
        <f>OP!M15</f>
        <v>47.77</v>
      </c>
      <c r="I17" s="252"/>
      <c r="J17" s="273"/>
      <c r="K17" s="324">
        <f>OP!N15</f>
        <v>17197.199999999997</v>
      </c>
      <c r="L17" s="227"/>
      <c r="M17" s="289">
        <f>OP!J15</f>
        <v>20250915</v>
      </c>
      <c r="N17" s="227"/>
      <c r="O17" s="289"/>
      <c r="P17" s="209"/>
      <c r="Q17" s="67"/>
      <c r="R17" s="349"/>
      <c r="S17" s="213"/>
      <c r="T17" s="213"/>
      <c r="U17" s="68"/>
    </row>
    <row r="18" spans="1:21" ht="20.25" customHeight="1" x14ac:dyDescent="0.45">
      <c r="A18" s="321" t="str">
        <f>OP!G16</f>
        <v>MPCARBSO01</v>
      </c>
      <c r="B18" s="227"/>
      <c r="C18" s="355" t="str">
        <f>OP!B16</f>
        <v>CARBOPOL</v>
      </c>
      <c r="D18" s="252"/>
      <c r="E18" s="252"/>
      <c r="F18" s="252"/>
      <c r="G18" s="273"/>
      <c r="H18" s="323">
        <f>OP!M16</f>
        <v>0.2</v>
      </c>
      <c r="I18" s="252"/>
      <c r="J18" s="273"/>
      <c r="K18" s="324">
        <f>OP!N16</f>
        <v>72.000000000000014</v>
      </c>
      <c r="L18" s="227"/>
      <c r="M18" s="289">
        <f>OP!J16</f>
        <v>214016</v>
      </c>
      <c r="N18" s="227"/>
      <c r="O18" s="289"/>
      <c r="P18" s="209"/>
      <c r="Q18" s="67"/>
      <c r="R18" s="349"/>
      <c r="S18" s="213"/>
      <c r="T18" s="213"/>
      <c r="U18" s="44"/>
    </row>
    <row r="19" spans="1:21" ht="20.25" customHeight="1" x14ac:dyDescent="0.45">
      <c r="A19" s="321" t="str">
        <f>OP!G17</f>
        <v>MPGOXASO01</v>
      </c>
      <c r="B19" s="227"/>
      <c r="C19" s="355" t="str">
        <f>OP!B17</f>
        <v>GOMA XANTAN</v>
      </c>
      <c r="D19" s="252"/>
      <c r="E19" s="252"/>
      <c r="F19" s="252"/>
      <c r="G19" s="273"/>
      <c r="H19" s="323">
        <f>OP!M17</f>
        <v>0.1</v>
      </c>
      <c r="I19" s="252"/>
      <c r="J19" s="273"/>
      <c r="K19" s="324">
        <f>OP!N17</f>
        <v>36.000000000000007</v>
      </c>
      <c r="L19" s="227"/>
      <c r="M19" s="289">
        <f>OP!J17</f>
        <v>520241101004</v>
      </c>
      <c r="N19" s="227"/>
      <c r="O19" s="289"/>
      <c r="P19" s="209"/>
      <c r="Q19" s="67"/>
      <c r="R19" s="349"/>
      <c r="S19" s="213"/>
      <c r="T19" s="213"/>
      <c r="U19" s="44"/>
    </row>
    <row r="20" spans="1:21" ht="20.25" customHeight="1" x14ac:dyDescent="0.45">
      <c r="A20" s="321" t="str">
        <f>OP!G18</f>
        <v>MPEDDISO01</v>
      </c>
      <c r="B20" s="227"/>
      <c r="C20" s="325" t="str">
        <f>OP!B18</f>
        <v>EDTA DISODICO</v>
      </c>
      <c r="D20" s="252"/>
      <c r="E20" s="252"/>
      <c r="F20" s="252"/>
      <c r="G20" s="273"/>
      <c r="H20" s="323">
        <f>OP!M18</f>
        <v>0.05</v>
      </c>
      <c r="I20" s="252"/>
      <c r="J20" s="273"/>
      <c r="K20" s="324">
        <f>OP!N18</f>
        <v>18.000000000000004</v>
      </c>
      <c r="L20" s="227"/>
      <c r="M20" s="289">
        <f>OP!J18</f>
        <v>20240815</v>
      </c>
      <c r="N20" s="227"/>
      <c r="O20" s="289"/>
      <c r="P20" s="209"/>
      <c r="Q20" s="67"/>
      <c r="R20" s="349"/>
      <c r="S20" s="213"/>
      <c r="T20" s="213"/>
      <c r="U20" s="44"/>
    </row>
    <row r="21" spans="1:21" ht="20.25" customHeight="1" x14ac:dyDescent="0.45">
      <c r="A21" s="321" t="str">
        <f>OP!G19</f>
        <v>MPTRIELO01</v>
      </c>
      <c r="B21" s="227"/>
      <c r="C21" s="325" t="str">
        <f>OP!B19</f>
        <v>TRIETANOLAMINA 85%</v>
      </c>
      <c r="D21" s="252"/>
      <c r="E21" s="252"/>
      <c r="F21" s="252"/>
      <c r="G21" s="273"/>
      <c r="H21" s="323">
        <f>OP!M19</f>
        <v>1.25</v>
      </c>
      <c r="I21" s="252"/>
      <c r="J21" s="273"/>
      <c r="K21" s="324">
        <f>OP!N19</f>
        <v>450</v>
      </c>
      <c r="L21" s="227"/>
      <c r="M21" s="289" t="str">
        <f>OP!J19</f>
        <v>DIR-152124</v>
      </c>
      <c r="N21" s="227"/>
      <c r="O21" s="289"/>
      <c r="P21" s="209"/>
      <c r="Q21" s="67"/>
      <c r="R21" s="349"/>
      <c r="S21" s="213"/>
      <c r="T21" s="213"/>
      <c r="U21" s="44"/>
    </row>
    <row r="22" spans="1:21" ht="20.25" customHeight="1" x14ac:dyDescent="0.45">
      <c r="A22" s="321" t="str">
        <f>OP!G20</f>
        <v>MPPROLISO01</v>
      </c>
      <c r="B22" s="227"/>
      <c r="C22" s="325" t="str">
        <f>OP!B20</f>
        <v>PROPILENGLICOL</v>
      </c>
      <c r="D22" s="252"/>
      <c r="E22" s="252"/>
      <c r="F22" s="252"/>
      <c r="G22" s="273"/>
      <c r="H22" s="323">
        <f>OP!M20</f>
        <v>20</v>
      </c>
      <c r="I22" s="252"/>
      <c r="J22" s="273"/>
      <c r="K22" s="324">
        <f>OP!N20</f>
        <v>7200</v>
      </c>
      <c r="L22" s="227"/>
      <c r="M22" s="289" t="str">
        <f>OP!J20</f>
        <v>LYPH250515</v>
      </c>
      <c r="N22" s="227"/>
      <c r="O22" s="289"/>
      <c r="P22" s="209"/>
      <c r="Q22" s="67"/>
      <c r="R22" s="356"/>
      <c r="S22" s="213"/>
      <c r="T22" s="213"/>
      <c r="U22" s="44"/>
    </row>
    <row r="23" spans="1:21" ht="20.25" customHeight="1" x14ac:dyDescent="0.45">
      <c r="A23" s="321" t="str">
        <f>OP!G21</f>
        <v>MPACCASAS01</v>
      </c>
      <c r="B23" s="227"/>
      <c r="C23" s="325" t="str">
        <f>OP!B21</f>
        <v>ACIDO CAPRILOIL SALICILICO</v>
      </c>
      <c r="D23" s="252"/>
      <c r="E23" s="252"/>
      <c r="F23" s="252"/>
      <c r="G23" s="273"/>
      <c r="H23" s="323">
        <f>OP!M21</f>
        <v>0.5</v>
      </c>
      <c r="I23" s="252"/>
      <c r="J23" s="273"/>
      <c r="K23" s="324">
        <f>OP!N21</f>
        <v>180</v>
      </c>
      <c r="L23" s="227"/>
      <c r="M23" s="289" t="str">
        <f>OP!J21</f>
        <v>YT20250625</v>
      </c>
      <c r="N23" s="227"/>
      <c r="O23" s="289"/>
      <c r="P23" s="209"/>
      <c r="Q23" s="67"/>
      <c r="R23" s="349"/>
      <c r="S23" s="213"/>
      <c r="T23" s="213"/>
      <c r="U23" s="44"/>
    </row>
    <row r="24" spans="1:21" ht="20.25" customHeight="1" x14ac:dyDescent="0.45">
      <c r="A24" s="321" t="str">
        <f>OP!G22</f>
        <v>MPACAZSO01</v>
      </c>
      <c r="B24" s="227"/>
      <c r="C24" s="325" t="str">
        <f>OP!B22</f>
        <v>ACIDO AZELAICO</v>
      </c>
      <c r="D24" s="252"/>
      <c r="E24" s="252"/>
      <c r="F24" s="252"/>
      <c r="G24" s="273"/>
      <c r="H24" s="323">
        <f>OP!M22</f>
        <v>6</v>
      </c>
      <c r="I24" s="252"/>
      <c r="J24" s="273"/>
      <c r="K24" s="324">
        <f>OP!N22</f>
        <v>2160</v>
      </c>
      <c r="L24" s="227"/>
      <c r="M24" s="289" t="str">
        <f>OP!J22</f>
        <v>YT-20241217</v>
      </c>
      <c r="N24" s="227"/>
      <c r="O24" s="289"/>
      <c r="P24" s="209"/>
      <c r="Q24" s="67"/>
      <c r="R24" s="349"/>
      <c r="S24" s="213"/>
      <c r="T24" s="213"/>
      <c r="U24" s="44"/>
    </row>
    <row r="25" spans="1:21" ht="20.25" customHeight="1" x14ac:dyDescent="0.45">
      <c r="A25" s="321" t="str">
        <f>OP!G23</f>
        <v>MPHIDSOLI01</v>
      </c>
      <c r="B25" s="227"/>
      <c r="C25" s="325" t="str">
        <f>OP!B23</f>
        <v>HIDROXIDO DE SODIO (SODA CAUSTICA)</v>
      </c>
      <c r="D25" s="252"/>
      <c r="E25" s="252"/>
      <c r="F25" s="252"/>
      <c r="G25" s="273"/>
      <c r="H25" s="323">
        <f>OP!M23</f>
        <v>0.95</v>
      </c>
      <c r="I25" s="252"/>
      <c r="J25" s="273"/>
      <c r="K25" s="324">
        <f>OP!N23</f>
        <v>341.99999999999994</v>
      </c>
      <c r="L25" s="227"/>
      <c r="M25" s="289">
        <f>OP!J23</f>
        <v>77480528</v>
      </c>
      <c r="N25" s="227"/>
      <c r="O25" s="289"/>
      <c r="P25" s="209"/>
      <c r="Q25" s="67"/>
      <c r="R25" s="349"/>
      <c r="S25" s="213"/>
      <c r="T25" s="213"/>
      <c r="U25" s="44"/>
    </row>
    <row r="26" spans="1:21" ht="20.25" customHeight="1" x14ac:dyDescent="0.45">
      <c r="A26" s="321" t="str">
        <f>OP!G24</f>
        <v>MPAZDISO01</v>
      </c>
      <c r="B26" s="227"/>
      <c r="C26" s="325" t="str">
        <f>OP!B24</f>
        <v>AZELOLIL DIGLICINATO DE POTASIO</v>
      </c>
      <c r="D26" s="252"/>
      <c r="E26" s="252"/>
      <c r="F26" s="252"/>
      <c r="G26" s="273"/>
      <c r="H26" s="323">
        <f>OP!M24</f>
        <v>5</v>
      </c>
      <c r="I26" s="252"/>
      <c r="J26" s="273"/>
      <c r="K26" s="324">
        <f>OP!N24</f>
        <v>1800</v>
      </c>
      <c r="L26" s="227"/>
      <c r="M26" s="289" t="str">
        <f>OP!J24</f>
        <v>YT-20250624</v>
      </c>
      <c r="N26" s="227"/>
      <c r="O26" s="289"/>
      <c r="P26" s="209"/>
      <c r="Q26" s="67"/>
      <c r="R26" s="349"/>
      <c r="S26" s="213"/>
      <c r="T26" s="213"/>
      <c r="U26" s="44"/>
    </row>
    <row r="27" spans="1:21" ht="20.25" customHeight="1" x14ac:dyDescent="0.45">
      <c r="A27" s="321" t="str">
        <f>OP!G25</f>
        <v>MPAZEDILO01</v>
      </c>
      <c r="B27" s="227"/>
      <c r="C27" s="325" t="str">
        <f>OP!B25</f>
        <v>EPI-ON (AZELAMIDOPROPIL DIMETIL AMINA)</v>
      </c>
      <c r="D27" s="252"/>
      <c r="E27" s="252"/>
      <c r="F27" s="252"/>
      <c r="G27" s="273"/>
      <c r="H27" s="323">
        <f>OP!M25</f>
        <v>4</v>
      </c>
      <c r="I27" s="252"/>
      <c r="J27" s="273"/>
      <c r="K27" s="324">
        <f>OP!N25</f>
        <v>1440</v>
      </c>
      <c r="L27" s="227"/>
      <c r="M27" s="289" t="str">
        <f>OP!J25</f>
        <v>AR198401</v>
      </c>
      <c r="N27" s="227"/>
      <c r="O27" s="289"/>
      <c r="P27" s="209"/>
      <c r="Q27" s="67"/>
      <c r="R27" s="356"/>
      <c r="S27" s="213"/>
      <c r="T27" s="213"/>
      <c r="U27" s="44"/>
    </row>
    <row r="28" spans="1:21" ht="20.25" customHeight="1" x14ac:dyDescent="0.45">
      <c r="A28" s="321" t="str">
        <f>OP!G26</f>
        <v>MPNIACSO01</v>
      </c>
      <c r="B28" s="227"/>
      <c r="C28" s="325" t="str">
        <f>OP!B26</f>
        <v xml:space="preserve">NIACINAMIDA </v>
      </c>
      <c r="D28" s="252"/>
      <c r="E28" s="252"/>
      <c r="F28" s="252"/>
      <c r="G28" s="273"/>
      <c r="H28" s="323">
        <f>OP!M26</f>
        <v>5</v>
      </c>
      <c r="I28" s="252"/>
      <c r="J28" s="273"/>
      <c r="K28" s="324">
        <f>OP!N26</f>
        <v>1800</v>
      </c>
      <c r="L28" s="227"/>
      <c r="M28" s="289" t="str">
        <f>OP!J26</f>
        <v>LYPH250726</v>
      </c>
      <c r="N28" s="227"/>
      <c r="O28" s="289"/>
      <c r="P28" s="209"/>
      <c r="Q28" s="67"/>
      <c r="R28" s="356"/>
      <c r="S28" s="213"/>
      <c r="T28" s="213"/>
      <c r="U28" s="44"/>
    </row>
    <row r="29" spans="1:21" ht="23.25" customHeight="1" x14ac:dyDescent="0.45">
      <c r="A29" s="321" t="str">
        <f>OP!G27</f>
        <v>MPACTRSO01</v>
      </c>
      <c r="B29" s="227"/>
      <c r="C29" s="339" t="str">
        <f>OP!B27</f>
        <v>ACIDO TRANEXAMICO</v>
      </c>
      <c r="D29" s="252"/>
      <c r="E29" s="252"/>
      <c r="F29" s="252"/>
      <c r="G29" s="273"/>
      <c r="H29" s="323">
        <f>OP!M27</f>
        <v>3</v>
      </c>
      <c r="I29" s="252"/>
      <c r="J29" s="273"/>
      <c r="K29" s="324">
        <f>OP!N27</f>
        <v>1080</v>
      </c>
      <c r="L29" s="227"/>
      <c r="M29" s="289" t="str">
        <f>OP!J27</f>
        <v>LYPH250618</v>
      </c>
      <c r="N29" s="227"/>
      <c r="O29" s="289"/>
      <c r="P29" s="209"/>
      <c r="Q29" s="69"/>
      <c r="R29" s="70"/>
      <c r="S29" s="44"/>
      <c r="T29" s="44"/>
      <c r="U29" s="44"/>
    </row>
    <row r="30" spans="1:21" ht="23.25" customHeight="1" x14ac:dyDescent="0.45">
      <c r="A30" s="321" t="str">
        <f>OP!G28</f>
        <v>MPFOASSO01</v>
      </c>
      <c r="B30" s="227"/>
      <c r="C30" s="325" t="str">
        <f>OP!B28</f>
        <v>FOSFATO DE ASCORBILO SODICO</v>
      </c>
      <c r="D30" s="252"/>
      <c r="E30" s="252"/>
      <c r="F30" s="252"/>
      <c r="G30" s="273"/>
      <c r="H30" s="323">
        <f>OP!M28</f>
        <v>2</v>
      </c>
      <c r="I30" s="252"/>
      <c r="J30" s="273"/>
      <c r="K30" s="324">
        <f>OP!N28</f>
        <v>720</v>
      </c>
      <c r="L30" s="227"/>
      <c r="M30" s="289" t="str">
        <f>OP!J28</f>
        <v>YT-20250317</v>
      </c>
      <c r="N30" s="227"/>
      <c r="O30" s="289"/>
      <c r="P30" s="209"/>
      <c r="Q30" s="69"/>
      <c r="R30" s="70"/>
      <c r="S30" s="44"/>
      <c r="T30" s="44"/>
      <c r="U30" s="44"/>
    </row>
    <row r="31" spans="1:21" ht="23.25" customHeight="1" x14ac:dyDescent="0.45">
      <c r="A31" s="321" t="str">
        <f>OP!G29</f>
        <v>MPZINPCASO1</v>
      </c>
      <c r="B31" s="227"/>
      <c r="C31" s="325" t="str">
        <f>OP!B29</f>
        <v>ZINC PCA</v>
      </c>
      <c r="D31" s="252"/>
      <c r="E31" s="252"/>
      <c r="F31" s="252"/>
      <c r="G31" s="273"/>
      <c r="H31" s="323">
        <f>OP!M29</f>
        <v>0.5</v>
      </c>
      <c r="I31" s="252"/>
      <c r="J31" s="273"/>
      <c r="K31" s="324">
        <f>OP!N29</f>
        <v>180</v>
      </c>
      <c r="L31" s="227"/>
      <c r="M31" s="289" t="str">
        <f>OP!J29</f>
        <v>2212343ZNB</v>
      </c>
      <c r="N31" s="227"/>
      <c r="O31" s="289"/>
      <c r="P31" s="209"/>
      <c r="Q31" s="69"/>
      <c r="R31" s="70"/>
      <c r="S31" s="44"/>
      <c r="T31" s="44"/>
      <c r="U31" s="44"/>
    </row>
    <row r="32" spans="1:21" ht="23.25" customHeight="1" x14ac:dyDescent="0.45">
      <c r="A32" s="321" t="str">
        <f>OP!G30</f>
        <v>MPACHISO01</v>
      </c>
      <c r="B32" s="227"/>
      <c r="C32" s="325" t="str">
        <f>OP!B30</f>
        <v>ACIDO HIALURONICO 50 KD</v>
      </c>
      <c r="D32" s="252"/>
      <c r="E32" s="252"/>
      <c r="F32" s="252"/>
      <c r="G32" s="273"/>
      <c r="H32" s="323">
        <f>OP!M30</f>
        <v>0.05</v>
      </c>
      <c r="I32" s="252"/>
      <c r="J32" s="273"/>
      <c r="K32" s="324">
        <f>OP!N30</f>
        <v>18.000000000000004</v>
      </c>
      <c r="L32" s="227"/>
      <c r="M32" s="289" t="str">
        <f>OP!J30</f>
        <v>YT-HA20250622</v>
      </c>
      <c r="N32" s="227"/>
      <c r="O32" s="289"/>
      <c r="P32" s="209"/>
      <c r="Q32" s="69"/>
      <c r="R32" s="70"/>
      <c r="S32" s="44"/>
      <c r="T32" s="44"/>
      <c r="U32" s="44"/>
    </row>
    <row r="33" spans="1:21" ht="23.25" customHeight="1" x14ac:dyDescent="0.45">
      <c r="A33" s="321" t="str">
        <f>OP!G31</f>
        <v>MPACHISO02</v>
      </c>
      <c r="B33" s="227"/>
      <c r="C33" s="325" t="str">
        <f>OP!B31</f>
        <v>ACIDO HIALURONICO 300 KD</v>
      </c>
      <c r="D33" s="252"/>
      <c r="E33" s="252"/>
      <c r="F33" s="252"/>
      <c r="G33" s="273"/>
      <c r="H33" s="323">
        <f>OP!M31</f>
        <v>0.05</v>
      </c>
      <c r="I33" s="252"/>
      <c r="J33" s="273"/>
      <c r="K33" s="324">
        <f>OP!N31</f>
        <v>18.000000000000004</v>
      </c>
      <c r="L33" s="227"/>
      <c r="M33" s="289" t="str">
        <f>OP!J31</f>
        <v>YT-HA20250326</v>
      </c>
      <c r="N33" s="227"/>
      <c r="O33" s="289"/>
      <c r="P33" s="209"/>
      <c r="Q33" s="69"/>
      <c r="R33" s="70"/>
      <c r="S33" s="44"/>
      <c r="T33" s="44"/>
      <c r="U33" s="44"/>
    </row>
    <row r="34" spans="1:21" ht="23.25" customHeight="1" x14ac:dyDescent="0.45">
      <c r="A34" s="321" t="str">
        <f>OP!G32</f>
        <v>MPPANTSO01</v>
      </c>
      <c r="B34" s="227"/>
      <c r="C34" s="325" t="str">
        <f>OP!B32</f>
        <v>PANTENOL POLVO</v>
      </c>
      <c r="D34" s="252"/>
      <c r="E34" s="252"/>
      <c r="F34" s="252"/>
      <c r="G34" s="273"/>
      <c r="H34" s="323">
        <f>OP!M32</f>
        <v>0.05</v>
      </c>
      <c r="I34" s="252"/>
      <c r="J34" s="273"/>
      <c r="K34" s="324">
        <f>OP!N32</f>
        <v>18.000000000000004</v>
      </c>
      <c r="L34" s="227"/>
      <c r="M34" s="289" t="str">
        <f>OP!J32</f>
        <v>YT-20250402</v>
      </c>
      <c r="N34" s="227"/>
      <c r="O34" s="289"/>
      <c r="P34" s="209"/>
      <c r="Q34" s="69"/>
      <c r="R34" s="70"/>
      <c r="S34" s="44"/>
      <c r="T34" s="44"/>
      <c r="U34" s="44"/>
    </row>
    <row r="35" spans="1:21" ht="23.25" customHeight="1" x14ac:dyDescent="0.45">
      <c r="A35" s="321" t="str">
        <f>OP!G33</f>
        <v>MPECTOSO01</v>
      </c>
      <c r="B35" s="227"/>
      <c r="C35" s="322" t="str">
        <f>OP!B33</f>
        <v>ECTOINA</v>
      </c>
      <c r="D35" s="252"/>
      <c r="E35" s="252"/>
      <c r="F35" s="252"/>
      <c r="G35" s="273"/>
      <c r="H35" s="323">
        <f>OP!M33</f>
        <v>0.1</v>
      </c>
      <c r="I35" s="252"/>
      <c r="J35" s="273"/>
      <c r="K35" s="324">
        <f>OP!N33</f>
        <v>36.000000000000007</v>
      </c>
      <c r="L35" s="227"/>
      <c r="M35" s="289" t="str">
        <f>OP!J33</f>
        <v>YT-20250123</v>
      </c>
      <c r="N35" s="227"/>
      <c r="O35" s="289"/>
      <c r="P35" s="209"/>
      <c r="Q35" s="69"/>
      <c r="R35" s="70"/>
      <c r="S35" s="44"/>
      <c r="T35" s="44"/>
      <c r="U35" s="44"/>
    </row>
    <row r="36" spans="1:21" ht="23.25" customHeight="1" x14ac:dyDescent="0.45">
      <c r="A36" s="321" t="str">
        <f>OP!G34</f>
        <v>MPBETASO02</v>
      </c>
      <c r="B36" s="227"/>
      <c r="C36" s="322" t="str">
        <f>OP!B34</f>
        <v>BETAINA</v>
      </c>
      <c r="D36" s="252"/>
      <c r="E36" s="252"/>
      <c r="F36" s="252"/>
      <c r="G36" s="273"/>
      <c r="H36" s="323">
        <f>OP!M34</f>
        <v>0.05</v>
      </c>
      <c r="I36" s="252"/>
      <c r="J36" s="273"/>
      <c r="K36" s="324">
        <f>OP!N34</f>
        <v>18.000000000000004</v>
      </c>
      <c r="L36" s="227"/>
      <c r="M36" s="289" t="str">
        <f>OP!J34</f>
        <v>YT-20240405</v>
      </c>
      <c r="N36" s="227"/>
      <c r="O36" s="289"/>
      <c r="P36" s="209"/>
      <c r="Q36" s="69"/>
      <c r="R36" s="70"/>
      <c r="S36" s="44"/>
      <c r="T36" s="44"/>
      <c r="U36" s="44"/>
    </row>
    <row r="37" spans="1:21" ht="23.25" customHeight="1" x14ac:dyDescent="0.45">
      <c r="A37" s="321" t="str">
        <f>OP!G35</f>
        <v>MPTERSSO01</v>
      </c>
      <c r="B37" s="227"/>
      <c r="C37" s="322" t="str">
        <f>OP!B35</f>
        <v>TERPENOS SOLUBLES 80%</v>
      </c>
      <c r="D37" s="252"/>
      <c r="E37" s="252"/>
      <c r="F37" s="252"/>
      <c r="G37" s="273"/>
      <c r="H37" s="323">
        <f>OP!M35</f>
        <v>0.05</v>
      </c>
      <c r="I37" s="252"/>
      <c r="J37" s="273"/>
      <c r="K37" s="324">
        <f>OP!N35</f>
        <v>18.000000000000004</v>
      </c>
      <c r="L37" s="227"/>
      <c r="M37" s="289" t="str">
        <f>OP!J35</f>
        <v>YT-20250123</v>
      </c>
      <c r="N37" s="227"/>
      <c r="O37" s="289"/>
      <c r="P37" s="209"/>
      <c r="Q37" s="69"/>
      <c r="R37" s="70"/>
      <c r="S37" s="44"/>
      <c r="T37" s="44"/>
      <c r="U37" s="44"/>
    </row>
    <row r="38" spans="1:21" ht="23.25" customHeight="1" x14ac:dyDescent="0.45">
      <c r="A38" s="321" t="str">
        <f>OP!G36</f>
        <v>MPFISOSO01</v>
      </c>
      <c r="B38" s="227"/>
      <c r="C38" s="322" t="str">
        <f>OP!B36</f>
        <v>FITATO DE SODIO</v>
      </c>
      <c r="D38" s="252"/>
      <c r="E38" s="252"/>
      <c r="F38" s="252"/>
      <c r="G38" s="273"/>
      <c r="H38" s="323">
        <f>OP!M36</f>
        <v>0.03</v>
      </c>
      <c r="I38" s="252"/>
      <c r="J38" s="273"/>
      <c r="K38" s="324">
        <f>OP!N36</f>
        <v>10.8</v>
      </c>
      <c r="L38" s="227"/>
      <c r="M38" s="289" t="str">
        <f>OP!J36</f>
        <v>YT-20250606</v>
      </c>
      <c r="N38" s="227"/>
      <c r="O38" s="289"/>
      <c r="P38" s="209"/>
      <c r="Q38" s="69"/>
      <c r="R38" s="70"/>
      <c r="S38" s="44"/>
      <c r="T38" s="44"/>
      <c r="U38" s="44"/>
    </row>
    <row r="39" spans="1:21" ht="23.25" customHeight="1" x14ac:dyDescent="0.45">
      <c r="A39" s="321" t="str">
        <f>OP!G37</f>
        <v>MPACETETSO01</v>
      </c>
      <c r="B39" s="227"/>
      <c r="C39" s="325" t="str">
        <f>OP!B37</f>
        <v>ACETYL TETRAPEPTIDE-40</v>
      </c>
      <c r="D39" s="252"/>
      <c r="E39" s="252"/>
      <c r="F39" s="252"/>
      <c r="G39" s="273"/>
      <c r="H39" s="323">
        <f>OP!M37</f>
        <v>3.0000000000000001E-3</v>
      </c>
      <c r="I39" s="252"/>
      <c r="J39" s="273"/>
      <c r="K39" s="324">
        <f>OP!N37</f>
        <v>1.08</v>
      </c>
      <c r="L39" s="227"/>
      <c r="M39" s="289" t="str">
        <f>OP!J37</f>
        <v>LYPH250717</v>
      </c>
      <c r="N39" s="227"/>
      <c r="O39" s="289"/>
      <c r="P39" s="209"/>
      <c r="Q39" s="69"/>
      <c r="R39" s="70"/>
      <c r="S39" s="44"/>
      <c r="T39" s="44"/>
      <c r="U39" s="44"/>
    </row>
    <row r="40" spans="1:21" ht="23.25" customHeight="1" x14ac:dyDescent="0.45">
      <c r="A40" s="321" t="str">
        <f>OP!G38</f>
        <v>MPHEXDILI01</v>
      </c>
      <c r="B40" s="227"/>
      <c r="C40" s="325" t="str">
        <f>OP!B38</f>
        <v>1,2 HEXANEDIOL</v>
      </c>
      <c r="D40" s="252"/>
      <c r="E40" s="252"/>
      <c r="F40" s="252"/>
      <c r="G40" s="273"/>
      <c r="H40" s="323">
        <f>OP!M38</f>
        <v>0.5</v>
      </c>
      <c r="I40" s="252"/>
      <c r="J40" s="273"/>
      <c r="K40" s="324">
        <f>OP!N38</f>
        <v>180</v>
      </c>
      <c r="L40" s="227"/>
      <c r="M40" s="289" t="str">
        <f>OP!J38</f>
        <v>YT-20250504</v>
      </c>
      <c r="N40" s="227"/>
      <c r="O40" s="289"/>
      <c r="P40" s="209"/>
      <c r="Q40" s="69"/>
      <c r="R40" s="70"/>
      <c r="S40" s="44"/>
      <c r="T40" s="44"/>
      <c r="U40" s="44"/>
    </row>
    <row r="41" spans="1:21" ht="23.25" customHeight="1" x14ac:dyDescent="0.45">
      <c r="A41" s="321" t="str">
        <f>OP!G39</f>
        <v>MPVITESO01</v>
      </c>
      <c r="B41" s="227"/>
      <c r="C41" s="325" t="str">
        <f>OP!B39</f>
        <v>VITAMINA E POLVO</v>
      </c>
      <c r="D41" s="252"/>
      <c r="E41" s="252"/>
      <c r="F41" s="252"/>
      <c r="G41" s="273"/>
      <c r="H41" s="323">
        <f>OP!M39</f>
        <v>0.8</v>
      </c>
      <c r="I41" s="252"/>
      <c r="J41" s="273"/>
      <c r="K41" s="324">
        <f>OP!N39</f>
        <v>288.00000000000006</v>
      </c>
      <c r="L41" s="227"/>
      <c r="M41" s="289" t="str">
        <f>OP!J39</f>
        <v>022411A014</v>
      </c>
      <c r="N41" s="227"/>
      <c r="O41" s="289"/>
      <c r="P41" s="209"/>
      <c r="Q41" s="69"/>
      <c r="R41" s="70"/>
      <c r="S41" s="44"/>
      <c r="T41" s="44"/>
      <c r="U41" s="44"/>
    </row>
    <row r="42" spans="1:21" ht="23.25" customHeight="1" x14ac:dyDescent="0.45">
      <c r="A42" s="321" t="str">
        <f>OP!G40</f>
        <v>MPGRANLI01</v>
      </c>
      <c r="B42" s="227"/>
      <c r="C42" s="325" t="str">
        <f>OP!B40</f>
        <v>GRANSIL VX419</v>
      </c>
      <c r="D42" s="252"/>
      <c r="E42" s="252"/>
      <c r="F42" s="252"/>
      <c r="G42" s="273"/>
      <c r="H42" s="323">
        <f>OP!M40</f>
        <v>1</v>
      </c>
      <c r="I42" s="252"/>
      <c r="J42" s="273"/>
      <c r="K42" s="324">
        <f>OP!N40</f>
        <v>360</v>
      </c>
      <c r="L42" s="227"/>
      <c r="M42" s="289" t="str">
        <f>OP!J40</f>
        <v>980305S1125</v>
      </c>
      <c r="N42" s="227"/>
      <c r="O42" s="289"/>
      <c r="P42" s="209"/>
      <c r="Q42" s="69"/>
      <c r="R42" s="70"/>
      <c r="S42" s="44"/>
      <c r="T42" s="44"/>
      <c r="U42" s="44"/>
    </row>
    <row r="43" spans="1:21" ht="23.25" customHeight="1" x14ac:dyDescent="0.45">
      <c r="A43" s="321">
        <f>OP!R40</f>
        <v>0</v>
      </c>
      <c r="B43" s="227"/>
      <c r="C43" s="325" t="str">
        <f>OP!B41</f>
        <v>BIOSURE FE</v>
      </c>
      <c r="D43" s="252"/>
      <c r="E43" s="252"/>
      <c r="F43" s="252"/>
      <c r="G43" s="273"/>
      <c r="H43" s="323">
        <f>OP!M41</f>
        <v>1</v>
      </c>
      <c r="I43" s="252"/>
      <c r="J43" s="273"/>
      <c r="K43" s="324">
        <f>OP!N41</f>
        <v>360</v>
      </c>
      <c r="L43" s="227"/>
      <c r="M43" s="289">
        <f>OP!J41</f>
        <v>250127005</v>
      </c>
      <c r="N43" s="227"/>
      <c r="O43" s="289"/>
      <c r="P43" s="209"/>
      <c r="Q43" s="69"/>
      <c r="R43" s="70"/>
      <c r="S43" s="44"/>
      <c r="T43" s="44"/>
      <c r="U43" s="44"/>
    </row>
    <row r="44" spans="1:21" ht="42.75" customHeight="1" x14ac:dyDescent="0.45">
      <c r="A44" s="326" t="s">
        <v>204</v>
      </c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01"/>
      <c r="Q44" s="69"/>
      <c r="R44" s="70"/>
      <c r="S44" s="44"/>
      <c r="T44" s="44"/>
      <c r="U44" s="44"/>
    </row>
    <row r="45" spans="1:21" ht="38.25" customHeight="1" x14ac:dyDescent="0.45">
      <c r="A45" s="212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01"/>
      <c r="Q45" s="13"/>
      <c r="R45" s="13"/>
      <c r="S45" s="13"/>
      <c r="T45" s="13"/>
      <c r="U45" s="13"/>
    </row>
    <row r="46" spans="1:21" ht="12" customHeight="1" x14ac:dyDescent="0.45">
      <c r="A46" s="206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07"/>
      <c r="Q46" s="13"/>
      <c r="R46" s="13"/>
      <c r="S46" s="13"/>
      <c r="T46" s="13"/>
      <c r="U46" s="13"/>
    </row>
    <row r="47" spans="1:21" ht="36" customHeight="1" x14ac:dyDescent="0.45">
      <c r="A47" s="327" t="s">
        <v>205</v>
      </c>
      <c r="B47" s="223"/>
      <c r="C47" s="224"/>
      <c r="D47" s="328"/>
      <c r="E47" s="223"/>
      <c r="F47" s="223"/>
      <c r="G47" s="223"/>
      <c r="H47" s="71"/>
      <c r="I47" s="71"/>
      <c r="J47" s="71"/>
      <c r="K47" s="329" t="s">
        <v>206</v>
      </c>
      <c r="L47" s="224"/>
      <c r="M47" s="330"/>
      <c r="N47" s="223"/>
      <c r="O47" s="223"/>
      <c r="P47" s="233"/>
      <c r="Q47" s="13"/>
      <c r="R47" s="13"/>
      <c r="S47" s="13"/>
      <c r="T47" s="13"/>
      <c r="U47" s="13"/>
    </row>
    <row r="48" spans="1:21" ht="36" customHeight="1" x14ac:dyDescent="0.45">
      <c r="A48" s="331" t="s">
        <v>207</v>
      </c>
      <c r="B48" s="226"/>
      <c r="C48" s="227"/>
      <c r="D48" s="72"/>
      <c r="E48" s="72"/>
      <c r="F48" s="72"/>
      <c r="G48" s="72"/>
      <c r="H48" s="64"/>
      <c r="I48" s="64"/>
      <c r="J48" s="64"/>
      <c r="K48" s="332" t="s">
        <v>207</v>
      </c>
      <c r="L48" s="227"/>
      <c r="M48" s="333"/>
      <c r="N48" s="226"/>
      <c r="O48" s="226"/>
      <c r="P48" s="209"/>
      <c r="Q48" s="13"/>
      <c r="R48" s="13"/>
      <c r="S48" s="13"/>
      <c r="T48" s="13"/>
      <c r="U48" s="13"/>
    </row>
    <row r="49" spans="1:21" ht="36" customHeight="1" x14ac:dyDescent="0.45">
      <c r="A49" s="335" t="s">
        <v>208</v>
      </c>
      <c r="B49" s="238"/>
      <c r="C49" s="231"/>
      <c r="D49" s="336"/>
      <c r="E49" s="238"/>
      <c r="F49" s="238"/>
      <c r="G49" s="238"/>
      <c r="H49" s="238"/>
      <c r="I49" s="238"/>
      <c r="J49" s="231"/>
      <c r="K49" s="337" t="s">
        <v>208</v>
      </c>
      <c r="L49" s="240"/>
      <c r="M49" s="338"/>
      <c r="N49" s="238"/>
      <c r="O49" s="238"/>
      <c r="P49" s="264"/>
      <c r="Q49" s="13"/>
      <c r="R49" s="13"/>
      <c r="S49" s="13"/>
      <c r="T49" s="13"/>
      <c r="U49" s="13"/>
    </row>
    <row r="50" spans="1:21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73"/>
      <c r="L50" s="73"/>
      <c r="M50" s="334"/>
      <c r="N50" s="213"/>
      <c r="O50" s="26"/>
      <c r="P50" s="13"/>
      <c r="Q50" s="13"/>
      <c r="R50" s="13"/>
      <c r="S50" s="13"/>
      <c r="T50" s="13"/>
      <c r="U50" s="13"/>
    </row>
    <row r="51" spans="1:21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334"/>
      <c r="N51" s="213"/>
      <c r="O51" s="26"/>
      <c r="P51" s="13"/>
      <c r="Q51" s="13"/>
      <c r="R51" s="13"/>
      <c r="S51" s="13"/>
      <c r="T51" s="13"/>
      <c r="U51" s="13"/>
    </row>
    <row r="52" spans="1:21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334"/>
      <c r="N52" s="213"/>
      <c r="O52" s="26"/>
      <c r="P52" s="13"/>
      <c r="Q52" s="13"/>
      <c r="R52" s="13"/>
      <c r="S52" s="13"/>
      <c r="T52" s="13"/>
      <c r="U52" s="13"/>
    </row>
    <row r="53" spans="1:21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334"/>
      <c r="N53" s="213"/>
      <c r="O53" s="26"/>
      <c r="P53" s="13"/>
      <c r="Q53" s="13"/>
      <c r="R53" s="13"/>
      <c r="S53" s="13"/>
      <c r="T53" s="13"/>
      <c r="U53" s="13"/>
    </row>
    <row r="54" spans="1:21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334"/>
      <c r="N54" s="213"/>
      <c r="O54" s="26"/>
      <c r="P54" s="13"/>
      <c r="Q54" s="13"/>
      <c r="R54" s="13"/>
      <c r="S54" s="13"/>
      <c r="T54" s="13"/>
      <c r="U54" s="13"/>
    </row>
    <row r="55" spans="1:21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334"/>
      <c r="N55" s="213"/>
      <c r="O55" s="26"/>
      <c r="P55" s="13"/>
      <c r="Q55" s="13"/>
      <c r="R55" s="13"/>
      <c r="S55" s="13"/>
      <c r="T55" s="13"/>
      <c r="U55" s="13"/>
    </row>
    <row r="56" spans="1:21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334"/>
      <c r="N56" s="213"/>
      <c r="O56" s="26"/>
      <c r="P56" s="13"/>
      <c r="Q56" s="13"/>
      <c r="R56" s="13"/>
      <c r="S56" s="13"/>
      <c r="T56" s="13"/>
      <c r="U56" s="13"/>
    </row>
    <row r="57" spans="1:21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334"/>
      <c r="N57" s="213"/>
      <c r="O57" s="26"/>
      <c r="P57" s="13"/>
      <c r="Q57" s="13"/>
      <c r="R57" s="13"/>
      <c r="S57" s="13"/>
      <c r="T57" s="13"/>
      <c r="U57" s="13"/>
    </row>
    <row r="58" spans="1:21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334"/>
      <c r="N58" s="213"/>
      <c r="O58" s="26"/>
      <c r="P58" s="13"/>
      <c r="Q58" s="13"/>
      <c r="R58" s="13"/>
      <c r="S58" s="13"/>
      <c r="T58" s="13"/>
      <c r="U58" s="13"/>
    </row>
    <row r="59" spans="1:21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334"/>
      <c r="N59" s="213"/>
      <c r="O59" s="26"/>
      <c r="P59" s="13"/>
      <c r="Q59" s="13"/>
      <c r="R59" s="13"/>
      <c r="S59" s="13"/>
      <c r="T59" s="13"/>
      <c r="U59" s="13"/>
    </row>
    <row r="60" spans="1:21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334"/>
      <c r="N60" s="213"/>
      <c r="O60" s="26"/>
      <c r="P60" s="13"/>
      <c r="Q60" s="13"/>
      <c r="R60" s="13"/>
      <c r="S60" s="13"/>
      <c r="T60" s="13"/>
      <c r="U60" s="13"/>
    </row>
    <row r="61" spans="1:21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334"/>
      <c r="N61" s="213"/>
      <c r="O61" s="26"/>
      <c r="P61" s="13"/>
      <c r="Q61" s="13"/>
      <c r="R61" s="13"/>
      <c r="S61" s="13"/>
      <c r="T61" s="13"/>
      <c r="U61" s="13"/>
    </row>
    <row r="62" spans="1:21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334"/>
      <c r="N62" s="213"/>
      <c r="O62" s="26"/>
      <c r="P62" s="13"/>
      <c r="Q62" s="13"/>
      <c r="R62" s="13"/>
      <c r="S62" s="13"/>
      <c r="T62" s="13"/>
      <c r="U62" s="13"/>
    </row>
    <row r="63" spans="1:21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  <c r="T63" s="13"/>
      <c r="U63" s="13"/>
    </row>
    <row r="64" spans="1:21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  <c r="T64" s="13"/>
      <c r="U64" s="13"/>
    </row>
    <row r="65" spans="1:21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  <c r="T65" s="13"/>
      <c r="U65" s="13"/>
    </row>
    <row r="66" spans="1:21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  <c r="T66" s="13"/>
      <c r="U66" s="13"/>
    </row>
    <row r="67" spans="1:21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  <c r="T67" s="13"/>
      <c r="U67" s="13"/>
    </row>
    <row r="68" spans="1:21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  <c r="T68" s="13"/>
      <c r="U68" s="13"/>
    </row>
    <row r="69" spans="1:21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  <c r="T69" s="13"/>
      <c r="U69" s="13"/>
    </row>
    <row r="70" spans="1:21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  <c r="T70" s="13"/>
      <c r="U70" s="13"/>
    </row>
    <row r="71" spans="1:21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  <c r="T71" s="13"/>
      <c r="U71" s="13"/>
    </row>
    <row r="72" spans="1:21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  <c r="T72" s="13"/>
      <c r="U72" s="13"/>
    </row>
    <row r="73" spans="1:21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  <c r="T73" s="13"/>
      <c r="U73" s="13"/>
    </row>
    <row r="74" spans="1:21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  <c r="T74" s="13"/>
      <c r="U74" s="13"/>
    </row>
    <row r="75" spans="1:21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  <c r="T75" s="13"/>
      <c r="U75" s="13"/>
    </row>
    <row r="76" spans="1:21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  <c r="T76" s="13"/>
      <c r="U76" s="13"/>
    </row>
    <row r="77" spans="1:21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  <c r="T77" s="13"/>
      <c r="U77" s="13"/>
    </row>
    <row r="78" spans="1:21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  <c r="T78" s="13"/>
      <c r="U78" s="13"/>
    </row>
    <row r="79" spans="1:21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  <c r="T79" s="13"/>
      <c r="U79" s="13"/>
    </row>
    <row r="80" spans="1:21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  <c r="T80" s="13"/>
      <c r="U80" s="13"/>
    </row>
    <row r="81" spans="1:21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  <c r="T81" s="13"/>
      <c r="U81" s="13"/>
    </row>
    <row r="82" spans="1:21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  <c r="T82" s="13"/>
      <c r="U82" s="13"/>
    </row>
    <row r="83" spans="1:21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  <c r="T83" s="13"/>
      <c r="U83" s="13"/>
    </row>
    <row r="84" spans="1:21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  <c r="T84" s="13"/>
      <c r="U84" s="13"/>
    </row>
    <row r="85" spans="1:21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  <c r="T85" s="13"/>
      <c r="U85" s="13"/>
    </row>
    <row r="86" spans="1:21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  <c r="T86" s="13"/>
      <c r="U86" s="13"/>
    </row>
    <row r="87" spans="1:21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  <c r="T87" s="13"/>
      <c r="U87" s="13"/>
    </row>
    <row r="88" spans="1:21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  <c r="T88" s="13"/>
      <c r="U88" s="13"/>
    </row>
    <row r="89" spans="1:21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  <c r="T89" s="13"/>
      <c r="U89" s="13"/>
    </row>
    <row r="90" spans="1:21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  <c r="T90" s="13"/>
      <c r="U90" s="13"/>
    </row>
    <row r="91" spans="1:21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  <c r="T91" s="13"/>
      <c r="U91" s="13"/>
    </row>
    <row r="92" spans="1:21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  <c r="T92" s="13"/>
      <c r="U92" s="13"/>
    </row>
    <row r="93" spans="1:21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  <c r="T93" s="13"/>
      <c r="U93" s="13"/>
    </row>
    <row r="94" spans="1:21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  <c r="T94" s="13"/>
      <c r="U94" s="13"/>
    </row>
    <row r="95" spans="1:21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  <c r="T95" s="13"/>
      <c r="U95" s="13"/>
    </row>
    <row r="96" spans="1:21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  <c r="T96" s="13"/>
      <c r="U96" s="13"/>
    </row>
    <row r="97" spans="1:21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  <c r="T97" s="13"/>
      <c r="U97" s="13"/>
    </row>
    <row r="98" spans="1:21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  <c r="T98" s="13"/>
      <c r="U98" s="13"/>
    </row>
    <row r="99" spans="1:21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  <c r="T99" s="13"/>
      <c r="U99" s="13"/>
    </row>
    <row r="100" spans="1:21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  <c r="T100" s="13"/>
      <c r="U100" s="13"/>
    </row>
    <row r="101" spans="1:21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  <c r="T101" s="13"/>
      <c r="U101" s="13"/>
    </row>
    <row r="102" spans="1:21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  <c r="T102" s="13"/>
      <c r="U102" s="13"/>
    </row>
    <row r="103" spans="1:21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  <c r="T103" s="13"/>
      <c r="U103" s="13"/>
    </row>
    <row r="104" spans="1:21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  <c r="T104" s="13"/>
      <c r="U104" s="13"/>
    </row>
    <row r="105" spans="1:21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  <c r="T105" s="13"/>
      <c r="U105" s="13"/>
    </row>
    <row r="106" spans="1:21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  <c r="T106" s="13"/>
      <c r="U106" s="13"/>
    </row>
    <row r="107" spans="1:21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  <c r="T107" s="13"/>
      <c r="U107" s="13"/>
    </row>
    <row r="108" spans="1:21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  <c r="T108" s="13"/>
      <c r="U108" s="13"/>
    </row>
    <row r="109" spans="1:21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  <c r="T109" s="13"/>
      <c r="U109" s="13"/>
    </row>
    <row r="110" spans="1:21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  <c r="T110" s="13"/>
      <c r="U110" s="13"/>
    </row>
    <row r="111" spans="1:21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  <c r="T111" s="13"/>
      <c r="U111" s="13"/>
    </row>
    <row r="112" spans="1:21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  <c r="T112" s="13"/>
      <c r="U112" s="13"/>
    </row>
    <row r="113" spans="1:21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  <c r="T113" s="13"/>
      <c r="U113" s="13"/>
    </row>
    <row r="114" spans="1:21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  <c r="T114" s="13"/>
      <c r="U114" s="13"/>
    </row>
    <row r="115" spans="1:21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  <c r="T115" s="13"/>
      <c r="U115" s="13"/>
    </row>
    <row r="116" spans="1:21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  <c r="T116" s="13"/>
      <c r="U116" s="13"/>
    </row>
    <row r="117" spans="1:21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  <c r="T117" s="13"/>
      <c r="U117" s="13"/>
    </row>
    <row r="118" spans="1:21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  <c r="T118" s="13"/>
      <c r="U118" s="13"/>
    </row>
    <row r="119" spans="1:21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  <c r="T119" s="13"/>
      <c r="U119" s="13"/>
    </row>
    <row r="120" spans="1:21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  <c r="T120" s="13"/>
      <c r="U120" s="13"/>
    </row>
    <row r="121" spans="1:21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  <c r="T121" s="13"/>
      <c r="U121" s="13"/>
    </row>
    <row r="122" spans="1:21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  <c r="T122" s="13"/>
      <c r="U122" s="13"/>
    </row>
    <row r="123" spans="1:21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  <c r="T123" s="13"/>
      <c r="U123" s="13"/>
    </row>
    <row r="124" spans="1:21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  <c r="T124" s="13"/>
      <c r="U124" s="13"/>
    </row>
    <row r="125" spans="1:21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  <c r="T125" s="13"/>
      <c r="U125" s="13"/>
    </row>
    <row r="126" spans="1:21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  <c r="T126" s="13"/>
      <c r="U126" s="13"/>
    </row>
    <row r="127" spans="1:21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  <c r="T127" s="13"/>
      <c r="U127" s="13"/>
    </row>
    <row r="128" spans="1:21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  <c r="T128" s="13"/>
      <c r="U128" s="13"/>
    </row>
    <row r="129" spans="1:21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  <c r="T129" s="13"/>
      <c r="U129" s="13"/>
    </row>
    <row r="130" spans="1:21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  <c r="T130" s="13"/>
      <c r="U130" s="13"/>
    </row>
    <row r="131" spans="1:21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  <c r="T131" s="13"/>
      <c r="U131" s="13"/>
    </row>
    <row r="132" spans="1:21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  <c r="T132" s="13"/>
      <c r="U132" s="13"/>
    </row>
    <row r="133" spans="1:21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  <c r="T133" s="13"/>
      <c r="U133" s="13"/>
    </row>
    <row r="134" spans="1:21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  <c r="T134" s="13"/>
      <c r="U134" s="13"/>
    </row>
    <row r="135" spans="1:21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  <c r="T135" s="13"/>
      <c r="U135" s="13"/>
    </row>
    <row r="136" spans="1:21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  <c r="T136" s="13"/>
      <c r="U136" s="13"/>
    </row>
    <row r="137" spans="1:21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  <c r="T137" s="13"/>
      <c r="U137" s="13"/>
    </row>
    <row r="138" spans="1:21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  <c r="T138" s="13"/>
      <c r="U138" s="13"/>
    </row>
    <row r="139" spans="1:21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  <c r="T139" s="13"/>
      <c r="U139" s="13"/>
    </row>
    <row r="140" spans="1:21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  <c r="T140" s="13"/>
      <c r="U140" s="13"/>
    </row>
    <row r="141" spans="1:21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  <c r="T141" s="13"/>
      <c r="U141" s="13"/>
    </row>
    <row r="142" spans="1:21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  <c r="T142" s="13"/>
      <c r="U142" s="13"/>
    </row>
    <row r="143" spans="1:21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  <c r="T143" s="13"/>
      <c r="U143" s="13"/>
    </row>
    <row r="144" spans="1:21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  <c r="T144" s="13"/>
      <c r="U144" s="13"/>
    </row>
    <row r="145" spans="1:21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  <c r="T145" s="13"/>
      <c r="U145" s="13"/>
    </row>
    <row r="146" spans="1:21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  <c r="T146" s="13"/>
      <c r="U146" s="13"/>
    </row>
    <row r="147" spans="1:21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  <c r="T147" s="13"/>
      <c r="U147" s="13"/>
    </row>
    <row r="148" spans="1:21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  <c r="T148" s="13"/>
      <c r="U148" s="13"/>
    </row>
    <row r="149" spans="1:21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  <c r="T149" s="13"/>
      <c r="U149" s="13"/>
    </row>
    <row r="150" spans="1:21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  <c r="T150" s="13"/>
      <c r="U150" s="13"/>
    </row>
    <row r="151" spans="1:21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  <c r="T151" s="13"/>
      <c r="U151" s="13"/>
    </row>
    <row r="152" spans="1:21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  <c r="T152" s="13"/>
      <c r="U152" s="13"/>
    </row>
    <row r="153" spans="1:21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  <c r="T153" s="13"/>
      <c r="U153" s="13"/>
    </row>
    <row r="154" spans="1:21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  <c r="T154" s="13"/>
      <c r="U154" s="13"/>
    </row>
    <row r="155" spans="1:21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  <c r="T155" s="13"/>
      <c r="U155" s="13"/>
    </row>
    <row r="156" spans="1:21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  <c r="T156" s="13"/>
      <c r="U156" s="13"/>
    </row>
    <row r="157" spans="1:21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  <c r="T157" s="13"/>
      <c r="U157" s="13"/>
    </row>
    <row r="158" spans="1:21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  <c r="T158" s="13"/>
      <c r="U158" s="13"/>
    </row>
    <row r="159" spans="1:21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  <c r="T159" s="13"/>
      <c r="U159" s="13"/>
    </row>
    <row r="160" spans="1:21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  <c r="T160" s="13"/>
      <c r="U160" s="13"/>
    </row>
    <row r="161" spans="1:21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  <c r="T161" s="13"/>
      <c r="U161" s="13"/>
    </row>
    <row r="162" spans="1:21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  <c r="T162" s="13"/>
      <c r="U162" s="13"/>
    </row>
    <row r="163" spans="1:21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  <c r="T163" s="13"/>
      <c r="U163" s="13"/>
    </row>
    <row r="164" spans="1:21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  <c r="T164" s="13"/>
      <c r="U164" s="13"/>
    </row>
    <row r="165" spans="1:21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  <c r="T165" s="13"/>
      <c r="U165" s="13"/>
    </row>
    <row r="166" spans="1:21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  <c r="T166" s="13"/>
      <c r="U166" s="13"/>
    </row>
    <row r="167" spans="1:21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  <c r="T167" s="13"/>
      <c r="U167" s="13"/>
    </row>
    <row r="168" spans="1:21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  <c r="T168" s="13"/>
      <c r="U168" s="13"/>
    </row>
    <row r="169" spans="1:21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  <c r="T169" s="13"/>
      <c r="U169" s="13"/>
    </row>
    <row r="170" spans="1:21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  <c r="T170" s="13"/>
      <c r="U170" s="13"/>
    </row>
    <row r="171" spans="1:21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  <c r="T171" s="13"/>
      <c r="U171" s="13"/>
    </row>
    <row r="172" spans="1:21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  <c r="T172" s="13"/>
      <c r="U172" s="13"/>
    </row>
    <row r="173" spans="1:21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  <c r="T173" s="13"/>
      <c r="U173" s="13"/>
    </row>
    <row r="174" spans="1:21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  <c r="T174" s="13"/>
      <c r="U174" s="13"/>
    </row>
    <row r="175" spans="1:21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  <c r="T175" s="13"/>
      <c r="U175" s="13"/>
    </row>
    <row r="176" spans="1:21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  <c r="T176" s="13"/>
      <c r="U176" s="13"/>
    </row>
    <row r="177" spans="1:21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  <c r="T177" s="13"/>
      <c r="U177" s="13"/>
    </row>
    <row r="178" spans="1:21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  <c r="T178" s="13"/>
      <c r="U178" s="13"/>
    </row>
    <row r="179" spans="1:21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  <c r="T179" s="13"/>
      <c r="U179" s="13"/>
    </row>
    <row r="180" spans="1:21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  <c r="T180" s="13"/>
      <c r="U180" s="13"/>
    </row>
    <row r="181" spans="1:21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  <c r="T181" s="13"/>
      <c r="U181" s="13"/>
    </row>
    <row r="182" spans="1:21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  <c r="T182" s="13"/>
      <c r="U182" s="13"/>
    </row>
    <row r="183" spans="1:21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  <c r="T183" s="13"/>
      <c r="U183" s="13"/>
    </row>
    <row r="184" spans="1:21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  <c r="T184" s="13"/>
      <c r="U184" s="13"/>
    </row>
    <row r="185" spans="1:21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  <c r="T185" s="13"/>
      <c r="U185" s="13"/>
    </row>
    <row r="186" spans="1:21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  <c r="T186" s="13"/>
      <c r="U186" s="13"/>
    </row>
    <row r="187" spans="1:21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  <c r="T187" s="13"/>
      <c r="U187" s="13"/>
    </row>
    <row r="188" spans="1:21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  <c r="T188" s="13"/>
      <c r="U188" s="13"/>
    </row>
    <row r="189" spans="1:21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  <c r="T189" s="13"/>
      <c r="U189" s="13"/>
    </row>
    <row r="190" spans="1:21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  <c r="T190" s="13"/>
      <c r="U190" s="13"/>
    </row>
    <row r="191" spans="1:21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  <c r="T191" s="13"/>
      <c r="U191" s="13"/>
    </row>
    <row r="192" spans="1:21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  <c r="T192" s="13"/>
      <c r="U192" s="13"/>
    </row>
    <row r="193" spans="1:21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  <c r="T193" s="13"/>
      <c r="U193" s="13"/>
    </row>
    <row r="194" spans="1:21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  <c r="T194" s="13"/>
      <c r="U194" s="13"/>
    </row>
    <row r="195" spans="1:21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  <c r="T195" s="13"/>
      <c r="U195" s="13"/>
    </row>
    <row r="196" spans="1:21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  <c r="T196" s="13"/>
      <c r="U196" s="13"/>
    </row>
    <row r="197" spans="1:21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  <c r="T197" s="13"/>
      <c r="U197" s="13"/>
    </row>
    <row r="198" spans="1:21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  <c r="T198" s="13"/>
      <c r="U198" s="13"/>
    </row>
    <row r="199" spans="1:21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  <c r="T199" s="13"/>
      <c r="U199" s="13"/>
    </row>
    <row r="200" spans="1:21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  <c r="T200" s="13"/>
      <c r="U200" s="13"/>
    </row>
    <row r="201" spans="1:21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  <c r="T201" s="13"/>
      <c r="U201" s="13"/>
    </row>
    <row r="202" spans="1:21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  <c r="T202" s="13"/>
      <c r="U202" s="13"/>
    </row>
    <row r="203" spans="1:21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  <c r="T203" s="13"/>
      <c r="U203" s="13"/>
    </row>
    <row r="204" spans="1:21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  <c r="T204" s="13"/>
      <c r="U204" s="13"/>
    </row>
    <row r="205" spans="1:21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  <c r="T205" s="13"/>
      <c r="U205" s="13"/>
    </row>
    <row r="206" spans="1:21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  <c r="T206" s="13"/>
      <c r="U206" s="13"/>
    </row>
    <row r="207" spans="1:21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  <c r="T207" s="13"/>
      <c r="U207" s="13"/>
    </row>
    <row r="208" spans="1:21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  <c r="T208" s="13"/>
      <c r="U208" s="13"/>
    </row>
    <row r="209" spans="1:21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  <c r="T209" s="13"/>
      <c r="U209" s="13"/>
    </row>
    <row r="210" spans="1:21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  <c r="T210" s="13"/>
      <c r="U210" s="13"/>
    </row>
    <row r="211" spans="1:21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  <c r="T211" s="13"/>
      <c r="U211" s="13"/>
    </row>
    <row r="212" spans="1:21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  <c r="T212" s="13"/>
      <c r="U212" s="13"/>
    </row>
    <row r="213" spans="1:21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  <c r="T213" s="13"/>
      <c r="U213" s="13"/>
    </row>
    <row r="214" spans="1:21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  <c r="T214" s="13"/>
      <c r="U214" s="13"/>
    </row>
    <row r="215" spans="1:21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  <c r="T215" s="13"/>
      <c r="U215" s="13"/>
    </row>
    <row r="216" spans="1:21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  <c r="T216" s="13"/>
      <c r="U216" s="13"/>
    </row>
    <row r="217" spans="1:21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  <c r="T217" s="13"/>
      <c r="U217" s="13"/>
    </row>
    <row r="218" spans="1:21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  <c r="T218" s="13"/>
      <c r="U218" s="13"/>
    </row>
    <row r="219" spans="1:21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  <c r="T219" s="13"/>
      <c r="U219" s="13"/>
    </row>
    <row r="220" spans="1:21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  <c r="T220" s="13"/>
      <c r="U220" s="13"/>
    </row>
    <row r="221" spans="1:21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  <c r="T221" s="13"/>
      <c r="U221" s="13"/>
    </row>
    <row r="222" spans="1:21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  <c r="T222" s="13"/>
      <c r="U222" s="13"/>
    </row>
    <row r="223" spans="1:21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  <c r="T223" s="13"/>
      <c r="U223" s="13"/>
    </row>
    <row r="224" spans="1:21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  <c r="T224" s="13"/>
      <c r="U224" s="13"/>
    </row>
    <row r="225" spans="1:21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  <c r="T225" s="13"/>
      <c r="U225" s="13"/>
    </row>
    <row r="226" spans="1:21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  <c r="T226" s="13"/>
      <c r="U226" s="13"/>
    </row>
    <row r="227" spans="1:21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  <c r="T227" s="13"/>
      <c r="U227" s="13"/>
    </row>
    <row r="228" spans="1:21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  <c r="T228" s="13"/>
      <c r="U228" s="13"/>
    </row>
    <row r="229" spans="1:21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  <c r="T229" s="13"/>
      <c r="U229" s="13"/>
    </row>
    <row r="230" spans="1:21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  <c r="T230" s="13"/>
      <c r="U230" s="13"/>
    </row>
    <row r="231" spans="1:21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  <c r="T231" s="13"/>
      <c r="U231" s="13"/>
    </row>
    <row r="232" spans="1:21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  <c r="T232" s="13"/>
      <c r="U232" s="13"/>
    </row>
    <row r="233" spans="1:21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  <c r="T233" s="13"/>
      <c r="U233" s="13"/>
    </row>
    <row r="234" spans="1:21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  <c r="T234" s="13"/>
      <c r="U234" s="13"/>
    </row>
    <row r="235" spans="1:21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  <c r="T235" s="13"/>
      <c r="U235" s="13"/>
    </row>
    <row r="236" spans="1:21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  <c r="T236" s="13"/>
      <c r="U236" s="13"/>
    </row>
    <row r="237" spans="1:21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  <c r="T237" s="13"/>
      <c r="U237" s="13"/>
    </row>
    <row r="238" spans="1:21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  <c r="T238" s="13"/>
      <c r="U238" s="13"/>
    </row>
    <row r="239" spans="1:21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  <c r="T239" s="13"/>
      <c r="U239" s="13"/>
    </row>
    <row r="240" spans="1:21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  <c r="R240" s="13"/>
      <c r="S240" s="13"/>
      <c r="T240" s="13"/>
      <c r="U240" s="13"/>
    </row>
    <row r="241" spans="1:21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  <c r="R241" s="13"/>
      <c r="S241" s="13"/>
      <c r="T241" s="13"/>
      <c r="U241" s="13"/>
    </row>
    <row r="242" spans="1:21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  <c r="R242" s="13"/>
      <c r="S242" s="13"/>
      <c r="T242" s="13"/>
      <c r="U242" s="13"/>
    </row>
    <row r="243" spans="1:21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  <c r="R243" s="13"/>
      <c r="S243" s="13"/>
      <c r="T243" s="13"/>
      <c r="U243" s="13"/>
    </row>
    <row r="244" spans="1:21" ht="15.75" customHeight="1" x14ac:dyDescent="0.4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  <c r="R244" s="13"/>
      <c r="S244" s="13"/>
      <c r="T244" s="13"/>
      <c r="U244" s="13"/>
    </row>
    <row r="245" spans="1:21" ht="15.75" customHeight="1" x14ac:dyDescent="0.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  <c r="R245" s="13"/>
      <c r="S245" s="13"/>
      <c r="T245" s="13"/>
      <c r="U245" s="13"/>
    </row>
    <row r="246" spans="1:21" ht="15.75" customHeight="1" x14ac:dyDescent="0.4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  <c r="R246" s="13"/>
      <c r="S246" s="13"/>
      <c r="T246" s="13"/>
      <c r="U246" s="13"/>
    </row>
    <row r="247" spans="1:21" ht="15.75" customHeight="1" x14ac:dyDescent="0.4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25"/>
      <c r="N247" s="26"/>
      <c r="O247" s="26"/>
      <c r="P247" s="13"/>
      <c r="Q247" s="13"/>
      <c r="R247" s="13"/>
      <c r="S247" s="13"/>
      <c r="T247" s="13"/>
      <c r="U247" s="13"/>
    </row>
    <row r="248" spans="1:21" ht="15.75" customHeight="1" x14ac:dyDescent="0.4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25"/>
      <c r="N248" s="26"/>
      <c r="O248" s="26"/>
      <c r="P248" s="13"/>
      <c r="Q248" s="13"/>
      <c r="R248" s="13"/>
      <c r="S248" s="13"/>
      <c r="T248" s="13"/>
      <c r="U248" s="13"/>
    </row>
    <row r="249" spans="1:21" ht="15.75" customHeight="1" x14ac:dyDescent="0.4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25"/>
      <c r="N249" s="26"/>
      <c r="O249" s="26"/>
      <c r="P249" s="13"/>
      <c r="Q249" s="13"/>
      <c r="R249" s="13"/>
      <c r="S249" s="13"/>
      <c r="T249" s="13"/>
      <c r="U249" s="13"/>
    </row>
    <row r="250" spans="1:21" ht="15.75" customHeight="1" x14ac:dyDescent="0.45"/>
    <row r="251" spans="1:21" ht="15.75" customHeight="1" x14ac:dyDescent="0.45"/>
    <row r="252" spans="1:21" ht="15.75" customHeight="1" x14ac:dyDescent="0.45"/>
    <row r="253" spans="1:21" ht="15.75" customHeight="1" x14ac:dyDescent="0.45"/>
    <row r="254" spans="1:21" ht="15.75" customHeight="1" x14ac:dyDescent="0.45"/>
    <row r="255" spans="1:21" ht="15.75" customHeight="1" x14ac:dyDescent="0.45"/>
    <row r="256" spans="1:21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</sheetData>
  <mergeCells count="237">
    <mergeCell ref="M40:N40"/>
    <mergeCell ref="O40:P40"/>
    <mergeCell ref="A41:B41"/>
    <mergeCell ref="A38:B38"/>
    <mergeCell ref="A39:B39"/>
    <mergeCell ref="C39:G39"/>
    <mergeCell ref="H39:J39"/>
    <mergeCell ref="K39:L39"/>
    <mergeCell ref="M39:N39"/>
    <mergeCell ref="O39:P39"/>
    <mergeCell ref="K38:L38"/>
    <mergeCell ref="M38:N38"/>
    <mergeCell ref="A22:B22"/>
    <mergeCell ref="C22:G22"/>
    <mergeCell ref="H22:J22"/>
    <mergeCell ref="K22:L22"/>
    <mergeCell ref="M22:N22"/>
    <mergeCell ref="O22:P22"/>
    <mergeCell ref="R22:T22"/>
    <mergeCell ref="K30:L30"/>
    <mergeCell ref="M30:N30"/>
    <mergeCell ref="A27:B27"/>
    <mergeCell ref="C27:G27"/>
    <mergeCell ref="H27:J27"/>
    <mergeCell ref="K27:L27"/>
    <mergeCell ref="M27:N27"/>
    <mergeCell ref="O27:P27"/>
    <mergeCell ref="R27:T27"/>
    <mergeCell ref="A28:B28"/>
    <mergeCell ref="C28:G28"/>
    <mergeCell ref="H28:J28"/>
    <mergeCell ref="K28:L28"/>
    <mergeCell ref="M28:N28"/>
    <mergeCell ref="O28:P28"/>
    <mergeCell ref="R28:T28"/>
    <mergeCell ref="A25:B25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A18:B18"/>
    <mergeCell ref="C18:G18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C16:G16"/>
    <mergeCell ref="H16:J16"/>
    <mergeCell ref="A17:B17"/>
    <mergeCell ref="C17:G17"/>
    <mergeCell ref="H17:J17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K34:L34"/>
    <mergeCell ref="M34:N34"/>
    <mergeCell ref="K35:L35"/>
    <mergeCell ref="M35:N35"/>
    <mergeCell ref="O35:P35"/>
    <mergeCell ref="K36:L36"/>
    <mergeCell ref="M36:N36"/>
    <mergeCell ref="O36:P36"/>
    <mergeCell ref="A33:B33"/>
    <mergeCell ref="C33:G33"/>
    <mergeCell ref="H33:J33"/>
    <mergeCell ref="K33:L33"/>
    <mergeCell ref="M33:N33"/>
    <mergeCell ref="O33:P33"/>
    <mergeCell ref="A34:B34"/>
    <mergeCell ref="O34:P34"/>
    <mergeCell ref="C34:G34"/>
    <mergeCell ref="H34:J34"/>
    <mergeCell ref="A35:B35"/>
    <mergeCell ref="C35:G35"/>
    <mergeCell ref="H35:J35"/>
    <mergeCell ref="C36:G36"/>
    <mergeCell ref="H36:J36"/>
    <mergeCell ref="A36:B36"/>
    <mergeCell ref="C31:G31"/>
    <mergeCell ref="H31:J31"/>
    <mergeCell ref="K31:L31"/>
    <mergeCell ref="M31:N31"/>
    <mergeCell ref="O31:P31"/>
    <mergeCell ref="A31:B31"/>
    <mergeCell ref="A32:B32"/>
    <mergeCell ref="C32:G32"/>
    <mergeCell ref="H32:J32"/>
    <mergeCell ref="K32:L32"/>
    <mergeCell ref="M32:N32"/>
    <mergeCell ref="O32:P32"/>
    <mergeCell ref="A29:B29"/>
    <mergeCell ref="C29:G29"/>
    <mergeCell ref="H29:J29"/>
    <mergeCell ref="K29:L29"/>
    <mergeCell ref="M29:N29"/>
    <mergeCell ref="O29:P29"/>
    <mergeCell ref="A30:B30"/>
    <mergeCell ref="O30:P30"/>
    <mergeCell ref="C30:G30"/>
    <mergeCell ref="H30:J30"/>
    <mergeCell ref="A48:C48"/>
    <mergeCell ref="K48:L48"/>
    <mergeCell ref="M48:P48"/>
    <mergeCell ref="M60:N60"/>
    <mergeCell ref="M61:N61"/>
    <mergeCell ref="M62:N62"/>
    <mergeCell ref="M53:N53"/>
    <mergeCell ref="M54:N54"/>
    <mergeCell ref="M55:N55"/>
    <mergeCell ref="M56:N56"/>
    <mergeCell ref="M57:N57"/>
    <mergeCell ref="M58:N58"/>
    <mergeCell ref="M59:N59"/>
    <mergeCell ref="A49:C49"/>
    <mergeCell ref="D49:J49"/>
    <mergeCell ref="K49:L49"/>
    <mergeCell ref="M49:P49"/>
    <mergeCell ref="M50:N50"/>
    <mergeCell ref="M51:N51"/>
    <mergeCell ref="M52:N52"/>
    <mergeCell ref="A43:B43"/>
    <mergeCell ref="C43:G43"/>
    <mergeCell ref="H43:J43"/>
    <mergeCell ref="K43:L43"/>
    <mergeCell ref="M43:N43"/>
    <mergeCell ref="O43:P43"/>
    <mergeCell ref="A44:P46"/>
    <mergeCell ref="A47:C47"/>
    <mergeCell ref="D47:G47"/>
    <mergeCell ref="K47:L47"/>
    <mergeCell ref="M47:P47"/>
    <mergeCell ref="A37:B37"/>
    <mergeCell ref="C37:G37"/>
    <mergeCell ref="H37:J37"/>
    <mergeCell ref="M42:N42"/>
    <mergeCell ref="O42:P42"/>
    <mergeCell ref="K41:L41"/>
    <mergeCell ref="M41:N41"/>
    <mergeCell ref="O41:P41"/>
    <mergeCell ref="A42:B42"/>
    <mergeCell ref="C42:G42"/>
    <mergeCell ref="H42:J42"/>
    <mergeCell ref="K42:L42"/>
    <mergeCell ref="K37:L37"/>
    <mergeCell ref="M37:N37"/>
    <mergeCell ref="O37:P37"/>
    <mergeCell ref="C38:G38"/>
    <mergeCell ref="H38:J38"/>
    <mergeCell ref="O38:P38"/>
    <mergeCell ref="C41:G41"/>
    <mergeCell ref="H41:J41"/>
    <mergeCell ref="A40:B40"/>
    <mergeCell ref="C40:G40"/>
    <mergeCell ref="H40:J40"/>
    <mergeCell ref="K40:L4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8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1.3984375" customWidth="1"/>
    <col min="17" max="19" width="19" customWidth="1"/>
  </cols>
  <sheetData>
    <row r="1" spans="1:19" ht="15" customHeight="1" x14ac:dyDescent="0.45">
      <c r="A1" s="204"/>
      <c r="B1" s="211"/>
      <c r="C1" s="307"/>
      <c r="D1" s="309" t="s">
        <v>0</v>
      </c>
      <c r="E1" s="211"/>
      <c r="F1" s="211"/>
      <c r="G1" s="211"/>
      <c r="H1" s="211"/>
      <c r="I1" s="211"/>
      <c r="J1" s="211"/>
      <c r="K1" s="211"/>
      <c r="L1" s="307"/>
      <c r="M1" s="275" t="s">
        <v>1</v>
      </c>
      <c r="N1" s="224"/>
      <c r="O1" s="275" t="s">
        <v>209</v>
      </c>
      <c r="P1" s="233"/>
    </row>
    <row r="2" spans="1:19" ht="15" customHeight="1" x14ac:dyDescent="0.45">
      <c r="A2" s="212"/>
      <c r="B2" s="213"/>
      <c r="C2" s="220"/>
      <c r="D2" s="272"/>
      <c r="E2" s="252"/>
      <c r="F2" s="252"/>
      <c r="G2" s="252"/>
      <c r="H2" s="252"/>
      <c r="I2" s="252"/>
      <c r="J2" s="252"/>
      <c r="K2" s="252"/>
      <c r="L2" s="273"/>
      <c r="M2" s="276" t="s">
        <v>3</v>
      </c>
      <c r="N2" s="273"/>
      <c r="O2" s="277">
        <v>1</v>
      </c>
      <c r="P2" s="268"/>
    </row>
    <row r="3" spans="1:19" ht="15" customHeight="1" x14ac:dyDescent="0.45">
      <c r="A3" s="212"/>
      <c r="B3" s="213"/>
      <c r="C3" s="220"/>
      <c r="D3" s="368" t="s">
        <v>210</v>
      </c>
      <c r="E3" s="250"/>
      <c r="F3" s="250"/>
      <c r="G3" s="250"/>
      <c r="H3" s="250"/>
      <c r="I3" s="250"/>
      <c r="J3" s="250"/>
      <c r="K3" s="250"/>
      <c r="L3" s="268"/>
      <c r="M3" s="276" t="s">
        <v>5</v>
      </c>
      <c r="N3" s="273"/>
      <c r="O3" s="274" t="s">
        <v>6</v>
      </c>
      <c r="P3" s="209"/>
    </row>
    <row r="4" spans="1:19" ht="15" customHeight="1" x14ac:dyDescent="0.45">
      <c r="A4" s="212"/>
      <c r="B4" s="213"/>
      <c r="C4" s="220"/>
      <c r="D4" s="271"/>
      <c r="E4" s="213"/>
      <c r="F4" s="213"/>
      <c r="G4" s="213"/>
      <c r="H4" s="213"/>
      <c r="I4" s="213"/>
      <c r="J4" s="213"/>
      <c r="K4" s="213"/>
      <c r="L4" s="201"/>
      <c r="M4" s="269" t="s">
        <v>7</v>
      </c>
      <c r="N4" s="270"/>
      <c r="O4" s="208" t="s">
        <v>8</v>
      </c>
      <c r="P4" s="209"/>
    </row>
    <row r="5" spans="1:19" ht="15.75" customHeight="1" x14ac:dyDescent="0.45">
      <c r="A5" s="308"/>
      <c r="B5" s="252"/>
      <c r="C5" s="273"/>
      <c r="D5" s="272"/>
      <c r="E5" s="252"/>
      <c r="F5" s="252"/>
      <c r="G5" s="252"/>
      <c r="H5" s="252"/>
      <c r="I5" s="252"/>
      <c r="J5" s="252"/>
      <c r="K5" s="252"/>
      <c r="L5" s="369"/>
      <c r="M5" s="272"/>
      <c r="N5" s="273"/>
      <c r="O5" s="210" t="s">
        <v>9</v>
      </c>
      <c r="P5" s="209"/>
      <c r="Q5" s="13"/>
      <c r="R5" s="13"/>
      <c r="S5" s="13"/>
    </row>
    <row r="6" spans="1:19" ht="12" customHeight="1" x14ac:dyDescent="0.5">
      <c r="A6" s="361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58"/>
      <c r="R6" s="58"/>
      <c r="S6" s="58"/>
    </row>
    <row r="7" spans="1:19" ht="36" customHeight="1" x14ac:dyDescent="0.45">
      <c r="A7" s="362" t="s">
        <v>10</v>
      </c>
      <c r="B7" s="223"/>
      <c r="C7" s="223"/>
      <c r="D7" s="223"/>
      <c r="E7" s="224"/>
      <c r="F7" s="225" t="str">
        <f>DISPENSACIÓN!F7</f>
        <v>AZ HIBRID CLEAR</v>
      </c>
      <c r="G7" s="226"/>
      <c r="H7" s="226"/>
      <c r="I7" s="226"/>
      <c r="J7" s="226"/>
      <c r="K7" s="226"/>
      <c r="L7" s="226"/>
      <c r="M7" s="226"/>
      <c r="N7" s="226"/>
      <c r="O7" s="226"/>
      <c r="P7" s="209"/>
      <c r="Q7" s="13"/>
      <c r="R7" s="13"/>
      <c r="S7" s="13"/>
    </row>
    <row r="8" spans="1:19" ht="36" customHeight="1" x14ac:dyDescent="0.45">
      <c r="A8" s="367" t="s">
        <v>211</v>
      </c>
      <c r="B8" s="317"/>
      <c r="C8" s="317"/>
      <c r="D8" s="317"/>
      <c r="E8" s="240"/>
      <c r="F8" s="363" t="str">
        <f>DISPENSACIÓN!F8</f>
        <v>252591</v>
      </c>
      <c r="G8" s="227"/>
      <c r="H8" s="364" t="s">
        <v>212</v>
      </c>
      <c r="I8" s="226"/>
      <c r="J8" s="226"/>
      <c r="K8" s="227"/>
      <c r="L8" s="74"/>
      <c r="M8" s="365" t="s">
        <v>213</v>
      </c>
      <c r="N8" s="227"/>
      <c r="O8" s="366"/>
      <c r="P8" s="209"/>
      <c r="Q8" s="13"/>
      <c r="R8" s="13"/>
      <c r="S8" s="13"/>
    </row>
    <row r="9" spans="1:19" ht="36" customHeight="1" x14ac:dyDescent="0.45">
      <c r="A9" s="374" t="s">
        <v>214</v>
      </c>
      <c r="B9" s="214"/>
      <c r="C9" s="214"/>
      <c r="D9" s="214"/>
      <c r="E9" s="284"/>
      <c r="F9" s="370" t="str">
        <f>DISPENSACIÓN!F9</f>
        <v>OP-L-127</v>
      </c>
      <c r="G9" s="270"/>
      <c r="H9" s="371" t="s">
        <v>215</v>
      </c>
      <c r="I9" s="238"/>
      <c r="J9" s="238"/>
      <c r="K9" s="231"/>
      <c r="L9" s="75"/>
      <c r="M9" s="372" t="s">
        <v>216</v>
      </c>
      <c r="N9" s="231"/>
      <c r="O9" s="373"/>
      <c r="P9" s="264"/>
      <c r="Q9" s="13"/>
      <c r="R9" s="13"/>
      <c r="S9" s="13"/>
    </row>
    <row r="10" spans="1:19" ht="12" customHeight="1" x14ac:dyDescent="0.45">
      <c r="A10" s="242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13"/>
      <c r="R10" s="13"/>
      <c r="S10" s="13"/>
    </row>
    <row r="11" spans="1:19" ht="39" customHeight="1" x14ac:dyDescent="0.45">
      <c r="A11" s="375" t="s">
        <v>217</v>
      </c>
      <c r="B11" s="252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M11" s="273"/>
      <c r="N11" s="376" t="s">
        <v>196</v>
      </c>
      <c r="O11" s="273"/>
      <c r="P11" s="76" t="s">
        <v>197</v>
      </c>
      <c r="Q11" s="13"/>
      <c r="R11" s="13"/>
      <c r="S11" s="13"/>
    </row>
    <row r="12" spans="1:19" ht="45" customHeight="1" x14ac:dyDescent="0.45">
      <c r="A12" s="351" t="s">
        <v>218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7"/>
      <c r="N12" s="333"/>
      <c r="O12" s="227"/>
      <c r="P12" s="62"/>
      <c r="Q12" s="13"/>
      <c r="R12" s="13"/>
      <c r="S12" s="13"/>
    </row>
    <row r="13" spans="1:19" ht="12" customHeight="1" x14ac:dyDescent="0.45">
      <c r="A13" s="377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07"/>
      <c r="Q13" s="13"/>
      <c r="R13" s="13"/>
      <c r="S13" s="13"/>
    </row>
    <row r="14" spans="1:19" ht="36" customHeight="1" x14ac:dyDescent="0.45">
      <c r="A14" s="378" t="s">
        <v>219</v>
      </c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33"/>
      <c r="Q14" s="13"/>
      <c r="R14" s="13"/>
      <c r="S14" s="13"/>
    </row>
    <row r="15" spans="1:19" ht="15.4" x14ac:dyDescent="0.45">
      <c r="A15" s="379"/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68"/>
      <c r="Q15" s="13"/>
      <c r="R15" s="13"/>
      <c r="S15" s="13"/>
    </row>
    <row r="16" spans="1:19" ht="108.75" customHeight="1" x14ac:dyDescent="0.45">
      <c r="A16" s="357"/>
      <c r="B16" s="226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7"/>
      <c r="Q16" s="13"/>
      <c r="R16" s="13"/>
      <c r="S16" s="13"/>
    </row>
    <row r="17" spans="1:19" ht="75" customHeight="1" x14ac:dyDescent="0.45">
      <c r="A17" s="358"/>
      <c r="B17" s="252"/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73"/>
      <c r="Q17" s="13"/>
      <c r="R17" s="13"/>
      <c r="S17" s="13"/>
    </row>
    <row r="18" spans="1:19" ht="120.75" customHeight="1" x14ac:dyDescent="0.45">
      <c r="A18" s="358"/>
      <c r="B18" s="252"/>
      <c r="C18" s="252"/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73"/>
      <c r="Q18" s="13"/>
      <c r="R18" s="13"/>
      <c r="S18" s="13"/>
    </row>
    <row r="19" spans="1:19" ht="12" customHeight="1" x14ac:dyDescent="0.45">
      <c r="A19" s="359"/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7"/>
      <c r="Q19" s="13"/>
      <c r="R19" s="13"/>
      <c r="S19" s="13"/>
    </row>
    <row r="20" spans="1:19" ht="60.75" customHeight="1" x14ac:dyDescent="0.45">
      <c r="A20" s="360"/>
      <c r="B20" s="226"/>
      <c r="C20" s="226"/>
      <c r="D20" s="226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7"/>
      <c r="Q20" s="13"/>
      <c r="R20" s="13"/>
      <c r="S20" s="13"/>
    </row>
    <row r="21" spans="1:19" ht="30.75" customHeight="1" x14ac:dyDescent="0.45">
      <c r="A21" s="386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84"/>
      <c r="Q21" s="13"/>
      <c r="R21" s="13"/>
      <c r="S21" s="13"/>
    </row>
    <row r="22" spans="1:19" ht="27.75" customHeight="1" x14ac:dyDescent="0.45">
      <c r="A22" s="387" t="s">
        <v>220</v>
      </c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05"/>
      <c r="Q22" s="13"/>
      <c r="R22" s="13"/>
      <c r="S22" s="13"/>
    </row>
    <row r="23" spans="1:19" ht="27.75" customHeight="1" x14ac:dyDescent="0.45">
      <c r="A23" s="206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07"/>
      <c r="Q23" s="13"/>
      <c r="R23" s="13"/>
      <c r="S23" s="13"/>
    </row>
    <row r="24" spans="1:19" ht="12" customHeight="1" x14ac:dyDescent="0.5">
      <c r="A24" s="388"/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16"/>
      <c r="Q24" s="58"/>
      <c r="R24" s="58"/>
      <c r="S24" s="58"/>
    </row>
    <row r="25" spans="1:19" ht="36" customHeight="1" x14ac:dyDescent="0.45">
      <c r="A25" s="389" t="s">
        <v>221</v>
      </c>
      <c r="B25" s="223"/>
      <c r="C25" s="224"/>
      <c r="D25" s="390"/>
      <c r="E25" s="223"/>
      <c r="F25" s="223"/>
      <c r="G25" s="223"/>
      <c r="H25" s="77"/>
      <c r="I25" s="77"/>
      <c r="J25" s="77"/>
      <c r="K25" s="391" t="s">
        <v>206</v>
      </c>
      <c r="L25" s="224"/>
      <c r="M25" s="390"/>
      <c r="N25" s="223"/>
      <c r="O25" s="223"/>
      <c r="P25" s="233"/>
      <c r="Q25" s="13"/>
      <c r="R25" s="13"/>
      <c r="S25" s="13"/>
    </row>
    <row r="26" spans="1:19" ht="36" customHeight="1" x14ac:dyDescent="0.45">
      <c r="A26" s="380" t="s">
        <v>207</v>
      </c>
      <c r="B26" s="226"/>
      <c r="C26" s="227"/>
      <c r="D26" s="78"/>
      <c r="E26" s="78"/>
      <c r="F26" s="78"/>
      <c r="G26" s="78"/>
      <c r="H26" s="79"/>
      <c r="I26" s="79"/>
      <c r="J26" s="79"/>
      <c r="K26" s="384" t="s">
        <v>207</v>
      </c>
      <c r="L26" s="227"/>
      <c r="M26" s="385"/>
      <c r="N26" s="226"/>
      <c r="O26" s="226"/>
      <c r="P26" s="209"/>
      <c r="Q26" s="13"/>
      <c r="R26" s="13"/>
      <c r="S26" s="13"/>
    </row>
    <row r="27" spans="1:19" ht="36" customHeight="1" x14ac:dyDescent="0.45">
      <c r="A27" s="381" t="s">
        <v>208</v>
      </c>
      <c r="B27" s="238"/>
      <c r="C27" s="231"/>
      <c r="D27" s="382"/>
      <c r="E27" s="238"/>
      <c r="F27" s="238"/>
      <c r="G27" s="238"/>
      <c r="H27" s="238"/>
      <c r="I27" s="238"/>
      <c r="J27" s="231"/>
      <c r="K27" s="383" t="s">
        <v>208</v>
      </c>
      <c r="L27" s="231"/>
      <c r="M27" s="382"/>
      <c r="N27" s="238"/>
      <c r="O27" s="238"/>
      <c r="P27" s="264"/>
      <c r="Q27" s="13"/>
      <c r="R27" s="13"/>
      <c r="S27" s="13"/>
    </row>
    <row r="28" spans="1:19" ht="18.75" customHeight="1" x14ac:dyDescent="0.45">
      <c r="A28" s="80"/>
      <c r="B28" s="80"/>
      <c r="C28" s="80"/>
      <c r="D28" s="81"/>
      <c r="E28" s="81"/>
      <c r="F28" s="81"/>
      <c r="G28" s="81"/>
      <c r="H28" s="81"/>
      <c r="I28" s="81"/>
      <c r="J28" s="81"/>
      <c r="K28" s="80"/>
      <c r="L28" s="80"/>
      <c r="M28" s="81"/>
      <c r="N28" s="81"/>
      <c r="O28" s="81"/>
      <c r="P28" s="81"/>
      <c r="Q28" s="13"/>
      <c r="R28" s="13"/>
      <c r="S28" s="13"/>
    </row>
    <row r="29" spans="1:19" ht="15.75" customHeight="1" x14ac:dyDescent="0.4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25"/>
      <c r="N29" s="26"/>
      <c r="O29" s="26"/>
      <c r="P29" s="13"/>
      <c r="Q29" s="13"/>
      <c r="R29" s="13"/>
      <c r="S29" s="13"/>
    </row>
    <row r="30" spans="1:19" ht="15.75" customHeight="1" x14ac:dyDescent="0.4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25"/>
      <c r="N30" s="26"/>
      <c r="O30" s="26"/>
      <c r="P30" s="13"/>
      <c r="Q30" s="13"/>
      <c r="R30" s="13"/>
      <c r="S30" s="13"/>
    </row>
    <row r="31" spans="1:19" ht="15.75" customHeight="1" x14ac:dyDescent="0.4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25"/>
      <c r="N31" s="26"/>
      <c r="O31" s="26"/>
      <c r="P31" s="13"/>
      <c r="Q31" s="13"/>
      <c r="R31" s="13"/>
      <c r="S31" s="13"/>
    </row>
    <row r="32" spans="1:19" ht="15.75" customHeight="1" x14ac:dyDescent="0.4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25"/>
      <c r="N32" s="26"/>
      <c r="O32" s="26"/>
      <c r="P32" s="13"/>
      <c r="Q32" s="13"/>
      <c r="R32" s="13"/>
      <c r="S32" s="13"/>
    </row>
    <row r="33" spans="1:19" ht="15.75" customHeight="1" x14ac:dyDescent="0.4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25"/>
      <c r="N33" s="26"/>
      <c r="O33" s="26"/>
      <c r="P33" s="13"/>
      <c r="Q33" s="13"/>
      <c r="R33" s="13"/>
      <c r="S33" s="13"/>
    </row>
    <row r="34" spans="1:19" ht="15.75" customHeight="1" x14ac:dyDescent="0.4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25"/>
      <c r="N34" s="26"/>
      <c r="O34" s="26"/>
      <c r="P34" s="13"/>
      <c r="Q34" s="13"/>
      <c r="R34" s="13"/>
      <c r="S34" s="13"/>
    </row>
    <row r="35" spans="1:19" ht="15.75" customHeight="1" x14ac:dyDescent="0.4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25"/>
      <c r="N35" s="26"/>
      <c r="O35" s="26"/>
      <c r="P35" s="13"/>
      <c r="Q35" s="13"/>
      <c r="R35" s="13"/>
      <c r="S35" s="13"/>
    </row>
    <row r="36" spans="1:19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25"/>
      <c r="N36" s="26"/>
      <c r="O36" s="26"/>
      <c r="P36" s="13"/>
      <c r="Q36" s="13"/>
      <c r="R36" s="13"/>
      <c r="S36" s="13"/>
    </row>
    <row r="37" spans="1:19" ht="15.75" customHeight="1" x14ac:dyDescent="0.4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25"/>
      <c r="N37" s="26"/>
      <c r="O37" s="26"/>
      <c r="P37" s="13"/>
      <c r="Q37" s="13"/>
      <c r="R37" s="13"/>
      <c r="S37" s="13"/>
    </row>
    <row r="38" spans="1:19" ht="15.75" customHeight="1" x14ac:dyDescent="0.4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5"/>
      <c r="N38" s="26"/>
      <c r="O38" s="26"/>
      <c r="P38" s="13"/>
      <c r="Q38" s="13"/>
      <c r="R38" s="13"/>
      <c r="S38" s="13"/>
    </row>
    <row r="39" spans="1:19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/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</sheetData>
  <mergeCells count="52">
    <mergeCell ref="A14:P14"/>
    <mergeCell ref="A15:P15"/>
    <mergeCell ref="A26:C26"/>
    <mergeCell ref="A27:C27"/>
    <mergeCell ref="D27:J27"/>
    <mergeCell ref="K27:L27"/>
    <mergeCell ref="M27:P27"/>
    <mergeCell ref="K26:L26"/>
    <mergeCell ref="M26:P26"/>
    <mergeCell ref="A21:P21"/>
    <mergeCell ref="A22:P23"/>
    <mergeCell ref="A24:P24"/>
    <mergeCell ref="A25:C25"/>
    <mergeCell ref="D25:G25"/>
    <mergeCell ref="K25:L25"/>
    <mergeCell ref="M25:P25"/>
    <mergeCell ref="A11:M11"/>
    <mergeCell ref="N11:O11"/>
    <mergeCell ref="A12:M12"/>
    <mergeCell ref="N12:O12"/>
    <mergeCell ref="A13:P13"/>
    <mergeCell ref="F9:G9"/>
    <mergeCell ref="H9:K9"/>
    <mergeCell ref="M9:N9"/>
    <mergeCell ref="O9:P9"/>
    <mergeCell ref="A10:P10"/>
    <mergeCell ref="A9:E9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16:P16"/>
    <mergeCell ref="A17:P17"/>
    <mergeCell ref="A18:P18"/>
    <mergeCell ref="A19:P19"/>
    <mergeCell ref="A20:P2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82"/>
      <c r="B1" s="395"/>
      <c r="C1" s="270"/>
      <c r="D1" s="269" t="s">
        <v>0</v>
      </c>
      <c r="E1" s="250"/>
      <c r="F1" s="250"/>
      <c r="G1" s="250"/>
      <c r="H1" s="270"/>
      <c r="I1" s="10" t="s">
        <v>1</v>
      </c>
      <c r="J1" s="274" t="s">
        <v>222</v>
      </c>
      <c r="K1" s="227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7.25" customHeight="1" x14ac:dyDescent="0.45">
      <c r="A2" s="82"/>
      <c r="B2" s="271"/>
      <c r="C2" s="220"/>
      <c r="D2" s="271"/>
      <c r="E2" s="213"/>
      <c r="F2" s="213"/>
      <c r="G2" s="213"/>
      <c r="H2" s="220"/>
      <c r="I2" s="10" t="s">
        <v>3</v>
      </c>
      <c r="J2" s="310">
        <v>1</v>
      </c>
      <c r="K2" s="227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8" customHeight="1" x14ac:dyDescent="0.45">
      <c r="A3" s="82"/>
      <c r="B3" s="271"/>
      <c r="C3" s="220"/>
      <c r="D3" s="272"/>
      <c r="E3" s="252"/>
      <c r="F3" s="252"/>
      <c r="G3" s="252"/>
      <c r="H3" s="273"/>
      <c r="I3" s="10" t="s">
        <v>5</v>
      </c>
      <c r="J3" s="274" t="s">
        <v>6</v>
      </c>
      <c r="K3" s="227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8.75" customHeight="1" x14ac:dyDescent="0.45">
      <c r="A4" s="83" t="s">
        <v>223</v>
      </c>
      <c r="B4" s="271"/>
      <c r="C4" s="220"/>
      <c r="D4" s="269" t="s">
        <v>224</v>
      </c>
      <c r="E4" s="250"/>
      <c r="F4" s="250"/>
      <c r="G4" s="250"/>
      <c r="H4" s="270"/>
      <c r="I4" s="396" t="s">
        <v>7</v>
      </c>
      <c r="J4" s="274" t="s">
        <v>225</v>
      </c>
      <c r="K4" s="227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21" customHeight="1" x14ac:dyDescent="0.45">
      <c r="A5" s="83"/>
      <c r="B5" s="272"/>
      <c r="C5" s="273"/>
      <c r="D5" s="272"/>
      <c r="E5" s="252"/>
      <c r="F5" s="252"/>
      <c r="G5" s="252"/>
      <c r="H5" s="273"/>
      <c r="I5" s="397"/>
      <c r="J5" s="210" t="s">
        <v>226</v>
      </c>
      <c r="K5" s="227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45.75" customHeight="1" x14ac:dyDescent="0.45">
      <c r="A6" s="82"/>
      <c r="B6" s="274" t="s">
        <v>227</v>
      </c>
      <c r="C6" s="227"/>
      <c r="D6" s="289" t="str">
        <f>'INSTRUCTIVO FAB'!F7</f>
        <v>AZ HIBRID CLEAR</v>
      </c>
      <c r="E6" s="226"/>
      <c r="F6" s="209"/>
      <c r="G6" s="274" t="s">
        <v>228</v>
      </c>
      <c r="H6" s="227"/>
      <c r="I6" s="398"/>
      <c r="J6" s="226"/>
      <c r="K6" s="227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7.75" customHeight="1" x14ac:dyDescent="0.45">
      <c r="A7" s="82"/>
      <c r="B7" s="274" t="s">
        <v>229</v>
      </c>
      <c r="C7" s="227"/>
      <c r="D7" s="225" t="str">
        <f>'INSTRUCTIVO FAB'!F9</f>
        <v>OP-L-127</v>
      </c>
      <c r="E7" s="226"/>
      <c r="F7" s="227"/>
      <c r="G7" s="274" t="s">
        <v>230</v>
      </c>
      <c r="H7" s="227"/>
      <c r="I7" s="225"/>
      <c r="J7" s="226"/>
      <c r="K7" s="227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7.75" customHeight="1" x14ac:dyDescent="0.45">
      <c r="A8" s="82"/>
      <c r="B8" s="274" t="s">
        <v>231</v>
      </c>
      <c r="C8" s="227"/>
      <c r="D8" s="280" t="str">
        <f>'INSTRUCTIVO FAB'!F8</f>
        <v>252591</v>
      </c>
      <c r="E8" s="226"/>
      <c r="F8" s="227"/>
      <c r="G8" s="274" t="s">
        <v>232</v>
      </c>
      <c r="H8" s="227"/>
      <c r="I8" s="225" t="str">
        <f>OP!G11</f>
        <v>SOLUCION</v>
      </c>
      <c r="J8" s="226"/>
      <c r="K8" s="227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33.75" customHeight="1" x14ac:dyDescent="0.45">
      <c r="A9" s="82"/>
      <c r="B9" s="274" t="s">
        <v>233</v>
      </c>
      <c r="C9" s="227"/>
      <c r="D9" s="281">
        <f>OP!P12</f>
        <v>36</v>
      </c>
      <c r="E9" s="226"/>
      <c r="F9" s="227"/>
      <c r="G9" s="274" t="s">
        <v>234</v>
      </c>
      <c r="H9" s="227"/>
      <c r="I9" s="399"/>
      <c r="J9" s="226"/>
      <c r="K9" s="227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7.75" customHeight="1" x14ac:dyDescent="0.45">
      <c r="A10" s="82"/>
      <c r="B10" s="393" t="s">
        <v>235</v>
      </c>
      <c r="C10" s="226"/>
      <c r="D10" s="226"/>
      <c r="E10" s="226"/>
      <c r="F10" s="226"/>
      <c r="G10" s="226"/>
      <c r="H10" s="226"/>
      <c r="I10" s="226"/>
      <c r="J10" s="226"/>
      <c r="K10" s="227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9.25" customHeight="1" x14ac:dyDescent="0.45">
      <c r="A11" s="82"/>
      <c r="B11" s="392" t="s">
        <v>236</v>
      </c>
      <c r="C11" s="270"/>
      <c r="D11" s="392" t="s">
        <v>237</v>
      </c>
      <c r="E11" s="250"/>
      <c r="F11" s="250"/>
      <c r="G11" s="250"/>
      <c r="H11" s="270"/>
      <c r="I11" s="393" t="s">
        <v>238</v>
      </c>
      <c r="J11" s="226"/>
      <c r="K11" s="227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4.75" customHeight="1" x14ac:dyDescent="0.45">
      <c r="A12" s="82"/>
      <c r="B12" s="272"/>
      <c r="C12" s="273"/>
      <c r="D12" s="272"/>
      <c r="E12" s="252"/>
      <c r="F12" s="252"/>
      <c r="G12" s="252"/>
      <c r="H12" s="273"/>
      <c r="I12" s="84" t="s">
        <v>239</v>
      </c>
      <c r="J12" s="84" t="s">
        <v>72</v>
      </c>
      <c r="K12" s="84" t="s">
        <v>73</v>
      </c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95.25" customHeight="1" x14ac:dyDescent="0.45">
      <c r="A13" s="82"/>
      <c r="B13" s="274" t="s">
        <v>240</v>
      </c>
      <c r="C13" s="227"/>
      <c r="D13" s="289" t="s">
        <v>241</v>
      </c>
      <c r="E13" s="226"/>
      <c r="F13" s="226"/>
      <c r="G13" s="226"/>
      <c r="H13" s="227"/>
      <c r="I13" s="11"/>
      <c r="J13" s="24"/>
      <c r="K13" s="24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80.25" customHeight="1" x14ac:dyDescent="0.45">
      <c r="A14" s="82"/>
      <c r="B14" s="274" t="s">
        <v>242</v>
      </c>
      <c r="C14" s="227"/>
      <c r="D14" s="274" t="s">
        <v>243</v>
      </c>
      <c r="E14" s="226"/>
      <c r="F14" s="226"/>
      <c r="G14" s="226"/>
      <c r="H14" s="227"/>
      <c r="I14" s="11"/>
      <c r="J14" s="24"/>
      <c r="K14" s="24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75.75" customHeight="1" x14ac:dyDescent="0.45">
      <c r="A15" s="82"/>
      <c r="B15" s="400" t="s">
        <v>244</v>
      </c>
      <c r="C15" s="227"/>
      <c r="D15" s="225" t="s">
        <v>245</v>
      </c>
      <c r="E15" s="226"/>
      <c r="F15" s="226"/>
      <c r="G15" s="226"/>
      <c r="H15" s="227"/>
      <c r="I15" s="11"/>
      <c r="J15" s="24"/>
      <c r="K15" s="24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84" customHeight="1" x14ac:dyDescent="0.45">
      <c r="A16" s="82"/>
      <c r="B16" s="274" t="s">
        <v>246</v>
      </c>
      <c r="C16" s="227"/>
      <c r="D16" s="225" t="s">
        <v>247</v>
      </c>
      <c r="E16" s="226"/>
      <c r="F16" s="226"/>
      <c r="G16" s="226"/>
      <c r="H16" s="227"/>
      <c r="I16" s="11"/>
      <c r="J16" s="24"/>
      <c r="K16" s="24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26.25" customHeight="1" x14ac:dyDescent="0.45">
      <c r="A17" s="82"/>
      <c r="B17" s="225" t="s">
        <v>248</v>
      </c>
      <c r="C17" s="226"/>
      <c r="D17" s="226"/>
      <c r="E17" s="226"/>
      <c r="F17" s="226"/>
      <c r="G17" s="226"/>
      <c r="H17" s="226"/>
      <c r="I17" s="226"/>
      <c r="J17" s="226"/>
      <c r="K17" s="227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22.5" customHeight="1" x14ac:dyDescent="0.45">
      <c r="A18" s="82"/>
      <c r="B18" s="401" t="s">
        <v>31</v>
      </c>
      <c r="C18" s="394"/>
      <c r="D18" s="250"/>
      <c r="E18" s="250"/>
      <c r="F18" s="250"/>
      <c r="G18" s="250"/>
      <c r="H18" s="250"/>
      <c r="I18" s="250"/>
      <c r="J18" s="250"/>
      <c r="K18" s="270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22.5" customHeight="1" x14ac:dyDescent="0.45">
      <c r="A19" s="82"/>
      <c r="B19" s="402"/>
      <c r="C19" s="271"/>
      <c r="D19" s="213"/>
      <c r="E19" s="213"/>
      <c r="F19" s="213"/>
      <c r="G19" s="213"/>
      <c r="H19" s="213"/>
      <c r="I19" s="213"/>
      <c r="J19" s="213"/>
      <c r="K19" s="220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60" customHeight="1" x14ac:dyDescent="0.45">
      <c r="A20" s="82"/>
      <c r="B20" s="402"/>
      <c r="C20" s="271"/>
      <c r="D20" s="213"/>
      <c r="E20" s="213"/>
      <c r="F20" s="213"/>
      <c r="G20" s="213"/>
      <c r="H20" s="213"/>
      <c r="I20" s="213"/>
      <c r="J20" s="213"/>
      <c r="K20" s="220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63" customHeight="1" x14ac:dyDescent="0.45">
      <c r="A21" s="82"/>
      <c r="B21" s="402"/>
      <c r="C21" s="271"/>
      <c r="D21" s="213"/>
      <c r="E21" s="213"/>
      <c r="F21" s="213"/>
      <c r="G21" s="213"/>
      <c r="H21" s="213"/>
      <c r="I21" s="213"/>
      <c r="J21" s="213"/>
      <c r="K21" s="220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3" customHeight="1" x14ac:dyDescent="0.45">
      <c r="A22" s="82"/>
      <c r="B22" s="397"/>
      <c r="C22" s="272"/>
      <c r="D22" s="252"/>
      <c r="E22" s="252"/>
      <c r="F22" s="252"/>
      <c r="G22" s="252"/>
      <c r="H22" s="252"/>
      <c r="I22" s="252"/>
      <c r="J22" s="252"/>
      <c r="K22" s="273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0" customHeight="1" x14ac:dyDescent="0.45">
      <c r="A23" s="82"/>
      <c r="B23" s="393" t="s">
        <v>249</v>
      </c>
      <c r="C23" s="226"/>
      <c r="D23" s="226"/>
      <c r="E23" s="226"/>
      <c r="F23" s="226"/>
      <c r="G23" s="226"/>
      <c r="H23" s="226"/>
      <c r="I23" s="226"/>
      <c r="J23" s="226"/>
      <c r="K23" s="227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0" customHeight="1" x14ac:dyDescent="0.45">
      <c r="A24" s="82"/>
      <c r="B24" s="10"/>
      <c r="C24" s="393" t="s">
        <v>250</v>
      </c>
      <c r="D24" s="227"/>
      <c r="E24" s="10"/>
      <c r="F24" s="393" t="s">
        <v>251</v>
      </c>
      <c r="G24" s="227"/>
      <c r="H24" s="274"/>
      <c r="I24" s="227"/>
      <c r="J24" s="393" t="s">
        <v>252</v>
      </c>
      <c r="K24" s="227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3" customHeight="1" x14ac:dyDescent="0.45">
      <c r="A25" s="82"/>
      <c r="B25" s="393"/>
      <c r="C25" s="226"/>
      <c r="D25" s="226"/>
      <c r="E25" s="226"/>
      <c r="F25" s="226"/>
      <c r="G25" s="226"/>
      <c r="H25" s="226"/>
      <c r="I25" s="226"/>
      <c r="J25" s="226"/>
      <c r="K25" s="227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30.75" customHeight="1" x14ac:dyDescent="0.45">
      <c r="A26" s="82"/>
      <c r="B26" s="393" t="s">
        <v>86</v>
      </c>
      <c r="C26" s="227"/>
      <c r="D26" s="274"/>
      <c r="E26" s="226"/>
      <c r="F26" s="227"/>
      <c r="G26" s="85" t="s">
        <v>253</v>
      </c>
      <c r="H26" s="274"/>
      <c r="I26" s="226"/>
      <c r="J26" s="226"/>
      <c r="K26" s="227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30" customHeight="1" x14ac:dyDescent="0.45">
      <c r="A27" s="82"/>
      <c r="B27" s="393" t="s">
        <v>254</v>
      </c>
      <c r="C27" s="227"/>
      <c r="D27" s="274"/>
      <c r="E27" s="226"/>
      <c r="F27" s="227"/>
      <c r="G27" s="84" t="s">
        <v>254</v>
      </c>
      <c r="H27" s="274"/>
      <c r="I27" s="226"/>
      <c r="J27" s="226"/>
      <c r="K27" s="227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4.75" customHeight="1" x14ac:dyDescent="0.45">
      <c r="A28" s="82"/>
      <c r="B28" s="393" t="s">
        <v>67</v>
      </c>
      <c r="C28" s="227"/>
      <c r="D28" s="274"/>
      <c r="E28" s="226"/>
      <c r="F28" s="227"/>
      <c r="G28" s="84" t="s">
        <v>67</v>
      </c>
      <c r="H28" s="274"/>
      <c r="I28" s="226"/>
      <c r="J28" s="226"/>
      <c r="K28" s="227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55"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D16:H16"/>
    <mergeCell ref="B17:K17"/>
    <mergeCell ref="C18:K22"/>
    <mergeCell ref="B23:K23"/>
    <mergeCell ref="C24:D24"/>
    <mergeCell ref="F24:G24"/>
    <mergeCell ref="H24:I24"/>
    <mergeCell ref="J24:K24"/>
    <mergeCell ref="D11:H12"/>
    <mergeCell ref="I11:K11"/>
    <mergeCell ref="D13:H13"/>
    <mergeCell ref="D14:H14"/>
    <mergeCell ref="D15:H15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69"/>
      <c r="B1" s="250"/>
      <c r="C1" s="270"/>
      <c r="D1" s="269" t="s">
        <v>0</v>
      </c>
      <c r="E1" s="250"/>
      <c r="F1" s="250"/>
      <c r="G1" s="250"/>
      <c r="H1" s="250"/>
      <c r="I1" s="250"/>
      <c r="J1" s="250"/>
      <c r="K1" s="250"/>
      <c r="L1" s="270"/>
      <c r="M1" s="274" t="s">
        <v>1</v>
      </c>
      <c r="N1" s="227"/>
      <c r="O1" s="275" t="s">
        <v>255</v>
      </c>
      <c r="P1" s="233"/>
      <c r="Q1" s="13"/>
      <c r="R1" s="13"/>
      <c r="S1" s="13"/>
    </row>
    <row r="2" spans="1:19" ht="18.75" customHeight="1" x14ac:dyDescent="0.45">
      <c r="A2" s="271"/>
      <c r="B2" s="213"/>
      <c r="C2" s="220"/>
      <c r="D2" s="272"/>
      <c r="E2" s="252"/>
      <c r="F2" s="252"/>
      <c r="G2" s="252"/>
      <c r="H2" s="252"/>
      <c r="I2" s="252"/>
      <c r="J2" s="252"/>
      <c r="K2" s="252"/>
      <c r="L2" s="273"/>
      <c r="M2" s="276" t="s">
        <v>3</v>
      </c>
      <c r="N2" s="273"/>
      <c r="O2" s="277">
        <v>1</v>
      </c>
      <c r="P2" s="268"/>
      <c r="Q2" s="13"/>
      <c r="R2" s="13"/>
      <c r="S2" s="13"/>
    </row>
    <row r="3" spans="1:19" ht="17.25" customHeight="1" x14ac:dyDescent="0.45">
      <c r="A3" s="271"/>
      <c r="B3" s="213"/>
      <c r="C3" s="220"/>
      <c r="D3" s="278" t="s">
        <v>256</v>
      </c>
      <c r="E3" s="250"/>
      <c r="F3" s="250"/>
      <c r="G3" s="250"/>
      <c r="H3" s="250"/>
      <c r="I3" s="250"/>
      <c r="J3" s="250"/>
      <c r="K3" s="250"/>
      <c r="L3" s="250"/>
      <c r="M3" s="276" t="s">
        <v>5</v>
      </c>
      <c r="N3" s="273"/>
      <c r="O3" s="274" t="s">
        <v>6</v>
      </c>
      <c r="P3" s="209"/>
      <c r="Q3" s="13"/>
      <c r="R3" s="13"/>
      <c r="S3" s="13"/>
    </row>
    <row r="4" spans="1:19" ht="17.25" customHeight="1" x14ac:dyDescent="0.45">
      <c r="A4" s="271"/>
      <c r="B4" s="213"/>
      <c r="C4" s="220"/>
      <c r="D4" s="271"/>
      <c r="E4" s="213"/>
      <c r="F4" s="213"/>
      <c r="G4" s="213"/>
      <c r="H4" s="213"/>
      <c r="I4" s="213"/>
      <c r="J4" s="213"/>
      <c r="K4" s="213"/>
      <c r="L4" s="213"/>
      <c r="M4" s="269" t="s">
        <v>7</v>
      </c>
      <c r="N4" s="270"/>
      <c r="O4" s="208" t="s">
        <v>8</v>
      </c>
      <c r="P4" s="209"/>
      <c r="Q4" s="13"/>
      <c r="R4" s="13"/>
      <c r="S4" s="13"/>
    </row>
    <row r="5" spans="1:19" ht="17.25" customHeight="1" x14ac:dyDescent="0.45">
      <c r="A5" s="271"/>
      <c r="B5" s="213"/>
      <c r="C5" s="220"/>
      <c r="D5" s="271"/>
      <c r="E5" s="213"/>
      <c r="F5" s="213"/>
      <c r="G5" s="213"/>
      <c r="H5" s="213"/>
      <c r="I5" s="213"/>
      <c r="J5" s="213"/>
      <c r="K5" s="213"/>
      <c r="L5" s="213"/>
      <c r="M5" s="272"/>
      <c r="N5" s="273"/>
      <c r="O5" s="210" t="s">
        <v>9</v>
      </c>
      <c r="P5" s="209"/>
      <c r="Q5" s="13"/>
      <c r="R5" s="13"/>
      <c r="S5" s="13"/>
    </row>
    <row r="6" spans="1:19" ht="27.75" customHeight="1" x14ac:dyDescent="0.45">
      <c r="A6" s="413" t="s">
        <v>10</v>
      </c>
      <c r="B6" s="226"/>
      <c r="C6" s="226"/>
      <c r="D6" s="226"/>
      <c r="E6" s="227"/>
      <c r="F6" s="225" t="str">
        <f>'COC GRANEL'!D6</f>
        <v>AZ HIBRID CLEAR</v>
      </c>
      <c r="G6" s="226"/>
      <c r="H6" s="226"/>
      <c r="I6" s="226"/>
      <c r="J6" s="226"/>
      <c r="K6" s="226"/>
      <c r="L6" s="226"/>
      <c r="M6" s="226"/>
      <c r="N6" s="226"/>
      <c r="O6" s="226"/>
      <c r="P6" s="209"/>
      <c r="Q6" s="13"/>
      <c r="R6" s="13"/>
      <c r="S6" s="13"/>
    </row>
    <row r="7" spans="1:19" ht="24" customHeight="1" x14ac:dyDescent="0.45">
      <c r="A7" s="418" t="s">
        <v>55</v>
      </c>
      <c r="B7" s="317"/>
      <c r="C7" s="317"/>
      <c r="D7" s="317"/>
      <c r="E7" s="240"/>
      <c r="F7" s="414" t="str">
        <f>'COC GRANEL'!D8</f>
        <v>252591</v>
      </c>
      <c r="G7" s="270"/>
      <c r="H7" s="415" t="s">
        <v>257</v>
      </c>
      <c r="I7" s="240"/>
      <c r="J7" s="368" t="str">
        <f>'COC GRANEL'!D7</f>
        <v>OP-L-127</v>
      </c>
      <c r="K7" s="250"/>
      <c r="L7" s="270"/>
      <c r="M7" s="416" t="s">
        <v>16</v>
      </c>
      <c r="N7" s="240"/>
      <c r="O7" s="417" t="str">
        <f>'LISTA CHEQUEO'!F9</f>
        <v>15 mL</v>
      </c>
      <c r="P7" s="268"/>
      <c r="Q7" s="13"/>
      <c r="R7" s="13"/>
      <c r="S7" s="13"/>
    </row>
    <row r="8" spans="1:19" ht="28.5" customHeight="1" x14ac:dyDescent="0.45">
      <c r="A8" s="405" t="s">
        <v>258</v>
      </c>
      <c r="B8" s="226"/>
      <c r="C8" s="226"/>
      <c r="D8" s="226"/>
      <c r="E8" s="227"/>
      <c r="F8" s="419"/>
      <c r="G8" s="227"/>
      <c r="H8" s="405" t="s">
        <v>259</v>
      </c>
      <c r="I8" s="226"/>
      <c r="J8" s="398"/>
      <c r="K8" s="226"/>
      <c r="L8" s="226"/>
      <c r="M8" s="405" t="s">
        <v>260</v>
      </c>
      <c r="N8" s="226"/>
      <c r="O8" s="294"/>
      <c r="P8" s="209"/>
      <c r="Q8" s="13"/>
      <c r="R8" s="13"/>
      <c r="S8" s="13"/>
    </row>
    <row r="9" spans="1:19" ht="36.75" customHeight="1" x14ac:dyDescent="0.45">
      <c r="A9" s="403" t="s">
        <v>261</v>
      </c>
      <c r="B9" s="226"/>
      <c r="C9" s="226"/>
      <c r="D9" s="226"/>
      <c r="E9" s="227"/>
      <c r="F9" s="404"/>
      <c r="G9" s="227"/>
      <c r="H9" s="405" t="s">
        <v>262</v>
      </c>
      <c r="I9" s="227"/>
      <c r="J9" s="274"/>
      <c r="K9" s="226"/>
      <c r="L9" s="227"/>
      <c r="M9" s="405" t="s">
        <v>194</v>
      </c>
      <c r="N9" s="227"/>
      <c r="O9" s="294"/>
      <c r="P9" s="209"/>
      <c r="Q9" s="13"/>
      <c r="R9" s="13"/>
      <c r="S9" s="13"/>
    </row>
    <row r="10" spans="1:19" ht="19.5" customHeight="1" x14ac:dyDescent="0.45">
      <c r="A10" s="350" t="s">
        <v>195</v>
      </c>
      <c r="B10" s="22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7"/>
      <c r="N10" s="292" t="s">
        <v>196</v>
      </c>
      <c r="O10" s="227"/>
      <c r="P10" s="61" t="s">
        <v>197</v>
      </c>
      <c r="Q10" s="13"/>
      <c r="R10" s="13"/>
      <c r="S10" s="13"/>
    </row>
    <row r="11" spans="1:19" ht="29.25" customHeight="1" x14ac:dyDescent="0.45">
      <c r="A11" s="351" t="s">
        <v>198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7"/>
      <c r="N11" s="333"/>
      <c r="O11" s="227"/>
      <c r="P11" s="62"/>
      <c r="Q11" s="13"/>
      <c r="R11" s="13"/>
      <c r="S11" s="13"/>
    </row>
    <row r="12" spans="1:19" ht="19.5" customHeight="1" x14ac:dyDescent="0.45">
      <c r="A12" s="406" t="s">
        <v>263</v>
      </c>
      <c r="B12" s="298"/>
      <c r="C12" s="298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407"/>
      <c r="Q12" s="87"/>
      <c r="R12" s="87"/>
      <c r="S12" s="87"/>
    </row>
    <row r="13" spans="1:19" ht="29.25" customHeight="1" x14ac:dyDescent="0.45">
      <c r="A13" s="406" t="s">
        <v>264</v>
      </c>
      <c r="B13" s="298"/>
      <c r="C13" s="408" t="s">
        <v>12</v>
      </c>
      <c r="D13" s="226"/>
      <c r="E13" s="227"/>
      <c r="F13" s="408" t="s">
        <v>265</v>
      </c>
      <c r="G13" s="226"/>
      <c r="H13" s="226"/>
      <c r="I13" s="226"/>
      <c r="J13" s="226"/>
      <c r="K13" s="226"/>
      <c r="L13" s="226"/>
      <c r="M13" s="408" t="s">
        <v>266</v>
      </c>
      <c r="N13" s="227"/>
      <c r="O13" s="412" t="s">
        <v>267</v>
      </c>
      <c r="P13" s="407"/>
      <c r="Q13" s="87"/>
      <c r="R13" s="87"/>
      <c r="S13" s="87"/>
    </row>
    <row r="14" spans="1:19" ht="29.25" customHeight="1" x14ac:dyDescent="0.45">
      <c r="A14" s="411"/>
      <c r="B14" s="226"/>
      <c r="C14" s="409"/>
      <c r="D14" s="226"/>
      <c r="E14" s="226"/>
      <c r="F14" s="409"/>
      <c r="G14" s="226"/>
      <c r="H14" s="226"/>
      <c r="I14" s="226"/>
      <c r="J14" s="226"/>
      <c r="K14" s="226"/>
      <c r="L14" s="227"/>
      <c r="M14" s="410"/>
      <c r="N14" s="227"/>
      <c r="O14" s="409"/>
      <c r="P14" s="209"/>
      <c r="Q14" s="87"/>
      <c r="R14" s="87"/>
      <c r="S14" s="87"/>
    </row>
    <row r="15" spans="1:19" ht="29.25" customHeight="1" x14ac:dyDescent="0.45">
      <c r="A15" s="411"/>
      <c r="B15" s="226"/>
      <c r="C15" s="409"/>
      <c r="D15" s="226"/>
      <c r="E15" s="226"/>
      <c r="F15" s="409"/>
      <c r="G15" s="226"/>
      <c r="H15" s="226"/>
      <c r="I15" s="226"/>
      <c r="J15" s="226"/>
      <c r="K15" s="226"/>
      <c r="L15" s="227"/>
      <c r="M15" s="410"/>
      <c r="N15" s="227"/>
      <c r="O15" s="409"/>
      <c r="P15" s="209"/>
      <c r="Q15" s="87"/>
      <c r="R15" s="87"/>
      <c r="S15" s="87"/>
    </row>
    <row r="16" spans="1:19" ht="29.25" customHeight="1" x14ac:dyDescent="0.45">
      <c r="A16" s="411"/>
      <c r="B16" s="226"/>
      <c r="C16" s="409"/>
      <c r="D16" s="226"/>
      <c r="E16" s="226"/>
      <c r="F16" s="409"/>
      <c r="G16" s="226"/>
      <c r="H16" s="226"/>
      <c r="I16" s="226"/>
      <c r="J16" s="226"/>
      <c r="K16" s="226"/>
      <c r="L16" s="227"/>
      <c r="M16" s="410"/>
      <c r="N16" s="227"/>
      <c r="O16" s="409"/>
      <c r="P16" s="209"/>
      <c r="Q16" s="87"/>
      <c r="R16" s="87"/>
      <c r="S16" s="87"/>
    </row>
    <row r="17" spans="1:19" ht="29.25" customHeight="1" x14ac:dyDescent="0.45">
      <c r="A17" s="411"/>
      <c r="B17" s="226"/>
      <c r="C17" s="409"/>
      <c r="D17" s="226"/>
      <c r="E17" s="226"/>
      <c r="F17" s="409"/>
      <c r="G17" s="226"/>
      <c r="H17" s="226"/>
      <c r="I17" s="226"/>
      <c r="J17" s="226"/>
      <c r="K17" s="226"/>
      <c r="L17" s="227"/>
      <c r="M17" s="410"/>
      <c r="N17" s="227"/>
      <c r="O17" s="409"/>
      <c r="P17" s="209"/>
      <c r="Q17" s="87"/>
      <c r="R17" s="87"/>
      <c r="S17" s="87"/>
    </row>
    <row r="18" spans="1:19" ht="29.25" customHeight="1" x14ac:dyDescent="0.45">
      <c r="A18" s="420"/>
      <c r="B18" s="227"/>
      <c r="C18" s="421"/>
      <c r="D18" s="252"/>
      <c r="E18" s="273"/>
      <c r="F18" s="422"/>
      <c r="G18" s="252"/>
      <c r="H18" s="252"/>
      <c r="I18" s="252"/>
      <c r="J18" s="252"/>
      <c r="K18" s="252"/>
      <c r="L18" s="273"/>
      <c r="M18" s="423"/>
      <c r="N18" s="227"/>
      <c r="O18" s="423"/>
      <c r="P18" s="209"/>
      <c r="Q18" s="87"/>
      <c r="R18" s="87"/>
      <c r="S18" s="87"/>
    </row>
    <row r="19" spans="1:19" ht="21" customHeight="1" x14ac:dyDescent="0.45">
      <c r="A19" s="423" t="s">
        <v>268</v>
      </c>
      <c r="B19" s="226"/>
      <c r="C19" s="226"/>
      <c r="D19" s="226"/>
      <c r="E19" s="226"/>
      <c r="F19" s="227"/>
      <c r="G19" s="88" t="s">
        <v>196</v>
      </c>
      <c r="H19" s="444"/>
      <c r="I19" s="226"/>
      <c r="J19" s="227"/>
      <c r="K19" s="89" t="s">
        <v>197</v>
      </c>
      <c r="L19" s="90"/>
      <c r="M19" s="90" t="s">
        <v>269</v>
      </c>
      <c r="N19" s="444"/>
      <c r="O19" s="226"/>
      <c r="P19" s="209"/>
      <c r="Q19" s="91"/>
      <c r="R19" s="87"/>
      <c r="S19" s="87"/>
    </row>
    <row r="20" spans="1:19" ht="21" customHeight="1" x14ac:dyDescent="0.45">
      <c r="A20" s="408" t="s">
        <v>270</v>
      </c>
      <c r="B20" s="227"/>
      <c r="C20" s="446"/>
      <c r="D20" s="226"/>
      <c r="E20" s="226"/>
      <c r="F20" s="226"/>
      <c r="G20" s="227"/>
      <c r="H20" s="445" t="s">
        <v>271</v>
      </c>
      <c r="I20" s="227"/>
      <c r="J20" s="446"/>
      <c r="K20" s="226"/>
      <c r="L20" s="226"/>
      <c r="M20" s="227"/>
      <c r="N20" s="92" t="s">
        <v>272</v>
      </c>
      <c r="O20" s="444"/>
      <c r="P20" s="209"/>
      <c r="Q20" s="87"/>
      <c r="R20" s="87"/>
      <c r="S20" s="87"/>
    </row>
    <row r="21" spans="1:19" ht="16.5" customHeight="1" x14ac:dyDescent="0.45">
      <c r="A21" s="408" t="s">
        <v>273</v>
      </c>
      <c r="B21" s="226"/>
      <c r="C21" s="226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09"/>
      <c r="Q21" s="87"/>
      <c r="R21" s="87"/>
      <c r="S21" s="87"/>
    </row>
    <row r="22" spans="1:19" ht="24.75" customHeight="1" x14ac:dyDescent="0.45">
      <c r="A22" s="297" t="s">
        <v>274</v>
      </c>
      <c r="B22" s="298"/>
      <c r="C22" s="298"/>
      <c r="D22" s="298"/>
      <c r="E22" s="315"/>
      <c r="F22" s="448"/>
      <c r="G22" s="252"/>
      <c r="H22" s="252"/>
      <c r="I22" s="252"/>
      <c r="J22" s="252"/>
      <c r="K22" s="252"/>
      <c r="L22" s="297" t="s">
        <v>275</v>
      </c>
      <c r="M22" s="315"/>
      <c r="N22" s="449"/>
      <c r="O22" s="252"/>
      <c r="P22" s="369"/>
      <c r="Q22" s="87"/>
      <c r="R22" s="87"/>
      <c r="S22" s="87"/>
    </row>
    <row r="23" spans="1:19" ht="24.75" customHeight="1" x14ac:dyDescent="0.45">
      <c r="A23" s="229" t="s">
        <v>276</v>
      </c>
      <c r="B23" s="226"/>
      <c r="C23" s="226"/>
      <c r="D23" s="226"/>
      <c r="E23" s="227"/>
      <c r="F23" s="447"/>
      <c r="G23" s="226"/>
      <c r="H23" s="226"/>
      <c r="I23" s="226"/>
      <c r="J23" s="226"/>
      <c r="K23" s="226"/>
      <c r="L23" s="229" t="s">
        <v>277</v>
      </c>
      <c r="M23" s="227"/>
      <c r="N23" s="450"/>
      <c r="O23" s="226"/>
      <c r="P23" s="209"/>
      <c r="Q23" s="87"/>
      <c r="R23" s="87"/>
      <c r="S23" s="87"/>
    </row>
    <row r="24" spans="1:19" ht="24.75" customHeight="1" x14ac:dyDescent="0.45">
      <c r="A24" s="408" t="s">
        <v>278</v>
      </c>
      <c r="B24" s="226"/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7"/>
      <c r="Q24" s="87"/>
      <c r="R24" s="87"/>
      <c r="S24" s="87"/>
    </row>
    <row r="25" spans="1:19" ht="24.75" customHeight="1" x14ac:dyDescent="0.45">
      <c r="A25" s="442" t="s">
        <v>279</v>
      </c>
      <c r="B25" s="270"/>
      <c r="C25" s="424" t="s">
        <v>280</v>
      </c>
      <c r="D25" s="220"/>
      <c r="E25" s="425" t="s">
        <v>86</v>
      </c>
      <c r="F25" s="213"/>
      <c r="G25" s="220"/>
      <c r="H25" s="425" t="s">
        <v>281</v>
      </c>
      <c r="I25" s="213"/>
      <c r="J25" s="220"/>
      <c r="K25" s="93" t="s">
        <v>282</v>
      </c>
      <c r="L25" s="94" t="s">
        <v>283</v>
      </c>
      <c r="M25" s="94" t="s">
        <v>284</v>
      </c>
      <c r="N25" s="421" t="s">
        <v>285</v>
      </c>
      <c r="O25" s="273"/>
      <c r="P25" s="95" t="s">
        <v>286</v>
      </c>
      <c r="Q25" s="87"/>
      <c r="R25" s="87"/>
      <c r="S25" s="87"/>
    </row>
    <row r="26" spans="1:19" ht="24.75" customHeight="1" x14ac:dyDescent="0.45">
      <c r="A26" s="272"/>
      <c r="B26" s="273"/>
      <c r="C26" s="423"/>
      <c r="D26" s="227"/>
      <c r="E26" s="423"/>
      <c r="F26" s="226"/>
      <c r="G26" s="227"/>
      <c r="H26" s="423"/>
      <c r="I26" s="226"/>
      <c r="J26" s="227"/>
      <c r="K26" s="88"/>
      <c r="L26" s="96"/>
      <c r="M26" s="97"/>
      <c r="N26" s="426"/>
      <c r="O26" s="231"/>
      <c r="P26" s="98"/>
      <c r="Q26" s="87"/>
      <c r="R26" s="87"/>
      <c r="S26" s="87"/>
    </row>
    <row r="27" spans="1:19" ht="24.75" customHeight="1" x14ac:dyDescent="0.45">
      <c r="A27" s="427" t="s">
        <v>287</v>
      </c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33"/>
      <c r="Q27" s="87"/>
      <c r="R27" s="87"/>
      <c r="S27" s="87"/>
    </row>
    <row r="28" spans="1:19" ht="24.75" customHeight="1" x14ac:dyDescent="0.45">
      <c r="A28" s="420" t="s">
        <v>67</v>
      </c>
      <c r="B28" s="227"/>
      <c r="C28" s="423" t="s">
        <v>280</v>
      </c>
      <c r="D28" s="227"/>
      <c r="E28" s="423" t="s">
        <v>86</v>
      </c>
      <c r="F28" s="226"/>
      <c r="G28" s="227"/>
      <c r="H28" s="423" t="s">
        <v>288</v>
      </c>
      <c r="I28" s="226"/>
      <c r="J28" s="227"/>
      <c r="K28" s="88" t="s">
        <v>289</v>
      </c>
      <c r="L28" s="88" t="s">
        <v>290</v>
      </c>
      <c r="M28" s="88" t="s">
        <v>291</v>
      </c>
      <c r="N28" s="423" t="s">
        <v>292</v>
      </c>
      <c r="O28" s="227"/>
      <c r="P28" s="99" t="s">
        <v>293</v>
      </c>
      <c r="Q28" s="87"/>
      <c r="R28" s="87"/>
      <c r="S28" s="87"/>
    </row>
    <row r="29" spans="1:19" ht="24.75" customHeight="1" x14ac:dyDescent="0.45">
      <c r="A29" s="428"/>
      <c r="B29" s="227"/>
      <c r="C29" s="423"/>
      <c r="D29" s="227"/>
      <c r="E29" s="423"/>
      <c r="F29" s="226"/>
      <c r="G29" s="227"/>
      <c r="H29" s="423"/>
      <c r="I29" s="226"/>
      <c r="J29" s="227"/>
      <c r="K29" s="88"/>
      <c r="L29" s="88"/>
      <c r="M29" s="88"/>
      <c r="N29" s="423"/>
      <c r="O29" s="227"/>
      <c r="P29" s="99"/>
      <c r="Q29" s="87"/>
      <c r="R29" s="87"/>
      <c r="S29" s="87"/>
    </row>
    <row r="30" spans="1:19" ht="24.75" customHeight="1" x14ac:dyDescent="0.45">
      <c r="A30" s="428"/>
      <c r="B30" s="227"/>
      <c r="C30" s="423"/>
      <c r="D30" s="227"/>
      <c r="E30" s="423"/>
      <c r="F30" s="226"/>
      <c r="G30" s="227"/>
      <c r="H30" s="423"/>
      <c r="I30" s="226"/>
      <c r="J30" s="227"/>
      <c r="K30" s="88"/>
      <c r="L30" s="88"/>
      <c r="M30" s="88"/>
      <c r="N30" s="423"/>
      <c r="O30" s="227"/>
      <c r="P30" s="99"/>
      <c r="Q30" s="87"/>
      <c r="R30" s="87"/>
      <c r="S30" s="87"/>
    </row>
    <row r="31" spans="1:19" ht="24.75" customHeight="1" x14ac:dyDescent="0.45">
      <c r="A31" s="428"/>
      <c r="B31" s="227"/>
      <c r="C31" s="423"/>
      <c r="D31" s="227"/>
      <c r="E31" s="423"/>
      <c r="F31" s="226"/>
      <c r="G31" s="227"/>
      <c r="H31" s="423"/>
      <c r="I31" s="226"/>
      <c r="J31" s="227"/>
      <c r="K31" s="88"/>
      <c r="L31" s="88"/>
      <c r="M31" s="88"/>
      <c r="N31" s="423"/>
      <c r="O31" s="227"/>
      <c r="P31" s="99"/>
      <c r="Q31" s="87"/>
      <c r="R31" s="87"/>
      <c r="S31" s="87"/>
    </row>
    <row r="32" spans="1:19" ht="24.75" customHeight="1" x14ac:dyDescent="0.45">
      <c r="A32" s="428"/>
      <c r="B32" s="227"/>
      <c r="C32" s="423"/>
      <c r="D32" s="227"/>
      <c r="E32" s="423"/>
      <c r="F32" s="226"/>
      <c r="G32" s="227"/>
      <c r="H32" s="423"/>
      <c r="I32" s="226"/>
      <c r="J32" s="227"/>
      <c r="K32" s="88"/>
      <c r="L32" s="88"/>
      <c r="M32" s="88"/>
      <c r="N32" s="423"/>
      <c r="O32" s="227"/>
      <c r="P32" s="99"/>
      <c r="Q32" s="87"/>
      <c r="R32" s="87"/>
      <c r="S32" s="87"/>
    </row>
    <row r="33" spans="1:19" ht="24.75" customHeight="1" x14ac:dyDescent="0.45">
      <c r="A33" s="428"/>
      <c r="B33" s="227"/>
      <c r="C33" s="423"/>
      <c r="D33" s="227"/>
      <c r="E33" s="423"/>
      <c r="F33" s="226"/>
      <c r="G33" s="227"/>
      <c r="H33" s="423"/>
      <c r="I33" s="226"/>
      <c r="J33" s="227"/>
      <c r="K33" s="88"/>
      <c r="L33" s="88"/>
      <c r="M33" s="88"/>
      <c r="N33" s="423"/>
      <c r="O33" s="227"/>
      <c r="P33" s="99"/>
      <c r="Q33" s="87"/>
      <c r="R33" s="87"/>
      <c r="S33" s="87"/>
    </row>
    <row r="34" spans="1:19" ht="24.75" customHeight="1" x14ac:dyDescent="0.45">
      <c r="A34" s="428"/>
      <c r="B34" s="227"/>
      <c r="C34" s="423"/>
      <c r="D34" s="227"/>
      <c r="E34" s="423"/>
      <c r="F34" s="226"/>
      <c r="G34" s="227"/>
      <c r="H34" s="423"/>
      <c r="I34" s="226"/>
      <c r="J34" s="227"/>
      <c r="K34" s="88"/>
      <c r="L34" s="88"/>
      <c r="M34" s="88"/>
      <c r="N34" s="423"/>
      <c r="O34" s="227"/>
      <c r="P34" s="99"/>
      <c r="Q34" s="87"/>
      <c r="R34" s="87"/>
      <c r="S34" s="87"/>
    </row>
    <row r="35" spans="1:19" ht="24.75" customHeight="1" x14ac:dyDescent="0.45">
      <c r="A35" s="420" t="s">
        <v>294</v>
      </c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7"/>
      <c r="P35" s="99"/>
      <c r="Q35" s="87"/>
      <c r="R35" s="87"/>
      <c r="S35" s="87"/>
    </row>
    <row r="36" spans="1:19" ht="24.75" customHeight="1" x14ac:dyDescent="0.45">
      <c r="A36" s="420" t="s">
        <v>295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7"/>
      <c r="P36" s="99"/>
      <c r="Q36" s="87"/>
      <c r="R36" s="87"/>
      <c r="S36" s="87"/>
    </row>
    <row r="37" spans="1:19" ht="24.75" customHeight="1" x14ac:dyDescent="0.45">
      <c r="A37" s="429" t="s">
        <v>296</v>
      </c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1"/>
      <c r="P37" s="98"/>
      <c r="Q37" s="87"/>
      <c r="R37" s="87"/>
      <c r="S37" s="87"/>
    </row>
    <row r="38" spans="1:19" ht="24.75" customHeight="1" x14ac:dyDescent="0.45">
      <c r="A38" s="430" t="s">
        <v>297</v>
      </c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03"/>
      <c r="Q38" s="87"/>
      <c r="R38" s="87"/>
      <c r="S38" s="87"/>
    </row>
    <row r="39" spans="1:19" ht="24.75" customHeight="1" x14ac:dyDescent="0.45">
      <c r="A39" s="431" t="s">
        <v>298</v>
      </c>
      <c r="B39" s="211"/>
      <c r="C39" s="211"/>
      <c r="D39" s="211"/>
      <c r="E39" s="432"/>
      <c r="F39" s="211"/>
      <c r="G39" s="211"/>
      <c r="H39" s="211"/>
      <c r="I39" s="211"/>
      <c r="J39" s="211"/>
      <c r="K39" s="211"/>
      <c r="L39" s="433" t="s">
        <v>299</v>
      </c>
      <c r="M39" s="211"/>
      <c r="N39" s="434"/>
      <c r="O39" s="223"/>
      <c r="P39" s="233"/>
      <c r="Q39" s="87"/>
      <c r="R39" s="87"/>
      <c r="S39" s="87"/>
    </row>
    <row r="40" spans="1:19" ht="24.75" customHeight="1" x14ac:dyDescent="0.45">
      <c r="A40" s="440" t="s">
        <v>300</v>
      </c>
      <c r="B40" s="213"/>
      <c r="C40" s="213"/>
      <c r="D40" s="213"/>
      <c r="E40" s="435"/>
      <c r="F40" s="226"/>
      <c r="G40" s="226"/>
      <c r="H40" s="226"/>
      <c r="I40" s="226"/>
      <c r="J40" s="226"/>
      <c r="K40" s="226"/>
      <c r="L40" s="437" t="s">
        <v>301</v>
      </c>
      <c r="M40" s="213"/>
      <c r="N40" s="435"/>
      <c r="O40" s="226"/>
      <c r="P40" s="209"/>
      <c r="Q40" s="87"/>
      <c r="R40" s="87"/>
      <c r="S40" s="87"/>
    </row>
    <row r="41" spans="1:19" ht="24.75" customHeight="1" x14ac:dyDescent="0.45">
      <c r="A41" s="441" t="s">
        <v>302</v>
      </c>
      <c r="B41" s="214"/>
      <c r="C41" s="214"/>
      <c r="D41" s="214"/>
      <c r="E41" s="438"/>
      <c r="F41" s="214"/>
      <c r="G41" s="214"/>
      <c r="H41" s="214"/>
      <c r="I41" s="214"/>
      <c r="J41" s="214"/>
      <c r="K41" s="214"/>
      <c r="L41" s="439" t="s">
        <v>303</v>
      </c>
      <c r="M41" s="214"/>
      <c r="N41" s="438"/>
      <c r="O41" s="214"/>
      <c r="P41" s="207"/>
      <c r="Q41" s="87"/>
      <c r="R41" s="87"/>
      <c r="S41" s="87"/>
    </row>
    <row r="42" spans="1:19" ht="24.75" customHeight="1" x14ac:dyDescent="0.45">
      <c r="A42" s="443" t="s">
        <v>204</v>
      </c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05"/>
      <c r="Q42" s="87"/>
      <c r="R42" s="87"/>
      <c r="S42" s="87"/>
    </row>
    <row r="43" spans="1:19" ht="17.25" customHeight="1" x14ac:dyDescent="0.45">
      <c r="A43" s="206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07"/>
      <c r="Q43" s="87"/>
      <c r="R43" s="87"/>
      <c r="S43" s="87"/>
    </row>
    <row r="44" spans="1:19" ht="27.75" customHeight="1" x14ac:dyDescent="0.45">
      <c r="A44" s="327" t="s">
        <v>304</v>
      </c>
      <c r="B44" s="223"/>
      <c r="C44" s="224"/>
      <c r="D44" s="328"/>
      <c r="E44" s="223"/>
      <c r="F44" s="223"/>
      <c r="G44" s="223"/>
      <c r="H44" s="71"/>
      <c r="I44" s="71"/>
      <c r="J44" s="71"/>
      <c r="K44" s="329" t="s">
        <v>305</v>
      </c>
      <c r="L44" s="224"/>
      <c r="M44" s="330"/>
      <c r="N44" s="223"/>
      <c r="O44" s="223"/>
      <c r="P44" s="233"/>
      <c r="Q44" s="87"/>
      <c r="R44" s="87"/>
      <c r="S44" s="87"/>
    </row>
    <row r="45" spans="1:19" ht="24.75" customHeight="1" x14ac:dyDescent="0.45">
      <c r="A45" s="331" t="s">
        <v>207</v>
      </c>
      <c r="B45" s="226"/>
      <c r="C45" s="227"/>
      <c r="D45" s="72"/>
      <c r="E45" s="72"/>
      <c r="F45" s="72"/>
      <c r="G45" s="72"/>
      <c r="H45" s="64"/>
      <c r="I45" s="64"/>
      <c r="J45" s="64"/>
      <c r="K45" s="332" t="s">
        <v>207</v>
      </c>
      <c r="L45" s="227"/>
      <c r="M45" s="333"/>
      <c r="N45" s="226"/>
      <c r="O45" s="226"/>
      <c r="P45" s="209"/>
      <c r="Q45" s="87"/>
      <c r="R45" s="87"/>
      <c r="S45" s="87"/>
    </row>
    <row r="46" spans="1:19" ht="24.75" customHeight="1" x14ac:dyDescent="0.45">
      <c r="A46" s="335" t="s">
        <v>208</v>
      </c>
      <c r="B46" s="238"/>
      <c r="C46" s="231"/>
      <c r="D46" s="336"/>
      <c r="E46" s="238"/>
      <c r="F46" s="238"/>
      <c r="G46" s="238"/>
      <c r="H46" s="238"/>
      <c r="I46" s="238"/>
      <c r="J46" s="231"/>
      <c r="K46" s="436" t="s">
        <v>208</v>
      </c>
      <c r="L46" s="231"/>
      <c r="M46" s="336"/>
      <c r="N46" s="238"/>
      <c r="O46" s="238"/>
      <c r="P46" s="264"/>
      <c r="Q46" s="87"/>
      <c r="R46" s="87"/>
      <c r="S46" s="87"/>
    </row>
    <row r="47" spans="1:19" ht="24.75" customHeight="1" x14ac:dyDescent="0.45">
      <c r="A47" s="80"/>
      <c r="B47" s="80"/>
      <c r="C47" s="80"/>
      <c r="D47" s="81"/>
      <c r="E47" s="81"/>
      <c r="F47" s="81"/>
      <c r="G47" s="81"/>
      <c r="H47" s="81"/>
      <c r="I47" s="81"/>
      <c r="J47" s="81"/>
      <c r="K47" s="80"/>
      <c r="L47" s="80"/>
      <c r="M47" s="81"/>
      <c r="N47" s="81"/>
      <c r="O47" s="81"/>
      <c r="P47" s="81"/>
      <c r="Q47" s="87"/>
      <c r="R47" s="87"/>
      <c r="S47" s="87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</row>
    <row r="240" spans="1:19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  <c r="R240" s="13"/>
      <c r="S240" s="13"/>
    </row>
    <row r="241" spans="1:19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  <c r="R241" s="13"/>
      <c r="S241" s="13"/>
    </row>
    <row r="242" spans="1:19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  <c r="R242" s="13"/>
      <c r="S242" s="13"/>
    </row>
    <row r="243" spans="1:19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  <c r="R243" s="13"/>
      <c r="S243" s="13"/>
    </row>
    <row r="244" spans="1:19" ht="15.75" customHeight="1" x14ac:dyDescent="0.4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  <c r="R244" s="13"/>
      <c r="S244" s="13"/>
    </row>
    <row r="245" spans="1:19" ht="15.75" customHeight="1" x14ac:dyDescent="0.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  <c r="R245" s="13"/>
      <c r="S245" s="13"/>
    </row>
    <row r="246" spans="1:19" ht="15.75" customHeight="1" x14ac:dyDescent="0.4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  <c r="R246" s="13"/>
      <c r="S246" s="13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69"/>
      <c r="B1" s="250"/>
      <c r="C1" s="270"/>
      <c r="D1" s="269" t="s">
        <v>0</v>
      </c>
      <c r="E1" s="250"/>
      <c r="F1" s="250"/>
      <c r="G1" s="250"/>
      <c r="H1" s="250"/>
      <c r="I1" s="250"/>
      <c r="J1" s="250"/>
      <c r="K1" s="250"/>
      <c r="L1" s="270"/>
      <c r="M1" s="274" t="s">
        <v>1</v>
      </c>
      <c r="N1" s="227"/>
      <c r="O1" s="275" t="s">
        <v>306</v>
      </c>
      <c r="P1" s="233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71"/>
      <c r="B2" s="213"/>
      <c r="C2" s="220"/>
      <c r="D2" s="272"/>
      <c r="E2" s="252"/>
      <c r="F2" s="252"/>
      <c r="G2" s="252"/>
      <c r="H2" s="252"/>
      <c r="I2" s="252"/>
      <c r="J2" s="252"/>
      <c r="K2" s="252"/>
      <c r="L2" s="273"/>
      <c r="M2" s="276" t="s">
        <v>3</v>
      </c>
      <c r="N2" s="273"/>
      <c r="O2" s="277">
        <v>1</v>
      </c>
      <c r="P2" s="268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71"/>
      <c r="B3" s="213"/>
      <c r="C3" s="220"/>
      <c r="D3" s="278" t="s">
        <v>307</v>
      </c>
      <c r="E3" s="250"/>
      <c r="F3" s="250"/>
      <c r="G3" s="250"/>
      <c r="H3" s="250"/>
      <c r="I3" s="250"/>
      <c r="J3" s="250"/>
      <c r="K3" s="250"/>
      <c r="L3" s="270"/>
      <c r="M3" s="276" t="s">
        <v>5</v>
      </c>
      <c r="N3" s="273"/>
      <c r="O3" s="274" t="s">
        <v>6</v>
      </c>
      <c r="P3" s="209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71"/>
      <c r="B4" s="213"/>
      <c r="C4" s="220"/>
      <c r="D4" s="271"/>
      <c r="E4" s="213"/>
      <c r="F4" s="213"/>
      <c r="G4" s="213"/>
      <c r="H4" s="213"/>
      <c r="I4" s="213"/>
      <c r="J4" s="213"/>
      <c r="K4" s="213"/>
      <c r="L4" s="220"/>
      <c r="M4" s="269" t="s">
        <v>7</v>
      </c>
      <c r="N4" s="270"/>
      <c r="O4" s="208" t="s">
        <v>8</v>
      </c>
      <c r="P4" s="209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72"/>
      <c r="B5" s="252"/>
      <c r="C5" s="273"/>
      <c r="D5" s="272"/>
      <c r="E5" s="252"/>
      <c r="F5" s="252"/>
      <c r="G5" s="252"/>
      <c r="H5" s="252"/>
      <c r="I5" s="252"/>
      <c r="J5" s="252"/>
      <c r="K5" s="252"/>
      <c r="L5" s="273"/>
      <c r="M5" s="272"/>
      <c r="N5" s="273"/>
      <c r="O5" s="210" t="s">
        <v>9</v>
      </c>
      <c r="P5" s="209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9"/>
      <c r="B6" s="9"/>
      <c r="C6" s="9"/>
      <c r="D6" s="6"/>
      <c r="E6" s="6"/>
      <c r="F6" s="6"/>
      <c r="G6" s="6"/>
      <c r="H6" s="6"/>
      <c r="I6" s="6"/>
      <c r="J6" s="6"/>
      <c r="K6" s="6"/>
      <c r="L6" s="6"/>
      <c r="M6" s="48"/>
      <c r="N6" s="48"/>
      <c r="O6" s="100"/>
      <c r="P6" s="100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36" t="s">
        <v>10</v>
      </c>
      <c r="B7" s="226"/>
      <c r="C7" s="226"/>
      <c r="D7" s="226"/>
      <c r="E7" s="227"/>
      <c r="F7" s="225" t="str">
        <f>'ORDEN ENVASADO'!F6</f>
        <v>AZ HIBRID CLEAR</v>
      </c>
      <c r="G7" s="226"/>
      <c r="H7" s="226"/>
      <c r="I7" s="226"/>
      <c r="J7" s="226"/>
      <c r="K7" s="226"/>
      <c r="L7" s="226"/>
      <c r="M7" s="226"/>
      <c r="N7" s="226"/>
      <c r="O7" s="226"/>
      <c r="P7" s="209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52" t="s">
        <v>55</v>
      </c>
      <c r="B8" s="317"/>
      <c r="C8" s="317"/>
      <c r="D8" s="317"/>
      <c r="E8" s="240"/>
      <c r="F8" s="414" t="str">
        <f>'ORDEN ENVASADO'!F7</f>
        <v>252591</v>
      </c>
      <c r="G8" s="270"/>
      <c r="H8" s="239" t="s">
        <v>257</v>
      </c>
      <c r="I8" s="240"/>
      <c r="J8" s="368" t="str">
        <f>'ORDEN ENVASADO'!J7</f>
        <v>OP-L-127</v>
      </c>
      <c r="K8" s="250"/>
      <c r="L8" s="270"/>
      <c r="M8" s="451" t="s">
        <v>16</v>
      </c>
      <c r="N8" s="240"/>
      <c r="O8" s="417"/>
      <c r="P8" s="268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41" t="s">
        <v>261</v>
      </c>
      <c r="B9" s="226"/>
      <c r="C9" s="226"/>
      <c r="D9" s="226"/>
      <c r="E9" s="227"/>
      <c r="F9" s="404"/>
      <c r="G9" s="227"/>
      <c r="H9" s="229" t="s">
        <v>259</v>
      </c>
      <c r="I9" s="226"/>
      <c r="J9" s="398"/>
      <c r="K9" s="226"/>
      <c r="L9" s="226"/>
      <c r="M9" s="229" t="s">
        <v>260</v>
      </c>
      <c r="N9" s="226"/>
      <c r="O9" s="294"/>
      <c r="P9" s="209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41" t="s">
        <v>308</v>
      </c>
      <c r="B10" s="226"/>
      <c r="C10" s="226"/>
      <c r="D10" s="226"/>
      <c r="E10" s="227"/>
      <c r="F10" s="404"/>
      <c r="G10" s="227"/>
      <c r="H10" s="229" t="s">
        <v>309</v>
      </c>
      <c r="I10" s="227"/>
      <c r="J10" s="274"/>
      <c r="K10" s="226"/>
      <c r="L10" s="227"/>
      <c r="M10" s="229" t="s">
        <v>194</v>
      </c>
      <c r="N10" s="227"/>
      <c r="O10" s="294"/>
      <c r="P10" s="209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50" t="s">
        <v>195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7"/>
      <c r="N11" s="292" t="s">
        <v>196</v>
      </c>
      <c r="O11" s="227"/>
      <c r="P11" s="61" t="s">
        <v>197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453" t="s">
        <v>198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240"/>
      <c r="N12" s="454"/>
      <c r="O12" s="240"/>
      <c r="P12" s="101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408" t="s">
        <v>310</v>
      </c>
      <c r="B13" s="226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09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32" t="s">
        <v>311</v>
      </c>
      <c r="B14" s="226"/>
      <c r="C14" s="227"/>
      <c r="D14" s="332" t="s">
        <v>312</v>
      </c>
      <c r="E14" s="226"/>
      <c r="F14" s="227"/>
      <c r="G14" s="332" t="s">
        <v>313</v>
      </c>
      <c r="H14" s="227"/>
      <c r="I14" s="332" t="s">
        <v>314</v>
      </c>
      <c r="J14" s="226"/>
      <c r="K14" s="226"/>
      <c r="L14" s="227"/>
      <c r="M14" s="332" t="s">
        <v>315</v>
      </c>
      <c r="N14" s="227"/>
      <c r="O14" s="332" t="s">
        <v>316</v>
      </c>
      <c r="P14" s="227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92" t="s">
        <v>317</v>
      </c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102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459" t="s">
        <v>318</v>
      </c>
      <c r="B16" s="298"/>
      <c r="C16" s="315"/>
      <c r="D16" s="296" t="s">
        <v>319</v>
      </c>
      <c r="E16" s="226"/>
      <c r="F16" s="226"/>
      <c r="G16" s="226"/>
      <c r="H16" s="226"/>
      <c r="I16" s="226"/>
      <c r="J16" s="226"/>
      <c r="K16" s="226"/>
      <c r="L16" s="227"/>
      <c r="M16" s="460" t="s">
        <v>86</v>
      </c>
      <c r="N16" s="315"/>
      <c r="O16" s="459" t="s">
        <v>87</v>
      </c>
      <c r="P16" s="407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54" t="s">
        <v>320</v>
      </c>
      <c r="B17" s="317"/>
      <c r="C17" s="240"/>
      <c r="D17" s="296"/>
      <c r="E17" s="226"/>
      <c r="F17" s="226"/>
      <c r="G17" s="226"/>
      <c r="H17" s="226"/>
      <c r="I17" s="226"/>
      <c r="J17" s="226"/>
      <c r="K17" s="226"/>
      <c r="L17" s="227"/>
      <c r="M17" s="465"/>
      <c r="N17" s="240"/>
      <c r="O17" s="461"/>
      <c r="P17" s="209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54" t="s">
        <v>321</v>
      </c>
      <c r="B18" s="317"/>
      <c r="C18" s="240"/>
      <c r="D18" s="296"/>
      <c r="E18" s="226"/>
      <c r="F18" s="226"/>
      <c r="G18" s="226"/>
      <c r="H18" s="226"/>
      <c r="I18" s="226"/>
      <c r="J18" s="226"/>
      <c r="K18" s="226"/>
      <c r="L18" s="227"/>
      <c r="M18" s="466"/>
      <c r="N18" s="240"/>
      <c r="O18" s="465"/>
      <c r="P18" s="463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92" t="s">
        <v>322</v>
      </c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09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92" t="s">
        <v>323</v>
      </c>
      <c r="B20" s="227"/>
      <c r="C20" s="292" t="s">
        <v>67</v>
      </c>
      <c r="D20" s="226"/>
      <c r="E20" s="227"/>
      <c r="F20" s="292" t="s">
        <v>308</v>
      </c>
      <c r="G20" s="227"/>
      <c r="H20" s="292" t="s">
        <v>309</v>
      </c>
      <c r="I20" s="227"/>
      <c r="J20" s="292" t="s">
        <v>324</v>
      </c>
      <c r="K20" s="226"/>
      <c r="L20" s="227"/>
      <c r="M20" s="292" t="s">
        <v>325</v>
      </c>
      <c r="N20" s="227"/>
      <c r="O20" s="292" t="s">
        <v>326</v>
      </c>
      <c r="P20" s="209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296" t="s">
        <v>327</v>
      </c>
      <c r="B21" s="227"/>
      <c r="C21" s="296"/>
      <c r="D21" s="226"/>
      <c r="E21" s="227"/>
      <c r="F21" s="455" t="s">
        <v>328</v>
      </c>
      <c r="G21" s="227"/>
      <c r="H21" s="455" t="s">
        <v>328</v>
      </c>
      <c r="I21" s="227"/>
      <c r="J21" s="296"/>
      <c r="K21" s="226"/>
      <c r="L21" s="227"/>
      <c r="M21" s="296"/>
      <c r="N21" s="227"/>
      <c r="O21" s="296"/>
      <c r="P21" s="209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296" t="s">
        <v>329</v>
      </c>
      <c r="B22" s="227"/>
      <c r="C22" s="296"/>
      <c r="D22" s="226"/>
      <c r="E22" s="227"/>
      <c r="F22" s="455" t="s">
        <v>328</v>
      </c>
      <c r="G22" s="227"/>
      <c r="H22" s="455" t="s">
        <v>328</v>
      </c>
      <c r="I22" s="227"/>
      <c r="J22" s="296"/>
      <c r="K22" s="226"/>
      <c r="L22" s="227"/>
      <c r="M22" s="296"/>
      <c r="N22" s="227"/>
      <c r="O22" s="296"/>
      <c r="P22" s="209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296" t="s">
        <v>330</v>
      </c>
      <c r="B23" s="227"/>
      <c r="C23" s="296"/>
      <c r="D23" s="226"/>
      <c r="E23" s="227"/>
      <c r="F23" s="455" t="s">
        <v>328</v>
      </c>
      <c r="G23" s="227"/>
      <c r="H23" s="455" t="s">
        <v>328</v>
      </c>
      <c r="I23" s="227"/>
      <c r="J23" s="296"/>
      <c r="K23" s="226"/>
      <c r="L23" s="227"/>
      <c r="M23" s="296"/>
      <c r="N23" s="227"/>
      <c r="O23" s="296"/>
      <c r="P23" s="209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296" t="s">
        <v>331</v>
      </c>
      <c r="B24" s="227"/>
      <c r="C24" s="296"/>
      <c r="D24" s="226"/>
      <c r="E24" s="227"/>
      <c r="F24" s="455" t="s">
        <v>328</v>
      </c>
      <c r="G24" s="227"/>
      <c r="H24" s="455" t="s">
        <v>328</v>
      </c>
      <c r="I24" s="227"/>
      <c r="J24" s="296"/>
      <c r="K24" s="226"/>
      <c r="L24" s="227"/>
      <c r="M24" s="296"/>
      <c r="N24" s="227"/>
      <c r="O24" s="296"/>
      <c r="P24" s="209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296" t="s">
        <v>332</v>
      </c>
      <c r="B25" s="227"/>
      <c r="C25" s="296"/>
      <c r="D25" s="226"/>
      <c r="E25" s="227"/>
      <c r="F25" s="455" t="s">
        <v>328</v>
      </c>
      <c r="G25" s="227"/>
      <c r="H25" s="455" t="s">
        <v>328</v>
      </c>
      <c r="I25" s="227"/>
      <c r="J25" s="296"/>
      <c r="K25" s="226"/>
      <c r="L25" s="227"/>
      <c r="M25" s="296"/>
      <c r="N25" s="227"/>
      <c r="O25" s="296"/>
      <c r="P25" s="209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92" t="s">
        <v>333</v>
      </c>
      <c r="B26" s="227"/>
      <c r="C26" s="293"/>
      <c r="D26" s="226"/>
      <c r="E26" s="227"/>
      <c r="F26" s="467" t="s">
        <v>272</v>
      </c>
      <c r="G26" s="227"/>
      <c r="H26" s="296"/>
      <c r="I26" s="227"/>
      <c r="J26" s="292" t="s">
        <v>334</v>
      </c>
      <c r="K26" s="226"/>
      <c r="L26" s="227"/>
      <c r="M26" s="333"/>
      <c r="N26" s="227"/>
      <c r="O26" s="468" t="s">
        <v>272</v>
      </c>
      <c r="P26" s="209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62" t="s">
        <v>335</v>
      </c>
      <c r="B27" s="317"/>
      <c r="C27" s="317"/>
      <c r="D27" s="317"/>
      <c r="E27" s="317"/>
      <c r="F27" s="317"/>
      <c r="G27" s="317"/>
      <c r="H27" s="317"/>
      <c r="I27" s="317"/>
      <c r="J27" s="317"/>
      <c r="K27" s="317"/>
      <c r="L27" s="317"/>
      <c r="M27" s="317"/>
      <c r="N27" s="317"/>
      <c r="O27" s="317"/>
      <c r="P27" s="463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296" t="s">
        <v>336</v>
      </c>
      <c r="B28" s="226"/>
      <c r="C28" s="226"/>
      <c r="D28" s="226"/>
      <c r="E28" s="226"/>
      <c r="F28" s="226"/>
      <c r="G28" s="227"/>
      <c r="H28" s="296"/>
      <c r="I28" s="226"/>
      <c r="J28" s="226"/>
      <c r="K28" s="226"/>
      <c r="L28" s="226"/>
      <c r="M28" s="226"/>
      <c r="N28" s="226"/>
      <c r="O28" s="226"/>
      <c r="P28" s="209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296" t="s">
        <v>337</v>
      </c>
      <c r="B29" s="226"/>
      <c r="C29" s="226"/>
      <c r="D29" s="226"/>
      <c r="E29" s="226"/>
      <c r="F29" s="226"/>
      <c r="G29" s="227"/>
      <c r="H29" s="296"/>
      <c r="I29" s="226"/>
      <c r="J29" s="226"/>
      <c r="K29" s="226"/>
      <c r="L29" s="226"/>
      <c r="M29" s="226"/>
      <c r="N29" s="226"/>
      <c r="O29" s="226"/>
      <c r="P29" s="209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296" t="s">
        <v>338</v>
      </c>
      <c r="B30" s="226"/>
      <c r="C30" s="226"/>
      <c r="D30" s="226"/>
      <c r="E30" s="226"/>
      <c r="F30" s="226"/>
      <c r="G30" s="227"/>
      <c r="H30" s="296"/>
      <c r="I30" s="226"/>
      <c r="J30" s="226"/>
      <c r="K30" s="226"/>
      <c r="L30" s="226"/>
      <c r="M30" s="226"/>
      <c r="N30" s="226"/>
      <c r="O30" s="226"/>
      <c r="P30" s="209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464" t="s">
        <v>260</v>
      </c>
      <c r="B31" s="298"/>
      <c r="C31" s="298"/>
      <c r="D31" s="298"/>
      <c r="E31" s="298"/>
      <c r="F31" s="298"/>
      <c r="G31" s="315"/>
      <c r="H31" s="296"/>
      <c r="I31" s="226"/>
      <c r="J31" s="226"/>
      <c r="K31" s="226"/>
      <c r="L31" s="226"/>
      <c r="M31" s="226"/>
      <c r="N31" s="226"/>
      <c r="O31" s="226"/>
      <c r="P31" s="209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456" t="s">
        <v>308</v>
      </c>
      <c r="B32" s="226"/>
      <c r="C32" s="226"/>
      <c r="D32" s="226"/>
      <c r="E32" s="226"/>
      <c r="F32" s="226"/>
      <c r="G32" s="227"/>
      <c r="H32" s="296"/>
      <c r="I32" s="226"/>
      <c r="J32" s="226"/>
      <c r="K32" s="226"/>
      <c r="L32" s="226"/>
      <c r="M32" s="226"/>
      <c r="N32" s="226"/>
      <c r="O32" s="226"/>
      <c r="P32" s="209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456" t="s">
        <v>309</v>
      </c>
      <c r="B33" s="226"/>
      <c r="C33" s="226"/>
      <c r="D33" s="226"/>
      <c r="E33" s="226"/>
      <c r="F33" s="226"/>
      <c r="G33" s="227"/>
      <c r="H33" s="296"/>
      <c r="I33" s="226"/>
      <c r="J33" s="226"/>
      <c r="K33" s="226"/>
      <c r="L33" s="226"/>
      <c r="M33" s="226"/>
      <c r="N33" s="226"/>
      <c r="O33" s="226"/>
      <c r="P33" s="209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456" t="s">
        <v>270</v>
      </c>
      <c r="B34" s="226"/>
      <c r="C34" s="226"/>
      <c r="D34" s="226"/>
      <c r="E34" s="226"/>
      <c r="F34" s="226"/>
      <c r="G34" s="227"/>
      <c r="H34" s="296"/>
      <c r="I34" s="226"/>
      <c r="J34" s="226"/>
      <c r="K34" s="226"/>
      <c r="L34" s="226"/>
      <c r="M34" s="226"/>
      <c r="N34" s="226"/>
      <c r="O34" s="226"/>
      <c r="P34" s="209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456" t="s">
        <v>271</v>
      </c>
      <c r="B35" s="226"/>
      <c r="C35" s="226"/>
      <c r="D35" s="226"/>
      <c r="E35" s="226"/>
      <c r="F35" s="226"/>
      <c r="G35" s="226"/>
      <c r="H35" s="296"/>
      <c r="I35" s="226"/>
      <c r="J35" s="226"/>
      <c r="K35" s="226"/>
      <c r="L35" s="227"/>
      <c r="M35" s="296" t="s">
        <v>67</v>
      </c>
      <c r="N35" s="227"/>
      <c r="O35" s="296"/>
      <c r="P35" s="209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58" t="s">
        <v>45</v>
      </c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68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12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01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308"/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369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31" t="s">
        <v>339</v>
      </c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19" t="s">
        <v>272</v>
      </c>
      <c r="N39" s="333"/>
      <c r="O39" s="226"/>
      <c r="P39" s="209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57" t="s">
        <v>340</v>
      </c>
      <c r="B40" s="346"/>
      <c r="C40" s="346"/>
      <c r="D40" s="346"/>
      <c r="E40" s="346"/>
      <c r="F40" s="346"/>
      <c r="G40" s="346"/>
      <c r="H40" s="346"/>
      <c r="I40" s="346"/>
      <c r="J40" s="346"/>
      <c r="K40" s="346"/>
      <c r="L40" s="346"/>
      <c r="M40" s="346"/>
      <c r="N40" s="346"/>
      <c r="O40" s="346"/>
      <c r="P40" s="103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4"/>
      <c r="N238" s="15"/>
      <c r="O238" s="15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4"/>
      <c r="N239" s="15"/>
      <c r="O239" s="15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4"/>
      <c r="N240" s="15"/>
      <c r="O240" s="15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75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70"/>
      <c r="B1" s="270"/>
      <c r="C1" s="470" t="s">
        <v>0</v>
      </c>
      <c r="D1" s="250"/>
      <c r="E1" s="250"/>
      <c r="F1" s="250"/>
      <c r="G1" s="270"/>
      <c r="H1" s="104" t="s">
        <v>1</v>
      </c>
      <c r="I1" s="104" t="s">
        <v>341</v>
      </c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24" customHeight="1" x14ac:dyDescent="0.45">
      <c r="A2" s="271"/>
      <c r="B2" s="220"/>
      <c r="C2" s="271"/>
      <c r="D2" s="213"/>
      <c r="E2" s="213"/>
      <c r="F2" s="213"/>
      <c r="G2" s="220"/>
      <c r="H2" s="104" t="s">
        <v>3</v>
      </c>
      <c r="I2" s="105">
        <v>1</v>
      </c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24" customHeight="1" x14ac:dyDescent="0.45">
      <c r="A3" s="271"/>
      <c r="B3" s="220"/>
      <c r="C3" s="272"/>
      <c r="D3" s="252"/>
      <c r="E3" s="252"/>
      <c r="F3" s="252"/>
      <c r="G3" s="273"/>
      <c r="H3" s="104" t="s">
        <v>5</v>
      </c>
      <c r="I3" s="104" t="s">
        <v>6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30" customHeight="1" x14ac:dyDescent="0.45">
      <c r="A4" s="271"/>
      <c r="B4" s="220"/>
      <c r="C4" s="470" t="s">
        <v>342</v>
      </c>
      <c r="D4" s="250"/>
      <c r="E4" s="250"/>
      <c r="F4" s="250"/>
      <c r="G4" s="270"/>
      <c r="H4" s="104" t="s">
        <v>7</v>
      </c>
      <c r="I4" s="104" t="s">
        <v>343</v>
      </c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2.5" customHeight="1" x14ac:dyDescent="0.45">
      <c r="A5" s="272"/>
      <c r="B5" s="273"/>
      <c r="C5" s="272"/>
      <c r="D5" s="252"/>
      <c r="E5" s="252"/>
      <c r="F5" s="252"/>
      <c r="G5" s="273"/>
      <c r="H5" s="104"/>
      <c r="I5" s="106" t="s">
        <v>344</v>
      </c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4.25" customHeight="1" x14ac:dyDescent="0.45">
      <c r="A6" s="107"/>
      <c r="B6" s="107"/>
      <c r="C6" s="107"/>
      <c r="D6" s="107"/>
      <c r="E6" s="107"/>
      <c r="F6" s="107"/>
      <c r="G6" s="107"/>
      <c r="H6" s="107"/>
      <c r="I6" s="107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4.25" customHeight="1" x14ac:dyDescent="0.5">
      <c r="A7" s="108"/>
      <c r="B7" s="108"/>
      <c r="C7" s="108"/>
      <c r="D7" s="108"/>
      <c r="E7" s="108"/>
      <c r="F7" s="108"/>
      <c r="G7" s="108"/>
      <c r="H7" s="108"/>
      <c r="I7" s="108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2.5" customHeight="1" x14ac:dyDescent="0.45">
      <c r="A8" s="469"/>
      <c r="B8" s="470" t="s">
        <v>0</v>
      </c>
      <c r="C8" s="250"/>
      <c r="D8" s="250"/>
      <c r="E8" s="250"/>
      <c r="F8" s="270"/>
      <c r="G8" s="104" t="s">
        <v>1</v>
      </c>
      <c r="H8" s="474" t="s">
        <v>341</v>
      </c>
      <c r="I8" s="227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4" customHeight="1" x14ac:dyDescent="0.45">
      <c r="A9" s="271"/>
      <c r="B9" s="271"/>
      <c r="C9" s="213"/>
      <c r="D9" s="213"/>
      <c r="E9" s="213"/>
      <c r="F9" s="220"/>
      <c r="G9" s="104" t="s">
        <v>3</v>
      </c>
      <c r="H9" s="477">
        <v>1</v>
      </c>
      <c r="I9" s="227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4" customHeight="1" x14ac:dyDescent="0.45">
      <c r="A10" s="271"/>
      <c r="B10" s="272"/>
      <c r="C10" s="252"/>
      <c r="D10" s="252"/>
      <c r="E10" s="252"/>
      <c r="F10" s="273"/>
      <c r="G10" s="104" t="s">
        <v>5</v>
      </c>
      <c r="H10" s="474" t="s">
        <v>6</v>
      </c>
      <c r="I10" s="227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1" customHeight="1" x14ac:dyDescent="0.45">
      <c r="A11" s="271"/>
      <c r="B11" s="470" t="s">
        <v>342</v>
      </c>
      <c r="C11" s="250"/>
      <c r="D11" s="250"/>
      <c r="E11" s="250"/>
      <c r="F11" s="270"/>
      <c r="G11" s="471" t="s">
        <v>7</v>
      </c>
      <c r="H11" s="474" t="s">
        <v>343</v>
      </c>
      <c r="I11" s="227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4" customHeight="1" x14ac:dyDescent="0.45">
      <c r="A12" s="272"/>
      <c r="B12" s="272"/>
      <c r="C12" s="252"/>
      <c r="D12" s="252"/>
      <c r="E12" s="252"/>
      <c r="F12" s="273"/>
      <c r="G12" s="397"/>
      <c r="H12" s="473" t="s">
        <v>344</v>
      </c>
      <c r="I12" s="227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54" customHeight="1" x14ac:dyDescent="0.45">
      <c r="A13" s="110" t="s">
        <v>345</v>
      </c>
      <c r="B13" s="472"/>
      <c r="C13" s="226"/>
      <c r="D13" s="226"/>
      <c r="E13" s="226"/>
      <c r="F13" s="226"/>
      <c r="G13" s="226"/>
      <c r="H13" s="226"/>
      <c r="I13" s="227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57" customHeight="1" x14ac:dyDescent="0.45">
      <c r="A14" s="110" t="s">
        <v>346</v>
      </c>
      <c r="B14" s="472"/>
      <c r="C14" s="226"/>
      <c r="D14" s="226"/>
      <c r="E14" s="226"/>
      <c r="F14" s="227"/>
      <c r="G14" s="110" t="s">
        <v>208</v>
      </c>
      <c r="H14" s="475"/>
      <c r="I14" s="227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63.75" customHeight="1" x14ac:dyDescent="0.45">
      <c r="A15" s="110" t="s">
        <v>347</v>
      </c>
      <c r="B15" s="472"/>
      <c r="C15" s="226"/>
      <c r="D15" s="226"/>
      <c r="E15" s="226"/>
      <c r="F15" s="227"/>
      <c r="G15" s="110" t="s">
        <v>348</v>
      </c>
      <c r="H15" s="472"/>
      <c r="I15" s="227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66.75" customHeight="1" x14ac:dyDescent="0.45">
      <c r="A16" s="110" t="s">
        <v>349</v>
      </c>
      <c r="B16" s="472"/>
      <c r="C16" s="226"/>
      <c r="D16" s="226"/>
      <c r="E16" s="226"/>
      <c r="F16" s="227"/>
      <c r="G16" s="110" t="s">
        <v>348</v>
      </c>
      <c r="H16" s="472"/>
      <c r="I16" s="227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63.75" customHeight="1" x14ac:dyDescent="0.45">
      <c r="A17" s="110" t="s">
        <v>350</v>
      </c>
      <c r="B17" s="472"/>
      <c r="C17" s="226"/>
      <c r="D17" s="226"/>
      <c r="E17" s="226"/>
      <c r="F17" s="226"/>
      <c r="G17" s="226"/>
      <c r="H17" s="226"/>
      <c r="I17" s="227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46.5" customHeight="1" x14ac:dyDescent="0.45">
      <c r="A18" s="110" t="s">
        <v>221</v>
      </c>
      <c r="B18" s="472"/>
      <c r="C18" s="226"/>
      <c r="D18" s="226"/>
      <c r="E18" s="226"/>
      <c r="F18" s="227"/>
      <c r="G18" s="110" t="s">
        <v>272</v>
      </c>
      <c r="H18" s="475"/>
      <c r="I18" s="227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48" customHeight="1" x14ac:dyDescent="0.45">
      <c r="A19" s="110" t="s">
        <v>206</v>
      </c>
      <c r="B19" s="472"/>
      <c r="C19" s="226"/>
      <c r="D19" s="226"/>
      <c r="E19" s="226"/>
      <c r="F19" s="227"/>
      <c r="G19" s="110" t="s">
        <v>272</v>
      </c>
      <c r="H19" s="475"/>
      <c r="I19" s="227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42.75" customHeight="1" x14ac:dyDescent="0.45">
      <c r="A20" s="110" t="s">
        <v>204</v>
      </c>
      <c r="B20" s="476"/>
      <c r="C20" s="226"/>
      <c r="D20" s="226"/>
      <c r="E20" s="226"/>
      <c r="F20" s="226"/>
      <c r="G20" s="226"/>
      <c r="H20" s="226"/>
      <c r="I20" s="227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4.25" customHeight="1" x14ac:dyDescent="0.45">
      <c r="A21" s="82"/>
      <c r="B21" s="82"/>
      <c r="C21" s="82"/>
      <c r="D21" s="82"/>
      <c r="E21" s="82"/>
      <c r="F21" s="82"/>
      <c r="G21" s="82"/>
      <c r="H21" s="478"/>
      <c r="I21" s="213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2.5" customHeight="1" x14ac:dyDescent="0.45">
      <c r="A22" s="469"/>
      <c r="B22" s="470" t="s">
        <v>0</v>
      </c>
      <c r="C22" s="250"/>
      <c r="D22" s="250"/>
      <c r="E22" s="250"/>
      <c r="F22" s="270"/>
      <c r="G22" s="104" t="s">
        <v>1</v>
      </c>
      <c r="H22" s="474" t="s">
        <v>341</v>
      </c>
      <c r="I22" s="227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23.25" customHeight="1" x14ac:dyDescent="0.45">
      <c r="A23" s="271"/>
      <c r="B23" s="271"/>
      <c r="C23" s="213"/>
      <c r="D23" s="213"/>
      <c r="E23" s="213"/>
      <c r="F23" s="220"/>
      <c r="G23" s="104" t="s">
        <v>3</v>
      </c>
      <c r="H23" s="477">
        <v>1</v>
      </c>
      <c r="I23" s="227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27.75" customHeight="1" x14ac:dyDescent="0.45">
      <c r="A24" s="271"/>
      <c r="B24" s="272"/>
      <c r="C24" s="252"/>
      <c r="D24" s="252"/>
      <c r="E24" s="252"/>
      <c r="F24" s="273"/>
      <c r="G24" s="104" t="s">
        <v>5</v>
      </c>
      <c r="H24" s="474" t="s">
        <v>6</v>
      </c>
      <c r="I24" s="227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27.75" customHeight="1" x14ac:dyDescent="0.45">
      <c r="A25" s="271"/>
      <c r="B25" s="470" t="s">
        <v>342</v>
      </c>
      <c r="C25" s="250"/>
      <c r="D25" s="250"/>
      <c r="E25" s="250"/>
      <c r="F25" s="270"/>
      <c r="G25" s="471" t="s">
        <v>7</v>
      </c>
      <c r="H25" s="474" t="s">
        <v>343</v>
      </c>
      <c r="I25" s="227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34.5" customHeight="1" x14ac:dyDescent="0.45">
      <c r="A26" s="272"/>
      <c r="B26" s="272"/>
      <c r="C26" s="252"/>
      <c r="D26" s="252"/>
      <c r="E26" s="252"/>
      <c r="F26" s="273"/>
      <c r="G26" s="397"/>
      <c r="H26" s="473" t="s">
        <v>344</v>
      </c>
      <c r="I26" s="227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63.75" customHeight="1" x14ac:dyDescent="0.45">
      <c r="A27" s="110" t="s">
        <v>345</v>
      </c>
      <c r="B27" s="472"/>
      <c r="C27" s="226"/>
      <c r="D27" s="226"/>
      <c r="E27" s="226"/>
      <c r="F27" s="226"/>
      <c r="G27" s="226"/>
      <c r="H27" s="226"/>
      <c r="I27" s="227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48" customHeight="1" x14ac:dyDescent="0.45">
      <c r="A28" s="110" t="s">
        <v>346</v>
      </c>
      <c r="B28" s="472"/>
      <c r="C28" s="226"/>
      <c r="D28" s="226"/>
      <c r="E28" s="226"/>
      <c r="F28" s="227"/>
      <c r="G28" s="110" t="s">
        <v>208</v>
      </c>
      <c r="H28" s="475"/>
      <c r="I28" s="227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57.75" customHeight="1" x14ac:dyDescent="0.45">
      <c r="A29" s="110" t="s">
        <v>347</v>
      </c>
      <c r="B29" s="472"/>
      <c r="C29" s="226"/>
      <c r="D29" s="226"/>
      <c r="E29" s="226"/>
      <c r="F29" s="227"/>
      <c r="G29" s="110" t="s">
        <v>348</v>
      </c>
      <c r="H29" s="472"/>
      <c r="I29" s="227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57" customHeight="1" x14ac:dyDescent="0.45">
      <c r="A30" s="110" t="s">
        <v>349</v>
      </c>
      <c r="B30" s="472"/>
      <c r="C30" s="226"/>
      <c r="D30" s="226"/>
      <c r="E30" s="226"/>
      <c r="F30" s="227"/>
      <c r="G30" s="110" t="s">
        <v>348</v>
      </c>
      <c r="H30" s="472"/>
      <c r="I30" s="227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9.5" customHeight="1" x14ac:dyDescent="0.45">
      <c r="A31" s="110" t="s">
        <v>350</v>
      </c>
      <c r="B31" s="472"/>
      <c r="C31" s="226"/>
      <c r="D31" s="226"/>
      <c r="E31" s="226"/>
      <c r="F31" s="226"/>
      <c r="G31" s="226"/>
      <c r="H31" s="226"/>
      <c r="I31" s="227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42.75" customHeight="1" x14ac:dyDescent="0.45">
      <c r="A32" s="110" t="s">
        <v>221</v>
      </c>
      <c r="B32" s="472"/>
      <c r="C32" s="226"/>
      <c r="D32" s="226"/>
      <c r="E32" s="226"/>
      <c r="F32" s="227"/>
      <c r="G32" s="110" t="s">
        <v>272</v>
      </c>
      <c r="H32" s="475"/>
      <c r="I32" s="227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48" customHeight="1" x14ac:dyDescent="0.45">
      <c r="A33" s="110" t="s">
        <v>206</v>
      </c>
      <c r="B33" s="472"/>
      <c r="C33" s="226"/>
      <c r="D33" s="226"/>
      <c r="E33" s="226"/>
      <c r="F33" s="227"/>
      <c r="G33" s="110" t="s">
        <v>272</v>
      </c>
      <c r="H33" s="475"/>
      <c r="I33" s="227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48.75" customHeight="1" x14ac:dyDescent="0.45">
      <c r="A34" s="110" t="s">
        <v>204</v>
      </c>
      <c r="B34" s="476"/>
      <c r="C34" s="226"/>
      <c r="D34" s="226"/>
      <c r="E34" s="226"/>
      <c r="F34" s="226"/>
      <c r="G34" s="226"/>
      <c r="H34" s="226"/>
      <c r="I34" s="227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4.25" customHeight="1" x14ac:dyDescent="0.4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24.75" customHeight="1" x14ac:dyDescent="0.45">
      <c r="A36" s="469"/>
      <c r="B36" s="470" t="s">
        <v>0</v>
      </c>
      <c r="C36" s="250"/>
      <c r="D36" s="250"/>
      <c r="E36" s="250"/>
      <c r="F36" s="270"/>
      <c r="G36" s="104" t="s">
        <v>1</v>
      </c>
      <c r="H36" s="474" t="s">
        <v>341</v>
      </c>
      <c r="I36" s="227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1.75" customHeight="1" x14ac:dyDescent="0.45">
      <c r="A37" s="271"/>
      <c r="B37" s="271"/>
      <c r="C37" s="213"/>
      <c r="D37" s="213"/>
      <c r="E37" s="213"/>
      <c r="F37" s="220"/>
      <c r="G37" s="104" t="s">
        <v>3</v>
      </c>
      <c r="H37" s="477">
        <v>1</v>
      </c>
      <c r="I37" s="227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5.5" customHeight="1" x14ac:dyDescent="0.45">
      <c r="A38" s="271"/>
      <c r="B38" s="272"/>
      <c r="C38" s="252"/>
      <c r="D38" s="252"/>
      <c r="E38" s="252"/>
      <c r="F38" s="273"/>
      <c r="G38" s="104" t="s">
        <v>5</v>
      </c>
      <c r="H38" s="474" t="s">
        <v>6</v>
      </c>
      <c r="I38" s="227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27.75" customHeight="1" x14ac:dyDescent="0.45">
      <c r="A39" s="271"/>
      <c r="B39" s="470" t="s">
        <v>342</v>
      </c>
      <c r="C39" s="250"/>
      <c r="D39" s="250"/>
      <c r="E39" s="250"/>
      <c r="F39" s="270"/>
      <c r="G39" s="471" t="s">
        <v>7</v>
      </c>
      <c r="H39" s="474" t="s">
        <v>343</v>
      </c>
      <c r="I39" s="227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30.75" customHeight="1" x14ac:dyDescent="0.45">
      <c r="A40" s="272"/>
      <c r="B40" s="272"/>
      <c r="C40" s="252"/>
      <c r="D40" s="252"/>
      <c r="E40" s="252"/>
      <c r="F40" s="273"/>
      <c r="G40" s="397"/>
      <c r="H40" s="473" t="s">
        <v>344</v>
      </c>
      <c r="I40" s="227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54" customHeight="1" x14ac:dyDescent="0.45">
      <c r="A41" s="110" t="s">
        <v>345</v>
      </c>
      <c r="B41" s="472"/>
      <c r="C41" s="226"/>
      <c r="D41" s="226"/>
      <c r="E41" s="226"/>
      <c r="F41" s="226"/>
      <c r="G41" s="226"/>
      <c r="H41" s="226"/>
      <c r="I41" s="227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48.75" customHeight="1" x14ac:dyDescent="0.45">
      <c r="A42" s="110" t="s">
        <v>346</v>
      </c>
      <c r="B42" s="472"/>
      <c r="C42" s="226"/>
      <c r="D42" s="226"/>
      <c r="E42" s="226"/>
      <c r="F42" s="227"/>
      <c r="G42" s="110" t="s">
        <v>208</v>
      </c>
      <c r="H42" s="475"/>
      <c r="I42" s="227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52.5" customHeight="1" x14ac:dyDescent="0.45">
      <c r="A43" s="110" t="s">
        <v>347</v>
      </c>
      <c r="B43" s="472"/>
      <c r="C43" s="226"/>
      <c r="D43" s="226"/>
      <c r="E43" s="226"/>
      <c r="F43" s="227"/>
      <c r="G43" s="110" t="s">
        <v>348</v>
      </c>
      <c r="H43" s="472"/>
      <c r="I43" s="227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54.75" customHeight="1" x14ac:dyDescent="0.45">
      <c r="A44" s="110" t="s">
        <v>349</v>
      </c>
      <c r="B44" s="472"/>
      <c r="C44" s="226"/>
      <c r="D44" s="226"/>
      <c r="E44" s="226"/>
      <c r="F44" s="227"/>
      <c r="G44" s="110" t="s">
        <v>348</v>
      </c>
      <c r="H44" s="472"/>
      <c r="I44" s="227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57.75" customHeight="1" x14ac:dyDescent="0.45">
      <c r="A45" s="110" t="s">
        <v>350</v>
      </c>
      <c r="B45" s="472"/>
      <c r="C45" s="226"/>
      <c r="D45" s="226"/>
      <c r="E45" s="226"/>
      <c r="F45" s="226"/>
      <c r="G45" s="226"/>
      <c r="H45" s="226"/>
      <c r="I45" s="227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54" customHeight="1" x14ac:dyDescent="0.45">
      <c r="A46" s="110" t="s">
        <v>221</v>
      </c>
      <c r="B46" s="472"/>
      <c r="C46" s="226"/>
      <c r="D46" s="226"/>
      <c r="E46" s="226"/>
      <c r="F46" s="227"/>
      <c r="G46" s="110" t="s">
        <v>272</v>
      </c>
      <c r="H46" s="475"/>
      <c r="I46" s="227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54" customHeight="1" x14ac:dyDescent="0.45">
      <c r="A47" s="110" t="s">
        <v>206</v>
      </c>
      <c r="B47" s="472"/>
      <c r="C47" s="226"/>
      <c r="D47" s="226"/>
      <c r="E47" s="226"/>
      <c r="F47" s="227"/>
      <c r="G47" s="110" t="s">
        <v>272</v>
      </c>
      <c r="H47" s="475"/>
      <c r="I47" s="227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42.75" customHeight="1" x14ac:dyDescent="0.45">
      <c r="A48" s="110" t="s">
        <v>204</v>
      </c>
      <c r="B48" s="476"/>
      <c r="C48" s="226"/>
      <c r="D48" s="226"/>
      <c r="E48" s="226"/>
      <c r="F48" s="226"/>
      <c r="G48" s="226"/>
      <c r="H48" s="226"/>
      <c r="I48" s="227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4.25" customHeight="1" x14ac:dyDescent="0.45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4.25" customHeight="1" x14ac:dyDescent="0.45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4.25" customHeight="1" x14ac:dyDescent="0.45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4.25" customHeight="1" x14ac:dyDescent="0.45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4.25" customHeight="1" x14ac:dyDescent="0.45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4.25" customHeight="1" x14ac:dyDescent="0.4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4.25" customHeight="1" x14ac:dyDescent="0.4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4.25" customHeight="1" x14ac:dyDescent="0.4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4.25" customHeight="1" x14ac:dyDescent="0.45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4.25" customHeight="1" x14ac:dyDescent="0.4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4.25" customHeight="1" x14ac:dyDescent="0.45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4.25" customHeight="1" x14ac:dyDescent="0.45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4.25" customHeight="1" x14ac:dyDescent="0.45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4.25" customHeight="1" x14ac:dyDescent="0.45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4.25" customHeight="1" x14ac:dyDescent="0.45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4.25" customHeight="1" x14ac:dyDescent="0.45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4.25" customHeight="1" x14ac:dyDescent="0.4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4.25" customHeight="1" x14ac:dyDescent="0.45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4.25" customHeight="1" x14ac:dyDescent="0.45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4.25" customHeight="1" x14ac:dyDescent="0.45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4.25" customHeight="1" x14ac:dyDescent="0.45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4.25" customHeight="1" x14ac:dyDescent="0.45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4.25" customHeight="1" x14ac:dyDescent="0.4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4.25" customHeight="1" x14ac:dyDescent="0.45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4.25" customHeight="1" x14ac:dyDescent="0.45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4.25" customHeight="1" x14ac:dyDescent="0.45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4.25" customHeight="1" x14ac:dyDescent="0.4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4.25" customHeight="1" x14ac:dyDescent="0.45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4.25" customHeight="1" x14ac:dyDescent="0.45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4.25" customHeight="1" x14ac:dyDescent="0.45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4.25" customHeight="1" x14ac:dyDescent="0.45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4.25" customHeight="1" x14ac:dyDescent="0.45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4.25" customHeight="1" x14ac:dyDescent="0.45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4.25" customHeight="1" x14ac:dyDescent="0.45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4.25" customHeight="1" x14ac:dyDescent="0.45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4.25" customHeight="1" x14ac:dyDescent="0.45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4.25" customHeight="1" x14ac:dyDescent="0.4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4.25" customHeight="1" x14ac:dyDescent="0.45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4.25" customHeight="1" x14ac:dyDescent="0.45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4.25" customHeight="1" x14ac:dyDescent="0.45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4.25" customHeight="1" x14ac:dyDescent="0.45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4.25" customHeight="1" x14ac:dyDescent="0.45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4.25" customHeight="1" x14ac:dyDescent="0.45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4.25" customHeight="1" x14ac:dyDescent="0.45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4.25" customHeight="1" x14ac:dyDescent="0.45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4.25" customHeight="1" x14ac:dyDescent="0.45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4.25" customHeight="1" x14ac:dyDescent="0.4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4.25" customHeight="1" x14ac:dyDescent="0.45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4.25" customHeight="1" x14ac:dyDescent="0.45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4.25" customHeight="1" x14ac:dyDescent="0.45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4.25" customHeight="1" x14ac:dyDescent="0.45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4.25" customHeight="1" x14ac:dyDescent="0.45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4.25" customHeight="1" x14ac:dyDescent="0.45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4.25" customHeight="1" x14ac:dyDescent="0.45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4.25" customHeight="1" x14ac:dyDescent="0.45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4.25" customHeight="1" x14ac:dyDescent="0.45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4.25" customHeight="1" x14ac:dyDescent="0.4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4.25" customHeight="1" x14ac:dyDescent="0.45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4.25" customHeight="1" x14ac:dyDescent="0.45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4.25" customHeight="1" x14ac:dyDescent="0.45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4.25" customHeight="1" x14ac:dyDescent="0.45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4.25" customHeight="1" x14ac:dyDescent="0.45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4.25" customHeight="1" x14ac:dyDescent="0.45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4.25" customHeight="1" x14ac:dyDescent="0.45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4.25" customHeight="1" x14ac:dyDescent="0.45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4.25" customHeight="1" x14ac:dyDescent="0.45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4.25" customHeight="1" x14ac:dyDescent="0.4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4.25" customHeight="1" x14ac:dyDescent="0.4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4.25" customHeight="1" x14ac:dyDescent="0.45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4.25" customHeight="1" x14ac:dyDescent="0.45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4.25" customHeight="1" x14ac:dyDescent="0.45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4.25" customHeight="1" x14ac:dyDescent="0.45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4.25" customHeight="1" x14ac:dyDescent="0.45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4.25" customHeight="1" x14ac:dyDescent="0.45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4.25" customHeight="1" x14ac:dyDescent="0.45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4.25" customHeight="1" x14ac:dyDescent="0.45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4.25" customHeight="1" x14ac:dyDescent="0.4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4.25" customHeight="1" x14ac:dyDescent="0.45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4.25" customHeight="1" x14ac:dyDescent="0.45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4.25" customHeight="1" x14ac:dyDescent="0.45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4.25" customHeight="1" x14ac:dyDescent="0.45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4.25" customHeight="1" x14ac:dyDescent="0.4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4.25" customHeight="1" x14ac:dyDescent="0.45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4.25" customHeight="1" x14ac:dyDescent="0.45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4.25" customHeight="1" x14ac:dyDescent="0.45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4.25" customHeight="1" x14ac:dyDescent="0.45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4.25" customHeight="1" x14ac:dyDescent="0.4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4.25" customHeight="1" x14ac:dyDescent="0.45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4.25" customHeight="1" x14ac:dyDescent="0.45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4.25" customHeight="1" x14ac:dyDescent="0.45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4.25" customHeight="1" x14ac:dyDescent="0.45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4.25" customHeight="1" x14ac:dyDescent="0.45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4.25" customHeight="1" x14ac:dyDescent="0.45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4.25" customHeight="1" x14ac:dyDescent="0.45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4.25" customHeight="1" x14ac:dyDescent="0.45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4.25" customHeight="1" x14ac:dyDescent="0.4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4.25" customHeight="1" x14ac:dyDescent="0.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4.25" customHeight="1" x14ac:dyDescent="0.45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4.25" customHeight="1" x14ac:dyDescent="0.45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4.25" customHeight="1" x14ac:dyDescent="0.45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4.25" customHeight="1" x14ac:dyDescent="0.45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4.25" customHeight="1" x14ac:dyDescent="0.45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4.25" customHeight="1" x14ac:dyDescent="0.45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4.25" customHeight="1" x14ac:dyDescent="0.45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4.25" customHeight="1" x14ac:dyDescent="0.45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4.25" customHeight="1" x14ac:dyDescent="0.45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4.25" customHeight="1" x14ac:dyDescent="0.4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4.25" customHeight="1" x14ac:dyDescent="0.45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4.25" customHeight="1" x14ac:dyDescent="0.45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4.25" customHeight="1" x14ac:dyDescent="0.4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4.25" customHeight="1" x14ac:dyDescent="0.45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4.25" customHeight="1" x14ac:dyDescent="0.45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4.25" customHeight="1" x14ac:dyDescent="0.45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4.25" customHeight="1" x14ac:dyDescent="0.45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4.25" customHeight="1" x14ac:dyDescent="0.45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4.25" customHeight="1" x14ac:dyDescent="0.45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4.25" customHeight="1" x14ac:dyDescent="0.4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4.25" customHeight="1" x14ac:dyDescent="0.45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4.25" customHeight="1" x14ac:dyDescent="0.45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4.25" customHeight="1" x14ac:dyDescent="0.45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4.25" customHeight="1" x14ac:dyDescent="0.45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4.25" customHeight="1" x14ac:dyDescent="0.45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4.25" customHeight="1" x14ac:dyDescent="0.45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4.25" customHeight="1" x14ac:dyDescent="0.4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4.25" customHeight="1" x14ac:dyDescent="0.45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4.25" customHeight="1" x14ac:dyDescent="0.45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4.25" customHeight="1" x14ac:dyDescent="0.4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4.25" customHeight="1" x14ac:dyDescent="0.45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4.25" customHeight="1" x14ac:dyDescent="0.45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4.25" customHeight="1" x14ac:dyDescent="0.45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4.25" customHeight="1" x14ac:dyDescent="0.45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4.25" customHeight="1" x14ac:dyDescent="0.45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4.25" customHeight="1" x14ac:dyDescent="0.45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4.25" customHeight="1" x14ac:dyDescent="0.45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4.25" customHeight="1" x14ac:dyDescent="0.45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4.25" customHeight="1" x14ac:dyDescent="0.45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4.25" customHeight="1" x14ac:dyDescent="0.4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4.25" customHeight="1" x14ac:dyDescent="0.4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4.25" customHeight="1" x14ac:dyDescent="0.45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4.25" customHeight="1" x14ac:dyDescent="0.45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4.25" customHeight="1" x14ac:dyDescent="0.45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4.25" customHeight="1" x14ac:dyDescent="0.45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4.25" customHeight="1" x14ac:dyDescent="0.45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4.25" customHeight="1" x14ac:dyDescent="0.45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4.25" customHeight="1" x14ac:dyDescent="0.45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4.25" customHeight="1" x14ac:dyDescent="0.45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4.25" customHeight="1" x14ac:dyDescent="0.4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4.25" customHeight="1" x14ac:dyDescent="0.45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4.25" customHeight="1" x14ac:dyDescent="0.45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4.25" customHeight="1" x14ac:dyDescent="0.45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4.25" customHeight="1" x14ac:dyDescent="0.45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4.25" customHeight="1" x14ac:dyDescent="0.4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4.25" customHeight="1" x14ac:dyDescent="0.45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4.25" customHeight="1" x14ac:dyDescent="0.45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4.25" customHeight="1" x14ac:dyDescent="0.45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4.25" customHeight="1" x14ac:dyDescent="0.45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4.25" customHeight="1" x14ac:dyDescent="0.4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4.25" customHeight="1" x14ac:dyDescent="0.45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4.25" customHeight="1" x14ac:dyDescent="0.45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4.25" customHeight="1" x14ac:dyDescent="0.45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4.25" customHeight="1" x14ac:dyDescent="0.45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4.25" customHeight="1" x14ac:dyDescent="0.45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4.25" customHeight="1" x14ac:dyDescent="0.45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4.25" customHeight="1" x14ac:dyDescent="0.45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4.25" customHeight="1" x14ac:dyDescent="0.45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4.25" customHeight="1" x14ac:dyDescent="0.4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4.25" customHeight="1" x14ac:dyDescent="0.4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4.25" customHeight="1" x14ac:dyDescent="0.45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4.25" customHeight="1" x14ac:dyDescent="0.45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4.25" customHeight="1" x14ac:dyDescent="0.45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4.25" customHeight="1" x14ac:dyDescent="0.45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4.25" customHeight="1" x14ac:dyDescent="0.45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4.25" customHeight="1" x14ac:dyDescent="0.4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4.25" customHeight="1" x14ac:dyDescent="0.4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4.25" customHeight="1" x14ac:dyDescent="0.4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4.25" customHeight="1" x14ac:dyDescent="0.4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4.25" customHeight="1" x14ac:dyDescent="0.4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4.25" customHeight="1" x14ac:dyDescent="0.4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4.25" customHeight="1" x14ac:dyDescent="0.4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4.25" customHeight="1" x14ac:dyDescent="0.4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4.2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4.25" customHeight="1" x14ac:dyDescent="0.4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4.25" customHeight="1" x14ac:dyDescent="0.4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4.25" customHeight="1" x14ac:dyDescent="0.4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4.25" customHeight="1" x14ac:dyDescent="0.4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4.25" customHeight="1" x14ac:dyDescent="0.4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4.25" customHeight="1" x14ac:dyDescent="0.4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4.2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4.2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4.2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4.2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4.2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4.2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4.2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4.2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4.2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4.2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4.2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4.2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4.2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4.2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4.2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4.2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4.2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4.2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4.2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4.2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4.2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4.2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4.2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4.2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4.2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4.2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4.2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4.2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4.2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4.2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4.2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4.2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4.2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4.2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4.2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4.2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4.2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4.2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4.2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4.2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4.2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4.2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4.2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4.2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4.2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4.2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4.2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4.2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4.2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4.2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4.2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4.2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4.2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4.2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4.2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4.2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4.2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4.2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4.2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4.2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4.2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4.2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4.2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4.2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4.2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4.2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4.2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4.2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4.2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4.2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4.2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4.2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4.2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4.2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4.2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4.2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4.2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4.2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4.2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4.2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4.2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4.2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4.2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4.2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4.2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4.2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4.2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4.2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4.2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4.2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4.2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4.2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4.2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4.2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4.2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4.2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4.2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4.2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4.2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4.2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4.2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4.2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4.2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4.2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4.2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4.2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4.2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4.2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4.2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4.2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4.2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4.2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4.2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4.2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4.2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4.2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4.2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4.2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4.2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4.2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4.2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4.2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4.2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4.2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4.2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4.2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4.2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4.2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4.2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4.2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4.2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4.2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4.2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4.2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4.2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4.2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4.2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4.2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4.2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4.2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4.2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4.2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4.2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4.2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4.2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4.2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4.2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4.2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4.2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4.2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4.2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4.2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4.2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4.2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4.2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4.2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4.2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4.2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4.2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4.2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4.2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4.2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4.2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4.2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4.2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4.2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4.2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4.2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4.2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4.2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4.2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4.2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4.2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4.2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4.2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4.2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4.2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4.2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4.2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4.2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4.2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4.2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4.2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4.2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4.2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4.2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4.2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4.2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4.2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4.2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4.2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4.2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4.2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4.2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4.2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4.2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4.2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4.2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4.2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4.2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4.2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4.2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4.2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4.2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4.2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4.2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4.2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4.2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4.2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4.2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4.2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4.2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4.2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4.2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4.2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4.2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4.2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4.2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4.2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4.2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4.2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4.2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4.2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4.2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4.2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4.2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4.2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4.2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4.2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4.2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4.2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4.2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4.2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4.2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4.2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4.2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4.2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4.2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4.2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4.2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4.2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4.2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4.2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4.2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4.2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4.2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4.2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4.2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4.2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4.2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4.2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4.2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4.2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4.2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4.2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4.2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4.2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4.2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4.2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4.2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4.2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4.2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4.2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4.2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4.2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4.2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4.2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4.2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4.2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4.2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4.2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4.2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4.2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4.2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4.2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4.2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4.2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4.2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4.2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4.2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4.2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4.2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4.2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4.2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4.2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4.2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4.2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4.2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4.2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4.2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4.2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4.2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4.2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4.2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4.2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4.2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4.2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4.2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4.2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4.2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4.2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4.2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4.2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4.2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4.2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4.2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4.2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4.2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4.2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4.2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4.2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4.2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4.2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4.2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4.2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4.2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4.2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4.2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4.2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4.2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4.2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4.2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4.2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4.2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4.2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4.2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4.2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4.2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4.2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4.2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4.2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4.2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4.2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4.2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4.2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4.2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4.2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4.2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4.2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4.2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4.2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4.2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4.2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4.2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4.2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4.2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4.2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4.2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4.2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4.2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4.2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4.2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4.2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4.2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4.2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4.2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4.2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4.2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4.2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4.2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4.2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4.2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4.2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4.2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4.2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4.2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4.2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4.2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4.2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4.2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4.2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4.2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4.2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4.2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4.2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4.2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4.2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4.2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4.2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4.2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4.2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4.2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4.2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4.2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4.2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4.2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4.2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4.2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4.2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4.2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4.2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4.2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4.2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4.2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4.2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4.2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4.2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4.2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4.2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4.2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4.2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4.2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4.2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4.2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4.2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4.2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4.2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4.2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4.2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4.2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4.2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4.2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4.2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4.2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4.2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4.2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4.2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4.2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4.2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4.2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4.2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4.2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4.2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4.2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4.2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4.2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4.2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4.2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4.2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4.2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4.2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4.2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4.2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4.2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4.2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4.2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4.2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4.2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4.2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4.2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4.2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4.2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4.2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4.2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4.2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4.2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4.2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4.2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4.2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4.2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4.2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4.2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4.2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4.2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4.2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4.2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4.2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4.2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4.2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4.2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4.2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4.2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4.2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4.2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4.2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4.2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4.2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4.2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4.2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4.2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4.2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4.2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4.2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4.2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4.2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4.2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4.2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4.2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4.2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4.2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4.2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4.2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4.2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4.2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4.2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4.2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4.2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4.2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4.2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4.2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4.2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4.2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4.2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4.2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4.2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4.2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4.2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4.2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4.2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4.2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4.2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4.2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4.2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4.2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4.2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4.2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4.2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4.2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4.2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4.2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4.2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4.2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4.2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4.2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4.2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4.2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4.2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4.2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4.2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4.2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4.2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4.2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4.2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4.2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4.2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4.2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4.2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4.2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4.2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4.2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4.2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4.2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4.2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4.2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4.2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4.2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4.2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4.2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4.2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4.2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4.2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4.2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4.2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4.2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4.2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4.2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4.2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4.2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4.2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4.2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4.2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4.2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4.2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4.2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4.2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4.2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4.2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4.2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4.2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4.2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4.2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4.2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4.2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4.2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4.2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4.2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4.2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4.2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4.2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4.2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4.2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4.2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4.2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4.2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4.2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4.2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4.2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4.2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4.2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4.2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4.2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4.2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4.2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4.2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4.2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4.2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4.2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4.2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4.2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4.2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4.2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4.2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4.2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4.2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4.2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4.2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4.2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4.2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4.2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4.2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4.2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4.2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4.2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4.2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4.2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4.2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4.2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4.2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4.2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4.2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4.2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4.2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4.2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4.2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4.2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4.2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4.2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4.2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4.2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4.2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4.2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4.2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4.2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4.2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4.2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4.2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4.2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4.2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4.2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4.2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4.2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4.2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4.2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4.2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4.2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4.2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4.2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4.2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4.2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4.2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4.2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4.2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4.2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4.2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4.2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4.2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4.2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4.2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4.2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4.2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4.2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4.2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4.2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4.2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4.2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4.2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4.2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4.2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4.2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4.2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4.2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4.2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4.2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4.2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4.2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4.2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4.2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4.2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4.2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4.2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4.2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4.2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4.2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4.2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4.2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4.2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4.2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4.2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4.2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4.2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4.2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4.2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4.2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4.2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4.2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4.2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4.2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4.2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4.2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4.2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4.2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4.2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4.2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4.2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4.2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4.2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4.2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4.2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4.2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4.2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4.2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4.2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4.2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4.2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4.2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4.2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4.2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4.2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4.2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4.2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4.2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4.2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4.2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4.2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4.2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4.2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4.2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4.2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4.2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4.2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4.2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4.2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4.2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4.2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4.2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4.2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4.2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4.2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4.2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4.2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4.2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4.2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4.2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4.2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4.2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4.2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4.2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4.2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4.2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4.2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</sheetData>
  <mergeCells count="70">
    <mergeCell ref="B20:I20"/>
    <mergeCell ref="H21:I21"/>
    <mergeCell ref="H16:I16"/>
    <mergeCell ref="H22:I22"/>
    <mergeCell ref="H23:I23"/>
    <mergeCell ref="B19:F19"/>
    <mergeCell ref="B16:F16"/>
    <mergeCell ref="B17:I17"/>
    <mergeCell ref="B18:F18"/>
    <mergeCell ref="H18:I18"/>
    <mergeCell ref="H19:I19"/>
    <mergeCell ref="B13:I13"/>
    <mergeCell ref="B14:F14"/>
    <mergeCell ref="H14:I14"/>
    <mergeCell ref="B15:F15"/>
    <mergeCell ref="H15:I1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47:F47"/>
    <mergeCell ref="H47:I47"/>
    <mergeCell ref="B48:I48"/>
    <mergeCell ref="B41:I41"/>
    <mergeCell ref="B42:F42"/>
    <mergeCell ref="H42:I42"/>
    <mergeCell ref="B43:F43"/>
    <mergeCell ref="H43:I43"/>
    <mergeCell ref="B44:F44"/>
    <mergeCell ref="H44:I44"/>
    <mergeCell ref="A36:A40"/>
    <mergeCell ref="B36:F38"/>
    <mergeCell ref="H36:I36"/>
    <mergeCell ref="B45:I45"/>
    <mergeCell ref="B46:F46"/>
    <mergeCell ref="H46:I46"/>
    <mergeCell ref="H37:I37"/>
    <mergeCell ref="H38:I38"/>
    <mergeCell ref="B31:I31"/>
    <mergeCell ref="H32:I32"/>
    <mergeCell ref="B39:F40"/>
    <mergeCell ref="G39:G40"/>
    <mergeCell ref="H39:I39"/>
    <mergeCell ref="H40:I40"/>
    <mergeCell ref="B32:F32"/>
    <mergeCell ref="B33:F33"/>
    <mergeCell ref="H33:I33"/>
    <mergeCell ref="B34:I34"/>
    <mergeCell ref="H28:I28"/>
    <mergeCell ref="B28:F28"/>
    <mergeCell ref="B29:F29"/>
    <mergeCell ref="H29:I29"/>
    <mergeCell ref="B30:F30"/>
    <mergeCell ref="H30:I30"/>
    <mergeCell ref="A22:A26"/>
    <mergeCell ref="B22:F24"/>
    <mergeCell ref="B25:F26"/>
    <mergeCell ref="G25:G26"/>
    <mergeCell ref="B27:I27"/>
    <mergeCell ref="H26:I26"/>
    <mergeCell ref="H24:I24"/>
    <mergeCell ref="H25:I25"/>
  </mergeCells>
  <pageMargins left="0.7" right="0.7" top="0.75" bottom="0.75" header="0" footer="0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108"/>
      <c r="B1" s="470"/>
      <c r="C1" s="270"/>
      <c r="D1" s="470" t="s">
        <v>0</v>
      </c>
      <c r="E1" s="250"/>
      <c r="F1" s="250"/>
      <c r="G1" s="250"/>
      <c r="H1" s="250"/>
      <c r="I1" s="250"/>
      <c r="J1" s="270"/>
      <c r="K1" s="104" t="s">
        <v>1</v>
      </c>
      <c r="L1" s="474" t="s">
        <v>351</v>
      </c>
      <c r="M1" s="209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9.5" customHeight="1" x14ac:dyDescent="0.5">
      <c r="A2" s="108"/>
      <c r="B2" s="271"/>
      <c r="C2" s="220"/>
      <c r="D2" s="271"/>
      <c r="E2" s="213"/>
      <c r="F2" s="213"/>
      <c r="G2" s="213"/>
      <c r="H2" s="213"/>
      <c r="I2" s="213"/>
      <c r="J2" s="220"/>
      <c r="K2" s="104" t="s">
        <v>3</v>
      </c>
      <c r="L2" s="477">
        <v>1</v>
      </c>
      <c r="M2" s="209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8" customHeight="1" x14ac:dyDescent="0.5">
      <c r="A3" s="108"/>
      <c r="B3" s="271"/>
      <c r="C3" s="220"/>
      <c r="D3" s="272"/>
      <c r="E3" s="252"/>
      <c r="F3" s="252"/>
      <c r="G3" s="252"/>
      <c r="H3" s="252"/>
      <c r="I3" s="252"/>
      <c r="J3" s="273"/>
      <c r="K3" s="104" t="s">
        <v>5</v>
      </c>
      <c r="L3" s="474" t="s">
        <v>6</v>
      </c>
      <c r="M3" s="209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24.75" customHeight="1" x14ac:dyDescent="0.5">
      <c r="A4" s="108"/>
      <c r="B4" s="271"/>
      <c r="C4" s="220"/>
      <c r="D4" s="470" t="s">
        <v>352</v>
      </c>
      <c r="E4" s="250"/>
      <c r="F4" s="250"/>
      <c r="G4" s="250"/>
      <c r="H4" s="250"/>
      <c r="I4" s="250"/>
      <c r="J4" s="270"/>
      <c r="K4" s="471" t="s">
        <v>7</v>
      </c>
      <c r="L4" s="474" t="s">
        <v>225</v>
      </c>
      <c r="M4" s="209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24.75" customHeight="1" x14ac:dyDescent="0.5">
      <c r="A5" s="108"/>
      <c r="B5" s="272"/>
      <c r="C5" s="273"/>
      <c r="D5" s="272"/>
      <c r="E5" s="252"/>
      <c r="F5" s="252"/>
      <c r="G5" s="252"/>
      <c r="H5" s="252"/>
      <c r="I5" s="252"/>
      <c r="J5" s="273"/>
      <c r="K5" s="397"/>
      <c r="L5" s="473" t="s">
        <v>226</v>
      </c>
      <c r="M5" s="209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30.75" customHeight="1" x14ac:dyDescent="0.5">
      <c r="A6" s="108"/>
      <c r="B6" s="472" t="s">
        <v>353</v>
      </c>
      <c r="C6" s="227"/>
      <c r="D6" s="225" t="str">
        <f>'ORDEN ENVASADO'!F6</f>
        <v>AZ HIBRID CLEAR</v>
      </c>
      <c r="E6" s="226"/>
      <c r="F6" s="226"/>
      <c r="G6" s="226"/>
      <c r="H6" s="226"/>
      <c r="I6" s="209"/>
      <c r="J6" s="472" t="s">
        <v>354</v>
      </c>
      <c r="K6" s="227"/>
      <c r="L6" s="488"/>
      <c r="M6" s="209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38.25" customHeight="1" x14ac:dyDescent="0.5">
      <c r="A7" s="108"/>
      <c r="B7" s="499" t="s">
        <v>355</v>
      </c>
      <c r="C7" s="227"/>
      <c r="D7" s="500" t="str">
        <f>ACONDICIONAMIENTO!F8</f>
        <v>252591</v>
      </c>
      <c r="E7" s="227"/>
      <c r="F7" s="474" t="s">
        <v>356</v>
      </c>
      <c r="G7" s="227"/>
      <c r="H7" s="494" t="str">
        <f>ACONDICIONAMIENTO!J8</f>
        <v>OP-L-127</v>
      </c>
      <c r="I7" s="227"/>
      <c r="J7" s="472" t="s">
        <v>234</v>
      </c>
      <c r="K7" s="227"/>
      <c r="L7" s="501"/>
      <c r="M7" s="209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30" customHeight="1" x14ac:dyDescent="0.5">
      <c r="A8" s="108"/>
      <c r="B8" s="499" t="s">
        <v>24</v>
      </c>
      <c r="C8" s="227"/>
      <c r="D8" s="496" t="str">
        <f>OP!G11</f>
        <v>SOLUCION</v>
      </c>
      <c r="E8" s="226"/>
      <c r="F8" s="226"/>
      <c r="G8" s="226"/>
      <c r="H8" s="226"/>
      <c r="I8" s="227"/>
      <c r="J8" s="472" t="s">
        <v>357</v>
      </c>
      <c r="K8" s="227"/>
      <c r="L8" s="496"/>
      <c r="M8" s="209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24.75" customHeight="1" x14ac:dyDescent="0.5">
      <c r="A9" s="108"/>
      <c r="B9" s="485" t="s">
        <v>358</v>
      </c>
      <c r="C9" s="213"/>
      <c r="D9" s="213"/>
      <c r="E9" s="486"/>
      <c r="F9" s="252"/>
      <c r="G9" s="113"/>
      <c r="H9" s="113" t="s">
        <v>359</v>
      </c>
      <c r="I9" s="113"/>
      <c r="J9" s="113"/>
      <c r="K9" s="113"/>
      <c r="L9" s="113"/>
      <c r="M9" s="113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6.5" customHeight="1" x14ac:dyDescent="0.5">
      <c r="A10" s="108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36" customHeight="1" x14ac:dyDescent="0.5">
      <c r="A11" s="108"/>
      <c r="B11" s="472" t="s">
        <v>360</v>
      </c>
      <c r="C11" s="227"/>
      <c r="D11" s="472" t="s">
        <v>237</v>
      </c>
      <c r="E11" s="226"/>
      <c r="F11" s="227"/>
      <c r="G11" s="472" t="s">
        <v>361</v>
      </c>
      <c r="H11" s="227"/>
      <c r="I11" s="472" t="s">
        <v>238</v>
      </c>
      <c r="J11" s="227"/>
      <c r="K11" s="110" t="s">
        <v>362</v>
      </c>
      <c r="L11" s="472" t="s">
        <v>363</v>
      </c>
      <c r="M11" s="209"/>
      <c r="N11" s="114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31.5" customHeight="1" x14ac:dyDescent="0.5">
      <c r="A12" s="108"/>
      <c r="B12" s="493" t="s">
        <v>364</v>
      </c>
      <c r="C12" s="115" t="s">
        <v>365</v>
      </c>
      <c r="D12" s="480" t="s">
        <v>366</v>
      </c>
      <c r="E12" s="252"/>
      <c r="F12" s="273"/>
      <c r="G12" s="481" t="s">
        <v>367</v>
      </c>
      <c r="H12" s="273"/>
      <c r="I12" s="116"/>
      <c r="J12" s="117"/>
      <c r="K12" s="118"/>
      <c r="L12" s="472"/>
      <c r="M12" s="209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31.5" customHeight="1" x14ac:dyDescent="0.5">
      <c r="A13" s="108"/>
      <c r="B13" s="212"/>
      <c r="C13" s="104" t="s">
        <v>368</v>
      </c>
      <c r="D13" s="482" t="s">
        <v>369</v>
      </c>
      <c r="E13" s="252"/>
      <c r="F13" s="273"/>
      <c r="G13" s="483" t="s">
        <v>367</v>
      </c>
      <c r="H13" s="227"/>
      <c r="I13" s="111"/>
      <c r="J13" s="119"/>
      <c r="K13" s="110"/>
      <c r="L13" s="472"/>
      <c r="M13" s="209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52.5" customHeight="1" x14ac:dyDescent="0.5">
      <c r="A14" s="108"/>
      <c r="B14" s="308"/>
      <c r="C14" s="109" t="s">
        <v>370</v>
      </c>
      <c r="D14" s="484" t="str">
        <f>'COC GRANEL'!D13</f>
        <v xml:space="preserve"> Líquido acuoso claro, sin haze ni partículas</v>
      </c>
      <c r="E14" s="226"/>
      <c r="F14" s="227"/>
      <c r="G14" s="483" t="s">
        <v>367</v>
      </c>
      <c r="H14" s="227"/>
      <c r="I14" s="111"/>
      <c r="J14" s="119"/>
      <c r="K14" s="110"/>
      <c r="L14" s="472"/>
      <c r="M14" s="209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31.5" customHeight="1" x14ac:dyDescent="0.5">
      <c r="A15" s="108"/>
      <c r="B15" s="490" t="s">
        <v>371</v>
      </c>
      <c r="C15" s="116" t="s">
        <v>246</v>
      </c>
      <c r="D15" s="489" t="str">
        <f>'COC GRANEL'!D16</f>
        <v>6,0 - 6,1</v>
      </c>
      <c r="E15" s="252"/>
      <c r="F15" s="273"/>
      <c r="G15" s="483" t="s">
        <v>372</v>
      </c>
      <c r="H15" s="227"/>
      <c r="I15" s="111"/>
      <c r="J15" s="119"/>
      <c r="K15" s="110"/>
      <c r="L15" s="472"/>
      <c r="M15" s="209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31.5" customHeight="1" x14ac:dyDescent="0.5">
      <c r="A16" s="108"/>
      <c r="B16" s="491"/>
      <c r="C16" s="111" t="s">
        <v>244</v>
      </c>
      <c r="D16" s="484" t="str">
        <f>'COC GRANEL'!D15</f>
        <v>1,045 ± 0,015 g/mL</v>
      </c>
      <c r="E16" s="226"/>
      <c r="F16" s="227"/>
      <c r="G16" s="483" t="s">
        <v>372</v>
      </c>
      <c r="H16" s="227"/>
      <c r="I16" s="111"/>
      <c r="J16" s="119"/>
      <c r="K16" s="110"/>
      <c r="L16" s="472"/>
      <c r="M16" s="209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31.5" customHeight="1" x14ac:dyDescent="0.5">
      <c r="A17" s="108"/>
      <c r="B17" s="491"/>
      <c r="C17" s="120" t="s">
        <v>242</v>
      </c>
      <c r="D17" s="494" t="s">
        <v>373</v>
      </c>
      <c r="E17" s="226"/>
      <c r="F17" s="227"/>
      <c r="G17" s="483" t="s">
        <v>372</v>
      </c>
      <c r="H17" s="227"/>
      <c r="I17" s="472"/>
      <c r="J17" s="227"/>
      <c r="K17" s="110"/>
      <c r="L17" s="472"/>
      <c r="M17" s="209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31.5" customHeight="1" x14ac:dyDescent="0.5">
      <c r="A18" s="108"/>
      <c r="B18" s="490" t="s">
        <v>374</v>
      </c>
      <c r="C18" s="121" t="s">
        <v>375</v>
      </c>
      <c r="D18" s="481" t="s">
        <v>376</v>
      </c>
      <c r="E18" s="252"/>
      <c r="F18" s="273"/>
      <c r="G18" s="494" t="s">
        <v>377</v>
      </c>
      <c r="H18" s="227"/>
      <c r="I18" s="472"/>
      <c r="J18" s="227"/>
      <c r="K18" s="110"/>
      <c r="L18" s="472"/>
      <c r="M18" s="209"/>
      <c r="N18" s="122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31.5" customHeight="1" x14ac:dyDescent="0.5">
      <c r="A19" s="108"/>
      <c r="B19" s="491"/>
      <c r="C19" s="121" t="s">
        <v>378</v>
      </c>
      <c r="D19" s="483" t="s">
        <v>379</v>
      </c>
      <c r="E19" s="226"/>
      <c r="F19" s="227"/>
      <c r="G19" s="494" t="s">
        <v>377</v>
      </c>
      <c r="H19" s="227"/>
      <c r="I19" s="472"/>
      <c r="J19" s="227"/>
      <c r="K19" s="110"/>
      <c r="L19" s="472"/>
      <c r="M19" s="209"/>
      <c r="N19" s="122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31.5" customHeight="1" x14ac:dyDescent="0.5">
      <c r="A20" s="108"/>
      <c r="B20" s="491"/>
      <c r="C20" s="121" t="s">
        <v>380</v>
      </c>
      <c r="D20" s="483" t="s">
        <v>379</v>
      </c>
      <c r="E20" s="226"/>
      <c r="F20" s="227"/>
      <c r="G20" s="494" t="s">
        <v>377</v>
      </c>
      <c r="H20" s="227"/>
      <c r="I20" s="111"/>
      <c r="J20" s="123"/>
      <c r="K20" s="110"/>
      <c r="L20" s="472"/>
      <c r="M20" s="209"/>
      <c r="N20" s="122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31.5" customHeight="1" x14ac:dyDescent="0.5">
      <c r="A21" s="108"/>
      <c r="B21" s="491"/>
      <c r="C21" s="124" t="s">
        <v>381</v>
      </c>
      <c r="D21" s="492" t="s">
        <v>379</v>
      </c>
      <c r="E21" s="250"/>
      <c r="F21" s="270"/>
      <c r="G21" s="479" t="s">
        <v>377</v>
      </c>
      <c r="H21" s="270"/>
      <c r="I21" s="469"/>
      <c r="J21" s="270"/>
      <c r="K21" s="125"/>
      <c r="L21" s="472"/>
      <c r="M21" s="209"/>
      <c r="N21" s="122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30" customHeight="1" x14ac:dyDescent="0.5">
      <c r="A22" s="108"/>
      <c r="B22" s="487" t="s">
        <v>382</v>
      </c>
      <c r="C22" s="227"/>
      <c r="D22" s="488"/>
      <c r="E22" s="226"/>
      <c r="F22" s="227"/>
      <c r="G22" s="472" t="s">
        <v>383</v>
      </c>
      <c r="H22" s="227"/>
      <c r="I22" s="496"/>
      <c r="J22" s="226"/>
      <c r="K22" s="226"/>
      <c r="L22" s="226"/>
      <c r="M22" s="209"/>
      <c r="N22" s="122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30" customHeight="1" x14ac:dyDescent="0.5">
      <c r="A23" s="108"/>
      <c r="B23" s="469" t="s">
        <v>204</v>
      </c>
      <c r="C23" s="270"/>
      <c r="D23" s="497"/>
      <c r="E23" s="250"/>
      <c r="F23" s="250"/>
      <c r="G23" s="250"/>
      <c r="H23" s="250"/>
      <c r="I23" s="250"/>
      <c r="J23" s="250"/>
      <c r="K23" s="250"/>
      <c r="L23" s="250"/>
      <c r="M23" s="268"/>
      <c r="N23" s="122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9.5" customHeight="1" x14ac:dyDescent="0.5">
      <c r="A24" s="108"/>
      <c r="B24" s="271"/>
      <c r="C24" s="220"/>
      <c r="D24" s="271"/>
      <c r="E24" s="213"/>
      <c r="F24" s="213"/>
      <c r="G24" s="213"/>
      <c r="H24" s="213"/>
      <c r="I24" s="213"/>
      <c r="J24" s="213"/>
      <c r="K24" s="213"/>
      <c r="L24" s="213"/>
      <c r="M24" s="201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30" customHeight="1" x14ac:dyDescent="0.5">
      <c r="A25" s="108"/>
      <c r="B25" s="272"/>
      <c r="C25" s="273"/>
      <c r="D25" s="272"/>
      <c r="E25" s="252"/>
      <c r="F25" s="252"/>
      <c r="G25" s="252"/>
      <c r="H25" s="252"/>
      <c r="I25" s="252"/>
      <c r="J25" s="252"/>
      <c r="K25" s="252"/>
      <c r="L25" s="252"/>
      <c r="M25" s="369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30" customHeight="1" x14ac:dyDescent="0.5">
      <c r="A26" s="108"/>
      <c r="B26" s="472" t="s">
        <v>384</v>
      </c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09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30" customHeight="1" x14ac:dyDescent="0.5">
      <c r="A27" s="108"/>
      <c r="B27" s="472" t="s">
        <v>385</v>
      </c>
      <c r="C27" s="227"/>
      <c r="D27" s="498"/>
      <c r="E27" s="226"/>
      <c r="F27" s="226"/>
      <c r="G27" s="227"/>
      <c r="H27" s="472" t="s">
        <v>386</v>
      </c>
      <c r="I27" s="227"/>
      <c r="J27" s="495"/>
      <c r="K27" s="226"/>
      <c r="L27" s="226"/>
      <c r="M27" s="209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30" customHeight="1" x14ac:dyDescent="0.5">
      <c r="A28" s="108"/>
      <c r="B28" s="472" t="s">
        <v>207</v>
      </c>
      <c r="C28" s="227"/>
      <c r="D28" s="498"/>
      <c r="E28" s="226"/>
      <c r="F28" s="226"/>
      <c r="G28" s="227"/>
      <c r="H28" s="472" t="s">
        <v>207</v>
      </c>
      <c r="I28" s="227"/>
      <c r="J28" s="495"/>
      <c r="K28" s="226"/>
      <c r="L28" s="226"/>
      <c r="M28" s="209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30" customHeight="1" x14ac:dyDescent="0.5">
      <c r="A29" s="108"/>
      <c r="B29" s="504" t="s">
        <v>208</v>
      </c>
      <c r="C29" s="231"/>
      <c r="D29" s="505"/>
      <c r="E29" s="238"/>
      <c r="F29" s="238"/>
      <c r="G29" s="231"/>
      <c r="H29" s="504" t="s">
        <v>208</v>
      </c>
      <c r="I29" s="231"/>
      <c r="J29" s="502"/>
      <c r="K29" s="238"/>
      <c r="L29" s="238"/>
      <c r="M29" s="264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30" customHeight="1" x14ac:dyDescent="0.5">
      <c r="A30" s="108"/>
      <c r="B30" s="50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30" customHeight="1" x14ac:dyDescent="0.5">
      <c r="A31" s="108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5.75" customHeight="1" x14ac:dyDescent="0.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5.75" customHeight="1" x14ac:dyDescent="0.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5.75" customHeight="1" x14ac:dyDescent="0.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5.75" customHeight="1" x14ac:dyDescent="0.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5.75" customHeight="1" x14ac:dyDescent="0.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5.75" customHeight="1" x14ac:dyDescent="0.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5.75" customHeight="1" x14ac:dyDescent="0.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5.75" customHeight="1" x14ac:dyDescent="0.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5.75" customHeight="1" x14ac:dyDescent="0.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5.75" customHeight="1" x14ac:dyDescent="0.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5.75" customHeight="1" x14ac:dyDescent="0.5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5.75" customHeight="1" x14ac:dyDescent="0.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5.75" customHeight="1" x14ac:dyDescent="0.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5.75" customHeight="1" x14ac:dyDescent="0.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15.75" customHeight="1" x14ac:dyDescent="0.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15.75" customHeight="1" x14ac:dyDescent="0.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15.75" customHeight="1" x14ac:dyDescent="0.5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15.75" customHeight="1" x14ac:dyDescent="0.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15.75" customHeight="1" x14ac:dyDescent="0.5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15.75" customHeight="1" x14ac:dyDescent="0.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15.75" customHeight="1" x14ac:dyDescent="0.5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15.75" customHeight="1" x14ac:dyDescent="0.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15.75" customHeight="1" x14ac:dyDescent="0.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5.75" customHeight="1" x14ac:dyDescent="0.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5.75" customHeight="1" x14ac:dyDescent="0.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5.75" customHeight="1" x14ac:dyDescent="0.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5.75" customHeight="1" x14ac:dyDescent="0.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5.75" customHeight="1" x14ac:dyDescent="0.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5.75" customHeight="1" x14ac:dyDescent="0.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5.75" customHeight="1" x14ac:dyDescent="0.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5.75" customHeight="1" x14ac:dyDescent="0.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5.75" customHeight="1" x14ac:dyDescent="0.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5.75" customHeight="1" x14ac:dyDescent="0.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5.75" customHeight="1" x14ac:dyDescent="0.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5.75" customHeight="1" x14ac:dyDescent="0.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5.75" customHeight="1" x14ac:dyDescent="0.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5.75" customHeight="1" x14ac:dyDescent="0.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5.75" customHeight="1" x14ac:dyDescent="0.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5.75" customHeight="1" x14ac:dyDescent="0.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5.75" customHeight="1" x14ac:dyDescent="0.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5.75" customHeight="1" x14ac:dyDescent="0.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5.75" customHeight="1" x14ac:dyDescent="0.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5.75" customHeight="1" x14ac:dyDescent="0.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5.75" customHeight="1" x14ac:dyDescent="0.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5.75" customHeight="1" x14ac:dyDescent="0.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5.75" customHeight="1" x14ac:dyDescent="0.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5.75" customHeight="1" x14ac:dyDescent="0.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5.75" customHeight="1" x14ac:dyDescent="0.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5.75" customHeight="1" x14ac:dyDescent="0.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5.75" customHeight="1" x14ac:dyDescent="0.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5.75" customHeight="1" x14ac:dyDescent="0.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5.75" customHeight="1" x14ac:dyDescent="0.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5.75" customHeight="1" x14ac:dyDescent="0.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5.75" customHeight="1" x14ac:dyDescent="0.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5.75" customHeight="1" x14ac:dyDescent="0.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5.75" customHeight="1" x14ac:dyDescent="0.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5.75" customHeight="1" x14ac:dyDescent="0.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5.75" customHeight="1" x14ac:dyDescent="0.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5.75" customHeight="1" x14ac:dyDescent="0.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5.75" customHeight="1" x14ac:dyDescent="0.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5.75" customHeight="1" x14ac:dyDescent="0.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5.75" customHeight="1" x14ac:dyDescent="0.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5.75" customHeight="1" x14ac:dyDescent="0.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5.75" customHeight="1" x14ac:dyDescent="0.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5.75" customHeight="1" x14ac:dyDescent="0.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5.75" customHeight="1" x14ac:dyDescent="0.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5.75" customHeight="1" x14ac:dyDescent="0.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5.75" customHeight="1" x14ac:dyDescent="0.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5.75" customHeight="1" x14ac:dyDescent="0.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5.75" customHeight="1" x14ac:dyDescent="0.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5.75" customHeight="1" x14ac:dyDescent="0.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5.75" customHeight="1" x14ac:dyDescent="0.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5.75" customHeight="1" x14ac:dyDescent="0.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5.75" customHeight="1" x14ac:dyDescent="0.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5.75" customHeight="1" x14ac:dyDescent="0.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5.75" customHeight="1" x14ac:dyDescent="0.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5.75" customHeight="1" x14ac:dyDescent="0.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5.75" customHeight="1" x14ac:dyDescent="0.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5.75" customHeight="1" x14ac:dyDescent="0.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5.75" customHeight="1" x14ac:dyDescent="0.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5.75" customHeight="1" x14ac:dyDescent="0.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5.75" customHeight="1" x14ac:dyDescent="0.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5.75" customHeight="1" x14ac:dyDescent="0.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5.75" customHeight="1" x14ac:dyDescent="0.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5.75" customHeight="1" x14ac:dyDescent="0.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5.75" customHeight="1" x14ac:dyDescent="0.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5.75" customHeight="1" x14ac:dyDescent="0.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5.75" customHeight="1" x14ac:dyDescent="0.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5.75" customHeight="1" x14ac:dyDescent="0.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5.75" customHeight="1" x14ac:dyDescent="0.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5.75" customHeight="1" x14ac:dyDescent="0.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5.75" customHeight="1" x14ac:dyDescent="0.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5.75" customHeight="1" x14ac:dyDescent="0.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5.75" customHeight="1" x14ac:dyDescent="0.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5.75" customHeight="1" x14ac:dyDescent="0.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5.75" customHeight="1" x14ac:dyDescent="0.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5.75" customHeight="1" x14ac:dyDescent="0.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5.75" customHeight="1" x14ac:dyDescent="0.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5.75" customHeight="1" x14ac:dyDescent="0.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5.75" customHeight="1" x14ac:dyDescent="0.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5.75" customHeight="1" x14ac:dyDescent="0.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5.75" customHeight="1" x14ac:dyDescent="0.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5.75" customHeight="1" x14ac:dyDescent="0.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5.75" customHeight="1" x14ac:dyDescent="0.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5.75" customHeight="1" x14ac:dyDescent="0.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5.75" customHeight="1" x14ac:dyDescent="0.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5.75" customHeight="1" x14ac:dyDescent="0.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5.75" customHeight="1" x14ac:dyDescent="0.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5.75" customHeight="1" x14ac:dyDescent="0.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5.75" customHeight="1" x14ac:dyDescent="0.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5.75" customHeight="1" x14ac:dyDescent="0.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5.75" customHeight="1" x14ac:dyDescent="0.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5.75" customHeight="1" x14ac:dyDescent="0.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5.75" customHeight="1" x14ac:dyDescent="0.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5.75" customHeight="1" x14ac:dyDescent="0.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5.75" customHeight="1" x14ac:dyDescent="0.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5.75" customHeight="1" x14ac:dyDescent="0.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5.75" customHeight="1" x14ac:dyDescent="0.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5.75" customHeight="1" x14ac:dyDescent="0.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5.75" customHeight="1" x14ac:dyDescent="0.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5.75" customHeight="1" x14ac:dyDescent="0.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5.75" customHeight="1" x14ac:dyDescent="0.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5.75" customHeight="1" x14ac:dyDescent="0.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5.75" customHeight="1" x14ac:dyDescent="0.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5.75" customHeight="1" x14ac:dyDescent="0.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5.75" customHeight="1" x14ac:dyDescent="0.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5.75" customHeight="1" x14ac:dyDescent="0.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5.75" customHeight="1" x14ac:dyDescent="0.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5.75" customHeight="1" x14ac:dyDescent="0.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5.75" customHeight="1" x14ac:dyDescent="0.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5.75" customHeight="1" x14ac:dyDescent="0.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5.75" customHeight="1" x14ac:dyDescent="0.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5.75" customHeight="1" x14ac:dyDescent="0.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5.75" customHeight="1" x14ac:dyDescent="0.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5.75" customHeight="1" x14ac:dyDescent="0.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5.75" customHeight="1" x14ac:dyDescent="0.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5.75" customHeight="1" x14ac:dyDescent="0.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5.75" customHeight="1" x14ac:dyDescent="0.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5.75" customHeight="1" x14ac:dyDescent="0.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5.75" customHeight="1" x14ac:dyDescent="0.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5.75" customHeight="1" x14ac:dyDescent="0.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5.75" customHeight="1" x14ac:dyDescent="0.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5.75" customHeight="1" x14ac:dyDescent="0.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5.75" customHeight="1" x14ac:dyDescent="0.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5.75" customHeight="1" x14ac:dyDescent="0.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5.75" customHeight="1" x14ac:dyDescent="0.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5.75" customHeight="1" x14ac:dyDescent="0.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5.75" customHeight="1" x14ac:dyDescent="0.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5.75" customHeight="1" x14ac:dyDescent="0.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5.75" customHeight="1" x14ac:dyDescent="0.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5.75" customHeight="1" x14ac:dyDescent="0.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5.75" customHeight="1" x14ac:dyDescent="0.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5.75" customHeight="1" x14ac:dyDescent="0.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5.75" customHeight="1" x14ac:dyDescent="0.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5.75" customHeight="1" x14ac:dyDescent="0.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5.75" customHeight="1" x14ac:dyDescent="0.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5.75" customHeight="1" x14ac:dyDescent="0.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5.75" customHeight="1" x14ac:dyDescent="0.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5.75" customHeight="1" x14ac:dyDescent="0.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5.75" customHeight="1" x14ac:dyDescent="0.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5.75" customHeight="1" x14ac:dyDescent="0.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5.75" customHeight="1" x14ac:dyDescent="0.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5.75" customHeight="1" x14ac:dyDescent="0.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5.75" customHeight="1" x14ac:dyDescent="0.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5.75" customHeight="1" x14ac:dyDescent="0.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5.75" customHeight="1" x14ac:dyDescent="0.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5.75" customHeight="1" x14ac:dyDescent="0.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5.75" customHeight="1" x14ac:dyDescent="0.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5.75" customHeight="1" x14ac:dyDescent="0.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5.75" customHeight="1" x14ac:dyDescent="0.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5.75" customHeight="1" x14ac:dyDescent="0.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5.75" customHeight="1" x14ac:dyDescent="0.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5.75" customHeight="1" x14ac:dyDescent="0.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5.75" customHeight="1" x14ac:dyDescent="0.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5.75" customHeight="1" x14ac:dyDescent="0.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5.75" customHeight="1" x14ac:dyDescent="0.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5.75" customHeight="1" x14ac:dyDescent="0.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5.75" customHeight="1" x14ac:dyDescent="0.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5.75" customHeight="1" x14ac:dyDescent="0.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5.75" customHeight="1" x14ac:dyDescent="0.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5.75" customHeight="1" x14ac:dyDescent="0.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5.75" customHeight="1" x14ac:dyDescent="0.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5.75" customHeight="1" x14ac:dyDescent="0.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5.75" customHeight="1" x14ac:dyDescent="0.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5.75" customHeight="1" x14ac:dyDescent="0.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5.75" customHeight="1" x14ac:dyDescent="0.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5.75" customHeight="1" x14ac:dyDescent="0.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5.75" customHeight="1" x14ac:dyDescent="0.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5.75" customHeight="1" x14ac:dyDescent="0.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5.75" customHeight="1" x14ac:dyDescent="0.5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5.75" customHeight="1" x14ac:dyDescent="0.5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5.75" customHeight="1" x14ac:dyDescent="0.5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5.75" customHeight="1" x14ac:dyDescent="0.5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5.75" customHeight="1" x14ac:dyDescent="0.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5.75" customHeight="1" x14ac:dyDescent="0.5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5.75" customHeight="1" x14ac:dyDescent="0.5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5.75" customHeight="1" x14ac:dyDescent="0.5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5.75" customHeight="1" x14ac:dyDescent="0.5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5.75" customHeight="1" x14ac:dyDescent="0.5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5.75" customHeight="1" x14ac:dyDescent="0.5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5.75" customHeight="1" x14ac:dyDescent="0.5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5.75" customHeight="1" x14ac:dyDescent="0.5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5.75" customHeight="1" x14ac:dyDescent="0.5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5.75" customHeight="1" x14ac:dyDescent="0.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5.75" customHeight="1" x14ac:dyDescent="0.5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5.75" customHeight="1" x14ac:dyDescent="0.5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5.75" customHeight="1" x14ac:dyDescent="0.5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5.75" customHeight="1" x14ac:dyDescent="0.5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5.75" customHeight="1" x14ac:dyDescent="0.5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5.75" customHeight="1" x14ac:dyDescent="0.5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5.75" customHeight="1" x14ac:dyDescent="0.5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5.75" customHeight="1" x14ac:dyDescent="0.5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5.75" customHeight="1" x14ac:dyDescent="0.5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5.75" customHeight="1" x14ac:dyDescent="0.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5.75" customHeight="1" x14ac:dyDescent="0.5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5.75" customHeight="1" x14ac:dyDescent="0.5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5.75" customHeight="1" x14ac:dyDescent="0.5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5.75" customHeight="1" x14ac:dyDescent="0.5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5.75" customHeight="1" x14ac:dyDescent="0.5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5.75" customHeight="1" x14ac:dyDescent="0.5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5.75" customHeight="1" x14ac:dyDescent="0.5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5.75" customHeight="1" x14ac:dyDescent="0.5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5.75" customHeight="1" x14ac:dyDescent="0.5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5.75" customHeight="1" x14ac:dyDescent="0.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5.75" customHeight="1" x14ac:dyDescent="0.5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5.75" customHeight="1" x14ac:dyDescent="0.5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5.75" customHeight="1" x14ac:dyDescent="0.5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5.75" customHeight="1" x14ac:dyDescent="0.5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5.75" customHeight="1" x14ac:dyDescent="0.5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5.75" customHeight="1" x14ac:dyDescent="0.5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5.75" customHeight="1" x14ac:dyDescent="0.5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15.75" customHeight="1" x14ac:dyDescent="0.5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15.75" customHeight="1" x14ac:dyDescent="0.5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15.75" customHeight="1" x14ac:dyDescent="0.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15.75" customHeight="1" x14ac:dyDescent="0.5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15.75" customHeight="1" x14ac:dyDescent="0.5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15.75" customHeight="1" x14ac:dyDescent="0.5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15.75" customHeight="1" x14ac:dyDescent="0.5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15.75" customHeight="1" x14ac:dyDescent="0.5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15.75" customHeight="1" x14ac:dyDescent="0.5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15.75" customHeight="1" x14ac:dyDescent="0.5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15.75" customHeight="1" x14ac:dyDescent="0.5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15.75" customHeight="1" x14ac:dyDescent="0.5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15.75" customHeight="1" x14ac:dyDescent="0.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15.75" customHeight="1" x14ac:dyDescent="0.5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15.75" customHeight="1" x14ac:dyDescent="0.5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15.75" customHeight="1" x14ac:dyDescent="0.5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15.75" customHeight="1" x14ac:dyDescent="0.5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15.75" customHeight="1" x14ac:dyDescent="0.5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15.75" customHeight="1" x14ac:dyDescent="0.5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15.75" customHeight="1" x14ac:dyDescent="0.5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15.75" customHeight="1" x14ac:dyDescent="0.5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15.75" customHeight="1" x14ac:dyDescent="0.5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15.75" customHeight="1" x14ac:dyDescent="0.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15.75" customHeight="1" x14ac:dyDescent="0.5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15.75" customHeight="1" x14ac:dyDescent="0.5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15.75" customHeight="1" x14ac:dyDescent="0.5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15.75" customHeight="1" x14ac:dyDescent="0.5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15.75" customHeight="1" x14ac:dyDescent="0.5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15.75" customHeight="1" x14ac:dyDescent="0.5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15.75" customHeight="1" x14ac:dyDescent="0.5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15.75" customHeight="1" x14ac:dyDescent="0.5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15.75" customHeight="1" x14ac:dyDescent="0.5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15.75" customHeight="1" x14ac:dyDescent="0.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15.75" customHeight="1" x14ac:dyDescent="0.5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15.75" customHeight="1" x14ac:dyDescent="0.5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15.75" customHeight="1" x14ac:dyDescent="0.5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15.75" customHeight="1" x14ac:dyDescent="0.5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15.75" customHeight="1" x14ac:dyDescent="0.5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15.75" customHeight="1" x14ac:dyDescent="0.5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15.75" customHeight="1" x14ac:dyDescent="0.5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15.75" customHeight="1" x14ac:dyDescent="0.5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15.75" customHeight="1" x14ac:dyDescent="0.5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15.75" customHeight="1" x14ac:dyDescent="0.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15.75" customHeight="1" x14ac:dyDescent="0.5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15.75" customHeight="1" x14ac:dyDescent="0.5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15.75" customHeight="1" x14ac:dyDescent="0.5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15.75" customHeight="1" x14ac:dyDescent="0.5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15.75" customHeight="1" x14ac:dyDescent="0.5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15.75" customHeight="1" x14ac:dyDescent="0.5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15.75" customHeight="1" x14ac:dyDescent="0.5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15.75" customHeight="1" x14ac:dyDescent="0.5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15.75" customHeight="1" x14ac:dyDescent="0.5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15.75" customHeight="1" x14ac:dyDescent="0.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15.75" customHeight="1" x14ac:dyDescent="0.5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15.75" customHeight="1" x14ac:dyDescent="0.5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15.75" customHeight="1" x14ac:dyDescent="0.5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15.75" customHeight="1" x14ac:dyDescent="0.5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15.75" customHeight="1" x14ac:dyDescent="0.5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15.75" customHeight="1" x14ac:dyDescent="0.5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15.75" customHeight="1" x14ac:dyDescent="0.5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15.75" customHeight="1" x14ac:dyDescent="0.5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15.75" customHeight="1" x14ac:dyDescent="0.5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15.75" customHeight="1" x14ac:dyDescent="0.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15.75" customHeight="1" x14ac:dyDescent="0.5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15.75" customHeight="1" x14ac:dyDescent="0.5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15.75" customHeight="1" x14ac:dyDescent="0.5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15.75" customHeight="1" x14ac:dyDescent="0.5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15.75" customHeight="1" x14ac:dyDescent="0.5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15.75" customHeight="1" x14ac:dyDescent="0.5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15.75" customHeight="1" x14ac:dyDescent="0.5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15.75" customHeight="1" x14ac:dyDescent="0.5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15.75" customHeight="1" x14ac:dyDescent="0.5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15.75" customHeight="1" x14ac:dyDescent="0.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15.75" customHeight="1" x14ac:dyDescent="0.5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15.75" customHeight="1" x14ac:dyDescent="0.5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15.75" customHeight="1" x14ac:dyDescent="0.5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15.75" customHeight="1" x14ac:dyDescent="0.5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15.75" customHeight="1" x14ac:dyDescent="0.5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15.75" customHeight="1" x14ac:dyDescent="0.5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15.75" customHeight="1" x14ac:dyDescent="0.5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15.75" customHeight="1" x14ac:dyDescent="0.5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15.75" customHeight="1" x14ac:dyDescent="0.5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15.75" customHeight="1" x14ac:dyDescent="0.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15.75" customHeight="1" x14ac:dyDescent="0.5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15.75" customHeight="1" x14ac:dyDescent="0.5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15.75" customHeight="1" x14ac:dyDescent="0.5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15.75" customHeight="1" x14ac:dyDescent="0.5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15.75" customHeight="1" x14ac:dyDescent="0.5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15.75" customHeight="1" x14ac:dyDescent="0.5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15.75" customHeight="1" x14ac:dyDescent="0.5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15.75" customHeight="1" x14ac:dyDescent="0.5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15.75" customHeight="1" x14ac:dyDescent="0.5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15.75" customHeight="1" x14ac:dyDescent="0.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15.75" customHeight="1" x14ac:dyDescent="0.5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15.75" customHeight="1" x14ac:dyDescent="0.5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15.75" customHeight="1" x14ac:dyDescent="0.5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15.75" customHeight="1" x14ac:dyDescent="0.5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15.75" customHeight="1" x14ac:dyDescent="0.5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15.75" customHeight="1" x14ac:dyDescent="0.5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15.75" customHeight="1" x14ac:dyDescent="0.5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15.75" customHeight="1" x14ac:dyDescent="0.5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15.75" customHeight="1" x14ac:dyDescent="0.5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15.75" customHeight="1" x14ac:dyDescent="0.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15.75" customHeight="1" x14ac:dyDescent="0.5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15.75" customHeight="1" x14ac:dyDescent="0.5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15.75" customHeight="1" x14ac:dyDescent="0.5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15.75" customHeight="1" x14ac:dyDescent="0.5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15.75" customHeight="1" x14ac:dyDescent="0.5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15.75" customHeight="1" x14ac:dyDescent="0.5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15.75" customHeight="1" x14ac:dyDescent="0.5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15.75" customHeight="1" x14ac:dyDescent="0.5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15.75" customHeight="1" x14ac:dyDescent="0.5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15.75" customHeight="1" x14ac:dyDescent="0.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15.75" customHeight="1" x14ac:dyDescent="0.5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15.75" customHeight="1" x14ac:dyDescent="0.5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15.75" customHeight="1" x14ac:dyDescent="0.5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15.75" customHeight="1" x14ac:dyDescent="0.5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15.75" customHeight="1" x14ac:dyDescent="0.5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15.75" customHeight="1" x14ac:dyDescent="0.5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15.75" customHeight="1" x14ac:dyDescent="0.5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15.75" customHeight="1" x14ac:dyDescent="0.5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15.75" customHeight="1" x14ac:dyDescent="0.5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15.75" customHeight="1" x14ac:dyDescent="0.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15.75" customHeight="1" x14ac:dyDescent="0.5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15.75" customHeight="1" x14ac:dyDescent="0.5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15.75" customHeight="1" x14ac:dyDescent="0.5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15.75" customHeight="1" x14ac:dyDescent="0.5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15.75" customHeight="1" x14ac:dyDescent="0.5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15.75" customHeight="1" x14ac:dyDescent="0.5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15.75" customHeight="1" x14ac:dyDescent="0.5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15.75" customHeight="1" x14ac:dyDescent="0.5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15.75" customHeight="1" x14ac:dyDescent="0.5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15.75" customHeight="1" x14ac:dyDescent="0.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15.75" customHeight="1" x14ac:dyDescent="0.5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15.75" customHeight="1" x14ac:dyDescent="0.5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15.75" customHeight="1" x14ac:dyDescent="0.5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15.75" customHeight="1" x14ac:dyDescent="0.5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15.75" customHeight="1" x14ac:dyDescent="0.5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15.75" customHeight="1" x14ac:dyDescent="0.5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15.75" customHeight="1" x14ac:dyDescent="0.5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15.75" customHeight="1" x14ac:dyDescent="0.5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15.75" customHeight="1" x14ac:dyDescent="0.5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15.75" customHeight="1" x14ac:dyDescent="0.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15.75" customHeight="1" x14ac:dyDescent="0.5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15.75" customHeight="1" x14ac:dyDescent="0.5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15.75" customHeight="1" x14ac:dyDescent="0.5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15.75" customHeight="1" x14ac:dyDescent="0.5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15.75" customHeight="1" x14ac:dyDescent="0.5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15.75" customHeight="1" x14ac:dyDescent="0.5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15.75" customHeight="1" x14ac:dyDescent="0.5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15.75" customHeight="1" x14ac:dyDescent="0.5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15.75" customHeight="1" x14ac:dyDescent="0.5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15.75" customHeight="1" x14ac:dyDescent="0.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15.75" customHeight="1" x14ac:dyDescent="0.5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15.75" customHeight="1" x14ac:dyDescent="0.5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15.75" customHeight="1" x14ac:dyDescent="0.5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15.75" customHeight="1" x14ac:dyDescent="0.5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15.75" customHeight="1" x14ac:dyDescent="0.5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15.75" customHeight="1" x14ac:dyDescent="0.5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15.75" customHeight="1" x14ac:dyDescent="0.5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15.75" customHeight="1" x14ac:dyDescent="0.5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15.75" customHeight="1" x14ac:dyDescent="0.5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15.75" customHeight="1" x14ac:dyDescent="0.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15.75" customHeight="1" x14ac:dyDescent="0.5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15.75" customHeight="1" x14ac:dyDescent="0.5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15.75" customHeight="1" x14ac:dyDescent="0.5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15.75" customHeight="1" x14ac:dyDescent="0.5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15.75" customHeight="1" x14ac:dyDescent="0.5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15.75" customHeight="1" x14ac:dyDescent="0.5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15.75" customHeight="1" x14ac:dyDescent="0.5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15.75" customHeight="1" x14ac:dyDescent="0.5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15.75" customHeight="1" x14ac:dyDescent="0.5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15.75" customHeight="1" x14ac:dyDescent="0.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15.75" customHeight="1" x14ac:dyDescent="0.5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15.75" customHeight="1" x14ac:dyDescent="0.5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15.75" customHeight="1" x14ac:dyDescent="0.5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15.75" customHeight="1" x14ac:dyDescent="0.5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15.75" customHeight="1" x14ac:dyDescent="0.5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15.75" customHeight="1" x14ac:dyDescent="0.5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15.75" customHeight="1" x14ac:dyDescent="0.5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15.75" customHeight="1" x14ac:dyDescent="0.5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15.75" customHeight="1" x14ac:dyDescent="0.5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15.75" customHeight="1" x14ac:dyDescent="0.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15.75" customHeight="1" x14ac:dyDescent="0.5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15.75" customHeight="1" x14ac:dyDescent="0.5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15.75" customHeight="1" x14ac:dyDescent="0.5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15.75" customHeight="1" x14ac:dyDescent="0.5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15.75" customHeight="1" x14ac:dyDescent="0.5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15.75" customHeight="1" x14ac:dyDescent="0.5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15.75" customHeight="1" x14ac:dyDescent="0.5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15.75" customHeight="1" x14ac:dyDescent="0.5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15.75" customHeight="1" x14ac:dyDescent="0.5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15.75" customHeight="1" x14ac:dyDescent="0.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15.75" customHeight="1" x14ac:dyDescent="0.5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15.75" customHeight="1" x14ac:dyDescent="0.5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15.75" customHeight="1" x14ac:dyDescent="0.5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15.75" customHeight="1" x14ac:dyDescent="0.5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15.75" customHeight="1" x14ac:dyDescent="0.5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15.75" customHeight="1" x14ac:dyDescent="0.5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15.75" customHeight="1" x14ac:dyDescent="0.5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15.75" customHeight="1" x14ac:dyDescent="0.5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15.75" customHeight="1" x14ac:dyDescent="0.5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15.75" customHeight="1" x14ac:dyDescent="0.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15.75" customHeight="1" x14ac:dyDescent="0.5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15.75" customHeight="1" x14ac:dyDescent="0.5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15.75" customHeight="1" x14ac:dyDescent="0.5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15.75" customHeight="1" x14ac:dyDescent="0.5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15.75" customHeight="1" x14ac:dyDescent="0.5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15.75" customHeight="1" x14ac:dyDescent="0.5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15.75" customHeight="1" x14ac:dyDescent="0.5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15.75" customHeight="1" x14ac:dyDescent="0.5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15.75" customHeight="1" x14ac:dyDescent="0.5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15.75" customHeight="1" x14ac:dyDescent="0.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15.75" customHeight="1" x14ac:dyDescent="0.5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15.75" customHeight="1" x14ac:dyDescent="0.5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15.75" customHeight="1" x14ac:dyDescent="0.5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15.75" customHeight="1" x14ac:dyDescent="0.5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15.75" customHeight="1" x14ac:dyDescent="0.5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15.75" customHeight="1" x14ac:dyDescent="0.5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15.75" customHeight="1" x14ac:dyDescent="0.5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15.75" customHeight="1" x14ac:dyDescent="0.5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15.75" customHeight="1" x14ac:dyDescent="0.5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15.75" customHeight="1" x14ac:dyDescent="0.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15.75" customHeight="1" x14ac:dyDescent="0.5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15.75" customHeight="1" x14ac:dyDescent="0.5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15.75" customHeight="1" x14ac:dyDescent="0.5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15.75" customHeight="1" x14ac:dyDescent="0.5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15.75" customHeight="1" x14ac:dyDescent="0.5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15.75" customHeight="1" x14ac:dyDescent="0.5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15.75" customHeight="1" x14ac:dyDescent="0.5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15.75" customHeight="1" x14ac:dyDescent="0.5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15.75" customHeight="1" x14ac:dyDescent="0.5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15.75" customHeight="1" x14ac:dyDescent="0.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15.75" customHeight="1" x14ac:dyDescent="0.5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15.75" customHeight="1" x14ac:dyDescent="0.5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15.75" customHeight="1" x14ac:dyDescent="0.5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15.75" customHeight="1" x14ac:dyDescent="0.5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15.75" customHeight="1" x14ac:dyDescent="0.5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15.75" customHeight="1" x14ac:dyDescent="0.5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15.75" customHeight="1" x14ac:dyDescent="0.5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15.75" customHeight="1" x14ac:dyDescent="0.5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15.75" customHeight="1" x14ac:dyDescent="0.5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15.75" customHeight="1" x14ac:dyDescent="0.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15.75" customHeight="1" x14ac:dyDescent="0.5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15.75" customHeight="1" x14ac:dyDescent="0.5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15.75" customHeight="1" x14ac:dyDescent="0.5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15.75" customHeight="1" x14ac:dyDescent="0.5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15.75" customHeight="1" x14ac:dyDescent="0.5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15.75" customHeight="1" x14ac:dyDescent="0.5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15.75" customHeight="1" x14ac:dyDescent="0.5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15.75" customHeight="1" x14ac:dyDescent="0.5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15.75" customHeight="1" x14ac:dyDescent="0.5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15.75" customHeight="1" x14ac:dyDescent="0.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15.75" customHeight="1" x14ac:dyDescent="0.5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15.75" customHeight="1" x14ac:dyDescent="0.5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15.75" customHeight="1" x14ac:dyDescent="0.5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15.75" customHeight="1" x14ac:dyDescent="0.5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15.75" customHeight="1" x14ac:dyDescent="0.5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15.75" customHeight="1" x14ac:dyDescent="0.5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15.75" customHeight="1" x14ac:dyDescent="0.5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15.75" customHeight="1" x14ac:dyDescent="0.5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15.75" customHeight="1" x14ac:dyDescent="0.5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15.75" customHeight="1" x14ac:dyDescent="0.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15.75" customHeight="1" x14ac:dyDescent="0.5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15.75" customHeight="1" x14ac:dyDescent="0.5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15.75" customHeight="1" x14ac:dyDescent="0.5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15.75" customHeight="1" x14ac:dyDescent="0.5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15.75" customHeight="1" x14ac:dyDescent="0.5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15.75" customHeight="1" x14ac:dyDescent="0.5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15.75" customHeight="1" x14ac:dyDescent="0.5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15.75" customHeight="1" x14ac:dyDescent="0.5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15.75" customHeight="1" x14ac:dyDescent="0.5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15.75" customHeight="1" x14ac:dyDescent="0.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15.75" customHeight="1" x14ac:dyDescent="0.5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15.75" customHeight="1" x14ac:dyDescent="0.5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15.75" customHeight="1" x14ac:dyDescent="0.5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15.75" customHeight="1" x14ac:dyDescent="0.5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15.75" customHeight="1" x14ac:dyDescent="0.5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15.75" customHeight="1" x14ac:dyDescent="0.5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15.75" customHeight="1" x14ac:dyDescent="0.5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15.75" customHeight="1" x14ac:dyDescent="0.5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15.75" customHeight="1" x14ac:dyDescent="0.5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15.75" customHeight="1" x14ac:dyDescent="0.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15.75" customHeight="1" x14ac:dyDescent="0.5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15.75" customHeight="1" x14ac:dyDescent="0.5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15.75" customHeight="1" x14ac:dyDescent="0.5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15.75" customHeight="1" x14ac:dyDescent="0.5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15.75" customHeight="1" x14ac:dyDescent="0.5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15.75" customHeight="1" x14ac:dyDescent="0.5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15.75" customHeight="1" x14ac:dyDescent="0.5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15.75" customHeight="1" x14ac:dyDescent="0.5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15.75" customHeight="1" x14ac:dyDescent="0.5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15.75" customHeight="1" x14ac:dyDescent="0.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15.75" customHeight="1" x14ac:dyDescent="0.5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15.75" customHeight="1" x14ac:dyDescent="0.5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15.75" customHeight="1" x14ac:dyDescent="0.5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15.75" customHeight="1" x14ac:dyDescent="0.5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15.75" customHeight="1" x14ac:dyDescent="0.5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15.75" customHeight="1" x14ac:dyDescent="0.5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15.75" customHeight="1" x14ac:dyDescent="0.5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15.75" customHeight="1" x14ac:dyDescent="0.5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15.75" customHeight="1" x14ac:dyDescent="0.5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15.75" customHeight="1" x14ac:dyDescent="0.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15.75" customHeight="1" x14ac:dyDescent="0.5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15.75" customHeight="1" x14ac:dyDescent="0.5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15.75" customHeight="1" x14ac:dyDescent="0.5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15.75" customHeight="1" x14ac:dyDescent="0.5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15.75" customHeight="1" x14ac:dyDescent="0.5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15.75" customHeight="1" x14ac:dyDescent="0.5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15.75" customHeight="1" x14ac:dyDescent="0.5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15.75" customHeight="1" x14ac:dyDescent="0.5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15.75" customHeight="1" x14ac:dyDescent="0.5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15.75" customHeight="1" x14ac:dyDescent="0.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15.75" customHeight="1" x14ac:dyDescent="0.5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15.75" customHeight="1" x14ac:dyDescent="0.5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15.75" customHeight="1" x14ac:dyDescent="0.5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15.75" customHeight="1" x14ac:dyDescent="0.5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15.75" customHeight="1" x14ac:dyDescent="0.5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15.75" customHeight="1" x14ac:dyDescent="0.5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15.75" customHeight="1" x14ac:dyDescent="0.5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15.75" customHeight="1" x14ac:dyDescent="0.5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15.75" customHeight="1" x14ac:dyDescent="0.5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15.75" customHeight="1" x14ac:dyDescent="0.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15.75" customHeight="1" x14ac:dyDescent="0.5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15.75" customHeight="1" x14ac:dyDescent="0.5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15.75" customHeight="1" x14ac:dyDescent="0.5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15.75" customHeight="1" x14ac:dyDescent="0.5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15.75" customHeight="1" x14ac:dyDescent="0.5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15.75" customHeight="1" x14ac:dyDescent="0.5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15.75" customHeight="1" x14ac:dyDescent="0.5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15.75" customHeight="1" x14ac:dyDescent="0.5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15.75" customHeight="1" x14ac:dyDescent="0.5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15.75" customHeight="1" x14ac:dyDescent="0.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15.75" customHeight="1" x14ac:dyDescent="0.5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15.75" customHeight="1" x14ac:dyDescent="0.5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15.75" customHeight="1" x14ac:dyDescent="0.5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15.75" customHeight="1" x14ac:dyDescent="0.5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15.75" customHeight="1" x14ac:dyDescent="0.5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15.75" customHeight="1" x14ac:dyDescent="0.5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15.75" customHeight="1" x14ac:dyDescent="0.5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15.75" customHeight="1" x14ac:dyDescent="0.5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15.75" customHeight="1" x14ac:dyDescent="0.5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15.75" customHeight="1" x14ac:dyDescent="0.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15.75" customHeight="1" x14ac:dyDescent="0.5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15.75" customHeight="1" x14ac:dyDescent="0.5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15.75" customHeight="1" x14ac:dyDescent="0.5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15.75" customHeight="1" x14ac:dyDescent="0.5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15.75" customHeight="1" x14ac:dyDescent="0.5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15.75" customHeight="1" x14ac:dyDescent="0.5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15.75" customHeight="1" x14ac:dyDescent="0.5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15.75" customHeight="1" x14ac:dyDescent="0.5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15.75" customHeight="1" x14ac:dyDescent="0.5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15.75" customHeight="1" x14ac:dyDescent="0.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15.75" customHeight="1" x14ac:dyDescent="0.5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15.75" customHeight="1" x14ac:dyDescent="0.5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15.75" customHeight="1" x14ac:dyDescent="0.5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15.75" customHeight="1" x14ac:dyDescent="0.5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15.75" customHeight="1" x14ac:dyDescent="0.5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15.75" customHeight="1" x14ac:dyDescent="0.5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15.75" customHeight="1" x14ac:dyDescent="0.5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15.75" customHeight="1" x14ac:dyDescent="0.5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15.75" customHeight="1" x14ac:dyDescent="0.5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15.75" customHeight="1" x14ac:dyDescent="0.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15.75" customHeight="1" x14ac:dyDescent="0.5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15.75" customHeight="1" x14ac:dyDescent="0.5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15.75" customHeight="1" x14ac:dyDescent="0.5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15.75" customHeight="1" x14ac:dyDescent="0.5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15.75" customHeight="1" x14ac:dyDescent="0.5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15.75" customHeight="1" x14ac:dyDescent="0.5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15.75" customHeight="1" x14ac:dyDescent="0.5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15.75" customHeight="1" x14ac:dyDescent="0.5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15.75" customHeight="1" x14ac:dyDescent="0.5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15.75" customHeight="1" x14ac:dyDescent="0.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15.75" customHeight="1" x14ac:dyDescent="0.5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15.75" customHeight="1" x14ac:dyDescent="0.5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15.75" customHeight="1" x14ac:dyDescent="0.5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15.75" customHeight="1" x14ac:dyDescent="0.5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15.75" customHeight="1" x14ac:dyDescent="0.5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15.75" customHeight="1" x14ac:dyDescent="0.5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15.75" customHeight="1" x14ac:dyDescent="0.5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15.75" customHeight="1" x14ac:dyDescent="0.5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15.75" customHeight="1" x14ac:dyDescent="0.5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15.75" customHeight="1" x14ac:dyDescent="0.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15.75" customHeight="1" x14ac:dyDescent="0.5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15.75" customHeight="1" x14ac:dyDescent="0.5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15.75" customHeight="1" x14ac:dyDescent="0.5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15.75" customHeight="1" x14ac:dyDescent="0.5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15.75" customHeight="1" x14ac:dyDescent="0.5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15.75" customHeight="1" x14ac:dyDescent="0.5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15.75" customHeight="1" x14ac:dyDescent="0.5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15.75" customHeight="1" x14ac:dyDescent="0.5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15.75" customHeight="1" x14ac:dyDescent="0.5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15.75" customHeight="1" x14ac:dyDescent="0.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15.75" customHeight="1" x14ac:dyDescent="0.5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15.75" customHeight="1" x14ac:dyDescent="0.5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15.75" customHeight="1" x14ac:dyDescent="0.5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15.75" customHeight="1" x14ac:dyDescent="0.5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15.75" customHeight="1" x14ac:dyDescent="0.5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15.75" customHeight="1" x14ac:dyDescent="0.5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15.75" customHeight="1" x14ac:dyDescent="0.5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15.75" customHeight="1" x14ac:dyDescent="0.5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15.75" customHeight="1" x14ac:dyDescent="0.5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15.75" customHeight="1" x14ac:dyDescent="0.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15.75" customHeight="1" x14ac:dyDescent="0.5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15.75" customHeight="1" x14ac:dyDescent="0.5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15.75" customHeight="1" x14ac:dyDescent="0.5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15.75" customHeight="1" x14ac:dyDescent="0.5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15.75" customHeight="1" x14ac:dyDescent="0.5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15.75" customHeight="1" x14ac:dyDescent="0.5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15.75" customHeight="1" x14ac:dyDescent="0.5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15.75" customHeight="1" x14ac:dyDescent="0.5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15.75" customHeight="1" x14ac:dyDescent="0.5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15.75" customHeight="1" x14ac:dyDescent="0.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15.75" customHeight="1" x14ac:dyDescent="0.5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15.75" customHeight="1" x14ac:dyDescent="0.5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15.75" customHeight="1" x14ac:dyDescent="0.5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15.75" customHeight="1" x14ac:dyDescent="0.5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15.75" customHeight="1" x14ac:dyDescent="0.5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15.75" customHeight="1" x14ac:dyDescent="0.5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15.75" customHeight="1" x14ac:dyDescent="0.5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15.75" customHeight="1" x14ac:dyDescent="0.5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15.75" customHeight="1" x14ac:dyDescent="0.5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15.75" customHeight="1" x14ac:dyDescent="0.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15.75" customHeight="1" x14ac:dyDescent="0.5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15.75" customHeight="1" x14ac:dyDescent="0.5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15.75" customHeight="1" x14ac:dyDescent="0.5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15.75" customHeight="1" x14ac:dyDescent="0.5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15.75" customHeight="1" x14ac:dyDescent="0.5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15.75" customHeight="1" x14ac:dyDescent="0.5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15.75" customHeight="1" x14ac:dyDescent="0.5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15.75" customHeight="1" x14ac:dyDescent="0.5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15.75" customHeight="1" x14ac:dyDescent="0.5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15.75" customHeight="1" x14ac:dyDescent="0.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15.75" customHeight="1" x14ac:dyDescent="0.5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15.75" customHeight="1" x14ac:dyDescent="0.5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15.75" customHeight="1" x14ac:dyDescent="0.5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15.75" customHeight="1" x14ac:dyDescent="0.5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15.75" customHeight="1" x14ac:dyDescent="0.5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15.75" customHeight="1" x14ac:dyDescent="0.5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15.75" customHeight="1" x14ac:dyDescent="0.5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15.75" customHeight="1" x14ac:dyDescent="0.5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15.75" customHeight="1" x14ac:dyDescent="0.5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15.75" customHeight="1" x14ac:dyDescent="0.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15.75" customHeight="1" x14ac:dyDescent="0.5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15.75" customHeight="1" x14ac:dyDescent="0.5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15.75" customHeight="1" x14ac:dyDescent="0.5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15.75" customHeight="1" x14ac:dyDescent="0.5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15.75" customHeight="1" x14ac:dyDescent="0.5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15.75" customHeight="1" x14ac:dyDescent="0.5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15.75" customHeight="1" x14ac:dyDescent="0.5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15.75" customHeight="1" x14ac:dyDescent="0.5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15.75" customHeight="1" x14ac:dyDescent="0.5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15.75" customHeight="1" x14ac:dyDescent="0.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15.75" customHeight="1" x14ac:dyDescent="0.5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15.75" customHeight="1" x14ac:dyDescent="0.5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15.75" customHeight="1" x14ac:dyDescent="0.5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15.75" customHeight="1" x14ac:dyDescent="0.5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15.75" customHeight="1" x14ac:dyDescent="0.5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15.75" customHeight="1" x14ac:dyDescent="0.5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15.75" customHeight="1" x14ac:dyDescent="0.5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15.75" customHeight="1" x14ac:dyDescent="0.5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15.75" customHeight="1" x14ac:dyDescent="0.5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15.75" customHeight="1" x14ac:dyDescent="0.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15.75" customHeight="1" x14ac:dyDescent="0.5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15.75" customHeight="1" x14ac:dyDescent="0.5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15.75" customHeight="1" x14ac:dyDescent="0.5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15.75" customHeight="1" x14ac:dyDescent="0.5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15.75" customHeight="1" x14ac:dyDescent="0.5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15.75" customHeight="1" x14ac:dyDescent="0.5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15.75" customHeight="1" x14ac:dyDescent="0.5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15.75" customHeight="1" x14ac:dyDescent="0.5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15.75" customHeight="1" x14ac:dyDescent="0.5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15.75" customHeight="1" x14ac:dyDescent="0.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15.75" customHeight="1" x14ac:dyDescent="0.5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15.75" customHeight="1" x14ac:dyDescent="0.5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15.75" customHeight="1" x14ac:dyDescent="0.5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15.75" customHeight="1" x14ac:dyDescent="0.5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15.75" customHeight="1" x14ac:dyDescent="0.5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15.75" customHeight="1" x14ac:dyDescent="0.5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15.75" customHeight="1" x14ac:dyDescent="0.5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15.75" customHeight="1" x14ac:dyDescent="0.5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15.75" customHeight="1" x14ac:dyDescent="0.5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15.75" customHeight="1" x14ac:dyDescent="0.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15.75" customHeight="1" x14ac:dyDescent="0.5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15.75" customHeight="1" x14ac:dyDescent="0.5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15.75" customHeight="1" x14ac:dyDescent="0.5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15.75" customHeight="1" x14ac:dyDescent="0.5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15.75" customHeight="1" x14ac:dyDescent="0.5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15.75" customHeight="1" x14ac:dyDescent="0.5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15.75" customHeight="1" x14ac:dyDescent="0.5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15.75" customHeight="1" x14ac:dyDescent="0.5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15.75" customHeight="1" x14ac:dyDescent="0.5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15.75" customHeight="1" x14ac:dyDescent="0.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15.75" customHeight="1" x14ac:dyDescent="0.5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15.75" customHeight="1" x14ac:dyDescent="0.5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15.75" customHeight="1" x14ac:dyDescent="0.5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15.75" customHeight="1" x14ac:dyDescent="0.5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15.75" customHeight="1" x14ac:dyDescent="0.5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15.75" customHeight="1" x14ac:dyDescent="0.5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15.75" customHeight="1" x14ac:dyDescent="0.5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15.75" customHeight="1" x14ac:dyDescent="0.5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15.75" customHeight="1" x14ac:dyDescent="0.5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15.75" customHeight="1" x14ac:dyDescent="0.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15.75" customHeight="1" x14ac:dyDescent="0.5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15.75" customHeight="1" x14ac:dyDescent="0.5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15.75" customHeight="1" x14ac:dyDescent="0.5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15.75" customHeight="1" x14ac:dyDescent="0.5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15.75" customHeight="1" x14ac:dyDescent="0.5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15.75" customHeight="1" x14ac:dyDescent="0.5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15.75" customHeight="1" x14ac:dyDescent="0.5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15.75" customHeight="1" x14ac:dyDescent="0.5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15.75" customHeight="1" x14ac:dyDescent="0.5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15.75" customHeight="1" x14ac:dyDescent="0.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15.75" customHeight="1" x14ac:dyDescent="0.5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15.75" customHeight="1" x14ac:dyDescent="0.5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15.75" customHeight="1" x14ac:dyDescent="0.5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15.75" customHeight="1" x14ac:dyDescent="0.5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15.75" customHeight="1" x14ac:dyDescent="0.5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15.75" customHeight="1" x14ac:dyDescent="0.5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15.75" customHeight="1" x14ac:dyDescent="0.5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15.75" customHeight="1" x14ac:dyDescent="0.5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15.75" customHeight="1" x14ac:dyDescent="0.5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15.75" customHeight="1" x14ac:dyDescent="0.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15.75" customHeight="1" x14ac:dyDescent="0.5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15.75" customHeight="1" x14ac:dyDescent="0.5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15.75" customHeight="1" x14ac:dyDescent="0.5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15.75" customHeight="1" x14ac:dyDescent="0.5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15.75" customHeight="1" x14ac:dyDescent="0.5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15.75" customHeight="1" x14ac:dyDescent="0.5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15.75" customHeight="1" x14ac:dyDescent="0.5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15.75" customHeight="1" x14ac:dyDescent="0.5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15.75" customHeight="1" x14ac:dyDescent="0.5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15.75" customHeight="1" x14ac:dyDescent="0.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15.75" customHeight="1" x14ac:dyDescent="0.5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15.75" customHeight="1" x14ac:dyDescent="0.5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15.75" customHeight="1" x14ac:dyDescent="0.5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15.75" customHeight="1" x14ac:dyDescent="0.5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15.75" customHeight="1" x14ac:dyDescent="0.5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15.75" customHeight="1" x14ac:dyDescent="0.5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15.75" customHeight="1" x14ac:dyDescent="0.5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15.75" customHeight="1" x14ac:dyDescent="0.5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15.75" customHeight="1" x14ac:dyDescent="0.5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15.75" customHeight="1" x14ac:dyDescent="0.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15.75" customHeight="1" x14ac:dyDescent="0.5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15.75" customHeight="1" x14ac:dyDescent="0.5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15.75" customHeight="1" x14ac:dyDescent="0.5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15.75" customHeight="1" x14ac:dyDescent="0.5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15.75" customHeight="1" x14ac:dyDescent="0.5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15.75" customHeight="1" x14ac:dyDescent="0.5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15.75" customHeight="1" x14ac:dyDescent="0.5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15.75" customHeight="1" x14ac:dyDescent="0.5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15.75" customHeight="1" x14ac:dyDescent="0.5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15.75" customHeight="1" x14ac:dyDescent="0.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15.75" customHeight="1" x14ac:dyDescent="0.5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15.75" customHeight="1" x14ac:dyDescent="0.5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15.75" customHeight="1" x14ac:dyDescent="0.5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15.75" customHeight="1" x14ac:dyDescent="0.5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15.75" customHeight="1" x14ac:dyDescent="0.5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15.75" customHeight="1" x14ac:dyDescent="0.5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15.75" customHeight="1" x14ac:dyDescent="0.5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15.75" customHeight="1" x14ac:dyDescent="0.5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15.75" customHeight="1" x14ac:dyDescent="0.5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15.75" customHeight="1" x14ac:dyDescent="0.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15.75" customHeight="1" x14ac:dyDescent="0.5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15.75" customHeight="1" x14ac:dyDescent="0.5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15.75" customHeight="1" x14ac:dyDescent="0.5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15.75" customHeight="1" x14ac:dyDescent="0.5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15.75" customHeight="1" x14ac:dyDescent="0.5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15.75" customHeight="1" x14ac:dyDescent="0.5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15.75" customHeight="1" x14ac:dyDescent="0.5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15.75" customHeight="1" x14ac:dyDescent="0.5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15.75" customHeight="1" x14ac:dyDescent="0.5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15.75" customHeight="1" x14ac:dyDescent="0.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15.75" customHeight="1" x14ac:dyDescent="0.5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15.75" customHeight="1" x14ac:dyDescent="0.5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15.75" customHeight="1" x14ac:dyDescent="0.5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15.75" customHeight="1" x14ac:dyDescent="0.5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15.75" customHeight="1" x14ac:dyDescent="0.5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15.75" customHeight="1" x14ac:dyDescent="0.5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15.75" customHeight="1" x14ac:dyDescent="0.5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15.75" customHeight="1" x14ac:dyDescent="0.5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15.75" customHeight="1" x14ac:dyDescent="0.5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15.75" customHeight="1" x14ac:dyDescent="0.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15.75" customHeight="1" x14ac:dyDescent="0.5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15.75" customHeight="1" x14ac:dyDescent="0.5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15.75" customHeight="1" x14ac:dyDescent="0.5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15.75" customHeight="1" x14ac:dyDescent="0.5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15.75" customHeight="1" x14ac:dyDescent="0.5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15.75" customHeight="1" x14ac:dyDescent="0.5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15.75" customHeight="1" x14ac:dyDescent="0.5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15.75" customHeight="1" x14ac:dyDescent="0.5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15.75" customHeight="1" x14ac:dyDescent="0.5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15.75" customHeight="1" x14ac:dyDescent="0.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15.75" customHeight="1" x14ac:dyDescent="0.5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15.75" customHeight="1" x14ac:dyDescent="0.5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15.75" customHeight="1" x14ac:dyDescent="0.5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15.75" customHeight="1" x14ac:dyDescent="0.5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15.75" customHeight="1" x14ac:dyDescent="0.5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15.75" customHeight="1" x14ac:dyDescent="0.5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15.75" customHeight="1" x14ac:dyDescent="0.5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15.75" customHeight="1" x14ac:dyDescent="0.5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15.75" customHeight="1" x14ac:dyDescent="0.5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15.75" customHeight="1" x14ac:dyDescent="0.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15.75" customHeight="1" x14ac:dyDescent="0.5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15.75" customHeight="1" x14ac:dyDescent="0.5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15.75" customHeight="1" x14ac:dyDescent="0.5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15.75" customHeight="1" x14ac:dyDescent="0.5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15.75" customHeight="1" x14ac:dyDescent="0.5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15.75" customHeight="1" x14ac:dyDescent="0.5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15.75" customHeight="1" x14ac:dyDescent="0.5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15.75" customHeight="1" x14ac:dyDescent="0.5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15.75" customHeight="1" x14ac:dyDescent="0.5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15.75" customHeight="1" x14ac:dyDescent="0.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15.75" customHeight="1" x14ac:dyDescent="0.5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15.75" customHeight="1" x14ac:dyDescent="0.5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15.75" customHeight="1" x14ac:dyDescent="0.5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15.75" customHeight="1" x14ac:dyDescent="0.5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15.75" customHeight="1" x14ac:dyDescent="0.5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15.75" customHeight="1" x14ac:dyDescent="0.5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15.75" customHeight="1" x14ac:dyDescent="0.5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15.75" customHeight="1" x14ac:dyDescent="0.5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15.75" customHeight="1" x14ac:dyDescent="0.5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15.75" customHeight="1" x14ac:dyDescent="0.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15.75" customHeight="1" x14ac:dyDescent="0.5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15.75" customHeight="1" x14ac:dyDescent="0.5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15.75" customHeight="1" x14ac:dyDescent="0.5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15.75" customHeight="1" x14ac:dyDescent="0.5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15.75" customHeight="1" x14ac:dyDescent="0.5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15.75" customHeight="1" x14ac:dyDescent="0.5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15.75" customHeight="1" x14ac:dyDescent="0.5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15.75" customHeight="1" x14ac:dyDescent="0.5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15.75" customHeight="1" x14ac:dyDescent="0.5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15.75" customHeight="1" x14ac:dyDescent="0.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15.75" customHeight="1" x14ac:dyDescent="0.5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15.75" customHeight="1" x14ac:dyDescent="0.5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15.75" customHeight="1" x14ac:dyDescent="0.5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15.75" customHeight="1" x14ac:dyDescent="0.5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15.75" customHeight="1" x14ac:dyDescent="0.5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15.75" customHeight="1" x14ac:dyDescent="0.5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15.75" customHeight="1" x14ac:dyDescent="0.5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15.75" customHeight="1" x14ac:dyDescent="0.5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15.75" customHeight="1" x14ac:dyDescent="0.5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15.75" customHeight="1" x14ac:dyDescent="0.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15.75" customHeight="1" x14ac:dyDescent="0.5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15.75" customHeight="1" x14ac:dyDescent="0.5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15.75" customHeight="1" x14ac:dyDescent="0.5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15.75" customHeight="1" x14ac:dyDescent="0.5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15.75" customHeight="1" x14ac:dyDescent="0.5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15.75" customHeight="1" x14ac:dyDescent="0.5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15.75" customHeight="1" x14ac:dyDescent="0.5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15.75" customHeight="1" x14ac:dyDescent="0.5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15.75" customHeight="1" x14ac:dyDescent="0.5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15.75" customHeight="1" x14ac:dyDescent="0.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15.75" customHeight="1" x14ac:dyDescent="0.5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15.75" customHeight="1" x14ac:dyDescent="0.5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15.75" customHeight="1" x14ac:dyDescent="0.5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15.75" customHeight="1" x14ac:dyDescent="0.5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15.75" customHeight="1" x14ac:dyDescent="0.5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15.75" customHeight="1" x14ac:dyDescent="0.5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15.75" customHeight="1" x14ac:dyDescent="0.5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15.75" customHeight="1" x14ac:dyDescent="0.5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15.75" customHeight="1" x14ac:dyDescent="0.5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15.75" customHeight="1" x14ac:dyDescent="0.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15.75" customHeight="1" x14ac:dyDescent="0.5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15.75" customHeight="1" x14ac:dyDescent="0.5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15.75" customHeight="1" x14ac:dyDescent="0.5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15.75" customHeight="1" x14ac:dyDescent="0.5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15.75" customHeight="1" x14ac:dyDescent="0.5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15.75" customHeight="1" x14ac:dyDescent="0.5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15.75" customHeight="1" x14ac:dyDescent="0.5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15.75" customHeight="1" x14ac:dyDescent="0.5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15.75" customHeight="1" x14ac:dyDescent="0.5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15.75" customHeight="1" x14ac:dyDescent="0.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15.75" customHeight="1" x14ac:dyDescent="0.5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15.75" customHeight="1" x14ac:dyDescent="0.5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15.75" customHeight="1" x14ac:dyDescent="0.5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15.75" customHeight="1" x14ac:dyDescent="0.5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15.75" customHeight="1" x14ac:dyDescent="0.5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15.75" customHeight="1" x14ac:dyDescent="0.5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15.75" customHeight="1" x14ac:dyDescent="0.5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15.75" customHeight="1" x14ac:dyDescent="0.5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15.75" customHeight="1" x14ac:dyDescent="0.5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15.75" customHeight="1" x14ac:dyDescent="0.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15.75" customHeight="1" x14ac:dyDescent="0.5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15.75" customHeight="1" x14ac:dyDescent="0.5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15.75" customHeight="1" x14ac:dyDescent="0.5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15.75" customHeight="1" x14ac:dyDescent="0.5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15.75" customHeight="1" x14ac:dyDescent="0.5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15.75" customHeight="1" x14ac:dyDescent="0.5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15.75" customHeight="1" x14ac:dyDescent="0.5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15.75" customHeight="1" x14ac:dyDescent="0.5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15.75" customHeight="1" x14ac:dyDescent="0.5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15.75" customHeight="1" x14ac:dyDescent="0.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15.75" customHeight="1" x14ac:dyDescent="0.5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15.75" customHeight="1" x14ac:dyDescent="0.5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15.75" customHeight="1" x14ac:dyDescent="0.5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15.75" customHeight="1" x14ac:dyDescent="0.5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15.75" customHeight="1" x14ac:dyDescent="0.5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15.75" customHeight="1" x14ac:dyDescent="0.5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15.75" customHeight="1" x14ac:dyDescent="0.5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15.75" customHeight="1" x14ac:dyDescent="0.5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15.75" customHeight="1" x14ac:dyDescent="0.5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15.75" customHeight="1" x14ac:dyDescent="0.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15.75" customHeight="1" x14ac:dyDescent="0.5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15.75" customHeight="1" x14ac:dyDescent="0.5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15.75" customHeight="1" x14ac:dyDescent="0.5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15.75" customHeight="1" x14ac:dyDescent="0.5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15.75" customHeight="1" x14ac:dyDescent="0.5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15.75" customHeight="1" x14ac:dyDescent="0.5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15.75" customHeight="1" x14ac:dyDescent="0.5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15.75" customHeight="1" x14ac:dyDescent="0.5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15.75" customHeight="1" x14ac:dyDescent="0.5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15.75" customHeight="1" x14ac:dyDescent="0.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15.75" customHeight="1" x14ac:dyDescent="0.5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15.75" customHeight="1" x14ac:dyDescent="0.5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15.75" customHeight="1" x14ac:dyDescent="0.5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15.75" customHeight="1" x14ac:dyDescent="0.5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15.75" customHeight="1" x14ac:dyDescent="0.5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15.75" customHeight="1" x14ac:dyDescent="0.5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15.75" customHeight="1" x14ac:dyDescent="0.5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15.75" customHeight="1" x14ac:dyDescent="0.5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15.75" customHeight="1" x14ac:dyDescent="0.5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15.75" customHeight="1" x14ac:dyDescent="0.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15.75" customHeight="1" x14ac:dyDescent="0.5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15.75" customHeight="1" x14ac:dyDescent="0.5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15.75" customHeight="1" x14ac:dyDescent="0.5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15.75" customHeight="1" x14ac:dyDescent="0.5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15.75" customHeight="1" x14ac:dyDescent="0.5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15.75" customHeight="1" x14ac:dyDescent="0.5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15.75" customHeight="1" x14ac:dyDescent="0.5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15.75" customHeight="1" x14ac:dyDescent="0.5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15.75" customHeight="1" x14ac:dyDescent="0.5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15.75" customHeight="1" x14ac:dyDescent="0.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15.75" customHeight="1" x14ac:dyDescent="0.5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15.75" customHeight="1" x14ac:dyDescent="0.5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15.75" customHeight="1" x14ac:dyDescent="0.5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15.75" customHeight="1" x14ac:dyDescent="0.5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15.75" customHeight="1" x14ac:dyDescent="0.5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87">
    <mergeCell ref="J29:M29"/>
    <mergeCell ref="B30:M30"/>
    <mergeCell ref="B28:C28"/>
    <mergeCell ref="D28:G28"/>
    <mergeCell ref="H28:I28"/>
    <mergeCell ref="J28:M28"/>
    <mergeCell ref="B29:C29"/>
    <mergeCell ref="D29:G29"/>
    <mergeCell ref="H29:I29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J6:K6"/>
    <mergeCell ref="L6:M6"/>
    <mergeCell ref="D7:E7"/>
    <mergeCell ref="F7:G7"/>
    <mergeCell ref="L7:M7"/>
    <mergeCell ref="H7:I7"/>
    <mergeCell ref="J7:K7"/>
    <mergeCell ref="D8:I8"/>
    <mergeCell ref="J8:K8"/>
    <mergeCell ref="L8:M8"/>
    <mergeCell ref="B1:C5"/>
    <mergeCell ref="D1:J3"/>
    <mergeCell ref="L1:M1"/>
    <mergeCell ref="L2:M2"/>
    <mergeCell ref="L3:M3"/>
    <mergeCell ref="D4:J5"/>
    <mergeCell ref="K4:K5"/>
    <mergeCell ref="L4:M4"/>
    <mergeCell ref="L5:M5"/>
    <mergeCell ref="B7:C7"/>
    <mergeCell ref="B8:C8"/>
    <mergeCell ref="B6:C6"/>
    <mergeCell ref="D6:I6"/>
    <mergeCell ref="I18:J18"/>
    <mergeCell ref="H27:I27"/>
    <mergeCell ref="J27:M27"/>
    <mergeCell ref="I19:J19"/>
    <mergeCell ref="I21:J21"/>
    <mergeCell ref="I22:M22"/>
    <mergeCell ref="D23:M25"/>
    <mergeCell ref="B26:M26"/>
    <mergeCell ref="B27:C27"/>
    <mergeCell ref="D27:G27"/>
    <mergeCell ref="L21:M21"/>
    <mergeCell ref="G22:H22"/>
    <mergeCell ref="B23:C25"/>
    <mergeCell ref="G18:H18"/>
    <mergeCell ref="G19:H19"/>
    <mergeCell ref="G20:H20"/>
    <mergeCell ref="G11:H11"/>
    <mergeCell ref="I11:J11"/>
    <mergeCell ref="B11:C11"/>
    <mergeCell ref="B12:B14"/>
    <mergeCell ref="B15:B17"/>
    <mergeCell ref="D17:F17"/>
    <mergeCell ref="G17:H17"/>
    <mergeCell ref="I17:J17"/>
    <mergeCell ref="G16:H16"/>
    <mergeCell ref="G15:H15"/>
    <mergeCell ref="B9:D9"/>
    <mergeCell ref="E9:F9"/>
    <mergeCell ref="D11:F11"/>
    <mergeCell ref="B22:C22"/>
    <mergeCell ref="D22:F22"/>
    <mergeCell ref="D15:F15"/>
    <mergeCell ref="D16:F16"/>
    <mergeCell ref="B18:B21"/>
    <mergeCell ref="D18:F18"/>
    <mergeCell ref="D19:F19"/>
    <mergeCell ref="D20:F20"/>
    <mergeCell ref="D21:F21"/>
    <mergeCell ref="G21:H21"/>
    <mergeCell ref="D12:F12"/>
    <mergeCell ref="G12:H12"/>
    <mergeCell ref="D13:F13"/>
    <mergeCell ref="G13:H13"/>
    <mergeCell ref="D14:F14"/>
    <mergeCell ref="G14:H14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633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82"/>
      <c r="B1" s="512"/>
      <c r="C1" s="514" t="s">
        <v>0</v>
      </c>
      <c r="D1" s="211"/>
      <c r="E1" s="211"/>
      <c r="F1" s="307"/>
      <c r="G1" s="126" t="s">
        <v>1</v>
      </c>
      <c r="H1" s="275" t="s">
        <v>387</v>
      </c>
      <c r="I1" s="233"/>
      <c r="J1" s="9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2.75" customHeight="1" x14ac:dyDescent="0.45">
      <c r="A2" s="82"/>
      <c r="B2" s="491"/>
      <c r="C2" s="271"/>
      <c r="D2" s="213"/>
      <c r="E2" s="213"/>
      <c r="F2" s="220"/>
      <c r="G2" s="10" t="s">
        <v>3</v>
      </c>
      <c r="H2" s="310">
        <v>1</v>
      </c>
      <c r="I2" s="209"/>
      <c r="J2" s="27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3.5" customHeight="1" x14ac:dyDescent="0.45">
      <c r="A3" s="82"/>
      <c r="B3" s="491"/>
      <c r="C3" s="272"/>
      <c r="D3" s="252"/>
      <c r="E3" s="252"/>
      <c r="F3" s="273"/>
      <c r="G3" s="10" t="s">
        <v>5</v>
      </c>
      <c r="H3" s="274" t="s">
        <v>6</v>
      </c>
      <c r="I3" s="209"/>
      <c r="J3" s="9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9.5" customHeight="1" x14ac:dyDescent="0.45">
      <c r="A4" s="82"/>
      <c r="B4" s="491"/>
      <c r="C4" s="218" t="s">
        <v>388</v>
      </c>
      <c r="D4" s="213"/>
      <c r="E4" s="213"/>
      <c r="F4" s="220"/>
      <c r="G4" s="396" t="s">
        <v>7</v>
      </c>
      <c r="H4" s="274" t="s">
        <v>8</v>
      </c>
      <c r="I4" s="209"/>
      <c r="J4" s="9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5" customHeight="1" x14ac:dyDescent="0.45">
      <c r="A5" s="82"/>
      <c r="B5" s="513"/>
      <c r="C5" s="214"/>
      <c r="D5" s="214"/>
      <c r="E5" s="214"/>
      <c r="F5" s="284"/>
      <c r="G5" s="516"/>
      <c r="H5" s="517" t="s">
        <v>9</v>
      </c>
      <c r="I5" s="264"/>
      <c r="J5" s="127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5.75" customHeight="1" x14ac:dyDescent="0.45">
      <c r="A6" s="82"/>
      <c r="B6" s="128" t="s">
        <v>389</v>
      </c>
      <c r="C6" s="518" t="str">
        <f>OP!$M$11</f>
        <v>OP-L-127</v>
      </c>
      <c r="D6" s="252"/>
      <c r="E6" s="252"/>
      <c r="F6" s="273"/>
      <c r="G6" s="129" t="s">
        <v>208</v>
      </c>
      <c r="H6" s="522"/>
      <c r="I6" s="273"/>
      <c r="J6" s="130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1" t="s">
        <v>390</v>
      </c>
      <c r="C7" s="518" t="str">
        <f>OP!$G$9</f>
        <v>AZ HIBRID CLEAR</v>
      </c>
      <c r="D7" s="252"/>
      <c r="E7" s="252"/>
      <c r="F7" s="273"/>
      <c r="G7" s="132" t="s">
        <v>391</v>
      </c>
      <c r="H7" s="523" t="str">
        <f>OP!$M$10</f>
        <v>252591</v>
      </c>
      <c r="I7" s="273"/>
      <c r="J7" s="130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5.75" customHeight="1" x14ac:dyDescent="0.45">
      <c r="A8" s="82"/>
      <c r="B8" s="131" t="s">
        <v>392</v>
      </c>
      <c r="C8" s="519" t="str">
        <f>OP!B15</f>
        <v>AGUA DESIONIZADA</v>
      </c>
      <c r="D8" s="226"/>
      <c r="E8" s="226"/>
      <c r="F8" s="227"/>
      <c r="G8" s="133" t="s">
        <v>393</v>
      </c>
      <c r="H8" s="518">
        <f>OP!J15</f>
        <v>20250915</v>
      </c>
      <c r="I8" s="273"/>
      <c r="J8" s="130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15.75" customHeight="1" x14ac:dyDescent="0.45">
      <c r="A9" s="82"/>
      <c r="B9" s="134" t="s">
        <v>394</v>
      </c>
      <c r="C9" s="520">
        <f>OP!N15</f>
        <v>17197.199999999997</v>
      </c>
      <c r="D9" s="252"/>
      <c r="E9" s="252"/>
      <c r="F9" s="252"/>
      <c r="G9" s="135"/>
      <c r="H9" s="130"/>
      <c r="I9" s="136"/>
      <c r="J9" s="130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5.75" customHeight="1" x14ac:dyDescent="0.45">
      <c r="A10" s="82"/>
      <c r="B10" s="134" t="s">
        <v>395</v>
      </c>
      <c r="C10" s="524"/>
      <c r="D10" s="252"/>
      <c r="E10" s="252"/>
      <c r="F10" s="252"/>
      <c r="G10" s="130"/>
      <c r="H10" s="130"/>
      <c r="I10" s="136"/>
      <c r="J10" s="130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5.75" customHeight="1" x14ac:dyDescent="0.45">
      <c r="A11" s="82"/>
      <c r="B11" s="134" t="s">
        <v>396</v>
      </c>
      <c r="C11" s="524"/>
      <c r="D11" s="252"/>
      <c r="E11" s="252"/>
      <c r="F11" s="252"/>
      <c r="G11" s="135" t="s">
        <v>397</v>
      </c>
      <c r="H11" s="137"/>
      <c r="I11" s="138"/>
      <c r="J11" s="130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.75" customHeight="1" x14ac:dyDescent="0.45">
      <c r="A12" s="82"/>
      <c r="B12" s="134" t="s">
        <v>398</v>
      </c>
      <c r="C12" s="524"/>
      <c r="D12" s="252"/>
      <c r="E12" s="252"/>
      <c r="F12" s="252"/>
      <c r="G12" s="135" t="s">
        <v>206</v>
      </c>
      <c r="H12" s="137"/>
      <c r="I12" s="138"/>
      <c r="J12" s="130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15.75" customHeight="1" x14ac:dyDescent="0.45">
      <c r="A13" s="82"/>
      <c r="B13" s="139" t="s">
        <v>399</v>
      </c>
      <c r="C13" s="140"/>
      <c r="D13" s="140"/>
      <c r="E13" s="140"/>
      <c r="F13" s="141"/>
      <c r="G13" s="140"/>
      <c r="H13" s="140"/>
      <c r="I13" s="142"/>
      <c r="J13" s="130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5.75" customHeight="1" x14ac:dyDescent="0.45">
      <c r="A14" s="82"/>
      <c r="B14" s="13"/>
      <c r="C14" s="13"/>
      <c r="D14" s="13"/>
      <c r="E14" s="13"/>
      <c r="F14" s="13"/>
      <c r="G14" s="13"/>
      <c r="H14" s="13"/>
      <c r="I14" s="13"/>
      <c r="J14" s="13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15.75" customHeight="1" x14ac:dyDescent="0.45">
      <c r="A15" s="82"/>
      <c r="B15" s="13"/>
      <c r="C15" s="13"/>
      <c r="D15" s="143"/>
      <c r="E15" s="13"/>
      <c r="F15" s="13"/>
      <c r="G15" s="13"/>
      <c r="H15" s="13"/>
      <c r="I15" s="13"/>
      <c r="J15" s="13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5.75" customHeight="1" x14ac:dyDescent="0.45">
      <c r="A16" s="82"/>
      <c r="B16" s="512"/>
      <c r="C16" s="514" t="s">
        <v>0</v>
      </c>
      <c r="D16" s="211"/>
      <c r="E16" s="211"/>
      <c r="F16" s="307"/>
      <c r="G16" s="126" t="s">
        <v>1</v>
      </c>
      <c r="H16" s="275" t="s">
        <v>387</v>
      </c>
      <c r="I16" s="233"/>
      <c r="J16" s="13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491"/>
      <c r="C17" s="271"/>
      <c r="D17" s="213"/>
      <c r="E17" s="213"/>
      <c r="F17" s="220"/>
      <c r="G17" s="10" t="s">
        <v>3</v>
      </c>
      <c r="H17" s="310">
        <v>1</v>
      </c>
      <c r="I17" s="209"/>
      <c r="J17" s="13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.75" customHeight="1" x14ac:dyDescent="0.45">
      <c r="A18" s="82"/>
      <c r="B18" s="491"/>
      <c r="C18" s="272"/>
      <c r="D18" s="252"/>
      <c r="E18" s="252"/>
      <c r="F18" s="273"/>
      <c r="G18" s="10" t="s">
        <v>5</v>
      </c>
      <c r="H18" s="274" t="s">
        <v>6</v>
      </c>
      <c r="I18" s="209"/>
      <c r="J18" s="13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491"/>
      <c r="C19" s="515" t="s">
        <v>388</v>
      </c>
      <c r="D19" s="213"/>
      <c r="E19" s="213"/>
      <c r="F19" s="220"/>
      <c r="G19" s="396" t="s">
        <v>7</v>
      </c>
      <c r="H19" s="274" t="s">
        <v>8</v>
      </c>
      <c r="I19" s="209"/>
      <c r="J19" s="13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513"/>
      <c r="C20" s="214"/>
      <c r="D20" s="214"/>
      <c r="E20" s="214"/>
      <c r="F20" s="284"/>
      <c r="G20" s="516"/>
      <c r="H20" s="517" t="s">
        <v>9</v>
      </c>
      <c r="I20" s="264"/>
      <c r="J20" s="13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128" t="s">
        <v>389</v>
      </c>
      <c r="C21" s="518" t="str">
        <f>OP!$M$11</f>
        <v>OP-L-127</v>
      </c>
      <c r="D21" s="252"/>
      <c r="E21" s="252"/>
      <c r="F21" s="273"/>
      <c r="G21" s="129" t="s">
        <v>208</v>
      </c>
      <c r="H21" s="522"/>
      <c r="I21" s="273"/>
      <c r="J21" s="13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.75" customHeight="1" x14ac:dyDescent="0.45">
      <c r="A22" s="82"/>
      <c r="B22" s="131" t="s">
        <v>390</v>
      </c>
      <c r="C22" s="518" t="str">
        <f>OP!$G$9</f>
        <v>AZ HIBRID CLEAR</v>
      </c>
      <c r="D22" s="252"/>
      <c r="E22" s="252"/>
      <c r="F22" s="273"/>
      <c r="G22" s="132" t="s">
        <v>391</v>
      </c>
      <c r="H22" s="523" t="str">
        <f>OP!$M$10</f>
        <v>252591</v>
      </c>
      <c r="I22" s="273"/>
      <c r="J22" s="13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131" t="s">
        <v>392</v>
      </c>
      <c r="C23" s="519" t="str">
        <f>OP!B16</f>
        <v>CARBOPOL</v>
      </c>
      <c r="D23" s="226"/>
      <c r="E23" s="226"/>
      <c r="F23" s="227"/>
      <c r="G23" s="133" t="s">
        <v>393</v>
      </c>
      <c r="H23" s="518">
        <f>OP!J16</f>
        <v>214016</v>
      </c>
      <c r="I23" s="273"/>
      <c r="J23" s="13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134" t="s">
        <v>394</v>
      </c>
      <c r="C24" s="520">
        <f>OP!N16</f>
        <v>72.000000000000014</v>
      </c>
      <c r="D24" s="252"/>
      <c r="E24" s="252"/>
      <c r="F24" s="252"/>
      <c r="G24" s="135"/>
      <c r="H24" s="130"/>
      <c r="I24" s="136"/>
      <c r="J24" s="13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134" t="s">
        <v>395</v>
      </c>
      <c r="C25" s="521"/>
      <c r="D25" s="252"/>
      <c r="E25" s="252"/>
      <c r="F25" s="252"/>
      <c r="G25" s="130"/>
      <c r="H25" s="130"/>
      <c r="I25" s="136"/>
      <c r="J25" s="13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134" t="s">
        <v>396</v>
      </c>
      <c r="C26" s="521"/>
      <c r="D26" s="252"/>
      <c r="E26" s="252"/>
      <c r="F26" s="252"/>
      <c r="G26" s="135" t="s">
        <v>397</v>
      </c>
      <c r="H26" s="137"/>
      <c r="I26" s="138"/>
      <c r="J26" s="13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134" t="s">
        <v>398</v>
      </c>
      <c r="C27" s="521"/>
      <c r="D27" s="252"/>
      <c r="E27" s="252"/>
      <c r="F27" s="252"/>
      <c r="G27" s="135" t="s">
        <v>206</v>
      </c>
      <c r="H27" s="137"/>
      <c r="I27" s="138"/>
      <c r="J27" s="13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139" t="s">
        <v>399</v>
      </c>
      <c r="C28" s="144"/>
      <c r="D28" s="144"/>
      <c r="E28" s="144"/>
      <c r="F28" s="145"/>
      <c r="G28" s="140"/>
      <c r="H28" s="140"/>
      <c r="I28" s="142"/>
      <c r="J28" s="13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13"/>
      <c r="C29" s="69"/>
      <c r="D29" s="69"/>
      <c r="E29" s="69"/>
      <c r="F29" s="69"/>
      <c r="G29" s="13"/>
      <c r="H29" s="13"/>
      <c r="I29" s="13"/>
      <c r="J29" s="13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13"/>
      <c r="C30" s="69"/>
      <c r="D30" s="69"/>
      <c r="E30" s="69"/>
      <c r="F30" s="69"/>
      <c r="G30" s="13"/>
      <c r="H30" s="13"/>
      <c r="I30" s="13"/>
      <c r="J30" s="13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506"/>
      <c r="C31" s="509" t="s">
        <v>0</v>
      </c>
      <c r="D31" s="211"/>
      <c r="E31" s="211"/>
      <c r="F31" s="205"/>
      <c r="G31" s="146" t="s">
        <v>1</v>
      </c>
      <c r="H31" s="215" t="s">
        <v>387</v>
      </c>
      <c r="I31" s="203"/>
      <c r="J31" s="13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507"/>
      <c r="C32" s="212"/>
      <c r="D32" s="213"/>
      <c r="E32" s="213"/>
      <c r="F32" s="201"/>
      <c r="G32" s="146" t="s">
        <v>3</v>
      </c>
      <c r="H32" s="510">
        <v>1</v>
      </c>
      <c r="I32" s="203"/>
      <c r="J32" s="13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507"/>
      <c r="C33" s="206"/>
      <c r="D33" s="214"/>
      <c r="E33" s="214"/>
      <c r="F33" s="207"/>
      <c r="G33" s="146" t="s">
        <v>5</v>
      </c>
      <c r="H33" s="215" t="s">
        <v>6</v>
      </c>
      <c r="I33" s="203"/>
      <c r="J33" s="13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507"/>
      <c r="C34" s="509" t="s">
        <v>388</v>
      </c>
      <c r="D34" s="211"/>
      <c r="E34" s="211"/>
      <c r="F34" s="205"/>
      <c r="G34" s="511" t="s">
        <v>7</v>
      </c>
      <c r="H34" s="215" t="s">
        <v>8</v>
      </c>
      <c r="I34" s="203"/>
      <c r="J34" s="13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508"/>
      <c r="C35" s="206"/>
      <c r="D35" s="214"/>
      <c r="E35" s="214"/>
      <c r="F35" s="207"/>
      <c r="G35" s="508"/>
      <c r="H35" s="525" t="s">
        <v>9</v>
      </c>
      <c r="I35" s="203"/>
      <c r="J35" s="13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28" t="s">
        <v>389</v>
      </c>
      <c r="C36" s="518" t="str">
        <f>OP!$M$11</f>
        <v>OP-L-127</v>
      </c>
      <c r="D36" s="252"/>
      <c r="E36" s="252"/>
      <c r="F36" s="273"/>
      <c r="G36" s="129" t="s">
        <v>208</v>
      </c>
      <c r="H36" s="522"/>
      <c r="I36" s="273"/>
      <c r="J36" s="13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1" t="s">
        <v>390</v>
      </c>
      <c r="C37" s="518" t="str">
        <f>OP!$G$9</f>
        <v>AZ HIBRID CLEAR</v>
      </c>
      <c r="D37" s="252"/>
      <c r="E37" s="252"/>
      <c r="F37" s="273"/>
      <c r="G37" s="132" t="s">
        <v>391</v>
      </c>
      <c r="H37" s="523" t="str">
        <f>OP!$M$10</f>
        <v>252591</v>
      </c>
      <c r="I37" s="273"/>
      <c r="J37" s="13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31" t="s">
        <v>392</v>
      </c>
      <c r="C38" s="519" t="str">
        <f>OP!B17</f>
        <v>GOMA XANTAN</v>
      </c>
      <c r="D38" s="226"/>
      <c r="E38" s="226"/>
      <c r="F38" s="227"/>
      <c r="G38" s="133" t="s">
        <v>393</v>
      </c>
      <c r="H38" s="518">
        <f>OP!J17</f>
        <v>520241101004</v>
      </c>
      <c r="I38" s="273"/>
      <c r="J38" s="13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4" t="s">
        <v>394</v>
      </c>
      <c r="C39" s="520">
        <f>OP!N17</f>
        <v>36.000000000000007</v>
      </c>
      <c r="D39" s="252"/>
      <c r="E39" s="252"/>
      <c r="F39" s="252"/>
      <c r="G39" s="135"/>
      <c r="H39" s="130"/>
      <c r="I39" s="136"/>
      <c r="J39" s="13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34" t="s">
        <v>395</v>
      </c>
      <c r="C40" s="521"/>
      <c r="D40" s="252"/>
      <c r="E40" s="252"/>
      <c r="F40" s="252"/>
      <c r="G40" s="130"/>
      <c r="H40" s="130"/>
      <c r="I40" s="136"/>
      <c r="J40" s="13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4" t="s">
        <v>396</v>
      </c>
      <c r="C41" s="521"/>
      <c r="D41" s="252"/>
      <c r="E41" s="252"/>
      <c r="F41" s="252"/>
      <c r="G41" s="135" t="s">
        <v>397</v>
      </c>
      <c r="H41" s="137"/>
      <c r="I41" s="138"/>
      <c r="J41" s="13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4" t="s">
        <v>398</v>
      </c>
      <c r="C42" s="521"/>
      <c r="D42" s="252"/>
      <c r="E42" s="252"/>
      <c r="F42" s="252"/>
      <c r="G42" s="135" t="s">
        <v>206</v>
      </c>
      <c r="H42" s="137"/>
      <c r="I42" s="138"/>
      <c r="J42" s="13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9" t="s">
        <v>399</v>
      </c>
      <c r="C43" s="144"/>
      <c r="D43" s="144"/>
      <c r="E43" s="144"/>
      <c r="F43" s="145"/>
      <c r="G43" s="140"/>
      <c r="H43" s="140"/>
      <c r="I43" s="142"/>
      <c r="J43" s="13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69"/>
      <c r="D44" s="69"/>
      <c r="E44" s="69"/>
      <c r="F44" s="69"/>
      <c r="G44" s="13"/>
      <c r="H44" s="13"/>
      <c r="I44" s="13"/>
      <c r="J44" s="13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512"/>
      <c r="C45" s="527" t="s">
        <v>0</v>
      </c>
      <c r="D45" s="211"/>
      <c r="E45" s="211"/>
      <c r="F45" s="307"/>
      <c r="G45" s="126" t="s">
        <v>1</v>
      </c>
      <c r="H45" s="275" t="s">
        <v>387</v>
      </c>
      <c r="I45" s="233"/>
      <c r="J45" s="13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491"/>
      <c r="C46" s="271"/>
      <c r="D46" s="213"/>
      <c r="E46" s="213"/>
      <c r="F46" s="220"/>
      <c r="G46" s="10" t="s">
        <v>3</v>
      </c>
      <c r="H46" s="310">
        <v>1</v>
      </c>
      <c r="I46" s="209"/>
      <c r="J46" s="13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491"/>
      <c r="C47" s="272"/>
      <c r="D47" s="252"/>
      <c r="E47" s="252"/>
      <c r="F47" s="273"/>
      <c r="G47" s="10" t="s">
        <v>5</v>
      </c>
      <c r="H47" s="274" t="s">
        <v>6</v>
      </c>
      <c r="I47" s="209"/>
      <c r="J47" s="13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491"/>
      <c r="C48" s="515" t="s">
        <v>388</v>
      </c>
      <c r="D48" s="213"/>
      <c r="E48" s="213"/>
      <c r="F48" s="220"/>
      <c r="G48" s="396" t="s">
        <v>7</v>
      </c>
      <c r="H48" s="274" t="s">
        <v>8</v>
      </c>
      <c r="I48" s="209"/>
      <c r="J48" s="13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513"/>
      <c r="C49" s="214"/>
      <c r="D49" s="214"/>
      <c r="E49" s="214"/>
      <c r="F49" s="284"/>
      <c r="G49" s="516"/>
      <c r="H49" s="517" t="s">
        <v>9</v>
      </c>
      <c r="I49" s="264"/>
      <c r="J49" s="13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28" t="s">
        <v>389</v>
      </c>
      <c r="C50" s="518" t="str">
        <f>OP!$M$11</f>
        <v>OP-L-127</v>
      </c>
      <c r="D50" s="252"/>
      <c r="E50" s="252"/>
      <c r="F50" s="273"/>
      <c r="G50" s="129" t="s">
        <v>208</v>
      </c>
      <c r="H50" s="522"/>
      <c r="I50" s="273"/>
      <c r="J50" s="13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1" t="s">
        <v>390</v>
      </c>
      <c r="C51" s="518" t="str">
        <f>OP!$G$9</f>
        <v>AZ HIBRID CLEAR</v>
      </c>
      <c r="D51" s="252"/>
      <c r="E51" s="252"/>
      <c r="F51" s="273"/>
      <c r="G51" s="132" t="s">
        <v>391</v>
      </c>
      <c r="H51" s="523" t="str">
        <f>OP!$M$10</f>
        <v>252591</v>
      </c>
      <c r="I51" s="273"/>
      <c r="J51" s="13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1" t="s">
        <v>392</v>
      </c>
      <c r="C52" s="526" t="str">
        <f>OP!B18</f>
        <v>EDTA DISODICO</v>
      </c>
      <c r="D52" s="226"/>
      <c r="E52" s="226"/>
      <c r="F52" s="227"/>
      <c r="G52" s="133" t="s">
        <v>393</v>
      </c>
      <c r="H52" s="518">
        <f>OP!J18</f>
        <v>20240815</v>
      </c>
      <c r="I52" s="273"/>
      <c r="J52" s="13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4" t="s">
        <v>394</v>
      </c>
      <c r="C53" s="520">
        <f>OP!N18</f>
        <v>18.000000000000004</v>
      </c>
      <c r="D53" s="252"/>
      <c r="E53" s="252"/>
      <c r="F53" s="252"/>
      <c r="G53" s="135"/>
      <c r="H53" s="130"/>
      <c r="I53" s="136"/>
      <c r="J53" s="13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4" t="s">
        <v>395</v>
      </c>
      <c r="C54" s="521"/>
      <c r="D54" s="252"/>
      <c r="E54" s="252"/>
      <c r="F54" s="252"/>
      <c r="G54" s="130"/>
      <c r="H54" s="130"/>
      <c r="I54" s="136"/>
      <c r="J54" s="13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4" t="s">
        <v>396</v>
      </c>
      <c r="C55" s="521"/>
      <c r="D55" s="252"/>
      <c r="E55" s="252"/>
      <c r="F55" s="252"/>
      <c r="G55" s="135" t="s">
        <v>397</v>
      </c>
      <c r="H55" s="137"/>
      <c r="I55" s="138"/>
      <c r="J55" s="13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4" t="s">
        <v>398</v>
      </c>
      <c r="C56" s="521"/>
      <c r="D56" s="252"/>
      <c r="E56" s="252"/>
      <c r="F56" s="252"/>
      <c r="G56" s="135" t="s">
        <v>206</v>
      </c>
      <c r="H56" s="137"/>
      <c r="I56" s="138"/>
      <c r="J56" s="13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9" t="s">
        <v>399</v>
      </c>
      <c r="C57" s="144"/>
      <c r="D57" s="144"/>
      <c r="E57" s="144"/>
      <c r="F57" s="145"/>
      <c r="G57" s="140"/>
      <c r="H57" s="140"/>
      <c r="I57" s="142"/>
      <c r="J57" s="13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69"/>
      <c r="D58" s="69"/>
      <c r="E58" s="69"/>
      <c r="F58" s="69"/>
      <c r="G58" s="13"/>
      <c r="H58" s="13"/>
      <c r="I58" s="13"/>
      <c r="J58" s="13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512"/>
      <c r="C59" s="527" t="s">
        <v>0</v>
      </c>
      <c r="D59" s="211"/>
      <c r="E59" s="211"/>
      <c r="F59" s="307"/>
      <c r="G59" s="126" t="s">
        <v>1</v>
      </c>
      <c r="H59" s="275" t="s">
        <v>387</v>
      </c>
      <c r="I59" s="233"/>
      <c r="J59" s="13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491"/>
      <c r="C60" s="271"/>
      <c r="D60" s="213"/>
      <c r="E60" s="213"/>
      <c r="F60" s="220"/>
      <c r="G60" s="10" t="s">
        <v>3</v>
      </c>
      <c r="H60" s="310">
        <v>1</v>
      </c>
      <c r="I60" s="209"/>
      <c r="J60" s="13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491"/>
      <c r="C61" s="272"/>
      <c r="D61" s="252"/>
      <c r="E61" s="252"/>
      <c r="F61" s="273"/>
      <c r="G61" s="10" t="s">
        <v>5</v>
      </c>
      <c r="H61" s="274" t="s">
        <v>6</v>
      </c>
      <c r="I61" s="209"/>
      <c r="J61" s="13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491"/>
      <c r="C62" s="515" t="s">
        <v>388</v>
      </c>
      <c r="D62" s="213"/>
      <c r="E62" s="213"/>
      <c r="F62" s="220"/>
      <c r="G62" s="396" t="s">
        <v>7</v>
      </c>
      <c r="H62" s="274" t="s">
        <v>8</v>
      </c>
      <c r="I62" s="209"/>
      <c r="J62" s="13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513"/>
      <c r="C63" s="214"/>
      <c r="D63" s="214"/>
      <c r="E63" s="214"/>
      <c r="F63" s="284"/>
      <c r="G63" s="516"/>
      <c r="H63" s="517" t="s">
        <v>9</v>
      </c>
      <c r="I63" s="264"/>
      <c r="J63" s="13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8" t="s">
        <v>389</v>
      </c>
      <c r="C64" s="518" t="str">
        <f>OP!$M$11</f>
        <v>OP-L-127</v>
      </c>
      <c r="D64" s="252"/>
      <c r="E64" s="252"/>
      <c r="F64" s="273"/>
      <c r="G64" s="129" t="s">
        <v>208</v>
      </c>
      <c r="H64" s="522"/>
      <c r="I64" s="273"/>
      <c r="J64" s="13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1" t="s">
        <v>390</v>
      </c>
      <c r="C65" s="518" t="str">
        <f>OP!$G$9</f>
        <v>AZ HIBRID CLEAR</v>
      </c>
      <c r="D65" s="252"/>
      <c r="E65" s="252"/>
      <c r="F65" s="273"/>
      <c r="G65" s="132" t="s">
        <v>391</v>
      </c>
      <c r="H65" s="523" t="str">
        <f>OP!$M$10</f>
        <v>252591</v>
      </c>
      <c r="I65" s="273"/>
      <c r="J65" s="13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1" t="s">
        <v>392</v>
      </c>
      <c r="C66" s="526" t="str">
        <f>OP!B19</f>
        <v>TRIETANOLAMINA 85%</v>
      </c>
      <c r="D66" s="226"/>
      <c r="E66" s="226"/>
      <c r="F66" s="227"/>
      <c r="G66" s="133" t="s">
        <v>393</v>
      </c>
      <c r="H66" s="518" t="str">
        <f>OP!J19</f>
        <v>DIR-152124</v>
      </c>
      <c r="I66" s="273"/>
      <c r="J66" s="13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4" t="s">
        <v>394</v>
      </c>
      <c r="C67" s="520">
        <f>OP!N19</f>
        <v>450</v>
      </c>
      <c r="D67" s="252"/>
      <c r="E67" s="252"/>
      <c r="F67" s="252"/>
      <c r="G67" s="135"/>
      <c r="H67" s="130"/>
      <c r="I67" s="136"/>
      <c r="J67" s="13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4" t="s">
        <v>395</v>
      </c>
      <c r="C68" s="521"/>
      <c r="D68" s="252"/>
      <c r="E68" s="252"/>
      <c r="F68" s="252"/>
      <c r="G68" s="130"/>
      <c r="H68" s="130"/>
      <c r="I68" s="136"/>
      <c r="J68" s="13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4" t="s">
        <v>396</v>
      </c>
      <c r="C69" s="521"/>
      <c r="D69" s="252"/>
      <c r="E69" s="252"/>
      <c r="F69" s="252"/>
      <c r="G69" s="135" t="s">
        <v>397</v>
      </c>
      <c r="H69" s="137"/>
      <c r="I69" s="138"/>
      <c r="J69" s="13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4" t="s">
        <v>398</v>
      </c>
      <c r="C70" s="521"/>
      <c r="D70" s="252"/>
      <c r="E70" s="252"/>
      <c r="F70" s="252"/>
      <c r="G70" s="135" t="s">
        <v>206</v>
      </c>
      <c r="H70" s="137"/>
      <c r="I70" s="138"/>
      <c r="J70" s="13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9" t="s">
        <v>399</v>
      </c>
      <c r="C71" s="144"/>
      <c r="D71" s="144"/>
      <c r="E71" s="144"/>
      <c r="F71" s="145"/>
      <c r="G71" s="140"/>
      <c r="H71" s="140"/>
      <c r="I71" s="142"/>
      <c r="J71" s="13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69"/>
      <c r="D72" s="69"/>
      <c r="E72" s="69"/>
      <c r="F72" s="69"/>
      <c r="G72" s="13"/>
      <c r="H72" s="13"/>
      <c r="I72" s="13"/>
      <c r="J72" s="1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69"/>
      <c r="D73" s="69"/>
      <c r="E73" s="69"/>
      <c r="F73" s="69"/>
      <c r="G73" s="13"/>
      <c r="H73" s="13"/>
      <c r="I73" s="13"/>
      <c r="J73" s="13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512"/>
      <c r="C75" s="514" t="s">
        <v>0</v>
      </c>
      <c r="D75" s="211"/>
      <c r="E75" s="211"/>
      <c r="F75" s="307"/>
      <c r="G75" s="126" t="s">
        <v>1</v>
      </c>
      <c r="H75" s="275" t="s">
        <v>387</v>
      </c>
      <c r="I75" s="233"/>
      <c r="J75" s="13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491"/>
      <c r="C76" s="271"/>
      <c r="D76" s="213"/>
      <c r="E76" s="213"/>
      <c r="F76" s="220"/>
      <c r="G76" s="10" t="s">
        <v>3</v>
      </c>
      <c r="H76" s="310">
        <v>1</v>
      </c>
      <c r="I76" s="209"/>
      <c r="J76" s="1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491"/>
      <c r="C77" s="272"/>
      <c r="D77" s="252"/>
      <c r="E77" s="252"/>
      <c r="F77" s="273"/>
      <c r="G77" s="10" t="s">
        <v>5</v>
      </c>
      <c r="H77" s="274" t="s">
        <v>6</v>
      </c>
      <c r="I77" s="209"/>
      <c r="J77" s="13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491"/>
      <c r="C78" s="218" t="s">
        <v>388</v>
      </c>
      <c r="D78" s="213"/>
      <c r="E78" s="213"/>
      <c r="F78" s="220"/>
      <c r="G78" s="396" t="s">
        <v>7</v>
      </c>
      <c r="H78" s="274" t="s">
        <v>8</v>
      </c>
      <c r="I78" s="209"/>
      <c r="J78" s="13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513"/>
      <c r="C79" s="214"/>
      <c r="D79" s="214"/>
      <c r="E79" s="214"/>
      <c r="F79" s="284"/>
      <c r="G79" s="516"/>
      <c r="H79" s="517" t="s">
        <v>9</v>
      </c>
      <c r="I79" s="264"/>
      <c r="J79" s="13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8" t="s">
        <v>389</v>
      </c>
      <c r="C80" s="518" t="str">
        <f>OP!$M$11</f>
        <v>OP-L-127</v>
      </c>
      <c r="D80" s="252"/>
      <c r="E80" s="252"/>
      <c r="F80" s="273"/>
      <c r="G80" s="129" t="s">
        <v>208</v>
      </c>
      <c r="H80" s="522"/>
      <c r="I80" s="273"/>
      <c r="J80" s="13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1" t="s">
        <v>390</v>
      </c>
      <c r="C81" s="518" t="str">
        <f>OP!$G$9</f>
        <v>AZ HIBRID CLEAR</v>
      </c>
      <c r="D81" s="252"/>
      <c r="E81" s="252"/>
      <c r="F81" s="273"/>
      <c r="G81" s="132" t="s">
        <v>391</v>
      </c>
      <c r="H81" s="523" t="str">
        <f>OP!$M$10</f>
        <v>252591</v>
      </c>
      <c r="I81" s="273"/>
      <c r="J81" s="13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1" t="s">
        <v>392</v>
      </c>
      <c r="C82" s="526" t="str">
        <f>OP!B20</f>
        <v>PROPILENGLICOL</v>
      </c>
      <c r="D82" s="226"/>
      <c r="E82" s="226"/>
      <c r="F82" s="227"/>
      <c r="G82" s="133" t="s">
        <v>393</v>
      </c>
      <c r="H82" s="518" t="str">
        <f>OP!J20</f>
        <v>LYPH250515</v>
      </c>
      <c r="I82" s="273"/>
      <c r="J82" s="1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4" t="s">
        <v>394</v>
      </c>
      <c r="C83" s="520">
        <f>OP!N20</f>
        <v>7200</v>
      </c>
      <c r="D83" s="252"/>
      <c r="E83" s="252"/>
      <c r="F83" s="252"/>
      <c r="G83" s="135"/>
      <c r="H83" s="130"/>
      <c r="I83" s="136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4" t="s">
        <v>395</v>
      </c>
      <c r="C84" s="524"/>
      <c r="D84" s="252"/>
      <c r="E84" s="252"/>
      <c r="F84" s="252"/>
      <c r="G84" s="130"/>
      <c r="H84" s="130"/>
      <c r="I84" s="136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4" t="s">
        <v>396</v>
      </c>
      <c r="C85" s="524"/>
      <c r="D85" s="252"/>
      <c r="E85" s="252"/>
      <c r="F85" s="252"/>
      <c r="G85" s="135" t="s">
        <v>397</v>
      </c>
      <c r="H85" s="137"/>
      <c r="I85" s="138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4" t="s">
        <v>398</v>
      </c>
      <c r="C86" s="524"/>
      <c r="D86" s="252"/>
      <c r="E86" s="252"/>
      <c r="F86" s="252"/>
      <c r="G86" s="135" t="s">
        <v>206</v>
      </c>
      <c r="H86" s="137"/>
      <c r="I86" s="138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9" t="s">
        <v>399</v>
      </c>
      <c r="C87" s="140"/>
      <c r="D87" s="140"/>
      <c r="E87" s="140"/>
      <c r="F87" s="141"/>
      <c r="G87" s="140"/>
      <c r="H87" s="140"/>
      <c r="I87" s="142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512"/>
      <c r="C89" s="514" t="s">
        <v>0</v>
      </c>
      <c r="D89" s="211"/>
      <c r="E89" s="211"/>
      <c r="F89" s="307"/>
      <c r="G89" s="126" t="s">
        <v>1</v>
      </c>
      <c r="H89" s="275" t="s">
        <v>387</v>
      </c>
      <c r="I89" s="233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491"/>
      <c r="C90" s="271"/>
      <c r="D90" s="213"/>
      <c r="E90" s="213"/>
      <c r="F90" s="220"/>
      <c r="G90" s="10" t="s">
        <v>3</v>
      </c>
      <c r="H90" s="310">
        <v>1</v>
      </c>
      <c r="I90" s="209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491"/>
      <c r="C91" s="272"/>
      <c r="D91" s="252"/>
      <c r="E91" s="252"/>
      <c r="F91" s="273"/>
      <c r="G91" s="10" t="s">
        <v>5</v>
      </c>
      <c r="H91" s="274" t="s">
        <v>6</v>
      </c>
      <c r="I91" s="209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491"/>
      <c r="C92" s="218" t="s">
        <v>388</v>
      </c>
      <c r="D92" s="213"/>
      <c r="E92" s="213"/>
      <c r="F92" s="220"/>
      <c r="G92" s="396" t="s">
        <v>7</v>
      </c>
      <c r="H92" s="274" t="s">
        <v>8</v>
      </c>
      <c r="I92" s="209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513"/>
      <c r="C93" s="214"/>
      <c r="D93" s="214"/>
      <c r="E93" s="214"/>
      <c r="F93" s="284"/>
      <c r="G93" s="516"/>
      <c r="H93" s="517" t="s">
        <v>9</v>
      </c>
      <c r="I93" s="264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8" t="s">
        <v>389</v>
      </c>
      <c r="C94" s="518" t="str">
        <f>OP!$M$11</f>
        <v>OP-L-127</v>
      </c>
      <c r="D94" s="252"/>
      <c r="E94" s="252"/>
      <c r="F94" s="273"/>
      <c r="G94" s="129" t="s">
        <v>208</v>
      </c>
      <c r="H94" s="522"/>
      <c r="I94" s="273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1" t="s">
        <v>390</v>
      </c>
      <c r="C95" s="518" t="str">
        <f>OP!$G$9</f>
        <v>AZ HIBRID CLEAR</v>
      </c>
      <c r="D95" s="252"/>
      <c r="E95" s="252"/>
      <c r="F95" s="273"/>
      <c r="G95" s="132" t="s">
        <v>391</v>
      </c>
      <c r="H95" s="523" t="str">
        <f>OP!$M$10</f>
        <v>252591</v>
      </c>
      <c r="I95" s="273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1" t="s">
        <v>392</v>
      </c>
      <c r="C96" s="526" t="str">
        <f>OP!B21</f>
        <v>ACIDO CAPRILOIL SALICILICO</v>
      </c>
      <c r="D96" s="226"/>
      <c r="E96" s="226"/>
      <c r="F96" s="227"/>
      <c r="G96" s="133" t="s">
        <v>393</v>
      </c>
      <c r="H96" s="518" t="str">
        <f>OP!J21</f>
        <v>YT20250625</v>
      </c>
      <c r="I96" s="273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4" t="s">
        <v>394</v>
      </c>
      <c r="C97" s="520">
        <f>OP!N21</f>
        <v>180</v>
      </c>
      <c r="D97" s="252"/>
      <c r="E97" s="252"/>
      <c r="F97" s="252"/>
      <c r="G97" s="135"/>
      <c r="H97" s="130"/>
      <c r="I97" s="136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4" t="s">
        <v>395</v>
      </c>
      <c r="C98" s="524"/>
      <c r="D98" s="252"/>
      <c r="E98" s="252"/>
      <c r="F98" s="252"/>
      <c r="G98" s="130"/>
      <c r="H98" s="130"/>
      <c r="I98" s="136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4" t="s">
        <v>396</v>
      </c>
      <c r="C99" s="524"/>
      <c r="D99" s="252"/>
      <c r="E99" s="252"/>
      <c r="F99" s="252"/>
      <c r="G99" s="135" t="s">
        <v>397</v>
      </c>
      <c r="H99" s="137"/>
      <c r="I99" s="138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4" t="s">
        <v>398</v>
      </c>
      <c r="C100" s="524"/>
      <c r="D100" s="252"/>
      <c r="E100" s="252"/>
      <c r="F100" s="252"/>
      <c r="G100" s="135" t="s">
        <v>206</v>
      </c>
      <c r="H100" s="137"/>
      <c r="I100" s="138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9" t="s">
        <v>399</v>
      </c>
      <c r="C101" s="140"/>
      <c r="D101" s="140"/>
      <c r="E101" s="140"/>
      <c r="F101" s="141"/>
      <c r="G101" s="140"/>
      <c r="H101" s="140"/>
      <c r="I101" s="142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512"/>
      <c r="C103" s="514" t="s">
        <v>0</v>
      </c>
      <c r="D103" s="211"/>
      <c r="E103" s="211"/>
      <c r="F103" s="307"/>
      <c r="G103" s="126" t="s">
        <v>1</v>
      </c>
      <c r="H103" s="275" t="s">
        <v>387</v>
      </c>
      <c r="I103" s="233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491"/>
      <c r="C104" s="271"/>
      <c r="D104" s="213"/>
      <c r="E104" s="213"/>
      <c r="F104" s="220"/>
      <c r="G104" s="10" t="s">
        <v>3</v>
      </c>
      <c r="H104" s="310">
        <v>1</v>
      </c>
      <c r="I104" s="209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491"/>
      <c r="C105" s="272"/>
      <c r="D105" s="252"/>
      <c r="E105" s="252"/>
      <c r="F105" s="273"/>
      <c r="G105" s="10" t="s">
        <v>5</v>
      </c>
      <c r="H105" s="274" t="s">
        <v>6</v>
      </c>
      <c r="I105" s="209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491"/>
      <c r="C106" s="218" t="s">
        <v>388</v>
      </c>
      <c r="D106" s="213"/>
      <c r="E106" s="213"/>
      <c r="F106" s="220"/>
      <c r="G106" s="396" t="s">
        <v>7</v>
      </c>
      <c r="H106" s="274" t="s">
        <v>8</v>
      </c>
      <c r="I106" s="209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513"/>
      <c r="C107" s="214"/>
      <c r="D107" s="214"/>
      <c r="E107" s="214"/>
      <c r="F107" s="284"/>
      <c r="G107" s="516"/>
      <c r="H107" s="517" t="s">
        <v>9</v>
      </c>
      <c r="I107" s="264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8" t="s">
        <v>389</v>
      </c>
      <c r="C108" s="518" t="str">
        <f>OP!$M$11</f>
        <v>OP-L-127</v>
      </c>
      <c r="D108" s="252"/>
      <c r="E108" s="252"/>
      <c r="F108" s="273"/>
      <c r="G108" s="129" t="s">
        <v>208</v>
      </c>
      <c r="H108" s="522"/>
      <c r="I108" s="273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1" t="s">
        <v>390</v>
      </c>
      <c r="C109" s="518" t="str">
        <f>OP!$G$9</f>
        <v>AZ HIBRID CLEAR</v>
      </c>
      <c r="D109" s="252"/>
      <c r="E109" s="252"/>
      <c r="F109" s="273"/>
      <c r="G109" s="132" t="s">
        <v>391</v>
      </c>
      <c r="H109" s="523" t="str">
        <f>OP!$M$10</f>
        <v>252591</v>
      </c>
      <c r="I109" s="273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1" t="s">
        <v>392</v>
      </c>
      <c r="C110" s="526" t="str">
        <f>OP!B22</f>
        <v>ACIDO AZELAICO</v>
      </c>
      <c r="D110" s="226"/>
      <c r="E110" s="226"/>
      <c r="F110" s="227"/>
      <c r="G110" s="133" t="s">
        <v>393</v>
      </c>
      <c r="H110" s="518" t="str">
        <f>OP!J22</f>
        <v>YT-20241217</v>
      </c>
      <c r="I110" s="273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4" t="s">
        <v>394</v>
      </c>
      <c r="C111" s="520">
        <f>OP!N22</f>
        <v>2160</v>
      </c>
      <c r="D111" s="252"/>
      <c r="E111" s="252"/>
      <c r="F111" s="252"/>
      <c r="G111" s="135"/>
      <c r="H111" s="130"/>
      <c r="I111" s="136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4" t="s">
        <v>395</v>
      </c>
      <c r="C112" s="524"/>
      <c r="D112" s="252"/>
      <c r="E112" s="252"/>
      <c r="F112" s="252"/>
      <c r="G112" s="130"/>
      <c r="H112" s="130"/>
      <c r="I112" s="136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4" t="s">
        <v>396</v>
      </c>
      <c r="C113" s="524"/>
      <c r="D113" s="252"/>
      <c r="E113" s="252"/>
      <c r="F113" s="252"/>
      <c r="G113" s="135" t="s">
        <v>397</v>
      </c>
      <c r="H113" s="137"/>
      <c r="I113" s="138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4" t="s">
        <v>398</v>
      </c>
      <c r="C114" s="524"/>
      <c r="D114" s="252"/>
      <c r="E114" s="252"/>
      <c r="F114" s="252"/>
      <c r="G114" s="135" t="s">
        <v>206</v>
      </c>
      <c r="H114" s="137"/>
      <c r="I114" s="138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9" t="s">
        <v>399</v>
      </c>
      <c r="C115" s="140"/>
      <c r="D115" s="140"/>
      <c r="E115" s="140"/>
      <c r="F115" s="141"/>
      <c r="G115" s="140"/>
      <c r="H115" s="140"/>
      <c r="I115" s="14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512"/>
      <c r="C117" s="514" t="s">
        <v>0</v>
      </c>
      <c r="D117" s="211"/>
      <c r="E117" s="211"/>
      <c r="F117" s="307"/>
      <c r="G117" s="126" t="s">
        <v>1</v>
      </c>
      <c r="H117" s="275" t="s">
        <v>387</v>
      </c>
      <c r="I117" s="233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491"/>
      <c r="C118" s="271"/>
      <c r="D118" s="213"/>
      <c r="E118" s="213"/>
      <c r="F118" s="220"/>
      <c r="G118" s="10" t="s">
        <v>3</v>
      </c>
      <c r="H118" s="310">
        <v>1</v>
      </c>
      <c r="I118" s="209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491"/>
      <c r="C119" s="272"/>
      <c r="D119" s="252"/>
      <c r="E119" s="252"/>
      <c r="F119" s="273"/>
      <c r="G119" s="10" t="s">
        <v>5</v>
      </c>
      <c r="H119" s="274" t="s">
        <v>6</v>
      </c>
      <c r="I119" s="209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491"/>
      <c r="C120" s="218" t="s">
        <v>388</v>
      </c>
      <c r="D120" s="213"/>
      <c r="E120" s="213"/>
      <c r="F120" s="220"/>
      <c r="G120" s="396" t="s">
        <v>7</v>
      </c>
      <c r="H120" s="274" t="s">
        <v>8</v>
      </c>
      <c r="I120" s="209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513"/>
      <c r="C121" s="214"/>
      <c r="D121" s="214"/>
      <c r="E121" s="214"/>
      <c r="F121" s="284"/>
      <c r="G121" s="516"/>
      <c r="H121" s="517" t="s">
        <v>9</v>
      </c>
      <c r="I121" s="264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8" t="s">
        <v>389</v>
      </c>
      <c r="C122" s="518" t="str">
        <f>OP!$M$11</f>
        <v>OP-L-127</v>
      </c>
      <c r="D122" s="252"/>
      <c r="E122" s="252"/>
      <c r="F122" s="273"/>
      <c r="G122" s="129" t="s">
        <v>208</v>
      </c>
      <c r="H122" s="522"/>
      <c r="I122" s="273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1" t="s">
        <v>390</v>
      </c>
      <c r="C123" s="518" t="str">
        <f>OP!$G$9</f>
        <v>AZ HIBRID CLEAR</v>
      </c>
      <c r="D123" s="252"/>
      <c r="E123" s="252"/>
      <c r="F123" s="273"/>
      <c r="G123" s="132" t="s">
        <v>391</v>
      </c>
      <c r="H123" s="523" t="str">
        <f>OP!$M$10</f>
        <v>252591</v>
      </c>
      <c r="I123" s="273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1" t="s">
        <v>392</v>
      </c>
      <c r="C124" s="526" t="str">
        <f>OP!B23</f>
        <v>HIDROXIDO DE SODIO (SODA CAUSTICA)</v>
      </c>
      <c r="D124" s="226"/>
      <c r="E124" s="226"/>
      <c r="F124" s="227"/>
      <c r="G124" s="133" t="s">
        <v>393</v>
      </c>
      <c r="H124" s="518">
        <f>OP!J23</f>
        <v>77480528</v>
      </c>
      <c r="I124" s="273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4" t="s">
        <v>394</v>
      </c>
      <c r="C125" s="520">
        <f>OP!N23</f>
        <v>341.99999999999994</v>
      </c>
      <c r="D125" s="252"/>
      <c r="E125" s="252"/>
      <c r="F125" s="252"/>
      <c r="G125" s="135"/>
      <c r="H125" s="130"/>
      <c r="I125" s="136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4" t="s">
        <v>395</v>
      </c>
      <c r="C126" s="524"/>
      <c r="D126" s="252"/>
      <c r="E126" s="252"/>
      <c r="F126" s="252"/>
      <c r="G126" s="130"/>
      <c r="H126" s="130"/>
      <c r="I126" s="136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4" t="s">
        <v>396</v>
      </c>
      <c r="C127" s="524"/>
      <c r="D127" s="252"/>
      <c r="E127" s="252"/>
      <c r="F127" s="252"/>
      <c r="G127" s="135" t="s">
        <v>397</v>
      </c>
      <c r="H127" s="137"/>
      <c r="I127" s="138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4" t="s">
        <v>398</v>
      </c>
      <c r="C128" s="524"/>
      <c r="D128" s="252"/>
      <c r="E128" s="252"/>
      <c r="F128" s="252"/>
      <c r="G128" s="135" t="s">
        <v>206</v>
      </c>
      <c r="H128" s="137"/>
      <c r="I128" s="138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9" t="s">
        <v>399</v>
      </c>
      <c r="C129" s="140"/>
      <c r="D129" s="140"/>
      <c r="E129" s="140"/>
      <c r="F129" s="141"/>
      <c r="G129" s="140"/>
      <c r="H129" s="140"/>
      <c r="I129" s="14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512"/>
      <c r="C131" s="514" t="s">
        <v>0</v>
      </c>
      <c r="D131" s="211"/>
      <c r="E131" s="211"/>
      <c r="F131" s="307"/>
      <c r="G131" s="126" t="s">
        <v>1</v>
      </c>
      <c r="H131" s="275" t="s">
        <v>387</v>
      </c>
      <c r="I131" s="233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491"/>
      <c r="C132" s="271"/>
      <c r="D132" s="213"/>
      <c r="E132" s="213"/>
      <c r="F132" s="220"/>
      <c r="G132" s="10" t="s">
        <v>3</v>
      </c>
      <c r="H132" s="310">
        <v>1</v>
      </c>
      <c r="I132" s="209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491"/>
      <c r="C133" s="272"/>
      <c r="D133" s="252"/>
      <c r="E133" s="252"/>
      <c r="F133" s="273"/>
      <c r="G133" s="10" t="s">
        <v>5</v>
      </c>
      <c r="H133" s="274" t="s">
        <v>6</v>
      </c>
      <c r="I133" s="209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491"/>
      <c r="C134" s="218" t="s">
        <v>388</v>
      </c>
      <c r="D134" s="213"/>
      <c r="E134" s="213"/>
      <c r="F134" s="220"/>
      <c r="G134" s="396" t="s">
        <v>7</v>
      </c>
      <c r="H134" s="274" t="s">
        <v>8</v>
      </c>
      <c r="I134" s="209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513"/>
      <c r="C135" s="214"/>
      <c r="D135" s="214"/>
      <c r="E135" s="214"/>
      <c r="F135" s="284"/>
      <c r="G135" s="516"/>
      <c r="H135" s="517" t="s">
        <v>9</v>
      </c>
      <c r="I135" s="264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8" t="s">
        <v>389</v>
      </c>
      <c r="C136" s="518" t="str">
        <f>OP!$M$11</f>
        <v>OP-L-127</v>
      </c>
      <c r="D136" s="252"/>
      <c r="E136" s="252"/>
      <c r="F136" s="273"/>
      <c r="G136" s="129" t="s">
        <v>208</v>
      </c>
      <c r="H136" s="522"/>
      <c r="I136" s="273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1" t="s">
        <v>390</v>
      </c>
      <c r="C137" s="518" t="str">
        <f>OP!$G$9</f>
        <v>AZ HIBRID CLEAR</v>
      </c>
      <c r="D137" s="252"/>
      <c r="E137" s="252"/>
      <c r="F137" s="273"/>
      <c r="G137" s="132" t="s">
        <v>391</v>
      </c>
      <c r="H137" s="523" t="str">
        <f>OP!$M$10</f>
        <v>252591</v>
      </c>
      <c r="I137" s="273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1" t="s">
        <v>392</v>
      </c>
      <c r="C138" s="526" t="str">
        <f>OP!B24</f>
        <v>AZELOLIL DIGLICINATO DE POTASIO</v>
      </c>
      <c r="D138" s="226"/>
      <c r="E138" s="226"/>
      <c r="F138" s="227"/>
      <c r="G138" s="133" t="s">
        <v>393</v>
      </c>
      <c r="H138" s="518" t="str">
        <f>OP!J24</f>
        <v>YT-20250624</v>
      </c>
      <c r="I138" s="273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4" t="s">
        <v>394</v>
      </c>
      <c r="C139" s="520">
        <f>OP!N24</f>
        <v>1800</v>
      </c>
      <c r="D139" s="252"/>
      <c r="E139" s="252"/>
      <c r="F139" s="252"/>
      <c r="G139" s="135"/>
      <c r="H139" s="130"/>
      <c r="I139" s="136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4" t="s">
        <v>395</v>
      </c>
      <c r="C140" s="524"/>
      <c r="D140" s="252"/>
      <c r="E140" s="252"/>
      <c r="F140" s="252"/>
      <c r="G140" s="130"/>
      <c r="H140" s="130"/>
      <c r="I140" s="136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4" t="s">
        <v>396</v>
      </c>
      <c r="C141" s="524"/>
      <c r="D141" s="252"/>
      <c r="E141" s="252"/>
      <c r="F141" s="252"/>
      <c r="G141" s="135" t="s">
        <v>397</v>
      </c>
      <c r="H141" s="137"/>
      <c r="I141" s="138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4" t="s">
        <v>398</v>
      </c>
      <c r="C142" s="524"/>
      <c r="D142" s="252"/>
      <c r="E142" s="252"/>
      <c r="F142" s="252"/>
      <c r="G142" s="135" t="s">
        <v>206</v>
      </c>
      <c r="H142" s="137"/>
      <c r="I142" s="138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9" t="s">
        <v>399</v>
      </c>
      <c r="C143" s="140"/>
      <c r="D143" s="140"/>
      <c r="E143" s="140"/>
      <c r="F143" s="141"/>
      <c r="G143" s="140"/>
      <c r="H143" s="140"/>
      <c r="I143" s="14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512"/>
      <c r="C145" s="514" t="s">
        <v>0</v>
      </c>
      <c r="D145" s="211"/>
      <c r="E145" s="211"/>
      <c r="F145" s="307"/>
      <c r="G145" s="126" t="s">
        <v>1</v>
      </c>
      <c r="H145" s="275" t="s">
        <v>387</v>
      </c>
      <c r="I145" s="233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491"/>
      <c r="C146" s="271"/>
      <c r="D146" s="213"/>
      <c r="E146" s="213"/>
      <c r="F146" s="220"/>
      <c r="G146" s="10" t="s">
        <v>3</v>
      </c>
      <c r="H146" s="310">
        <v>1</v>
      </c>
      <c r="I146" s="209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491"/>
      <c r="C147" s="272"/>
      <c r="D147" s="252"/>
      <c r="E147" s="252"/>
      <c r="F147" s="273"/>
      <c r="G147" s="10" t="s">
        <v>5</v>
      </c>
      <c r="H147" s="274" t="s">
        <v>6</v>
      </c>
      <c r="I147" s="209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491"/>
      <c r="C148" s="218" t="s">
        <v>388</v>
      </c>
      <c r="D148" s="213"/>
      <c r="E148" s="213"/>
      <c r="F148" s="220"/>
      <c r="G148" s="396" t="s">
        <v>7</v>
      </c>
      <c r="H148" s="274" t="s">
        <v>8</v>
      </c>
      <c r="I148" s="209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513"/>
      <c r="C149" s="214"/>
      <c r="D149" s="214"/>
      <c r="E149" s="214"/>
      <c r="F149" s="284"/>
      <c r="G149" s="516"/>
      <c r="H149" s="517" t="s">
        <v>9</v>
      </c>
      <c r="I149" s="264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8" t="s">
        <v>389</v>
      </c>
      <c r="C150" s="518" t="str">
        <f>OP!$M$11</f>
        <v>OP-L-127</v>
      </c>
      <c r="D150" s="252"/>
      <c r="E150" s="252"/>
      <c r="F150" s="273"/>
      <c r="G150" s="129" t="s">
        <v>208</v>
      </c>
      <c r="H150" s="522"/>
      <c r="I150" s="273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1" t="s">
        <v>390</v>
      </c>
      <c r="C151" s="518" t="str">
        <f>OP!$G$9</f>
        <v>AZ HIBRID CLEAR</v>
      </c>
      <c r="D151" s="252"/>
      <c r="E151" s="252"/>
      <c r="F151" s="273"/>
      <c r="G151" s="132" t="s">
        <v>391</v>
      </c>
      <c r="H151" s="523" t="str">
        <f>OP!$M$10</f>
        <v>252591</v>
      </c>
      <c r="I151" s="273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1" t="s">
        <v>392</v>
      </c>
      <c r="C152" s="526" t="str">
        <f>OP!B25</f>
        <v>EPI-ON (AZELAMIDOPROPIL DIMETIL AMINA)</v>
      </c>
      <c r="D152" s="226"/>
      <c r="E152" s="226"/>
      <c r="F152" s="227"/>
      <c r="G152" s="133" t="s">
        <v>393</v>
      </c>
      <c r="H152" s="518" t="str">
        <f>OP!J25</f>
        <v>AR198401</v>
      </c>
      <c r="I152" s="273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4" t="s">
        <v>394</v>
      </c>
      <c r="C153" s="520">
        <f>OP!N25</f>
        <v>1440</v>
      </c>
      <c r="D153" s="252"/>
      <c r="E153" s="252"/>
      <c r="F153" s="252"/>
      <c r="G153" s="135"/>
      <c r="H153" s="130"/>
      <c r="I153" s="136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4" t="s">
        <v>395</v>
      </c>
      <c r="C154" s="524"/>
      <c r="D154" s="252"/>
      <c r="E154" s="252"/>
      <c r="F154" s="252"/>
      <c r="G154" s="130"/>
      <c r="H154" s="130"/>
      <c r="I154" s="136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4" t="s">
        <v>396</v>
      </c>
      <c r="C155" s="524"/>
      <c r="D155" s="252"/>
      <c r="E155" s="252"/>
      <c r="F155" s="252"/>
      <c r="G155" s="135" t="s">
        <v>397</v>
      </c>
      <c r="H155" s="137"/>
      <c r="I155" s="138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4" t="s">
        <v>398</v>
      </c>
      <c r="C156" s="524"/>
      <c r="D156" s="252"/>
      <c r="E156" s="252"/>
      <c r="F156" s="252"/>
      <c r="G156" s="135" t="s">
        <v>206</v>
      </c>
      <c r="H156" s="137"/>
      <c r="I156" s="138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9" t="s">
        <v>399</v>
      </c>
      <c r="C157" s="140"/>
      <c r="D157" s="140"/>
      <c r="E157" s="140"/>
      <c r="F157" s="141"/>
      <c r="G157" s="140"/>
      <c r="H157" s="140"/>
      <c r="I157" s="14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512"/>
      <c r="C159" s="514" t="s">
        <v>0</v>
      </c>
      <c r="D159" s="211"/>
      <c r="E159" s="211"/>
      <c r="F159" s="307"/>
      <c r="G159" s="126" t="s">
        <v>1</v>
      </c>
      <c r="H159" s="275" t="s">
        <v>387</v>
      </c>
      <c r="I159" s="233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491"/>
      <c r="C160" s="271"/>
      <c r="D160" s="213"/>
      <c r="E160" s="213"/>
      <c r="F160" s="220"/>
      <c r="G160" s="10" t="s">
        <v>3</v>
      </c>
      <c r="H160" s="310">
        <v>1</v>
      </c>
      <c r="I160" s="209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491"/>
      <c r="C161" s="272"/>
      <c r="D161" s="252"/>
      <c r="E161" s="252"/>
      <c r="F161" s="273"/>
      <c r="G161" s="10" t="s">
        <v>5</v>
      </c>
      <c r="H161" s="274" t="s">
        <v>6</v>
      </c>
      <c r="I161" s="209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491"/>
      <c r="C162" s="218" t="s">
        <v>388</v>
      </c>
      <c r="D162" s="213"/>
      <c r="E162" s="213"/>
      <c r="F162" s="220"/>
      <c r="G162" s="396" t="s">
        <v>7</v>
      </c>
      <c r="H162" s="274" t="s">
        <v>8</v>
      </c>
      <c r="I162" s="209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513"/>
      <c r="C163" s="214"/>
      <c r="D163" s="214"/>
      <c r="E163" s="214"/>
      <c r="F163" s="284"/>
      <c r="G163" s="516"/>
      <c r="H163" s="517" t="s">
        <v>9</v>
      </c>
      <c r="I163" s="264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8" t="s">
        <v>389</v>
      </c>
      <c r="C164" s="518" t="str">
        <f>OP!$M$11</f>
        <v>OP-L-127</v>
      </c>
      <c r="D164" s="252"/>
      <c r="E164" s="252"/>
      <c r="F164" s="273"/>
      <c r="G164" s="129" t="s">
        <v>208</v>
      </c>
      <c r="H164" s="522"/>
      <c r="I164" s="273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1" t="s">
        <v>390</v>
      </c>
      <c r="C165" s="518" t="str">
        <f>OP!$G$9</f>
        <v>AZ HIBRID CLEAR</v>
      </c>
      <c r="D165" s="252"/>
      <c r="E165" s="252"/>
      <c r="F165" s="273"/>
      <c r="G165" s="132" t="s">
        <v>391</v>
      </c>
      <c r="H165" s="523" t="str">
        <f>OP!$M$10</f>
        <v>252591</v>
      </c>
      <c r="I165" s="273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1" t="s">
        <v>392</v>
      </c>
      <c r="C166" s="526" t="str">
        <f>OP!B26</f>
        <v xml:space="preserve">NIACINAMIDA </v>
      </c>
      <c r="D166" s="226"/>
      <c r="E166" s="226"/>
      <c r="F166" s="227"/>
      <c r="G166" s="133" t="s">
        <v>393</v>
      </c>
      <c r="H166" s="518" t="str">
        <f>OP!J26</f>
        <v>LYPH250726</v>
      </c>
      <c r="I166" s="273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4" t="s">
        <v>394</v>
      </c>
      <c r="C167" s="520">
        <f>OP!N26</f>
        <v>1800</v>
      </c>
      <c r="D167" s="252"/>
      <c r="E167" s="252"/>
      <c r="F167" s="252"/>
      <c r="G167" s="135"/>
      <c r="H167" s="130"/>
      <c r="I167" s="136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4" t="s">
        <v>395</v>
      </c>
      <c r="C168" s="524"/>
      <c r="D168" s="252"/>
      <c r="E168" s="252"/>
      <c r="F168" s="252"/>
      <c r="G168" s="130"/>
      <c r="H168" s="130"/>
      <c r="I168" s="136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4" t="s">
        <v>396</v>
      </c>
      <c r="C169" s="524"/>
      <c r="D169" s="252"/>
      <c r="E169" s="252"/>
      <c r="F169" s="252"/>
      <c r="G169" s="135" t="s">
        <v>397</v>
      </c>
      <c r="H169" s="137"/>
      <c r="I169" s="138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4" t="s">
        <v>398</v>
      </c>
      <c r="C170" s="524"/>
      <c r="D170" s="252"/>
      <c r="E170" s="252"/>
      <c r="F170" s="252"/>
      <c r="G170" s="135" t="s">
        <v>206</v>
      </c>
      <c r="H170" s="137"/>
      <c r="I170" s="138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9" t="s">
        <v>399</v>
      </c>
      <c r="C171" s="140"/>
      <c r="D171" s="140"/>
      <c r="E171" s="140"/>
      <c r="F171" s="141"/>
      <c r="G171" s="140"/>
      <c r="H171" s="140"/>
      <c r="I171" s="14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512"/>
      <c r="C174" s="514" t="s">
        <v>0</v>
      </c>
      <c r="D174" s="211"/>
      <c r="E174" s="211"/>
      <c r="F174" s="307"/>
      <c r="G174" s="126" t="s">
        <v>1</v>
      </c>
      <c r="H174" s="275" t="s">
        <v>387</v>
      </c>
      <c r="I174" s="233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491"/>
      <c r="C175" s="271"/>
      <c r="D175" s="213"/>
      <c r="E175" s="213"/>
      <c r="F175" s="220"/>
      <c r="G175" s="10" t="s">
        <v>3</v>
      </c>
      <c r="H175" s="310">
        <v>1</v>
      </c>
      <c r="I175" s="209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491"/>
      <c r="C176" s="272"/>
      <c r="D176" s="252"/>
      <c r="E176" s="252"/>
      <c r="F176" s="273"/>
      <c r="G176" s="10" t="s">
        <v>5</v>
      </c>
      <c r="H176" s="274" t="s">
        <v>6</v>
      </c>
      <c r="I176" s="209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491"/>
      <c r="C177" s="218" t="s">
        <v>388</v>
      </c>
      <c r="D177" s="213"/>
      <c r="E177" s="213"/>
      <c r="F177" s="220"/>
      <c r="G177" s="396" t="s">
        <v>7</v>
      </c>
      <c r="H177" s="274" t="s">
        <v>8</v>
      </c>
      <c r="I177" s="209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513"/>
      <c r="C178" s="214"/>
      <c r="D178" s="214"/>
      <c r="E178" s="214"/>
      <c r="F178" s="284"/>
      <c r="G178" s="516"/>
      <c r="H178" s="517" t="s">
        <v>9</v>
      </c>
      <c r="I178" s="264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8" t="s">
        <v>389</v>
      </c>
      <c r="C179" s="518" t="str">
        <f>OP!$M$11</f>
        <v>OP-L-127</v>
      </c>
      <c r="D179" s="252"/>
      <c r="E179" s="252"/>
      <c r="F179" s="273"/>
      <c r="G179" s="129" t="s">
        <v>208</v>
      </c>
      <c r="H179" s="522"/>
      <c r="I179" s="273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1" t="s">
        <v>390</v>
      </c>
      <c r="C180" s="518" t="str">
        <f>OP!$G$9</f>
        <v>AZ HIBRID CLEAR</v>
      </c>
      <c r="D180" s="252"/>
      <c r="E180" s="252"/>
      <c r="F180" s="273"/>
      <c r="G180" s="132" t="s">
        <v>391</v>
      </c>
      <c r="H180" s="523" t="str">
        <f>OP!$M$10</f>
        <v>252591</v>
      </c>
      <c r="I180" s="273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1" t="s">
        <v>392</v>
      </c>
      <c r="C181" s="526" t="str">
        <f>OP!B27</f>
        <v>ACIDO TRANEXAMICO</v>
      </c>
      <c r="D181" s="226"/>
      <c r="E181" s="226"/>
      <c r="F181" s="227"/>
      <c r="G181" s="133" t="s">
        <v>393</v>
      </c>
      <c r="H181" s="518" t="str">
        <f>OP!J28</f>
        <v>YT-20250317</v>
      </c>
      <c r="I181" s="273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4" t="s">
        <v>394</v>
      </c>
      <c r="C182" s="520">
        <f>OP!N27</f>
        <v>1080</v>
      </c>
      <c r="D182" s="252"/>
      <c r="E182" s="252"/>
      <c r="F182" s="252"/>
      <c r="G182" s="135"/>
      <c r="H182" s="130"/>
      <c r="I182" s="136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4" t="s">
        <v>395</v>
      </c>
      <c r="C183" s="524"/>
      <c r="D183" s="252"/>
      <c r="E183" s="252"/>
      <c r="F183" s="252"/>
      <c r="G183" s="130"/>
      <c r="H183" s="130"/>
      <c r="I183" s="136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4" t="s">
        <v>396</v>
      </c>
      <c r="C184" s="524"/>
      <c r="D184" s="252"/>
      <c r="E184" s="252"/>
      <c r="F184" s="252"/>
      <c r="G184" s="135" t="s">
        <v>397</v>
      </c>
      <c r="H184" s="137"/>
      <c r="I184" s="138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4" t="s">
        <v>398</v>
      </c>
      <c r="C185" s="524"/>
      <c r="D185" s="252"/>
      <c r="E185" s="252"/>
      <c r="F185" s="252"/>
      <c r="G185" s="135" t="s">
        <v>206</v>
      </c>
      <c r="H185" s="137"/>
      <c r="I185" s="138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9" t="s">
        <v>399</v>
      </c>
      <c r="C186" s="140"/>
      <c r="D186" s="140"/>
      <c r="E186" s="140"/>
      <c r="F186" s="141"/>
      <c r="G186" s="140"/>
      <c r="H186" s="140"/>
      <c r="I186" s="14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512"/>
      <c r="C188" s="514" t="s">
        <v>0</v>
      </c>
      <c r="D188" s="211"/>
      <c r="E188" s="211"/>
      <c r="F188" s="307"/>
      <c r="G188" s="126" t="s">
        <v>1</v>
      </c>
      <c r="H188" s="275" t="s">
        <v>387</v>
      </c>
      <c r="I188" s="233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491"/>
      <c r="C189" s="271"/>
      <c r="D189" s="213"/>
      <c r="E189" s="213"/>
      <c r="F189" s="220"/>
      <c r="G189" s="10" t="s">
        <v>3</v>
      </c>
      <c r="H189" s="310">
        <v>1</v>
      </c>
      <c r="I189" s="209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491"/>
      <c r="C190" s="272"/>
      <c r="D190" s="252"/>
      <c r="E190" s="252"/>
      <c r="F190" s="273"/>
      <c r="G190" s="10" t="s">
        <v>5</v>
      </c>
      <c r="H190" s="274" t="s">
        <v>6</v>
      </c>
      <c r="I190" s="209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491"/>
      <c r="C191" s="218" t="s">
        <v>388</v>
      </c>
      <c r="D191" s="213"/>
      <c r="E191" s="213"/>
      <c r="F191" s="220"/>
      <c r="G191" s="396" t="s">
        <v>7</v>
      </c>
      <c r="H191" s="274" t="s">
        <v>8</v>
      </c>
      <c r="I191" s="209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513"/>
      <c r="C192" s="214"/>
      <c r="D192" s="214"/>
      <c r="E192" s="214"/>
      <c r="F192" s="284"/>
      <c r="G192" s="516"/>
      <c r="H192" s="517" t="s">
        <v>9</v>
      </c>
      <c r="I192" s="264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8" t="s">
        <v>389</v>
      </c>
      <c r="C193" s="518" t="str">
        <f>OP!$M$11</f>
        <v>OP-L-127</v>
      </c>
      <c r="D193" s="252"/>
      <c r="E193" s="252"/>
      <c r="F193" s="273"/>
      <c r="G193" s="129" t="s">
        <v>208</v>
      </c>
      <c r="H193" s="522"/>
      <c r="I193" s="273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1" t="s">
        <v>390</v>
      </c>
      <c r="C194" s="518" t="str">
        <f>OP!$G$9</f>
        <v>AZ HIBRID CLEAR</v>
      </c>
      <c r="D194" s="252"/>
      <c r="E194" s="252"/>
      <c r="F194" s="273"/>
      <c r="G194" s="132" t="s">
        <v>391</v>
      </c>
      <c r="H194" s="523" t="str">
        <f>OP!$M$10</f>
        <v>252591</v>
      </c>
      <c r="I194" s="273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1" t="s">
        <v>392</v>
      </c>
      <c r="C195" s="526" t="str">
        <f>OP!B28</f>
        <v>FOSFATO DE ASCORBILO SODICO</v>
      </c>
      <c r="D195" s="226"/>
      <c r="E195" s="226"/>
      <c r="F195" s="227"/>
      <c r="G195" s="133" t="s">
        <v>393</v>
      </c>
      <c r="H195" s="518" t="e">
        <f>#REF!</f>
        <v>#REF!</v>
      </c>
      <c r="I195" s="273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4" t="s">
        <v>394</v>
      </c>
      <c r="C196" s="520">
        <f>OP!N28</f>
        <v>720</v>
      </c>
      <c r="D196" s="252"/>
      <c r="E196" s="252"/>
      <c r="F196" s="252"/>
      <c r="G196" s="135"/>
      <c r="H196" s="130"/>
      <c r="I196" s="136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4" t="s">
        <v>395</v>
      </c>
      <c r="C197" s="524"/>
      <c r="D197" s="252"/>
      <c r="E197" s="252"/>
      <c r="F197" s="252"/>
      <c r="G197" s="130"/>
      <c r="H197" s="130"/>
      <c r="I197" s="136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4" t="s">
        <v>396</v>
      </c>
      <c r="C198" s="524"/>
      <c r="D198" s="252"/>
      <c r="E198" s="252"/>
      <c r="F198" s="252"/>
      <c r="G198" s="135" t="s">
        <v>397</v>
      </c>
      <c r="H198" s="137"/>
      <c r="I198" s="138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4" t="s">
        <v>398</v>
      </c>
      <c r="C199" s="524"/>
      <c r="D199" s="252"/>
      <c r="E199" s="252"/>
      <c r="F199" s="252"/>
      <c r="G199" s="135" t="s">
        <v>206</v>
      </c>
      <c r="H199" s="137"/>
      <c r="I199" s="138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9" t="s">
        <v>399</v>
      </c>
      <c r="C200" s="140"/>
      <c r="D200" s="140"/>
      <c r="E200" s="140"/>
      <c r="F200" s="141"/>
      <c r="G200" s="140"/>
      <c r="H200" s="140"/>
      <c r="I200" s="14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512"/>
      <c r="C202" s="514" t="s">
        <v>0</v>
      </c>
      <c r="D202" s="211"/>
      <c r="E202" s="211"/>
      <c r="F202" s="307"/>
      <c r="G202" s="126" t="s">
        <v>1</v>
      </c>
      <c r="H202" s="275" t="s">
        <v>387</v>
      </c>
      <c r="I202" s="233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491"/>
      <c r="C203" s="271"/>
      <c r="D203" s="213"/>
      <c r="E203" s="213"/>
      <c r="F203" s="220"/>
      <c r="G203" s="10" t="s">
        <v>3</v>
      </c>
      <c r="H203" s="310">
        <v>1</v>
      </c>
      <c r="I203" s="209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491"/>
      <c r="C204" s="272"/>
      <c r="D204" s="252"/>
      <c r="E204" s="252"/>
      <c r="F204" s="273"/>
      <c r="G204" s="10" t="s">
        <v>5</v>
      </c>
      <c r="H204" s="274" t="s">
        <v>6</v>
      </c>
      <c r="I204" s="209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491"/>
      <c r="C205" s="218" t="s">
        <v>388</v>
      </c>
      <c r="D205" s="213"/>
      <c r="E205" s="213"/>
      <c r="F205" s="220"/>
      <c r="G205" s="396" t="s">
        <v>7</v>
      </c>
      <c r="H205" s="274" t="s">
        <v>8</v>
      </c>
      <c r="I205" s="209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513"/>
      <c r="C206" s="214"/>
      <c r="D206" s="214"/>
      <c r="E206" s="214"/>
      <c r="F206" s="284"/>
      <c r="G206" s="516"/>
      <c r="H206" s="517" t="s">
        <v>9</v>
      </c>
      <c r="I206" s="264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8" t="s">
        <v>389</v>
      </c>
      <c r="C207" s="518" t="str">
        <f>OP!$M$11</f>
        <v>OP-L-127</v>
      </c>
      <c r="D207" s="252"/>
      <c r="E207" s="252"/>
      <c r="F207" s="273"/>
      <c r="G207" s="129" t="s">
        <v>208</v>
      </c>
      <c r="H207" s="522"/>
      <c r="I207" s="273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1" t="s">
        <v>390</v>
      </c>
      <c r="C208" s="518" t="str">
        <f>OP!$G$9</f>
        <v>AZ HIBRID CLEAR</v>
      </c>
      <c r="D208" s="252"/>
      <c r="E208" s="252"/>
      <c r="F208" s="273"/>
      <c r="G208" s="132" t="s">
        <v>391</v>
      </c>
      <c r="H208" s="523" t="str">
        <f>OP!$M$10</f>
        <v>252591</v>
      </c>
      <c r="I208" s="273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1" t="s">
        <v>392</v>
      </c>
      <c r="C209" s="526" t="str">
        <f>OP!B29</f>
        <v>ZINC PCA</v>
      </c>
      <c r="D209" s="226"/>
      <c r="E209" s="226"/>
      <c r="F209" s="227"/>
      <c r="G209" s="133" t="s">
        <v>393</v>
      </c>
      <c r="H209" s="518" t="str">
        <f>OP!J29</f>
        <v>2212343ZNB</v>
      </c>
      <c r="I209" s="273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4" t="s">
        <v>394</v>
      </c>
      <c r="C210" s="520">
        <f>OP!N29</f>
        <v>180</v>
      </c>
      <c r="D210" s="252"/>
      <c r="E210" s="252"/>
      <c r="F210" s="252"/>
      <c r="G210" s="135"/>
      <c r="H210" s="130"/>
      <c r="I210" s="136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4" t="s">
        <v>395</v>
      </c>
      <c r="C211" s="524"/>
      <c r="D211" s="252"/>
      <c r="E211" s="252"/>
      <c r="F211" s="252"/>
      <c r="G211" s="130"/>
      <c r="H211" s="130"/>
      <c r="I211" s="136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4" t="s">
        <v>396</v>
      </c>
      <c r="C212" s="524"/>
      <c r="D212" s="252"/>
      <c r="E212" s="252"/>
      <c r="F212" s="252"/>
      <c r="G212" s="135" t="s">
        <v>397</v>
      </c>
      <c r="H212" s="137"/>
      <c r="I212" s="138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4" t="s">
        <v>398</v>
      </c>
      <c r="C213" s="524"/>
      <c r="D213" s="252"/>
      <c r="E213" s="252"/>
      <c r="F213" s="252"/>
      <c r="G213" s="135" t="s">
        <v>206</v>
      </c>
      <c r="H213" s="137"/>
      <c r="I213" s="138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9" t="s">
        <v>399</v>
      </c>
      <c r="C214" s="140"/>
      <c r="D214" s="140"/>
      <c r="E214" s="140"/>
      <c r="F214" s="141"/>
      <c r="G214" s="140"/>
      <c r="H214" s="140"/>
      <c r="I214" s="14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512"/>
      <c r="C216" s="514" t="s">
        <v>0</v>
      </c>
      <c r="D216" s="211"/>
      <c r="E216" s="211"/>
      <c r="F216" s="307"/>
      <c r="G216" s="126" t="s">
        <v>1</v>
      </c>
      <c r="H216" s="275" t="s">
        <v>387</v>
      </c>
      <c r="I216" s="233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491"/>
      <c r="C217" s="271"/>
      <c r="D217" s="213"/>
      <c r="E217" s="213"/>
      <c r="F217" s="220"/>
      <c r="G217" s="10" t="s">
        <v>3</v>
      </c>
      <c r="H217" s="310">
        <v>1</v>
      </c>
      <c r="I217" s="209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491"/>
      <c r="C218" s="272"/>
      <c r="D218" s="252"/>
      <c r="E218" s="252"/>
      <c r="F218" s="273"/>
      <c r="G218" s="10" t="s">
        <v>5</v>
      </c>
      <c r="H218" s="274" t="s">
        <v>6</v>
      </c>
      <c r="I218" s="209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491"/>
      <c r="C219" s="218" t="s">
        <v>388</v>
      </c>
      <c r="D219" s="213"/>
      <c r="E219" s="213"/>
      <c r="F219" s="220"/>
      <c r="G219" s="396" t="s">
        <v>7</v>
      </c>
      <c r="H219" s="274" t="s">
        <v>8</v>
      </c>
      <c r="I219" s="209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513"/>
      <c r="C220" s="214"/>
      <c r="D220" s="214"/>
      <c r="E220" s="214"/>
      <c r="F220" s="284"/>
      <c r="G220" s="516"/>
      <c r="H220" s="517" t="s">
        <v>9</v>
      </c>
      <c r="I220" s="264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8" t="s">
        <v>389</v>
      </c>
      <c r="C221" s="518" t="str">
        <f>OP!$M$11</f>
        <v>OP-L-127</v>
      </c>
      <c r="D221" s="252"/>
      <c r="E221" s="252"/>
      <c r="F221" s="273"/>
      <c r="G221" s="129" t="s">
        <v>208</v>
      </c>
      <c r="H221" s="522"/>
      <c r="I221" s="273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1" t="s">
        <v>390</v>
      </c>
      <c r="C222" s="518" t="str">
        <f>OP!$G$9</f>
        <v>AZ HIBRID CLEAR</v>
      </c>
      <c r="D222" s="252"/>
      <c r="E222" s="252"/>
      <c r="F222" s="273"/>
      <c r="G222" s="132" t="s">
        <v>391</v>
      </c>
      <c r="H222" s="523" t="str">
        <f>OP!$M$10</f>
        <v>252591</v>
      </c>
      <c r="I222" s="273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1" t="s">
        <v>392</v>
      </c>
      <c r="C223" s="526" t="str">
        <f>OP!B30</f>
        <v>ACIDO HIALURONICO 50 KD</v>
      </c>
      <c r="D223" s="226"/>
      <c r="E223" s="226"/>
      <c r="F223" s="227"/>
      <c r="G223" s="133" t="s">
        <v>393</v>
      </c>
      <c r="H223" s="518" t="str">
        <f>OP!J30</f>
        <v>YT-HA20250622</v>
      </c>
      <c r="I223" s="273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4" t="s">
        <v>394</v>
      </c>
      <c r="C224" s="520">
        <f>OP!N30</f>
        <v>18.000000000000004</v>
      </c>
      <c r="D224" s="252"/>
      <c r="E224" s="252"/>
      <c r="F224" s="252"/>
      <c r="G224" s="135"/>
      <c r="H224" s="130"/>
      <c r="I224" s="136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4" t="s">
        <v>395</v>
      </c>
      <c r="C225" s="524"/>
      <c r="D225" s="252"/>
      <c r="E225" s="252"/>
      <c r="F225" s="252"/>
      <c r="G225" s="130"/>
      <c r="H225" s="130"/>
      <c r="I225" s="136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4" t="s">
        <v>396</v>
      </c>
      <c r="C226" s="524"/>
      <c r="D226" s="252"/>
      <c r="E226" s="252"/>
      <c r="F226" s="252"/>
      <c r="G226" s="135" t="s">
        <v>397</v>
      </c>
      <c r="H226" s="137"/>
      <c r="I226" s="138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4" t="s">
        <v>398</v>
      </c>
      <c r="C227" s="524"/>
      <c r="D227" s="252"/>
      <c r="E227" s="252"/>
      <c r="F227" s="252"/>
      <c r="G227" s="135" t="s">
        <v>206</v>
      </c>
      <c r="H227" s="137"/>
      <c r="I227" s="138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9" t="s">
        <v>399</v>
      </c>
      <c r="C228" s="140"/>
      <c r="D228" s="140"/>
      <c r="E228" s="140"/>
      <c r="F228" s="141"/>
      <c r="G228" s="140"/>
      <c r="H228" s="140"/>
      <c r="I228" s="14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512"/>
      <c r="C230" s="514" t="s">
        <v>0</v>
      </c>
      <c r="D230" s="211"/>
      <c r="E230" s="211"/>
      <c r="F230" s="307"/>
      <c r="G230" s="126" t="s">
        <v>1</v>
      </c>
      <c r="H230" s="275" t="s">
        <v>387</v>
      </c>
      <c r="I230" s="233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491"/>
      <c r="C231" s="271"/>
      <c r="D231" s="213"/>
      <c r="E231" s="213"/>
      <c r="F231" s="220"/>
      <c r="G231" s="10" t="s">
        <v>3</v>
      </c>
      <c r="H231" s="310">
        <v>1</v>
      </c>
      <c r="I231" s="209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491"/>
      <c r="C232" s="272"/>
      <c r="D232" s="252"/>
      <c r="E232" s="252"/>
      <c r="F232" s="273"/>
      <c r="G232" s="10" t="s">
        <v>5</v>
      </c>
      <c r="H232" s="274" t="s">
        <v>6</v>
      </c>
      <c r="I232" s="209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491"/>
      <c r="C233" s="218" t="s">
        <v>388</v>
      </c>
      <c r="D233" s="213"/>
      <c r="E233" s="213"/>
      <c r="F233" s="220"/>
      <c r="G233" s="396" t="s">
        <v>7</v>
      </c>
      <c r="H233" s="274" t="s">
        <v>8</v>
      </c>
      <c r="I233" s="209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513"/>
      <c r="C234" s="214"/>
      <c r="D234" s="214"/>
      <c r="E234" s="214"/>
      <c r="F234" s="284"/>
      <c r="G234" s="516"/>
      <c r="H234" s="517" t="s">
        <v>9</v>
      </c>
      <c r="I234" s="264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8" t="s">
        <v>389</v>
      </c>
      <c r="C235" s="518" t="str">
        <f>OP!$M$11</f>
        <v>OP-L-127</v>
      </c>
      <c r="D235" s="252"/>
      <c r="E235" s="252"/>
      <c r="F235" s="273"/>
      <c r="G235" s="129" t="s">
        <v>208</v>
      </c>
      <c r="H235" s="522"/>
      <c r="I235" s="273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1" t="s">
        <v>390</v>
      </c>
      <c r="C236" s="518" t="str">
        <f>OP!$G$9</f>
        <v>AZ HIBRID CLEAR</v>
      </c>
      <c r="D236" s="252"/>
      <c r="E236" s="252"/>
      <c r="F236" s="273"/>
      <c r="G236" s="132" t="s">
        <v>391</v>
      </c>
      <c r="H236" s="523" t="str">
        <f>OP!$M$10</f>
        <v>252591</v>
      </c>
      <c r="I236" s="273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1" t="s">
        <v>392</v>
      </c>
      <c r="C237" s="526" t="str">
        <f>OP!B31</f>
        <v>ACIDO HIALURONICO 300 KD</v>
      </c>
      <c r="D237" s="226"/>
      <c r="E237" s="226"/>
      <c r="F237" s="227"/>
      <c r="G237" s="133" t="s">
        <v>393</v>
      </c>
      <c r="H237" s="518" t="str">
        <f>OP!J31</f>
        <v>YT-HA20250326</v>
      </c>
      <c r="I237" s="273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4" t="s">
        <v>394</v>
      </c>
      <c r="C238" s="520">
        <f>OP!N31</f>
        <v>18.000000000000004</v>
      </c>
      <c r="D238" s="252"/>
      <c r="E238" s="252"/>
      <c r="F238" s="252"/>
      <c r="G238" s="135"/>
      <c r="H238" s="130"/>
      <c r="I238" s="136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4" t="s">
        <v>395</v>
      </c>
      <c r="C239" s="524"/>
      <c r="D239" s="252"/>
      <c r="E239" s="252"/>
      <c r="F239" s="252"/>
      <c r="G239" s="130"/>
      <c r="H239" s="130"/>
      <c r="I239" s="136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4" t="s">
        <v>396</v>
      </c>
      <c r="C240" s="524"/>
      <c r="D240" s="252"/>
      <c r="E240" s="252"/>
      <c r="F240" s="252"/>
      <c r="G240" s="135" t="s">
        <v>397</v>
      </c>
      <c r="H240" s="137"/>
      <c r="I240" s="138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34" t="s">
        <v>398</v>
      </c>
      <c r="C241" s="524"/>
      <c r="D241" s="252"/>
      <c r="E241" s="252"/>
      <c r="F241" s="252"/>
      <c r="G241" s="135" t="s">
        <v>206</v>
      </c>
      <c r="H241" s="137"/>
      <c r="I241" s="138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39" t="s">
        <v>399</v>
      </c>
      <c r="C242" s="140"/>
      <c r="D242" s="140"/>
      <c r="E242" s="140"/>
      <c r="F242" s="141"/>
      <c r="G242" s="140"/>
      <c r="H242" s="140"/>
      <c r="I242" s="14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512"/>
      <c r="C244" s="514" t="s">
        <v>0</v>
      </c>
      <c r="D244" s="211"/>
      <c r="E244" s="211"/>
      <c r="F244" s="307"/>
      <c r="G244" s="126" t="s">
        <v>1</v>
      </c>
      <c r="H244" s="275" t="s">
        <v>387</v>
      </c>
      <c r="I244" s="233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491"/>
      <c r="C245" s="271"/>
      <c r="D245" s="213"/>
      <c r="E245" s="213"/>
      <c r="F245" s="220"/>
      <c r="G245" s="10" t="s">
        <v>3</v>
      </c>
      <c r="H245" s="310">
        <v>1</v>
      </c>
      <c r="I245" s="209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491"/>
      <c r="C246" s="272"/>
      <c r="D246" s="252"/>
      <c r="E246" s="252"/>
      <c r="F246" s="273"/>
      <c r="G246" s="10" t="s">
        <v>5</v>
      </c>
      <c r="H246" s="274" t="s">
        <v>6</v>
      </c>
      <c r="I246" s="209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491"/>
      <c r="C247" s="218" t="s">
        <v>388</v>
      </c>
      <c r="D247" s="213"/>
      <c r="E247" s="213"/>
      <c r="F247" s="220"/>
      <c r="G247" s="396" t="s">
        <v>7</v>
      </c>
      <c r="H247" s="274" t="s">
        <v>8</v>
      </c>
      <c r="I247" s="209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513"/>
      <c r="C248" s="214"/>
      <c r="D248" s="214"/>
      <c r="E248" s="214"/>
      <c r="F248" s="284"/>
      <c r="G248" s="516"/>
      <c r="H248" s="517" t="s">
        <v>9</v>
      </c>
      <c r="I248" s="264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28" t="s">
        <v>389</v>
      </c>
      <c r="C249" s="518" t="str">
        <f>OP!$M$11</f>
        <v>OP-L-127</v>
      </c>
      <c r="D249" s="252"/>
      <c r="E249" s="252"/>
      <c r="F249" s="273"/>
      <c r="G249" s="129" t="s">
        <v>208</v>
      </c>
      <c r="H249" s="522"/>
      <c r="I249" s="273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31" t="s">
        <v>390</v>
      </c>
      <c r="C250" s="518" t="str">
        <f>OP!$G$9</f>
        <v>AZ HIBRID CLEAR</v>
      </c>
      <c r="D250" s="252"/>
      <c r="E250" s="252"/>
      <c r="F250" s="273"/>
      <c r="G250" s="132" t="s">
        <v>391</v>
      </c>
      <c r="H250" s="523" t="str">
        <f>OP!$M$10</f>
        <v>252591</v>
      </c>
      <c r="I250" s="273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31" t="s">
        <v>392</v>
      </c>
      <c r="C251" s="526" t="str">
        <f>OP!B32</f>
        <v>PANTENOL POLVO</v>
      </c>
      <c r="D251" s="226"/>
      <c r="E251" s="226"/>
      <c r="F251" s="227"/>
      <c r="G251" s="133" t="s">
        <v>393</v>
      </c>
      <c r="H251" s="518" t="str">
        <f>OP!J32</f>
        <v>YT-20250402</v>
      </c>
      <c r="I251" s="273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34" t="s">
        <v>394</v>
      </c>
      <c r="C252" s="520">
        <f>OP!N32</f>
        <v>18.000000000000004</v>
      </c>
      <c r="D252" s="252"/>
      <c r="E252" s="252"/>
      <c r="F252" s="252"/>
      <c r="G252" s="135"/>
      <c r="H252" s="130"/>
      <c r="I252" s="136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34" t="s">
        <v>395</v>
      </c>
      <c r="C253" s="524"/>
      <c r="D253" s="252"/>
      <c r="E253" s="252"/>
      <c r="F253" s="252"/>
      <c r="G253" s="130"/>
      <c r="H253" s="130"/>
      <c r="I253" s="136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34" t="s">
        <v>396</v>
      </c>
      <c r="C254" s="524"/>
      <c r="D254" s="252"/>
      <c r="E254" s="252"/>
      <c r="F254" s="252"/>
      <c r="G254" s="135" t="s">
        <v>397</v>
      </c>
      <c r="H254" s="137"/>
      <c r="I254" s="138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34" t="s">
        <v>398</v>
      </c>
      <c r="C255" s="524"/>
      <c r="D255" s="252"/>
      <c r="E255" s="252"/>
      <c r="F255" s="252"/>
      <c r="G255" s="135" t="s">
        <v>206</v>
      </c>
      <c r="H255" s="137"/>
      <c r="I255" s="138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39" t="s">
        <v>399</v>
      </c>
      <c r="C256" s="140"/>
      <c r="D256" s="140"/>
      <c r="E256" s="140"/>
      <c r="F256" s="141"/>
      <c r="G256" s="140"/>
      <c r="H256" s="140"/>
      <c r="I256" s="14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512"/>
      <c r="C258" s="514" t="s">
        <v>0</v>
      </c>
      <c r="D258" s="211"/>
      <c r="E258" s="211"/>
      <c r="F258" s="307"/>
      <c r="G258" s="126" t="s">
        <v>1</v>
      </c>
      <c r="H258" s="275" t="s">
        <v>387</v>
      </c>
      <c r="I258" s="233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491"/>
      <c r="C259" s="271"/>
      <c r="D259" s="213"/>
      <c r="E259" s="213"/>
      <c r="F259" s="220"/>
      <c r="G259" s="10" t="s">
        <v>3</v>
      </c>
      <c r="H259" s="310">
        <v>1</v>
      </c>
      <c r="I259" s="209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491"/>
      <c r="C260" s="272"/>
      <c r="D260" s="252"/>
      <c r="E260" s="252"/>
      <c r="F260" s="273"/>
      <c r="G260" s="10" t="s">
        <v>5</v>
      </c>
      <c r="H260" s="274" t="s">
        <v>6</v>
      </c>
      <c r="I260" s="209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491"/>
      <c r="C261" s="218" t="s">
        <v>388</v>
      </c>
      <c r="D261" s="213"/>
      <c r="E261" s="213"/>
      <c r="F261" s="220"/>
      <c r="G261" s="396" t="s">
        <v>7</v>
      </c>
      <c r="H261" s="274" t="s">
        <v>8</v>
      </c>
      <c r="I261" s="209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513"/>
      <c r="C262" s="214"/>
      <c r="D262" s="214"/>
      <c r="E262" s="214"/>
      <c r="F262" s="284"/>
      <c r="G262" s="516"/>
      <c r="H262" s="517" t="s">
        <v>9</v>
      </c>
      <c r="I262" s="264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28" t="s">
        <v>389</v>
      </c>
      <c r="C263" s="518" t="str">
        <f>OP!$M$11</f>
        <v>OP-L-127</v>
      </c>
      <c r="D263" s="252"/>
      <c r="E263" s="252"/>
      <c r="F263" s="273"/>
      <c r="G263" s="129" t="s">
        <v>208</v>
      </c>
      <c r="H263" s="522"/>
      <c r="I263" s="273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31" t="s">
        <v>390</v>
      </c>
      <c r="C264" s="518" t="str">
        <f>OP!$G$9</f>
        <v>AZ HIBRID CLEAR</v>
      </c>
      <c r="D264" s="252"/>
      <c r="E264" s="252"/>
      <c r="F264" s="273"/>
      <c r="G264" s="132" t="s">
        <v>391</v>
      </c>
      <c r="H264" s="523" t="str">
        <f>OP!$M$10</f>
        <v>252591</v>
      </c>
      <c r="I264" s="273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31" t="s">
        <v>392</v>
      </c>
      <c r="C265" s="526" t="str">
        <f>OP!B33</f>
        <v>ECTOINA</v>
      </c>
      <c r="D265" s="226"/>
      <c r="E265" s="226"/>
      <c r="F265" s="227"/>
      <c r="G265" s="133" t="s">
        <v>393</v>
      </c>
      <c r="H265" s="518" t="str">
        <f>OP!J33</f>
        <v>YT-20250123</v>
      </c>
      <c r="I265" s="273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34" t="s">
        <v>394</v>
      </c>
      <c r="C266" s="520">
        <f>OP!N33</f>
        <v>36.000000000000007</v>
      </c>
      <c r="D266" s="252"/>
      <c r="E266" s="252"/>
      <c r="F266" s="252"/>
      <c r="G266" s="135"/>
      <c r="H266" s="130"/>
      <c r="I266" s="136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34" t="s">
        <v>395</v>
      </c>
      <c r="C267" s="524"/>
      <c r="D267" s="252"/>
      <c r="E267" s="252"/>
      <c r="F267" s="252"/>
      <c r="G267" s="130"/>
      <c r="H267" s="130"/>
      <c r="I267" s="136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34" t="s">
        <v>396</v>
      </c>
      <c r="C268" s="524"/>
      <c r="D268" s="252"/>
      <c r="E268" s="252"/>
      <c r="F268" s="252"/>
      <c r="G268" s="135" t="s">
        <v>397</v>
      </c>
      <c r="H268" s="137"/>
      <c r="I268" s="138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34" t="s">
        <v>398</v>
      </c>
      <c r="C269" s="524"/>
      <c r="D269" s="252"/>
      <c r="E269" s="252"/>
      <c r="F269" s="252"/>
      <c r="G269" s="135" t="s">
        <v>206</v>
      </c>
      <c r="H269" s="137"/>
      <c r="I269" s="138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139" t="s">
        <v>399</v>
      </c>
      <c r="C270" s="140"/>
      <c r="D270" s="140"/>
      <c r="E270" s="140"/>
      <c r="F270" s="141"/>
      <c r="G270" s="140"/>
      <c r="H270" s="140"/>
      <c r="I270" s="14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512"/>
      <c r="C272" s="514" t="s">
        <v>0</v>
      </c>
      <c r="D272" s="211"/>
      <c r="E272" s="211"/>
      <c r="F272" s="307"/>
      <c r="G272" s="126" t="s">
        <v>1</v>
      </c>
      <c r="H272" s="275" t="s">
        <v>387</v>
      </c>
      <c r="I272" s="233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491"/>
      <c r="C273" s="271"/>
      <c r="D273" s="213"/>
      <c r="E273" s="213"/>
      <c r="F273" s="220"/>
      <c r="G273" s="10" t="s">
        <v>3</v>
      </c>
      <c r="H273" s="310">
        <v>1</v>
      </c>
      <c r="I273" s="209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491"/>
      <c r="C274" s="272"/>
      <c r="D274" s="252"/>
      <c r="E274" s="252"/>
      <c r="F274" s="273"/>
      <c r="G274" s="10" t="s">
        <v>5</v>
      </c>
      <c r="H274" s="274" t="s">
        <v>6</v>
      </c>
      <c r="I274" s="209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491"/>
      <c r="C275" s="218" t="s">
        <v>388</v>
      </c>
      <c r="D275" s="213"/>
      <c r="E275" s="213"/>
      <c r="F275" s="220"/>
      <c r="G275" s="396" t="s">
        <v>7</v>
      </c>
      <c r="H275" s="274" t="s">
        <v>8</v>
      </c>
      <c r="I275" s="209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513"/>
      <c r="C276" s="214"/>
      <c r="D276" s="214"/>
      <c r="E276" s="214"/>
      <c r="F276" s="284"/>
      <c r="G276" s="516"/>
      <c r="H276" s="517" t="s">
        <v>9</v>
      </c>
      <c r="I276" s="264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128" t="s">
        <v>389</v>
      </c>
      <c r="C277" s="518" t="str">
        <f>OP!$M$11</f>
        <v>OP-L-127</v>
      </c>
      <c r="D277" s="252"/>
      <c r="E277" s="252"/>
      <c r="F277" s="273"/>
      <c r="G277" s="129" t="s">
        <v>208</v>
      </c>
      <c r="H277" s="522"/>
      <c r="I277" s="273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131" t="s">
        <v>390</v>
      </c>
      <c r="C278" s="518" t="str">
        <f>OP!$G$9</f>
        <v>AZ HIBRID CLEAR</v>
      </c>
      <c r="D278" s="252"/>
      <c r="E278" s="252"/>
      <c r="F278" s="273"/>
      <c r="G278" s="132" t="s">
        <v>391</v>
      </c>
      <c r="H278" s="523" t="str">
        <f>OP!$M$10</f>
        <v>252591</v>
      </c>
      <c r="I278" s="273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131" t="s">
        <v>392</v>
      </c>
      <c r="C279" s="526" t="str">
        <f>OP!B34</f>
        <v>BETAINA</v>
      </c>
      <c r="D279" s="226"/>
      <c r="E279" s="226"/>
      <c r="F279" s="227"/>
      <c r="G279" s="133" t="s">
        <v>393</v>
      </c>
      <c r="H279" s="518" t="str">
        <f>OP!J34</f>
        <v>YT-20240405</v>
      </c>
      <c r="I279" s="273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134" t="s">
        <v>394</v>
      </c>
      <c r="C280" s="520">
        <f>OP!N34</f>
        <v>18.000000000000004</v>
      </c>
      <c r="D280" s="252"/>
      <c r="E280" s="252"/>
      <c r="F280" s="252"/>
      <c r="G280" s="135"/>
      <c r="H280" s="130"/>
      <c r="I280" s="136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134" t="s">
        <v>395</v>
      </c>
      <c r="C281" s="524"/>
      <c r="D281" s="252"/>
      <c r="E281" s="252"/>
      <c r="F281" s="252"/>
      <c r="G281" s="130"/>
      <c r="H281" s="130"/>
      <c r="I281" s="136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134" t="s">
        <v>396</v>
      </c>
      <c r="C282" s="524"/>
      <c r="D282" s="252"/>
      <c r="E282" s="252"/>
      <c r="F282" s="252"/>
      <c r="G282" s="135" t="s">
        <v>397</v>
      </c>
      <c r="H282" s="137"/>
      <c r="I282" s="138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134" t="s">
        <v>398</v>
      </c>
      <c r="C283" s="524"/>
      <c r="D283" s="252"/>
      <c r="E283" s="252"/>
      <c r="F283" s="252"/>
      <c r="G283" s="135" t="s">
        <v>206</v>
      </c>
      <c r="H283" s="137"/>
      <c r="I283" s="138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139" t="s">
        <v>399</v>
      </c>
      <c r="C284" s="140"/>
      <c r="D284" s="140"/>
      <c r="E284" s="140"/>
      <c r="F284" s="141"/>
      <c r="G284" s="140"/>
      <c r="H284" s="140"/>
      <c r="I284" s="14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512"/>
      <c r="C286" s="514" t="s">
        <v>0</v>
      </c>
      <c r="D286" s="211"/>
      <c r="E286" s="211"/>
      <c r="F286" s="307"/>
      <c r="G286" s="126" t="s">
        <v>1</v>
      </c>
      <c r="H286" s="275" t="s">
        <v>387</v>
      </c>
      <c r="I286" s="233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491"/>
      <c r="C287" s="271"/>
      <c r="D287" s="213"/>
      <c r="E287" s="213"/>
      <c r="F287" s="220"/>
      <c r="G287" s="10" t="s">
        <v>3</v>
      </c>
      <c r="H287" s="310">
        <v>1</v>
      </c>
      <c r="I287" s="209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491"/>
      <c r="C288" s="272"/>
      <c r="D288" s="252"/>
      <c r="E288" s="252"/>
      <c r="F288" s="273"/>
      <c r="G288" s="10" t="s">
        <v>5</v>
      </c>
      <c r="H288" s="274" t="s">
        <v>6</v>
      </c>
      <c r="I288" s="209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491"/>
      <c r="C289" s="218" t="s">
        <v>388</v>
      </c>
      <c r="D289" s="213"/>
      <c r="E289" s="213"/>
      <c r="F289" s="220"/>
      <c r="G289" s="396" t="s">
        <v>7</v>
      </c>
      <c r="H289" s="274" t="s">
        <v>8</v>
      </c>
      <c r="I289" s="209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513"/>
      <c r="C290" s="214"/>
      <c r="D290" s="214"/>
      <c r="E290" s="214"/>
      <c r="F290" s="284"/>
      <c r="G290" s="516"/>
      <c r="H290" s="517" t="s">
        <v>9</v>
      </c>
      <c r="I290" s="264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128" t="s">
        <v>389</v>
      </c>
      <c r="C291" s="518" t="str">
        <f>OP!$M$11</f>
        <v>OP-L-127</v>
      </c>
      <c r="D291" s="252"/>
      <c r="E291" s="252"/>
      <c r="F291" s="273"/>
      <c r="G291" s="129" t="s">
        <v>208</v>
      </c>
      <c r="H291" s="522"/>
      <c r="I291" s="273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131" t="s">
        <v>390</v>
      </c>
      <c r="C292" s="518" t="str">
        <f>OP!$G$9</f>
        <v>AZ HIBRID CLEAR</v>
      </c>
      <c r="D292" s="252"/>
      <c r="E292" s="252"/>
      <c r="F292" s="273"/>
      <c r="G292" s="132" t="s">
        <v>391</v>
      </c>
      <c r="H292" s="523" t="str">
        <f>OP!$M$10</f>
        <v>252591</v>
      </c>
      <c r="I292" s="273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131" t="s">
        <v>392</v>
      </c>
      <c r="C293" s="526" t="str">
        <f>OP!B35</f>
        <v>TERPENOS SOLUBLES 80%</v>
      </c>
      <c r="D293" s="226"/>
      <c r="E293" s="226"/>
      <c r="F293" s="227"/>
      <c r="G293" s="133" t="s">
        <v>393</v>
      </c>
      <c r="H293" s="518" t="str">
        <f>OP!J35</f>
        <v>YT-20250123</v>
      </c>
      <c r="I293" s="273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134" t="s">
        <v>394</v>
      </c>
      <c r="C294" s="520">
        <f>OP!N35</f>
        <v>18.000000000000004</v>
      </c>
      <c r="D294" s="252"/>
      <c r="E294" s="252"/>
      <c r="F294" s="252"/>
      <c r="G294" s="135"/>
      <c r="H294" s="130"/>
      <c r="I294" s="136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134" t="s">
        <v>395</v>
      </c>
      <c r="C295" s="524"/>
      <c r="D295" s="252"/>
      <c r="E295" s="252"/>
      <c r="F295" s="252"/>
      <c r="G295" s="130"/>
      <c r="H295" s="130"/>
      <c r="I295" s="136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134" t="s">
        <v>396</v>
      </c>
      <c r="C296" s="524"/>
      <c r="D296" s="252"/>
      <c r="E296" s="252"/>
      <c r="F296" s="252"/>
      <c r="G296" s="135" t="s">
        <v>397</v>
      </c>
      <c r="H296" s="137"/>
      <c r="I296" s="138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134" t="s">
        <v>398</v>
      </c>
      <c r="C297" s="524"/>
      <c r="D297" s="252"/>
      <c r="E297" s="252"/>
      <c r="F297" s="252"/>
      <c r="G297" s="135" t="s">
        <v>206</v>
      </c>
      <c r="H297" s="137"/>
      <c r="I297" s="138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139" t="s">
        <v>399</v>
      </c>
      <c r="C298" s="140"/>
      <c r="D298" s="140"/>
      <c r="E298" s="140"/>
      <c r="F298" s="141"/>
      <c r="G298" s="140"/>
      <c r="H298" s="140"/>
      <c r="I298" s="14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512"/>
      <c r="C300" s="514" t="s">
        <v>0</v>
      </c>
      <c r="D300" s="211"/>
      <c r="E300" s="211"/>
      <c r="F300" s="307"/>
      <c r="G300" s="126" t="s">
        <v>1</v>
      </c>
      <c r="H300" s="275" t="s">
        <v>387</v>
      </c>
      <c r="I300" s="233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491"/>
      <c r="C301" s="271"/>
      <c r="D301" s="213"/>
      <c r="E301" s="213"/>
      <c r="F301" s="220"/>
      <c r="G301" s="10" t="s">
        <v>3</v>
      </c>
      <c r="H301" s="310">
        <v>1</v>
      </c>
      <c r="I301" s="209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491"/>
      <c r="C302" s="272"/>
      <c r="D302" s="252"/>
      <c r="E302" s="252"/>
      <c r="F302" s="273"/>
      <c r="G302" s="10" t="s">
        <v>5</v>
      </c>
      <c r="H302" s="274" t="s">
        <v>6</v>
      </c>
      <c r="I302" s="209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491"/>
      <c r="C303" s="218" t="s">
        <v>388</v>
      </c>
      <c r="D303" s="213"/>
      <c r="E303" s="213"/>
      <c r="F303" s="220"/>
      <c r="G303" s="396" t="s">
        <v>7</v>
      </c>
      <c r="H303" s="274" t="s">
        <v>8</v>
      </c>
      <c r="I303" s="209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513"/>
      <c r="C304" s="214"/>
      <c r="D304" s="214"/>
      <c r="E304" s="214"/>
      <c r="F304" s="284"/>
      <c r="G304" s="516"/>
      <c r="H304" s="517" t="s">
        <v>9</v>
      </c>
      <c r="I304" s="264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128" t="s">
        <v>389</v>
      </c>
      <c r="C305" s="518" t="str">
        <f>OP!$M$11</f>
        <v>OP-L-127</v>
      </c>
      <c r="D305" s="252"/>
      <c r="E305" s="252"/>
      <c r="F305" s="273"/>
      <c r="G305" s="129" t="s">
        <v>208</v>
      </c>
      <c r="H305" s="522"/>
      <c r="I305" s="273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131" t="s">
        <v>390</v>
      </c>
      <c r="C306" s="518" t="str">
        <f>OP!$G$9</f>
        <v>AZ HIBRID CLEAR</v>
      </c>
      <c r="D306" s="252"/>
      <c r="E306" s="252"/>
      <c r="F306" s="273"/>
      <c r="G306" s="132" t="s">
        <v>391</v>
      </c>
      <c r="H306" s="523" t="str">
        <f>OP!$M$10</f>
        <v>252591</v>
      </c>
      <c r="I306" s="273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131" t="s">
        <v>392</v>
      </c>
      <c r="C307" s="526" t="str">
        <f>OP!B36</f>
        <v>FITATO DE SODIO</v>
      </c>
      <c r="D307" s="226"/>
      <c r="E307" s="226"/>
      <c r="F307" s="227"/>
      <c r="G307" s="133" t="s">
        <v>393</v>
      </c>
      <c r="H307" s="518" t="str">
        <f>OP!J36</f>
        <v>YT-20250606</v>
      </c>
      <c r="I307" s="273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134" t="s">
        <v>394</v>
      </c>
      <c r="C308" s="520">
        <f>OP!N36</f>
        <v>10.8</v>
      </c>
      <c r="D308" s="252"/>
      <c r="E308" s="252"/>
      <c r="F308" s="252"/>
      <c r="G308" s="135"/>
      <c r="H308" s="130"/>
      <c r="I308" s="136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134" t="s">
        <v>395</v>
      </c>
      <c r="C309" s="524"/>
      <c r="D309" s="252"/>
      <c r="E309" s="252"/>
      <c r="F309" s="252"/>
      <c r="G309" s="130"/>
      <c r="H309" s="130"/>
      <c r="I309" s="136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134" t="s">
        <v>396</v>
      </c>
      <c r="C310" s="524"/>
      <c r="D310" s="252"/>
      <c r="E310" s="252"/>
      <c r="F310" s="252"/>
      <c r="G310" s="135" t="s">
        <v>397</v>
      </c>
      <c r="H310" s="137"/>
      <c r="I310" s="138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134" t="s">
        <v>398</v>
      </c>
      <c r="C311" s="524"/>
      <c r="D311" s="252"/>
      <c r="E311" s="252"/>
      <c r="F311" s="252"/>
      <c r="G311" s="135" t="s">
        <v>206</v>
      </c>
      <c r="H311" s="137"/>
      <c r="I311" s="138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139" t="s">
        <v>399</v>
      </c>
      <c r="C312" s="140"/>
      <c r="D312" s="140"/>
      <c r="E312" s="140"/>
      <c r="F312" s="141"/>
      <c r="G312" s="140"/>
      <c r="H312" s="140"/>
      <c r="I312" s="14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512"/>
      <c r="C314" s="514" t="s">
        <v>0</v>
      </c>
      <c r="D314" s="211"/>
      <c r="E314" s="211"/>
      <c r="F314" s="307"/>
      <c r="G314" s="126" t="s">
        <v>1</v>
      </c>
      <c r="H314" s="275" t="s">
        <v>387</v>
      </c>
      <c r="I314" s="233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491"/>
      <c r="C315" s="271"/>
      <c r="D315" s="213"/>
      <c r="E315" s="213"/>
      <c r="F315" s="220"/>
      <c r="G315" s="10" t="s">
        <v>3</v>
      </c>
      <c r="H315" s="310">
        <v>1</v>
      </c>
      <c r="I315" s="209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491"/>
      <c r="C316" s="272"/>
      <c r="D316" s="252"/>
      <c r="E316" s="252"/>
      <c r="F316" s="273"/>
      <c r="G316" s="10" t="s">
        <v>5</v>
      </c>
      <c r="H316" s="274" t="s">
        <v>6</v>
      </c>
      <c r="I316" s="209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491"/>
      <c r="C317" s="218" t="s">
        <v>388</v>
      </c>
      <c r="D317" s="213"/>
      <c r="E317" s="213"/>
      <c r="F317" s="220"/>
      <c r="G317" s="396" t="s">
        <v>7</v>
      </c>
      <c r="H317" s="274" t="s">
        <v>8</v>
      </c>
      <c r="I317" s="209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513"/>
      <c r="C318" s="214"/>
      <c r="D318" s="214"/>
      <c r="E318" s="214"/>
      <c r="F318" s="284"/>
      <c r="G318" s="516"/>
      <c r="H318" s="517" t="s">
        <v>9</v>
      </c>
      <c r="I318" s="264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128" t="s">
        <v>389</v>
      </c>
      <c r="C319" s="518" t="str">
        <f>OP!$M$11</f>
        <v>OP-L-127</v>
      </c>
      <c r="D319" s="252"/>
      <c r="E319" s="252"/>
      <c r="F319" s="273"/>
      <c r="G319" s="129" t="s">
        <v>208</v>
      </c>
      <c r="H319" s="522"/>
      <c r="I319" s="273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131" t="s">
        <v>390</v>
      </c>
      <c r="C320" s="518" t="str">
        <f>OP!$G$9</f>
        <v>AZ HIBRID CLEAR</v>
      </c>
      <c r="D320" s="252"/>
      <c r="E320" s="252"/>
      <c r="F320" s="273"/>
      <c r="G320" s="132" t="s">
        <v>391</v>
      </c>
      <c r="H320" s="523" t="str">
        <f>OP!$M$10</f>
        <v>252591</v>
      </c>
      <c r="I320" s="273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131" t="s">
        <v>392</v>
      </c>
      <c r="C321" s="526" t="str">
        <f>OP!B37</f>
        <v>ACETYL TETRAPEPTIDE-40</v>
      </c>
      <c r="D321" s="226"/>
      <c r="E321" s="226"/>
      <c r="F321" s="227"/>
      <c r="G321" s="133" t="s">
        <v>393</v>
      </c>
      <c r="H321" s="518" t="str">
        <f>OP!J37</f>
        <v>LYPH250717</v>
      </c>
      <c r="I321" s="273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134" t="s">
        <v>394</v>
      </c>
      <c r="C322" s="520">
        <f>OP!N37</f>
        <v>1.08</v>
      </c>
      <c r="D322" s="252"/>
      <c r="E322" s="252"/>
      <c r="F322" s="252"/>
      <c r="G322" s="135"/>
      <c r="H322" s="130"/>
      <c r="I322" s="136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134" t="s">
        <v>395</v>
      </c>
      <c r="C323" s="524"/>
      <c r="D323" s="252"/>
      <c r="E323" s="252"/>
      <c r="F323" s="252"/>
      <c r="G323" s="130"/>
      <c r="H323" s="130"/>
      <c r="I323" s="136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134" t="s">
        <v>396</v>
      </c>
      <c r="C324" s="524"/>
      <c r="D324" s="252"/>
      <c r="E324" s="252"/>
      <c r="F324" s="252"/>
      <c r="G324" s="135" t="s">
        <v>397</v>
      </c>
      <c r="H324" s="137"/>
      <c r="I324" s="138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134" t="s">
        <v>398</v>
      </c>
      <c r="C325" s="524"/>
      <c r="D325" s="252"/>
      <c r="E325" s="252"/>
      <c r="F325" s="252"/>
      <c r="G325" s="135" t="s">
        <v>206</v>
      </c>
      <c r="H325" s="137"/>
      <c r="I325" s="138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139" t="s">
        <v>399</v>
      </c>
      <c r="C326" s="140"/>
      <c r="D326" s="140"/>
      <c r="E326" s="140"/>
      <c r="F326" s="141"/>
      <c r="G326" s="140"/>
      <c r="H326" s="140"/>
      <c r="I326" s="14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512"/>
      <c r="C328" s="514" t="s">
        <v>0</v>
      </c>
      <c r="D328" s="211"/>
      <c r="E328" s="211"/>
      <c r="F328" s="307"/>
      <c r="G328" s="126" t="s">
        <v>1</v>
      </c>
      <c r="H328" s="275" t="s">
        <v>387</v>
      </c>
      <c r="I328" s="233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491"/>
      <c r="C329" s="271"/>
      <c r="D329" s="213"/>
      <c r="E329" s="213"/>
      <c r="F329" s="220"/>
      <c r="G329" s="10" t="s">
        <v>3</v>
      </c>
      <c r="H329" s="310">
        <v>1</v>
      </c>
      <c r="I329" s="209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491"/>
      <c r="C330" s="272"/>
      <c r="D330" s="252"/>
      <c r="E330" s="252"/>
      <c r="F330" s="273"/>
      <c r="G330" s="10" t="s">
        <v>5</v>
      </c>
      <c r="H330" s="274" t="s">
        <v>6</v>
      </c>
      <c r="I330" s="209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491"/>
      <c r="C331" s="218" t="s">
        <v>388</v>
      </c>
      <c r="D331" s="213"/>
      <c r="E331" s="213"/>
      <c r="F331" s="220"/>
      <c r="G331" s="396" t="s">
        <v>7</v>
      </c>
      <c r="H331" s="274" t="s">
        <v>8</v>
      </c>
      <c r="I331" s="209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513"/>
      <c r="C332" s="214"/>
      <c r="D332" s="214"/>
      <c r="E332" s="214"/>
      <c r="F332" s="284"/>
      <c r="G332" s="516"/>
      <c r="H332" s="517" t="s">
        <v>9</v>
      </c>
      <c r="I332" s="264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128" t="s">
        <v>389</v>
      </c>
      <c r="C333" s="518" t="str">
        <f>OP!$M$11</f>
        <v>OP-L-127</v>
      </c>
      <c r="D333" s="252"/>
      <c r="E333" s="252"/>
      <c r="F333" s="273"/>
      <c r="G333" s="129" t="s">
        <v>208</v>
      </c>
      <c r="H333" s="522"/>
      <c r="I333" s="273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131" t="s">
        <v>390</v>
      </c>
      <c r="C334" s="518" t="str">
        <f>OP!$G$9</f>
        <v>AZ HIBRID CLEAR</v>
      </c>
      <c r="D334" s="252"/>
      <c r="E334" s="252"/>
      <c r="F334" s="273"/>
      <c r="G334" s="132" t="s">
        <v>391</v>
      </c>
      <c r="H334" s="523" t="str">
        <f>OP!$M$10</f>
        <v>252591</v>
      </c>
      <c r="I334" s="273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131" t="s">
        <v>392</v>
      </c>
      <c r="C335" s="526" t="str">
        <f>OP!B38</f>
        <v>1,2 HEXANEDIOL</v>
      </c>
      <c r="D335" s="226"/>
      <c r="E335" s="226"/>
      <c r="F335" s="227"/>
      <c r="G335" s="133" t="s">
        <v>393</v>
      </c>
      <c r="H335" s="518" t="str">
        <f>OP!J38</f>
        <v>YT-20250504</v>
      </c>
      <c r="I335" s="273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134" t="s">
        <v>394</v>
      </c>
      <c r="C336" s="520">
        <f>OP!N38</f>
        <v>180</v>
      </c>
      <c r="D336" s="252"/>
      <c r="E336" s="252"/>
      <c r="F336" s="252"/>
      <c r="G336" s="135"/>
      <c r="H336" s="130"/>
      <c r="I336" s="136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134" t="s">
        <v>395</v>
      </c>
      <c r="C337" s="524"/>
      <c r="D337" s="252"/>
      <c r="E337" s="252"/>
      <c r="F337" s="252"/>
      <c r="G337" s="130"/>
      <c r="H337" s="130"/>
      <c r="I337" s="136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134" t="s">
        <v>396</v>
      </c>
      <c r="C338" s="524"/>
      <c r="D338" s="252"/>
      <c r="E338" s="252"/>
      <c r="F338" s="252"/>
      <c r="G338" s="135" t="s">
        <v>397</v>
      </c>
      <c r="H338" s="137"/>
      <c r="I338" s="138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134" t="s">
        <v>398</v>
      </c>
      <c r="C339" s="524"/>
      <c r="D339" s="252"/>
      <c r="E339" s="252"/>
      <c r="F339" s="252"/>
      <c r="G339" s="135" t="s">
        <v>206</v>
      </c>
      <c r="H339" s="137"/>
      <c r="I339" s="138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139" t="s">
        <v>399</v>
      </c>
      <c r="C340" s="140"/>
      <c r="D340" s="140"/>
      <c r="E340" s="140"/>
      <c r="F340" s="141"/>
      <c r="G340" s="140"/>
      <c r="H340" s="140"/>
      <c r="I340" s="14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512"/>
      <c r="C342" s="514" t="s">
        <v>0</v>
      </c>
      <c r="D342" s="211"/>
      <c r="E342" s="211"/>
      <c r="F342" s="307"/>
      <c r="G342" s="126" t="s">
        <v>1</v>
      </c>
      <c r="H342" s="275" t="s">
        <v>387</v>
      </c>
      <c r="I342" s="233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491"/>
      <c r="C343" s="271"/>
      <c r="D343" s="213"/>
      <c r="E343" s="213"/>
      <c r="F343" s="220"/>
      <c r="G343" s="10" t="s">
        <v>3</v>
      </c>
      <c r="H343" s="310">
        <v>1</v>
      </c>
      <c r="I343" s="209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491"/>
      <c r="C344" s="272"/>
      <c r="D344" s="252"/>
      <c r="E344" s="252"/>
      <c r="F344" s="273"/>
      <c r="G344" s="10" t="s">
        <v>5</v>
      </c>
      <c r="H344" s="274" t="s">
        <v>6</v>
      </c>
      <c r="I344" s="209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491"/>
      <c r="C345" s="218" t="s">
        <v>388</v>
      </c>
      <c r="D345" s="213"/>
      <c r="E345" s="213"/>
      <c r="F345" s="220"/>
      <c r="G345" s="396" t="s">
        <v>7</v>
      </c>
      <c r="H345" s="274" t="s">
        <v>8</v>
      </c>
      <c r="I345" s="209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513"/>
      <c r="C346" s="214"/>
      <c r="D346" s="214"/>
      <c r="E346" s="214"/>
      <c r="F346" s="284"/>
      <c r="G346" s="516"/>
      <c r="H346" s="517" t="s">
        <v>9</v>
      </c>
      <c r="I346" s="264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128" t="s">
        <v>389</v>
      </c>
      <c r="C347" s="518" t="str">
        <f>OP!$M$11</f>
        <v>OP-L-127</v>
      </c>
      <c r="D347" s="252"/>
      <c r="E347" s="252"/>
      <c r="F347" s="273"/>
      <c r="G347" s="129" t="s">
        <v>208</v>
      </c>
      <c r="H347" s="522"/>
      <c r="I347" s="273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131" t="s">
        <v>390</v>
      </c>
      <c r="C348" s="518" t="str">
        <f>OP!$G$9</f>
        <v>AZ HIBRID CLEAR</v>
      </c>
      <c r="D348" s="252"/>
      <c r="E348" s="252"/>
      <c r="F348" s="273"/>
      <c r="G348" s="132" t="s">
        <v>391</v>
      </c>
      <c r="H348" s="523" t="str">
        <f>OP!$M$10</f>
        <v>252591</v>
      </c>
      <c r="I348" s="273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131" t="s">
        <v>392</v>
      </c>
      <c r="C349" s="526" t="str">
        <f>OP!B39</f>
        <v>VITAMINA E POLVO</v>
      </c>
      <c r="D349" s="226"/>
      <c r="E349" s="226"/>
      <c r="F349" s="227"/>
      <c r="G349" s="133" t="s">
        <v>393</v>
      </c>
      <c r="H349" s="518" t="str">
        <f>OP!J39</f>
        <v>022411A014</v>
      </c>
      <c r="I349" s="273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134" t="s">
        <v>394</v>
      </c>
      <c r="C350" s="520">
        <f>OP!N39</f>
        <v>288.00000000000006</v>
      </c>
      <c r="D350" s="252"/>
      <c r="E350" s="252"/>
      <c r="F350" s="252"/>
      <c r="G350" s="135"/>
      <c r="H350" s="130"/>
      <c r="I350" s="136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134" t="s">
        <v>395</v>
      </c>
      <c r="C351" s="524"/>
      <c r="D351" s="252"/>
      <c r="E351" s="252"/>
      <c r="F351" s="252"/>
      <c r="G351" s="130"/>
      <c r="H351" s="130"/>
      <c r="I351" s="136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134" t="s">
        <v>396</v>
      </c>
      <c r="C352" s="524"/>
      <c r="D352" s="252"/>
      <c r="E352" s="252"/>
      <c r="F352" s="252"/>
      <c r="G352" s="135" t="s">
        <v>397</v>
      </c>
      <c r="H352" s="137"/>
      <c r="I352" s="138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134" t="s">
        <v>398</v>
      </c>
      <c r="C353" s="524"/>
      <c r="D353" s="252"/>
      <c r="E353" s="252"/>
      <c r="F353" s="252"/>
      <c r="G353" s="135" t="s">
        <v>206</v>
      </c>
      <c r="H353" s="137"/>
      <c r="I353" s="138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139" t="s">
        <v>399</v>
      </c>
      <c r="C354" s="140"/>
      <c r="D354" s="140"/>
      <c r="E354" s="140"/>
      <c r="F354" s="141"/>
      <c r="G354" s="140"/>
      <c r="H354" s="140"/>
      <c r="I354" s="14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512"/>
      <c r="C356" s="514" t="s">
        <v>0</v>
      </c>
      <c r="D356" s="211"/>
      <c r="E356" s="211"/>
      <c r="F356" s="307"/>
      <c r="G356" s="126" t="s">
        <v>1</v>
      </c>
      <c r="H356" s="275" t="s">
        <v>387</v>
      </c>
      <c r="I356" s="233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491"/>
      <c r="C357" s="271"/>
      <c r="D357" s="213"/>
      <c r="E357" s="213"/>
      <c r="F357" s="220"/>
      <c r="G357" s="10" t="s">
        <v>3</v>
      </c>
      <c r="H357" s="310">
        <v>1</v>
      </c>
      <c r="I357" s="209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491"/>
      <c r="C358" s="272"/>
      <c r="D358" s="252"/>
      <c r="E358" s="252"/>
      <c r="F358" s="273"/>
      <c r="G358" s="10" t="s">
        <v>5</v>
      </c>
      <c r="H358" s="274" t="s">
        <v>6</v>
      </c>
      <c r="I358" s="209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491"/>
      <c r="C359" s="218" t="s">
        <v>388</v>
      </c>
      <c r="D359" s="213"/>
      <c r="E359" s="213"/>
      <c r="F359" s="220"/>
      <c r="G359" s="396" t="s">
        <v>7</v>
      </c>
      <c r="H359" s="274" t="s">
        <v>8</v>
      </c>
      <c r="I359" s="209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513"/>
      <c r="C360" s="214"/>
      <c r="D360" s="214"/>
      <c r="E360" s="214"/>
      <c r="F360" s="284"/>
      <c r="G360" s="516"/>
      <c r="H360" s="517" t="s">
        <v>9</v>
      </c>
      <c r="I360" s="264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128" t="s">
        <v>389</v>
      </c>
      <c r="C361" s="518" t="str">
        <f>OP!$M$11</f>
        <v>OP-L-127</v>
      </c>
      <c r="D361" s="252"/>
      <c r="E361" s="252"/>
      <c r="F361" s="273"/>
      <c r="G361" s="129" t="s">
        <v>208</v>
      </c>
      <c r="H361" s="522"/>
      <c r="I361" s="273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131" t="s">
        <v>390</v>
      </c>
      <c r="C362" s="518" t="str">
        <f>OP!$G$9</f>
        <v>AZ HIBRID CLEAR</v>
      </c>
      <c r="D362" s="252"/>
      <c r="E362" s="252"/>
      <c r="F362" s="273"/>
      <c r="G362" s="132" t="s">
        <v>391</v>
      </c>
      <c r="H362" s="523" t="str">
        <f>OP!$M$10</f>
        <v>252591</v>
      </c>
      <c r="I362" s="273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131" t="s">
        <v>392</v>
      </c>
      <c r="C363" s="526" t="str">
        <f>OP!B40</f>
        <v>GRANSIL VX419</v>
      </c>
      <c r="D363" s="226"/>
      <c r="E363" s="226"/>
      <c r="F363" s="227"/>
      <c r="G363" s="133" t="s">
        <v>393</v>
      </c>
      <c r="H363" s="518" t="str">
        <f>OP!J40</f>
        <v>980305S1125</v>
      </c>
      <c r="I363" s="273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134" t="s">
        <v>394</v>
      </c>
      <c r="C364" s="520">
        <f>OP!N40</f>
        <v>360</v>
      </c>
      <c r="D364" s="252"/>
      <c r="E364" s="252"/>
      <c r="F364" s="252"/>
      <c r="G364" s="135"/>
      <c r="H364" s="130"/>
      <c r="I364" s="136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134" t="s">
        <v>395</v>
      </c>
      <c r="C365" s="524"/>
      <c r="D365" s="252"/>
      <c r="E365" s="252"/>
      <c r="F365" s="252"/>
      <c r="G365" s="130"/>
      <c r="H365" s="130"/>
      <c r="I365" s="136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134" t="s">
        <v>396</v>
      </c>
      <c r="C366" s="524"/>
      <c r="D366" s="252"/>
      <c r="E366" s="252"/>
      <c r="F366" s="252"/>
      <c r="G366" s="135" t="s">
        <v>397</v>
      </c>
      <c r="H366" s="137"/>
      <c r="I366" s="138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134" t="s">
        <v>398</v>
      </c>
      <c r="C367" s="524"/>
      <c r="D367" s="252"/>
      <c r="E367" s="252"/>
      <c r="F367" s="252"/>
      <c r="G367" s="135" t="s">
        <v>206</v>
      </c>
      <c r="H367" s="137"/>
      <c r="I367" s="138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139" t="s">
        <v>399</v>
      </c>
      <c r="C368" s="140"/>
      <c r="D368" s="140"/>
      <c r="E368" s="140"/>
      <c r="F368" s="141"/>
      <c r="G368" s="140"/>
      <c r="H368" s="140"/>
      <c r="I368" s="14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512"/>
      <c r="C370" s="514" t="s">
        <v>0</v>
      </c>
      <c r="D370" s="211"/>
      <c r="E370" s="211"/>
      <c r="F370" s="307"/>
      <c r="G370" s="126" t="s">
        <v>1</v>
      </c>
      <c r="H370" s="275" t="s">
        <v>387</v>
      </c>
      <c r="I370" s="233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491"/>
      <c r="C371" s="271"/>
      <c r="D371" s="213"/>
      <c r="E371" s="213"/>
      <c r="F371" s="220"/>
      <c r="G371" s="10" t="s">
        <v>3</v>
      </c>
      <c r="H371" s="310">
        <v>1</v>
      </c>
      <c r="I371" s="209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491"/>
      <c r="C372" s="272"/>
      <c r="D372" s="252"/>
      <c r="E372" s="252"/>
      <c r="F372" s="273"/>
      <c r="G372" s="10" t="s">
        <v>5</v>
      </c>
      <c r="H372" s="274" t="s">
        <v>6</v>
      </c>
      <c r="I372" s="209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491"/>
      <c r="C373" s="218" t="s">
        <v>388</v>
      </c>
      <c r="D373" s="213"/>
      <c r="E373" s="213"/>
      <c r="F373" s="220"/>
      <c r="G373" s="396" t="s">
        <v>7</v>
      </c>
      <c r="H373" s="274" t="s">
        <v>8</v>
      </c>
      <c r="I373" s="209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513"/>
      <c r="C374" s="214"/>
      <c r="D374" s="214"/>
      <c r="E374" s="214"/>
      <c r="F374" s="284"/>
      <c r="G374" s="516"/>
      <c r="H374" s="517" t="s">
        <v>9</v>
      </c>
      <c r="I374" s="264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128" t="s">
        <v>389</v>
      </c>
      <c r="C375" s="518" t="str">
        <f>OP!$M$11</f>
        <v>OP-L-127</v>
      </c>
      <c r="D375" s="252"/>
      <c r="E375" s="252"/>
      <c r="F375" s="273"/>
      <c r="G375" s="129" t="s">
        <v>208</v>
      </c>
      <c r="H375" s="522"/>
      <c r="I375" s="273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131" t="s">
        <v>390</v>
      </c>
      <c r="C376" s="518" t="str">
        <f>OP!$G$9</f>
        <v>AZ HIBRID CLEAR</v>
      </c>
      <c r="D376" s="252"/>
      <c r="E376" s="252"/>
      <c r="F376" s="273"/>
      <c r="G376" s="132" t="s">
        <v>391</v>
      </c>
      <c r="H376" s="523" t="str">
        <f>OP!$M$10</f>
        <v>252591</v>
      </c>
      <c r="I376" s="273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131" t="s">
        <v>392</v>
      </c>
      <c r="C377" s="526" t="str">
        <f>OP!B41</f>
        <v>BIOSURE FE</v>
      </c>
      <c r="D377" s="226"/>
      <c r="E377" s="226"/>
      <c r="F377" s="227"/>
      <c r="G377" s="133" t="s">
        <v>393</v>
      </c>
      <c r="H377" s="518">
        <f>OP!J41</f>
        <v>250127005</v>
      </c>
      <c r="I377" s="273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134" t="s">
        <v>394</v>
      </c>
      <c r="C378" s="520">
        <f>OP!N41</f>
        <v>360</v>
      </c>
      <c r="D378" s="252"/>
      <c r="E378" s="252"/>
      <c r="F378" s="252"/>
      <c r="G378" s="135"/>
      <c r="H378" s="130"/>
      <c r="I378" s="136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134" t="s">
        <v>395</v>
      </c>
      <c r="C379" s="524"/>
      <c r="D379" s="252"/>
      <c r="E379" s="252"/>
      <c r="F379" s="252"/>
      <c r="G379" s="130"/>
      <c r="H379" s="130"/>
      <c r="I379" s="136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134" t="s">
        <v>396</v>
      </c>
      <c r="C380" s="524"/>
      <c r="D380" s="252"/>
      <c r="E380" s="252"/>
      <c r="F380" s="252"/>
      <c r="G380" s="135" t="s">
        <v>397</v>
      </c>
      <c r="H380" s="137"/>
      <c r="I380" s="138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134" t="s">
        <v>398</v>
      </c>
      <c r="C381" s="524"/>
      <c r="D381" s="252"/>
      <c r="E381" s="252"/>
      <c r="F381" s="252"/>
      <c r="G381" s="135" t="s">
        <v>206</v>
      </c>
      <c r="H381" s="137"/>
      <c r="I381" s="138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139" t="s">
        <v>399</v>
      </c>
      <c r="C382" s="140"/>
      <c r="D382" s="140"/>
      <c r="E382" s="140"/>
      <c r="F382" s="141"/>
      <c r="G382" s="140"/>
      <c r="H382" s="140"/>
      <c r="I382" s="14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</sheetData>
  <mergeCells count="513">
    <mergeCell ref="H305:I305"/>
    <mergeCell ref="H306:I306"/>
    <mergeCell ref="H307:I307"/>
    <mergeCell ref="H314:I314"/>
    <mergeCell ref="C333:F333"/>
    <mergeCell ref="H333:I333"/>
    <mergeCell ref="C334:F334"/>
    <mergeCell ref="H334:I334"/>
    <mergeCell ref="H335:I335"/>
    <mergeCell ref="C305:F305"/>
    <mergeCell ref="C306:F306"/>
    <mergeCell ref="C307:F307"/>
    <mergeCell ref="C308:F308"/>
    <mergeCell ref="C309:F309"/>
    <mergeCell ref="C310:F310"/>
    <mergeCell ref="C311:F311"/>
    <mergeCell ref="C322:F322"/>
    <mergeCell ref="C323:F323"/>
    <mergeCell ref="C331:F332"/>
    <mergeCell ref="G331:G332"/>
    <mergeCell ref="C324:F324"/>
    <mergeCell ref="C325:F325"/>
    <mergeCell ref="C335:F335"/>
    <mergeCell ref="H300:I300"/>
    <mergeCell ref="H301:I301"/>
    <mergeCell ref="H302:I302"/>
    <mergeCell ref="H303:I303"/>
    <mergeCell ref="H304:I304"/>
    <mergeCell ref="C297:F297"/>
    <mergeCell ref="B300:B304"/>
    <mergeCell ref="C300:F302"/>
    <mergeCell ref="C303:F304"/>
    <mergeCell ref="G303:G304"/>
    <mergeCell ref="H291:I291"/>
    <mergeCell ref="C289:F290"/>
    <mergeCell ref="C291:F291"/>
    <mergeCell ref="C292:F292"/>
    <mergeCell ref="C293:F293"/>
    <mergeCell ref="C294:F294"/>
    <mergeCell ref="C295:F295"/>
    <mergeCell ref="C296:F296"/>
    <mergeCell ref="H292:I292"/>
    <mergeCell ref="H293:I293"/>
    <mergeCell ref="C279:F279"/>
    <mergeCell ref="C280:F280"/>
    <mergeCell ref="C281:F281"/>
    <mergeCell ref="C282:F282"/>
    <mergeCell ref="C283:F283"/>
    <mergeCell ref="B286:B290"/>
    <mergeCell ref="C286:F288"/>
    <mergeCell ref="H286:I286"/>
    <mergeCell ref="H287:I287"/>
    <mergeCell ref="H288:I288"/>
    <mergeCell ref="G289:G290"/>
    <mergeCell ref="H289:I289"/>
    <mergeCell ref="H290:I290"/>
    <mergeCell ref="B328:B332"/>
    <mergeCell ref="C328:F330"/>
    <mergeCell ref="H328:I328"/>
    <mergeCell ref="H329:I329"/>
    <mergeCell ref="H330:I330"/>
    <mergeCell ref="H331:I331"/>
    <mergeCell ref="H332:I332"/>
    <mergeCell ref="H315:I315"/>
    <mergeCell ref="H316:I316"/>
    <mergeCell ref="H317:I317"/>
    <mergeCell ref="C317:F318"/>
    <mergeCell ref="G317:G318"/>
    <mergeCell ref="C319:F319"/>
    <mergeCell ref="C320:F320"/>
    <mergeCell ref="H320:I320"/>
    <mergeCell ref="C321:F321"/>
    <mergeCell ref="H321:I321"/>
    <mergeCell ref="H318:I318"/>
    <mergeCell ref="H319:I319"/>
    <mergeCell ref="B314:B318"/>
    <mergeCell ref="C314:F316"/>
    <mergeCell ref="C253:F253"/>
    <mergeCell ref="C254:F254"/>
    <mergeCell ref="C255:F255"/>
    <mergeCell ref="B258:B262"/>
    <mergeCell ref="C258:F260"/>
    <mergeCell ref="H275:I275"/>
    <mergeCell ref="H276:I276"/>
    <mergeCell ref="C277:F277"/>
    <mergeCell ref="H277:I277"/>
    <mergeCell ref="B272:B276"/>
    <mergeCell ref="C272:F274"/>
    <mergeCell ref="H272:I272"/>
    <mergeCell ref="H273:I273"/>
    <mergeCell ref="H274:I274"/>
    <mergeCell ref="C241:F241"/>
    <mergeCell ref="B244:B248"/>
    <mergeCell ref="C244:F246"/>
    <mergeCell ref="C247:F248"/>
    <mergeCell ref="G247:G248"/>
    <mergeCell ref="C249:F249"/>
    <mergeCell ref="C250:F250"/>
    <mergeCell ref="C251:F251"/>
    <mergeCell ref="C252:F252"/>
    <mergeCell ref="C223:F223"/>
    <mergeCell ref="C224:F224"/>
    <mergeCell ref="C225:F225"/>
    <mergeCell ref="C226:F226"/>
    <mergeCell ref="C227:F227"/>
    <mergeCell ref="B230:B234"/>
    <mergeCell ref="C230:F232"/>
    <mergeCell ref="H230:I230"/>
    <mergeCell ref="H231:I231"/>
    <mergeCell ref="H232:I232"/>
    <mergeCell ref="G233:G234"/>
    <mergeCell ref="H233:I233"/>
    <mergeCell ref="H234:I234"/>
    <mergeCell ref="H235:I235"/>
    <mergeCell ref="C233:F234"/>
    <mergeCell ref="C235:F235"/>
    <mergeCell ref="C236:F236"/>
    <mergeCell ref="C237:F237"/>
    <mergeCell ref="C238:F238"/>
    <mergeCell ref="C380:F380"/>
    <mergeCell ref="C381:F381"/>
    <mergeCell ref="C261:F262"/>
    <mergeCell ref="G261:G262"/>
    <mergeCell ref="C263:F263"/>
    <mergeCell ref="C264:F264"/>
    <mergeCell ref="H264:I264"/>
    <mergeCell ref="C265:F265"/>
    <mergeCell ref="H265:I265"/>
    <mergeCell ref="C266:F266"/>
    <mergeCell ref="C267:F267"/>
    <mergeCell ref="C275:F276"/>
    <mergeCell ref="G275:G276"/>
    <mergeCell ref="C268:F268"/>
    <mergeCell ref="C269:F269"/>
    <mergeCell ref="C278:F278"/>
    <mergeCell ref="H278:I278"/>
    <mergeCell ref="H279:I279"/>
    <mergeCell ref="C361:F361"/>
    <mergeCell ref="C362:F362"/>
    <mergeCell ref="C363:F363"/>
    <mergeCell ref="C364:F364"/>
    <mergeCell ref="C365:F365"/>
    <mergeCell ref="C366:F366"/>
    <mergeCell ref="C367:F367"/>
    <mergeCell ref="B370:B374"/>
    <mergeCell ref="C370:F372"/>
    <mergeCell ref="C373:F374"/>
    <mergeCell ref="H356:I356"/>
    <mergeCell ref="H357:I357"/>
    <mergeCell ref="H358:I358"/>
    <mergeCell ref="H359:I359"/>
    <mergeCell ref="H360:I360"/>
    <mergeCell ref="C353:F353"/>
    <mergeCell ref="B356:B360"/>
    <mergeCell ref="C356:F358"/>
    <mergeCell ref="C359:F360"/>
    <mergeCell ref="G359:G360"/>
    <mergeCell ref="H347:I347"/>
    <mergeCell ref="C345:F346"/>
    <mergeCell ref="C347:F347"/>
    <mergeCell ref="C348:F348"/>
    <mergeCell ref="C349:F349"/>
    <mergeCell ref="C350:F350"/>
    <mergeCell ref="C351:F351"/>
    <mergeCell ref="C352:F352"/>
    <mergeCell ref="H348:I348"/>
    <mergeCell ref="H349:I349"/>
    <mergeCell ref="C336:F336"/>
    <mergeCell ref="C337:F337"/>
    <mergeCell ref="C338:F338"/>
    <mergeCell ref="C339:F339"/>
    <mergeCell ref="B342:B346"/>
    <mergeCell ref="C342:F344"/>
    <mergeCell ref="H342:I342"/>
    <mergeCell ref="H343:I343"/>
    <mergeCell ref="H344:I344"/>
    <mergeCell ref="G345:G346"/>
    <mergeCell ref="H345:I345"/>
    <mergeCell ref="H346:I346"/>
    <mergeCell ref="G373:G374"/>
    <mergeCell ref="C375:F375"/>
    <mergeCell ref="C376:F376"/>
    <mergeCell ref="H376:I376"/>
    <mergeCell ref="C377:F377"/>
    <mergeCell ref="H377:I377"/>
    <mergeCell ref="C378:F378"/>
    <mergeCell ref="C379:F379"/>
    <mergeCell ref="H374:I374"/>
    <mergeCell ref="H375:I375"/>
    <mergeCell ref="H361:I361"/>
    <mergeCell ref="H362:I362"/>
    <mergeCell ref="H363:I363"/>
    <mergeCell ref="H370:I370"/>
    <mergeCell ref="H371:I371"/>
    <mergeCell ref="H372:I372"/>
    <mergeCell ref="H373:I373"/>
    <mergeCell ref="C208:F208"/>
    <mergeCell ref="H208:I208"/>
    <mergeCell ref="C209:F209"/>
    <mergeCell ref="H209:I209"/>
    <mergeCell ref="C210:F210"/>
    <mergeCell ref="C211:F211"/>
    <mergeCell ref="H262:I262"/>
    <mergeCell ref="H263:I263"/>
    <mergeCell ref="H249:I249"/>
    <mergeCell ref="H250:I250"/>
    <mergeCell ref="H251:I251"/>
    <mergeCell ref="H258:I258"/>
    <mergeCell ref="H259:I259"/>
    <mergeCell ref="H260:I260"/>
    <mergeCell ref="H261:I261"/>
    <mergeCell ref="C239:F239"/>
    <mergeCell ref="C240:F240"/>
    <mergeCell ref="H236:I236"/>
    <mergeCell ref="H237:I237"/>
    <mergeCell ref="H244:I244"/>
    <mergeCell ref="H245:I245"/>
    <mergeCell ref="H246:I246"/>
    <mergeCell ref="H247:I247"/>
    <mergeCell ref="H248:I248"/>
    <mergeCell ref="C164:F164"/>
    <mergeCell ref="H164:I164"/>
    <mergeCell ref="C165:F165"/>
    <mergeCell ref="H165:I165"/>
    <mergeCell ref="H166:I166"/>
    <mergeCell ref="H206:I206"/>
    <mergeCell ref="H207:I207"/>
    <mergeCell ref="H193:I193"/>
    <mergeCell ref="H194:I194"/>
    <mergeCell ref="H195:I195"/>
    <mergeCell ref="H202:I202"/>
    <mergeCell ref="H203:I203"/>
    <mergeCell ref="H204:I204"/>
    <mergeCell ref="H205:I205"/>
    <mergeCell ref="C205:F206"/>
    <mergeCell ref="G205:G206"/>
    <mergeCell ref="C207:F207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C123:F123"/>
    <mergeCell ref="C124:F124"/>
    <mergeCell ref="C125:F125"/>
    <mergeCell ref="C126:F126"/>
    <mergeCell ref="C127:F127"/>
    <mergeCell ref="C128:F128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H162:I162"/>
    <mergeCell ref="H163:I16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C221:F221"/>
    <mergeCell ref="H221:I221"/>
    <mergeCell ref="C222:F222"/>
    <mergeCell ref="H222:I222"/>
    <mergeCell ref="H223:I223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C193:F193"/>
    <mergeCell ref="C194:F194"/>
    <mergeCell ref="C195:F195"/>
    <mergeCell ref="C196:F196"/>
    <mergeCell ref="C197:F197"/>
    <mergeCell ref="C198:F198"/>
    <mergeCell ref="C199:F199"/>
    <mergeCell ref="B202:B206"/>
    <mergeCell ref="C202:F204"/>
    <mergeCell ref="H188:I188"/>
    <mergeCell ref="H189:I189"/>
    <mergeCell ref="H190:I190"/>
    <mergeCell ref="H191:I191"/>
    <mergeCell ref="H192:I192"/>
    <mergeCell ref="C185:F185"/>
    <mergeCell ref="B188:B192"/>
    <mergeCell ref="C188:F190"/>
    <mergeCell ref="C191:F192"/>
    <mergeCell ref="G191:G192"/>
    <mergeCell ref="H179:I179"/>
    <mergeCell ref="C177:F178"/>
    <mergeCell ref="C179:F179"/>
    <mergeCell ref="C180:F180"/>
    <mergeCell ref="C181:F181"/>
    <mergeCell ref="C182:F182"/>
    <mergeCell ref="C183:F183"/>
    <mergeCell ref="C184:F184"/>
    <mergeCell ref="H180:I180"/>
    <mergeCell ref="H181:I181"/>
    <mergeCell ref="C166:F166"/>
    <mergeCell ref="C167:F167"/>
    <mergeCell ref="C168:F168"/>
    <mergeCell ref="C169:F169"/>
    <mergeCell ref="C170:F170"/>
    <mergeCell ref="B174:B178"/>
    <mergeCell ref="C174:F176"/>
    <mergeCell ref="H174:I174"/>
    <mergeCell ref="H175:I175"/>
    <mergeCell ref="H176:I176"/>
    <mergeCell ref="G177:G178"/>
    <mergeCell ref="H177:I177"/>
    <mergeCell ref="H178:I178"/>
    <mergeCell ref="C219:F220"/>
    <mergeCell ref="G219:G220"/>
    <mergeCell ref="C212:F212"/>
    <mergeCell ref="C213:F213"/>
    <mergeCell ref="B216:B220"/>
    <mergeCell ref="C216:F218"/>
    <mergeCell ref="H216:I216"/>
    <mergeCell ref="H217:I217"/>
    <mergeCell ref="H218:I218"/>
    <mergeCell ref="H219:I219"/>
    <mergeCell ref="H220:I220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141:F141"/>
    <mergeCell ref="C142:F142"/>
    <mergeCell ref="C131:F133"/>
    <mergeCell ref="C134:F135"/>
    <mergeCell ref="G134:G135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B59:B63"/>
    <mergeCell ref="C59:F61"/>
    <mergeCell ref="C62:F63"/>
    <mergeCell ref="G62:G63"/>
    <mergeCell ref="C64:F64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H52:I52"/>
    <mergeCell ref="H59:I59"/>
    <mergeCell ref="H60:I60"/>
    <mergeCell ref="C55:F55"/>
    <mergeCell ref="C56:F56"/>
    <mergeCell ref="C36:F36"/>
    <mergeCell ref="H36:I36"/>
    <mergeCell ref="H21:I21"/>
    <mergeCell ref="H22:I22"/>
    <mergeCell ref="H23:I23"/>
    <mergeCell ref="H34:I34"/>
    <mergeCell ref="H35:I35"/>
    <mergeCell ref="C37:F37"/>
    <mergeCell ref="H37:I37"/>
    <mergeCell ref="C7:F7"/>
    <mergeCell ref="H7:I7"/>
    <mergeCell ref="C8:F8"/>
    <mergeCell ref="H8:I8"/>
    <mergeCell ref="C9:F9"/>
    <mergeCell ref="C10:F10"/>
    <mergeCell ref="C11:F11"/>
    <mergeCell ref="C12:F12"/>
    <mergeCell ref="C21:F21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B31:B35"/>
    <mergeCell ref="C31:F33"/>
    <mergeCell ref="H31:I31"/>
    <mergeCell ref="H32:I32"/>
    <mergeCell ref="H33:I33"/>
    <mergeCell ref="C34:F35"/>
    <mergeCell ref="G34:G35"/>
    <mergeCell ref="B16:B20"/>
    <mergeCell ref="C16:F18"/>
    <mergeCell ref="C19:F20"/>
    <mergeCell ref="G19:G20"/>
    <mergeCell ref="H16:I16"/>
    <mergeCell ref="H17:I17"/>
    <mergeCell ref="H18:I18"/>
    <mergeCell ref="H19:I19"/>
    <mergeCell ref="H20:I20"/>
    <mergeCell ref="C22:F22"/>
    <mergeCell ref="C23:F23"/>
    <mergeCell ref="C24:F24"/>
    <mergeCell ref="C25:F25"/>
    <mergeCell ref="C26:F26"/>
    <mergeCell ref="C27:F27"/>
  </mergeCells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83"/>
      <c r="B1" s="470"/>
      <c r="C1" s="270"/>
      <c r="D1" s="470" t="s">
        <v>0</v>
      </c>
      <c r="E1" s="250"/>
      <c r="F1" s="250"/>
      <c r="G1" s="250"/>
      <c r="H1" s="250"/>
      <c r="I1" s="270"/>
      <c r="J1" s="104" t="s">
        <v>1</v>
      </c>
      <c r="K1" s="104" t="s">
        <v>400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2"/>
      <c r="Y1" s="82"/>
      <c r="Z1" s="82"/>
    </row>
    <row r="2" spans="1:26" ht="24.75" customHeight="1" x14ac:dyDescent="0.45">
      <c r="A2" s="83"/>
      <c r="B2" s="271"/>
      <c r="C2" s="220"/>
      <c r="D2" s="271"/>
      <c r="E2" s="213"/>
      <c r="F2" s="213"/>
      <c r="G2" s="213"/>
      <c r="H2" s="213"/>
      <c r="I2" s="220"/>
      <c r="J2" s="104" t="s">
        <v>3</v>
      </c>
      <c r="K2" s="105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2"/>
      <c r="Y2" s="82"/>
      <c r="Z2" s="82"/>
    </row>
    <row r="3" spans="1:26" ht="24.75" customHeight="1" x14ac:dyDescent="0.45">
      <c r="A3" s="83"/>
      <c r="B3" s="271"/>
      <c r="C3" s="220"/>
      <c r="D3" s="272"/>
      <c r="E3" s="252"/>
      <c r="F3" s="252"/>
      <c r="G3" s="252"/>
      <c r="H3" s="252"/>
      <c r="I3" s="273"/>
      <c r="J3" s="104" t="s">
        <v>5</v>
      </c>
      <c r="K3" s="104" t="s">
        <v>6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2"/>
      <c r="Y3" s="82"/>
      <c r="Z3" s="82"/>
    </row>
    <row r="4" spans="1:26" ht="21" customHeight="1" x14ac:dyDescent="0.45">
      <c r="A4" s="82"/>
      <c r="B4" s="271"/>
      <c r="C4" s="220"/>
      <c r="D4" s="470" t="s">
        <v>401</v>
      </c>
      <c r="E4" s="250"/>
      <c r="F4" s="250"/>
      <c r="G4" s="250"/>
      <c r="H4" s="250"/>
      <c r="I4" s="270"/>
      <c r="J4" s="471" t="s">
        <v>7</v>
      </c>
      <c r="K4" s="104" t="s">
        <v>225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8" customHeight="1" x14ac:dyDescent="0.45">
      <c r="A5" s="82"/>
      <c r="B5" s="272"/>
      <c r="C5" s="273"/>
      <c r="D5" s="272"/>
      <c r="E5" s="252"/>
      <c r="F5" s="252"/>
      <c r="G5" s="252"/>
      <c r="H5" s="252"/>
      <c r="I5" s="273"/>
      <c r="J5" s="397"/>
      <c r="K5" s="106" t="s">
        <v>226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9"/>
      <c r="K6" s="127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4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13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57" customHeight="1" x14ac:dyDescent="0.45">
      <c r="A8" s="82"/>
      <c r="B8" s="148" t="s">
        <v>10</v>
      </c>
      <c r="C8" s="225" t="str">
        <f>'COA PT'!D6</f>
        <v>AZ HIBRID CLEAR</v>
      </c>
      <c r="D8" s="226"/>
      <c r="E8" s="226"/>
      <c r="F8" s="209"/>
      <c r="G8" s="148" t="s">
        <v>21</v>
      </c>
      <c r="H8" s="528" t="str">
        <f>OP!G10</f>
        <v>EN TRAMITE</v>
      </c>
      <c r="I8" s="226"/>
      <c r="J8" s="226"/>
      <c r="K8" s="227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42.75" customHeight="1" x14ac:dyDescent="0.45">
      <c r="A9" s="82"/>
      <c r="B9" s="148" t="s">
        <v>257</v>
      </c>
      <c r="C9" s="494" t="str">
        <f>'COA PT'!H7</f>
        <v>OP-L-127</v>
      </c>
      <c r="D9" s="226"/>
      <c r="E9" s="226"/>
      <c r="F9" s="227"/>
      <c r="G9" s="148" t="s">
        <v>59</v>
      </c>
      <c r="H9" s="529">
        <f>OP!P10</f>
        <v>0</v>
      </c>
      <c r="I9" s="226"/>
      <c r="J9" s="226"/>
      <c r="K9" s="227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54.75" customHeight="1" x14ac:dyDescent="0.45">
      <c r="A10" s="82"/>
      <c r="B10" s="148" t="s">
        <v>355</v>
      </c>
      <c r="C10" s="530" t="str">
        <f>'COA PT'!D7</f>
        <v>252591</v>
      </c>
      <c r="D10" s="226"/>
      <c r="E10" s="226"/>
      <c r="F10" s="227"/>
      <c r="G10" s="148" t="s">
        <v>16</v>
      </c>
      <c r="H10" s="528" t="s">
        <v>402</v>
      </c>
      <c r="I10" s="226"/>
      <c r="J10" s="226"/>
      <c r="K10" s="227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33.75" customHeight="1" x14ac:dyDescent="0.45">
      <c r="A11" s="82"/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37.5" customHeight="1" x14ac:dyDescent="0.45">
      <c r="A12" s="82"/>
      <c r="B12" s="531" t="s">
        <v>403</v>
      </c>
      <c r="C12" s="226"/>
      <c r="D12" s="226"/>
      <c r="E12" s="226"/>
      <c r="F12" s="226"/>
      <c r="G12" s="226"/>
      <c r="H12" s="226"/>
      <c r="I12" s="226"/>
      <c r="J12" s="226"/>
      <c r="K12" s="227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42" customHeight="1" x14ac:dyDescent="0.45">
      <c r="A13" s="82"/>
      <c r="B13" s="148" t="s">
        <v>28</v>
      </c>
      <c r="C13" s="531" t="s">
        <v>29</v>
      </c>
      <c r="D13" s="226"/>
      <c r="E13" s="226"/>
      <c r="F13" s="226"/>
      <c r="G13" s="227"/>
      <c r="H13" s="531" t="s">
        <v>30</v>
      </c>
      <c r="I13" s="227"/>
      <c r="J13" s="531" t="s">
        <v>31</v>
      </c>
      <c r="K13" s="227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6" customHeight="1" x14ac:dyDescent="0.45">
      <c r="A14" s="82"/>
      <c r="B14" s="110">
        <v>1</v>
      </c>
      <c r="C14" s="533" t="s">
        <v>404</v>
      </c>
      <c r="D14" s="226"/>
      <c r="E14" s="226"/>
      <c r="F14" s="226"/>
      <c r="G14" s="227"/>
      <c r="H14" s="472"/>
      <c r="I14" s="227"/>
      <c r="J14" s="532"/>
      <c r="K14" s="227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42" customHeight="1" x14ac:dyDescent="0.45">
      <c r="A15" s="82"/>
      <c r="B15" s="121">
        <v>2</v>
      </c>
      <c r="C15" s="533" t="s">
        <v>405</v>
      </c>
      <c r="D15" s="226"/>
      <c r="E15" s="226"/>
      <c r="F15" s="226"/>
      <c r="G15" s="227"/>
      <c r="H15" s="472"/>
      <c r="I15" s="227"/>
      <c r="J15" s="532"/>
      <c r="K15" s="227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9.75" customHeight="1" x14ac:dyDescent="0.45">
      <c r="A16" s="82"/>
      <c r="B16" s="151">
        <v>3</v>
      </c>
      <c r="C16" s="533" t="s">
        <v>406</v>
      </c>
      <c r="D16" s="226"/>
      <c r="E16" s="226"/>
      <c r="F16" s="226"/>
      <c r="G16" s="227"/>
      <c r="H16" s="111"/>
      <c r="I16" s="119"/>
      <c r="J16" s="532"/>
      <c r="K16" s="227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35.25" customHeight="1" x14ac:dyDescent="0.45">
      <c r="A17" s="82"/>
      <c r="B17" s="151">
        <v>4</v>
      </c>
      <c r="C17" s="533" t="s">
        <v>407</v>
      </c>
      <c r="D17" s="226"/>
      <c r="E17" s="226"/>
      <c r="F17" s="226"/>
      <c r="G17" s="227"/>
      <c r="H17" s="111"/>
      <c r="I17" s="119"/>
      <c r="J17" s="532"/>
      <c r="K17" s="227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35.25" customHeight="1" x14ac:dyDescent="0.45">
      <c r="A18" s="82"/>
      <c r="B18" s="151">
        <v>5</v>
      </c>
      <c r="C18" s="533" t="s">
        <v>408</v>
      </c>
      <c r="D18" s="226"/>
      <c r="E18" s="226"/>
      <c r="F18" s="226"/>
      <c r="G18" s="227"/>
      <c r="H18" s="111"/>
      <c r="I18" s="119"/>
      <c r="J18" s="150"/>
      <c r="K18" s="15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33.75" customHeight="1" x14ac:dyDescent="0.45">
      <c r="A19" s="82"/>
      <c r="B19" s="151">
        <v>6</v>
      </c>
      <c r="C19" s="533" t="s">
        <v>409</v>
      </c>
      <c r="D19" s="226"/>
      <c r="E19" s="226"/>
      <c r="F19" s="226"/>
      <c r="G19" s="227"/>
      <c r="H19" s="111"/>
      <c r="I19" s="119"/>
      <c r="J19" s="532"/>
      <c r="K19" s="227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36" customHeight="1" x14ac:dyDescent="0.45">
      <c r="A20" s="82"/>
      <c r="B20" s="151">
        <v>7</v>
      </c>
      <c r="C20" s="533" t="s">
        <v>410</v>
      </c>
      <c r="D20" s="226"/>
      <c r="E20" s="226"/>
      <c r="F20" s="226"/>
      <c r="G20" s="227"/>
      <c r="H20" s="111"/>
      <c r="I20" s="119"/>
      <c r="J20" s="532"/>
      <c r="K20" s="227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36" customHeight="1" x14ac:dyDescent="0.45">
      <c r="A21" s="82"/>
      <c r="B21" s="151">
        <v>8</v>
      </c>
      <c r="C21" s="533" t="s">
        <v>411</v>
      </c>
      <c r="D21" s="226"/>
      <c r="E21" s="226"/>
      <c r="F21" s="226"/>
      <c r="G21" s="227"/>
      <c r="H21" s="111"/>
      <c r="I21" s="119"/>
      <c r="J21" s="532"/>
      <c r="K21" s="227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9" customHeight="1" x14ac:dyDescent="0.45">
      <c r="A22" s="82"/>
      <c r="B22" s="151">
        <v>9</v>
      </c>
      <c r="C22" s="533" t="s">
        <v>412</v>
      </c>
      <c r="D22" s="226"/>
      <c r="E22" s="226"/>
      <c r="F22" s="226"/>
      <c r="G22" s="227"/>
      <c r="H22" s="111"/>
      <c r="I22" s="119"/>
      <c r="J22" s="532"/>
      <c r="K22" s="227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9" customHeight="1" x14ac:dyDescent="0.45">
      <c r="A23" s="82"/>
      <c r="B23" s="151">
        <v>10</v>
      </c>
      <c r="C23" s="533" t="s">
        <v>413</v>
      </c>
      <c r="D23" s="226"/>
      <c r="E23" s="226"/>
      <c r="F23" s="226"/>
      <c r="G23" s="227"/>
      <c r="H23" s="111"/>
      <c r="I23" s="119"/>
      <c r="J23" s="150"/>
      <c r="K23" s="15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9" customHeight="1" x14ac:dyDescent="0.45">
      <c r="A24" s="82"/>
      <c r="B24" s="151">
        <v>11</v>
      </c>
      <c r="C24" s="533" t="s">
        <v>414</v>
      </c>
      <c r="D24" s="226"/>
      <c r="E24" s="226"/>
      <c r="F24" s="226"/>
      <c r="G24" s="227"/>
      <c r="H24" s="111"/>
      <c r="I24" s="119"/>
      <c r="J24" s="150"/>
      <c r="K24" s="15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9" customHeight="1" x14ac:dyDescent="0.45">
      <c r="A25" s="82"/>
      <c r="B25" s="151">
        <v>12</v>
      </c>
      <c r="C25" s="533" t="s">
        <v>415</v>
      </c>
      <c r="D25" s="226"/>
      <c r="E25" s="226"/>
      <c r="F25" s="226"/>
      <c r="G25" s="227"/>
      <c r="H25" s="111"/>
      <c r="I25" s="119"/>
      <c r="J25" s="150"/>
      <c r="K25" s="15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22.5" customHeight="1" x14ac:dyDescent="0.45">
      <c r="A26" s="82"/>
      <c r="B26" s="112"/>
      <c r="C26" s="112"/>
      <c r="D26" s="112"/>
      <c r="E26" s="153"/>
      <c r="F26" s="153"/>
      <c r="G26" s="153"/>
      <c r="H26" s="154"/>
      <c r="I26" s="154"/>
      <c r="J26" s="154"/>
      <c r="K26" s="154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26.25" customHeight="1" x14ac:dyDescent="0.45">
      <c r="A27" s="82"/>
      <c r="B27" s="534" t="s">
        <v>45</v>
      </c>
      <c r="C27" s="535"/>
      <c r="D27" s="250"/>
      <c r="E27" s="250"/>
      <c r="F27" s="250"/>
      <c r="G27" s="250"/>
      <c r="H27" s="250"/>
      <c r="I27" s="250"/>
      <c r="J27" s="250"/>
      <c r="K27" s="270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8.5" customHeight="1" x14ac:dyDescent="0.45">
      <c r="A28" s="82"/>
      <c r="B28" s="397"/>
      <c r="C28" s="272"/>
      <c r="D28" s="252"/>
      <c r="E28" s="252"/>
      <c r="F28" s="252"/>
      <c r="G28" s="252"/>
      <c r="H28" s="252"/>
      <c r="I28" s="252"/>
      <c r="J28" s="252"/>
      <c r="K28" s="273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22.5" customHeight="1" x14ac:dyDescent="0.45">
      <c r="A29" s="82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73" customHeight="1" x14ac:dyDescent="0.45">
      <c r="A30" s="82"/>
      <c r="B30" s="534" t="s">
        <v>416</v>
      </c>
      <c r="C30" s="535"/>
      <c r="D30" s="250"/>
      <c r="E30" s="250"/>
      <c r="F30" s="250"/>
      <c r="G30" s="250"/>
      <c r="H30" s="250"/>
      <c r="I30" s="250"/>
      <c r="J30" s="250"/>
      <c r="K30" s="270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277.5" customHeight="1" x14ac:dyDescent="0.45">
      <c r="A31" s="82"/>
      <c r="B31" s="397"/>
      <c r="C31" s="272"/>
      <c r="D31" s="252"/>
      <c r="E31" s="252"/>
      <c r="F31" s="252"/>
      <c r="G31" s="252"/>
      <c r="H31" s="252"/>
      <c r="I31" s="252"/>
      <c r="J31" s="252"/>
      <c r="K31" s="273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34.5" customHeight="1" x14ac:dyDescent="0.45">
      <c r="A32" s="82"/>
      <c r="B32" s="536" t="s">
        <v>417</v>
      </c>
      <c r="C32" s="226"/>
      <c r="D32" s="226"/>
      <c r="E32" s="226"/>
      <c r="F32" s="227"/>
      <c r="G32" s="155"/>
      <c r="H32" s="155"/>
      <c r="I32" s="155"/>
      <c r="J32" s="155"/>
      <c r="K32" s="156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34.5" customHeight="1" x14ac:dyDescent="0.45">
      <c r="A33" s="82"/>
      <c r="B33" s="536" t="s">
        <v>418</v>
      </c>
      <c r="C33" s="226"/>
      <c r="D33" s="226"/>
      <c r="E33" s="226"/>
      <c r="F33" s="227"/>
      <c r="G33" s="472"/>
      <c r="H33" s="226"/>
      <c r="I33" s="226"/>
      <c r="J33" s="110" t="s">
        <v>67</v>
      </c>
      <c r="K33" s="119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37.5" customHeight="1" x14ac:dyDescent="0.45">
      <c r="A34" s="82"/>
      <c r="B34" s="536" t="s">
        <v>340</v>
      </c>
      <c r="C34" s="226"/>
      <c r="D34" s="226"/>
      <c r="E34" s="226"/>
      <c r="F34" s="227"/>
      <c r="G34" s="472"/>
      <c r="H34" s="226"/>
      <c r="I34" s="226"/>
      <c r="J34" s="226"/>
      <c r="K34" s="227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290" t="s">
        <v>52</v>
      </c>
      <c r="C35" s="213"/>
      <c r="D35" s="213"/>
      <c r="E35" s="213"/>
      <c r="F35" s="213"/>
      <c r="G35" s="213"/>
      <c r="H35" s="213"/>
      <c r="I35" s="213"/>
      <c r="J35" s="213"/>
      <c r="K35" s="213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46"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  <mergeCell ref="C20:G20"/>
    <mergeCell ref="J20:K20"/>
    <mergeCell ref="J21:K21"/>
    <mergeCell ref="B27:B28"/>
    <mergeCell ref="B30:B31"/>
    <mergeCell ref="C30:K31"/>
    <mergeCell ref="J17:K17"/>
    <mergeCell ref="C17:G17"/>
    <mergeCell ref="C18:G18"/>
    <mergeCell ref="C19:G19"/>
    <mergeCell ref="J19:K19"/>
    <mergeCell ref="C15:G15"/>
    <mergeCell ref="H15:I15"/>
    <mergeCell ref="J15:K15"/>
    <mergeCell ref="C16:G16"/>
    <mergeCell ref="J16:K16"/>
    <mergeCell ref="B12:K12"/>
    <mergeCell ref="C13:G13"/>
    <mergeCell ref="H13:I13"/>
    <mergeCell ref="J13:K13"/>
    <mergeCell ref="H14:I14"/>
    <mergeCell ref="J14:K14"/>
    <mergeCell ref="C14:G14"/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</mergeCells>
  <pageMargins left="0.7" right="0.7" top="0.75" bottom="0.75" header="0" footer="0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8.1328125" customWidth="1"/>
    <col min="4" max="4" width="20.265625" customWidth="1"/>
    <col min="5" max="5" width="26.86328125" customWidth="1"/>
    <col min="6" max="6" width="9.3984375" customWidth="1"/>
    <col min="7" max="7" width="26.265625" customWidth="1"/>
    <col min="8" max="8" width="39.13281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7"/>
      <c r="B1" s="549"/>
      <c r="C1" s="550" t="s">
        <v>0</v>
      </c>
      <c r="D1" s="211"/>
      <c r="E1" s="211"/>
      <c r="F1" s="211"/>
      <c r="G1" s="211"/>
      <c r="H1" s="205"/>
      <c r="I1" s="158" t="s">
        <v>1</v>
      </c>
      <c r="J1" s="159" t="s">
        <v>419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57"/>
      <c r="B2" s="213"/>
      <c r="C2" s="212"/>
      <c r="D2" s="213"/>
      <c r="E2" s="213"/>
      <c r="F2" s="213"/>
      <c r="G2" s="213"/>
      <c r="H2" s="201"/>
      <c r="I2" s="107" t="s">
        <v>3</v>
      </c>
      <c r="J2" s="160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57"/>
      <c r="B3" s="213"/>
      <c r="C3" s="308"/>
      <c r="D3" s="252"/>
      <c r="E3" s="252"/>
      <c r="F3" s="252"/>
      <c r="G3" s="252"/>
      <c r="H3" s="369"/>
      <c r="I3" s="161" t="s">
        <v>5</v>
      </c>
      <c r="J3" s="161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162"/>
      <c r="B4" s="213"/>
      <c r="C4" s="550" t="s">
        <v>420</v>
      </c>
      <c r="D4" s="211"/>
      <c r="E4" s="211"/>
      <c r="F4" s="211"/>
      <c r="G4" s="211"/>
      <c r="H4" s="205"/>
      <c r="I4" s="551" t="s">
        <v>7</v>
      </c>
      <c r="J4" s="163" t="s">
        <v>8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162"/>
      <c r="B5" s="214"/>
      <c r="C5" s="206"/>
      <c r="D5" s="214"/>
      <c r="E5" s="214"/>
      <c r="F5" s="214"/>
      <c r="G5" s="214"/>
      <c r="H5" s="207"/>
      <c r="I5" s="508"/>
      <c r="J5" s="164" t="s">
        <v>9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127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537"/>
      <c r="C8" s="506" t="s">
        <v>0</v>
      </c>
      <c r="D8" s="146" t="s">
        <v>1</v>
      </c>
      <c r="E8" s="146" t="s">
        <v>419</v>
      </c>
      <c r="F8" s="13"/>
      <c r="G8" s="537"/>
      <c r="H8" s="506" t="s">
        <v>0</v>
      </c>
      <c r="I8" s="146" t="s">
        <v>1</v>
      </c>
      <c r="J8" s="146" t="s">
        <v>419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12"/>
      <c r="C9" s="507"/>
      <c r="D9" s="147" t="s">
        <v>3</v>
      </c>
      <c r="E9" s="165">
        <v>1</v>
      </c>
      <c r="F9" s="13"/>
      <c r="G9" s="212"/>
      <c r="H9" s="507"/>
      <c r="I9" s="147" t="s">
        <v>3</v>
      </c>
      <c r="J9" s="165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12"/>
      <c r="C10" s="508"/>
      <c r="D10" s="146" t="s">
        <v>5</v>
      </c>
      <c r="E10" s="146" t="s">
        <v>6</v>
      </c>
      <c r="F10" s="13"/>
      <c r="G10" s="212"/>
      <c r="H10" s="508"/>
      <c r="I10" s="146" t="s">
        <v>5</v>
      </c>
      <c r="J10" s="146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12"/>
      <c r="C11" s="506" t="s">
        <v>420</v>
      </c>
      <c r="D11" s="538" t="s">
        <v>7</v>
      </c>
      <c r="E11" s="166" t="s">
        <v>8</v>
      </c>
      <c r="F11" s="13"/>
      <c r="G11" s="212"/>
      <c r="H11" s="506" t="s">
        <v>420</v>
      </c>
      <c r="I11" s="538" t="s">
        <v>7</v>
      </c>
      <c r="J11" s="166" t="s">
        <v>8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162"/>
      <c r="B12" s="212"/>
      <c r="C12" s="508"/>
      <c r="D12" s="369"/>
      <c r="E12" s="167" t="s">
        <v>9</v>
      </c>
      <c r="F12" s="13"/>
      <c r="G12" s="212"/>
      <c r="H12" s="508"/>
      <c r="I12" s="369"/>
      <c r="J12" s="167" t="s">
        <v>9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57" customHeight="1" x14ac:dyDescent="0.45">
      <c r="A13" s="82"/>
      <c r="B13" s="168" t="s">
        <v>421</v>
      </c>
      <c r="C13" s="221" t="e">
        <f>'[1]INSPECCIÓN ETIQUETAS'!C8</f>
        <v>#REF!</v>
      </c>
      <c r="D13" s="211"/>
      <c r="E13" s="205"/>
      <c r="F13" s="169"/>
      <c r="G13" s="168" t="s">
        <v>421</v>
      </c>
      <c r="H13" s="221" t="e">
        <f t="shared" ref="H13:H16" si="0">C13</f>
        <v>#REF!</v>
      </c>
      <c r="I13" s="211"/>
      <c r="J13" s="205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52.5" customHeight="1" x14ac:dyDescent="0.45">
      <c r="A14" s="82"/>
      <c r="B14" s="170" t="s">
        <v>348</v>
      </c>
      <c r="C14" s="171" t="e">
        <f>'[1]INSPECCIÓN ETIQUETAS'!C10</f>
        <v>#REF!</v>
      </c>
      <c r="D14" s="170" t="s">
        <v>208</v>
      </c>
      <c r="E14" s="172"/>
      <c r="F14" s="169"/>
      <c r="G14" s="170" t="s">
        <v>348</v>
      </c>
      <c r="H14" s="171" t="e">
        <f t="shared" si="0"/>
        <v>#REF!</v>
      </c>
      <c r="I14" s="170" t="s">
        <v>208</v>
      </c>
      <c r="J14" s="17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55.5" customHeight="1" x14ac:dyDescent="0.45">
      <c r="A15" s="82"/>
      <c r="B15" s="168" t="s">
        <v>422</v>
      </c>
      <c r="C15" s="547" t="e">
        <f>'[1]INSPECCIÓN ETIQUETAS'!C9</f>
        <v>#REF!</v>
      </c>
      <c r="D15" s="243"/>
      <c r="E15" s="203"/>
      <c r="F15" s="169"/>
      <c r="G15" s="168" t="s">
        <v>422</v>
      </c>
      <c r="H15" s="547" t="e">
        <f t="shared" si="0"/>
        <v>#REF!</v>
      </c>
      <c r="I15" s="243"/>
      <c r="J15" s="203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50.25" customHeight="1" x14ac:dyDescent="0.45">
      <c r="A16" s="82"/>
      <c r="B16" s="168" t="s">
        <v>423</v>
      </c>
      <c r="C16" s="548">
        <f>OP!P12</f>
        <v>36</v>
      </c>
      <c r="D16" s="243"/>
      <c r="E16" s="203"/>
      <c r="F16" s="173"/>
      <c r="G16" s="168" t="s">
        <v>423</v>
      </c>
      <c r="H16" s="548">
        <f t="shared" si="0"/>
        <v>36</v>
      </c>
      <c r="I16" s="243"/>
      <c r="J16" s="203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539" t="s">
        <v>31</v>
      </c>
      <c r="C17" s="540"/>
      <c r="D17" s="211"/>
      <c r="E17" s="205"/>
      <c r="F17" s="173"/>
      <c r="G17" s="539" t="s">
        <v>31</v>
      </c>
      <c r="H17" s="540"/>
      <c r="I17" s="211"/>
      <c r="J17" s="205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" customHeight="1" x14ac:dyDescent="0.45">
      <c r="A18" s="82"/>
      <c r="B18" s="507"/>
      <c r="C18" s="212"/>
      <c r="D18" s="213"/>
      <c r="E18" s="201"/>
      <c r="F18" s="169"/>
      <c r="G18" s="507"/>
      <c r="H18" s="212"/>
      <c r="I18" s="213"/>
      <c r="J18" s="201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507"/>
      <c r="C19" s="212"/>
      <c r="D19" s="213"/>
      <c r="E19" s="201"/>
      <c r="F19" s="169"/>
      <c r="G19" s="507"/>
      <c r="H19" s="212"/>
      <c r="I19" s="213"/>
      <c r="J19" s="201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32.25" customHeight="1" x14ac:dyDescent="0.45">
      <c r="A20" s="82"/>
      <c r="B20" s="508"/>
      <c r="C20" s="206"/>
      <c r="D20" s="214"/>
      <c r="E20" s="207"/>
      <c r="F20" s="169"/>
      <c r="G20" s="508"/>
      <c r="H20" s="206"/>
      <c r="I20" s="214"/>
      <c r="J20" s="207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39" customHeight="1" x14ac:dyDescent="0.45">
      <c r="A21" s="82"/>
      <c r="B21" s="174" t="s">
        <v>86</v>
      </c>
      <c r="C21" s="544"/>
      <c r="D21" s="243"/>
      <c r="E21" s="203"/>
      <c r="F21" s="13"/>
      <c r="G21" s="174" t="s">
        <v>86</v>
      </c>
      <c r="H21" s="544"/>
      <c r="I21" s="243"/>
      <c r="J21" s="203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.75" customHeight="1" x14ac:dyDescent="0.45">
      <c r="A22" s="82"/>
      <c r="B22" s="13"/>
      <c r="C22" s="13"/>
      <c r="D22" s="13"/>
      <c r="E22" s="13"/>
      <c r="F22" s="13"/>
      <c r="G22" s="13"/>
      <c r="H22" s="13"/>
      <c r="I22" s="13"/>
      <c r="J22" s="13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537"/>
      <c r="C23" s="506" t="s">
        <v>0</v>
      </c>
      <c r="D23" s="146" t="s">
        <v>1</v>
      </c>
      <c r="E23" s="146" t="s">
        <v>419</v>
      </c>
      <c r="F23" s="13"/>
      <c r="G23" s="537"/>
      <c r="H23" s="506" t="s">
        <v>0</v>
      </c>
      <c r="I23" s="146" t="s">
        <v>1</v>
      </c>
      <c r="J23" s="146" t="s">
        <v>419</v>
      </c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212"/>
      <c r="C24" s="507"/>
      <c r="D24" s="147" t="s">
        <v>3</v>
      </c>
      <c r="E24" s="165">
        <v>1</v>
      </c>
      <c r="F24" s="13"/>
      <c r="G24" s="212"/>
      <c r="H24" s="507"/>
      <c r="I24" s="147" t="s">
        <v>3</v>
      </c>
      <c r="J24" s="165">
        <v>1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212"/>
      <c r="C25" s="508"/>
      <c r="D25" s="146" t="s">
        <v>5</v>
      </c>
      <c r="E25" s="146" t="s">
        <v>6</v>
      </c>
      <c r="F25" s="13"/>
      <c r="G25" s="212"/>
      <c r="H25" s="508"/>
      <c r="I25" s="146" t="s">
        <v>5</v>
      </c>
      <c r="J25" s="146" t="s">
        <v>6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212"/>
      <c r="C26" s="506" t="s">
        <v>420</v>
      </c>
      <c r="D26" s="538" t="s">
        <v>7</v>
      </c>
      <c r="E26" s="166" t="s">
        <v>8</v>
      </c>
      <c r="F26" s="13"/>
      <c r="G26" s="212"/>
      <c r="H26" s="506" t="s">
        <v>420</v>
      </c>
      <c r="I26" s="538" t="s">
        <v>7</v>
      </c>
      <c r="J26" s="166" t="s">
        <v>8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212"/>
      <c r="C27" s="508"/>
      <c r="D27" s="369"/>
      <c r="E27" s="167" t="s">
        <v>9</v>
      </c>
      <c r="F27" s="13"/>
      <c r="G27" s="212"/>
      <c r="H27" s="508"/>
      <c r="I27" s="369"/>
      <c r="J27" s="167" t="s">
        <v>9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57.75" customHeight="1" x14ac:dyDescent="0.45">
      <c r="A28" s="82"/>
      <c r="B28" s="168" t="s">
        <v>421</v>
      </c>
      <c r="C28" s="541"/>
      <c r="D28" s="211"/>
      <c r="E28" s="205"/>
      <c r="F28" s="169"/>
      <c r="G28" s="168" t="s">
        <v>421</v>
      </c>
      <c r="H28" s="541"/>
      <c r="I28" s="211"/>
      <c r="J28" s="205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62.25" customHeight="1" x14ac:dyDescent="0.45">
      <c r="A29" s="82"/>
      <c r="B29" s="170" t="s">
        <v>348</v>
      </c>
      <c r="C29" s="175"/>
      <c r="D29" s="170" t="s">
        <v>208</v>
      </c>
      <c r="E29" s="172"/>
      <c r="F29" s="169"/>
      <c r="G29" s="170" t="s">
        <v>348</v>
      </c>
      <c r="H29" s="175"/>
      <c r="I29" s="170" t="s">
        <v>208</v>
      </c>
      <c r="J29" s="17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71.25" customHeight="1" x14ac:dyDescent="0.45">
      <c r="A30" s="82"/>
      <c r="B30" s="168" t="s">
        <v>422</v>
      </c>
      <c r="C30" s="542"/>
      <c r="D30" s="243"/>
      <c r="E30" s="203"/>
      <c r="F30" s="169"/>
      <c r="G30" s="168" t="s">
        <v>422</v>
      </c>
      <c r="H30" s="542"/>
      <c r="I30" s="243"/>
      <c r="J30" s="203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68.25" customHeight="1" x14ac:dyDescent="0.45">
      <c r="A31" s="82"/>
      <c r="B31" s="168" t="s">
        <v>423</v>
      </c>
      <c r="C31" s="542"/>
      <c r="D31" s="243"/>
      <c r="E31" s="203"/>
      <c r="F31" s="173"/>
      <c r="G31" s="168" t="s">
        <v>423</v>
      </c>
      <c r="H31" s="542"/>
      <c r="I31" s="243"/>
      <c r="J31" s="203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539" t="s">
        <v>31</v>
      </c>
      <c r="C32" s="540"/>
      <c r="D32" s="211"/>
      <c r="E32" s="205"/>
      <c r="F32" s="173"/>
      <c r="G32" s="539" t="s">
        <v>31</v>
      </c>
      <c r="H32" s="540"/>
      <c r="I32" s="211"/>
      <c r="J32" s="205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507"/>
      <c r="C33" s="212"/>
      <c r="D33" s="213"/>
      <c r="E33" s="201"/>
      <c r="F33" s="169"/>
      <c r="G33" s="507"/>
      <c r="H33" s="212"/>
      <c r="I33" s="213"/>
      <c r="J33" s="201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507"/>
      <c r="C34" s="212"/>
      <c r="D34" s="213"/>
      <c r="E34" s="201"/>
      <c r="F34" s="169"/>
      <c r="G34" s="507"/>
      <c r="H34" s="212"/>
      <c r="I34" s="213"/>
      <c r="J34" s="201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29.25" customHeight="1" x14ac:dyDescent="0.45">
      <c r="A35" s="82"/>
      <c r="B35" s="508"/>
      <c r="C35" s="206"/>
      <c r="D35" s="214"/>
      <c r="E35" s="207"/>
      <c r="F35" s="169"/>
      <c r="G35" s="508"/>
      <c r="H35" s="206"/>
      <c r="I35" s="214"/>
      <c r="J35" s="207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50.25" customHeight="1" x14ac:dyDescent="0.45">
      <c r="A36" s="82"/>
      <c r="B36" s="174" t="s">
        <v>86</v>
      </c>
      <c r="C36" s="544"/>
      <c r="D36" s="243"/>
      <c r="E36" s="203"/>
      <c r="F36" s="13"/>
      <c r="G36" s="174" t="s">
        <v>86</v>
      </c>
      <c r="H36" s="544"/>
      <c r="I36" s="243"/>
      <c r="J36" s="203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"/>
      <c r="C37" s="13"/>
      <c r="D37" s="13"/>
      <c r="E37" s="13"/>
      <c r="F37" s="13"/>
      <c r="G37" s="13"/>
      <c r="H37" s="13"/>
      <c r="I37" s="13"/>
      <c r="J37" s="13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537"/>
      <c r="C38" s="506" t="s">
        <v>0</v>
      </c>
      <c r="D38" s="146" t="s">
        <v>1</v>
      </c>
      <c r="E38" s="146" t="s">
        <v>419</v>
      </c>
      <c r="F38" s="13"/>
      <c r="G38" s="537"/>
      <c r="H38" s="506" t="s">
        <v>0</v>
      </c>
      <c r="I38" s="146" t="s">
        <v>1</v>
      </c>
      <c r="J38" s="146" t="s">
        <v>419</v>
      </c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212"/>
      <c r="C39" s="507"/>
      <c r="D39" s="147" t="s">
        <v>3</v>
      </c>
      <c r="E39" s="165">
        <v>1</v>
      </c>
      <c r="F39" s="13"/>
      <c r="G39" s="212"/>
      <c r="H39" s="507"/>
      <c r="I39" s="147" t="s">
        <v>3</v>
      </c>
      <c r="J39" s="165">
        <v>1</v>
      </c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212"/>
      <c r="C40" s="508"/>
      <c r="D40" s="146" t="s">
        <v>5</v>
      </c>
      <c r="E40" s="146" t="s">
        <v>6</v>
      </c>
      <c r="F40" s="13"/>
      <c r="G40" s="212"/>
      <c r="H40" s="508"/>
      <c r="I40" s="146" t="s">
        <v>5</v>
      </c>
      <c r="J40" s="146" t="s">
        <v>6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212"/>
      <c r="C41" s="506" t="s">
        <v>420</v>
      </c>
      <c r="D41" s="538" t="s">
        <v>7</v>
      </c>
      <c r="E41" s="166" t="s">
        <v>8</v>
      </c>
      <c r="F41" s="13"/>
      <c r="G41" s="212"/>
      <c r="H41" s="506" t="s">
        <v>420</v>
      </c>
      <c r="I41" s="538" t="s">
        <v>7</v>
      </c>
      <c r="J41" s="166" t="s">
        <v>8</v>
      </c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212"/>
      <c r="C42" s="508"/>
      <c r="D42" s="369"/>
      <c r="E42" s="167" t="s">
        <v>9</v>
      </c>
      <c r="F42" s="13"/>
      <c r="G42" s="212"/>
      <c r="H42" s="508"/>
      <c r="I42" s="369"/>
      <c r="J42" s="167" t="s">
        <v>9</v>
      </c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59.25" customHeight="1" x14ac:dyDescent="0.45">
      <c r="A43" s="82"/>
      <c r="B43" s="168" t="s">
        <v>421</v>
      </c>
      <c r="C43" s="541"/>
      <c r="D43" s="211"/>
      <c r="E43" s="205"/>
      <c r="F43" s="169"/>
      <c r="G43" s="168" t="s">
        <v>421</v>
      </c>
      <c r="H43" s="541"/>
      <c r="I43" s="211"/>
      <c r="J43" s="205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54.75" customHeight="1" x14ac:dyDescent="0.45">
      <c r="A44" s="82"/>
      <c r="B44" s="170" t="s">
        <v>348</v>
      </c>
      <c r="C44" s="175"/>
      <c r="D44" s="170" t="s">
        <v>208</v>
      </c>
      <c r="E44" s="172"/>
      <c r="F44" s="169"/>
      <c r="G44" s="170" t="s">
        <v>348</v>
      </c>
      <c r="H44" s="542"/>
      <c r="I44" s="243"/>
      <c r="J44" s="203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54" customHeight="1" x14ac:dyDescent="0.45">
      <c r="A45" s="82"/>
      <c r="B45" s="168" t="s">
        <v>422</v>
      </c>
      <c r="C45" s="542"/>
      <c r="D45" s="243"/>
      <c r="E45" s="203"/>
      <c r="F45" s="169"/>
      <c r="G45" s="168" t="s">
        <v>422</v>
      </c>
      <c r="H45" s="542"/>
      <c r="I45" s="243"/>
      <c r="J45" s="203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57.75" customHeight="1" x14ac:dyDescent="0.45">
      <c r="A46" s="82"/>
      <c r="B46" s="168" t="s">
        <v>423</v>
      </c>
      <c r="C46" s="542"/>
      <c r="D46" s="243"/>
      <c r="E46" s="203"/>
      <c r="F46" s="173"/>
      <c r="G46" s="168" t="s">
        <v>423</v>
      </c>
      <c r="H46" s="542"/>
      <c r="I46" s="243"/>
      <c r="J46" s="203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539" t="s">
        <v>31</v>
      </c>
      <c r="C47" s="540"/>
      <c r="D47" s="211"/>
      <c r="E47" s="205"/>
      <c r="F47" s="173"/>
      <c r="G47" s="539" t="s">
        <v>31</v>
      </c>
      <c r="H47" s="540"/>
      <c r="I47" s="211"/>
      <c r="J47" s="205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507"/>
      <c r="C48" s="212"/>
      <c r="D48" s="213"/>
      <c r="E48" s="201"/>
      <c r="F48" s="169"/>
      <c r="G48" s="507"/>
      <c r="H48" s="212"/>
      <c r="I48" s="213"/>
      <c r="J48" s="201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507"/>
      <c r="C49" s="212"/>
      <c r="D49" s="213"/>
      <c r="E49" s="201"/>
      <c r="F49" s="169"/>
      <c r="G49" s="507"/>
      <c r="H49" s="212"/>
      <c r="I49" s="213"/>
      <c r="J49" s="201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43.5" customHeight="1" x14ac:dyDescent="0.45">
      <c r="A50" s="82"/>
      <c r="B50" s="508"/>
      <c r="C50" s="206"/>
      <c r="D50" s="214"/>
      <c r="E50" s="207"/>
      <c r="F50" s="169"/>
      <c r="G50" s="508"/>
      <c r="H50" s="206"/>
      <c r="I50" s="214"/>
      <c r="J50" s="207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42.75" customHeight="1" x14ac:dyDescent="0.45">
      <c r="A51" s="82"/>
      <c r="B51" s="174" t="s">
        <v>86</v>
      </c>
      <c r="C51" s="544"/>
      <c r="D51" s="243"/>
      <c r="E51" s="203"/>
      <c r="F51" s="13"/>
      <c r="G51" s="174" t="s">
        <v>86</v>
      </c>
      <c r="H51" s="544"/>
      <c r="I51" s="243"/>
      <c r="J51" s="203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218"/>
      <c r="C53" s="218"/>
      <c r="D53" s="9"/>
      <c r="E53" s="9"/>
      <c r="F53" s="13"/>
      <c r="G53" s="218"/>
      <c r="H53" s="218"/>
      <c r="I53" s="9"/>
      <c r="J53" s="9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213"/>
      <c r="C54" s="213"/>
      <c r="D54" s="9"/>
      <c r="E54" s="27"/>
      <c r="F54" s="13"/>
      <c r="G54" s="213"/>
      <c r="H54" s="213"/>
      <c r="I54" s="9"/>
      <c r="J54" s="27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213"/>
      <c r="C55" s="213"/>
      <c r="D55" s="9"/>
      <c r="E55" s="9"/>
      <c r="F55" s="13"/>
      <c r="G55" s="213"/>
      <c r="H55" s="213"/>
      <c r="I55" s="9"/>
      <c r="J55" s="9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213"/>
      <c r="C56" s="218"/>
      <c r="D56" s="286"/>
      <c r="E56" s="9"/>
      <c r="F56" s="13"/>
      <c r="G56" s="213"/>
      <c r="H56" s="218"/>
      <c r="I56" s="286"/>
      <c r="J56" s="9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213"/>
      <c r="C57" s="213"/>
      <c r="D57" s="213"/>
      <c r="E57" s="127"/>
      <c r="F57" s="13"/>
      <c r="G57" s="213"/>
      <c r="H57" s="213"/>
      <c r="I57" s="213"/>
      <c r="J57" s="127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33" customHeight="1" x14ac:dyDescent="0.45">
      <c r="A58" s="82"/>
      <c r="B58" s="176"/>
      <c r="C58" s="543"/>
      <c r="D58" s="213"/>
      <c r="E58" s="213"/>
      <c r="F58" s="13"/>
      <c r="G58" s="176"/>
      <c r="H58" s="543"/>
      <c r="I58" s="213"/>
      <c r="J58" s="213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33" customHeight="1" x14ac:dyDescent="0.45">
      <c r="A59" s="82"/>
      <c r="B59" s="176"/>
      <c r="C59" s="177"/>
      <c r="D59" s="176"/>
      <c r="E59" s="177"/>
      <c r="F59" s="13"/>
      <c r="G59" s="176"/>
      <c r="H59" s="177"/>
      <c r="I59" s="176"/>
      <c r="J59" s="177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45" customHeight="1" x14ac:dyDescent="0.45">
      <c r="A60" s="82"/>
      <c r="B60" s="176"/>
      <c r="C60" s="543"/>
      <c r="D60" s="213"/>
      <c r="E60" s="213"/>
      <c r="F60" s="13"/>
      <c r="G60" s="176"/>
      <c r="H60" s="543"/>
      <c r="I60" s="213"/>
      <c r="J60" s="213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36" customHeight="1" x14ac:dyDescent="0.45">
      <c r="A61" s="82"/>
      <c r="B61" s="176"/>
      <c r="C61" s="543"/>
      <c r="D61" s="213"/>
      <c r="E61" s="213"/>
      <c r="F61" s="13"/>
      <c r="G61" s="176"/>
      <c r="H61" s="543"/>
      <c r="I61" s="213"/>
      <c r="J61" s="213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546"/>
      <c r="C62" s="545"/>
      <c r="D62" s="213"/>
      <c r="E62" s="213"/>
      <c r="F62" s="13"/>
      <c r="G62" s="546"/>
      <c r="H62" s="545"/>
      <c r="I62" s="213"/>
      <c r="J62" s="213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213"/>
      <c r="C63" s="213"/>
      <c r="D63" s="213"/>
      <c r="E63" s="213"/>
      <c r="F63" s="13"/>
      <c r="G63" s="213"/>
      <c r="H63" s="213"/>
      <c r="I63" s="213"/>
      <c r="J63" s="213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213"/>
      <c r="C64" s="213"/>
      <c r="D64" s="213"/>
      <c r="E64" s="213"/>
      <c r="F64" s="13"/>
      <c r="G64" s="213"/>
      <c r="H64" s="213"/>
      <c r="I64" s="213"/>
      <c r="J64" s="213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213"/>
      <c r="C65" s="213"/>
      <c r="D65" s="213"/>
      <c r="E65" s="213"/>
      <c r="F65" s="13"/>
      <c r="G65" s="213"/>
      <c r="H65" s="213"/>
      <c r="I65" s="213"/>
      <c r="J65" s="213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21" customHeight="1" x14ac:dyDescent="0.45">
      <c r="A66" s="82"/>
      <c r="B66" s="178"/>
      <c r="C66" s="545"/>
      <c r="D66" s="213"/>
      <c r="E66" s="213"/>
      <c r="F66" s="13"/>
      <c r="G66" s="178"/>
      <c r="H66" s="545"/>
      <c r="I66" s="213"/>
      <c r="J66" s="213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"/>
      <c r="C236" s="13"/>
      <c r="D236" s="13"/>
      <c r="E236" s="13"/>
      <c r="F236" s="13"/>
      <c r="G236" s="13"/>
      <c r="H236" s="13"/>
      <c r="I236" s="13"/>
      <c r="J236" s="13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"/>
      <c r="C237" s="13"/>
      <c r="D237" s="13"/>
      <c r="E237" s="13"/>
      <c r="F237" s="13"/>
      <c r="G237" s="13"/>
      <c r="H237" s="13"/>
      <c r="I237" s="13"/>
      <c r="J237" s="13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"/>
      <c r="C238" s="13"/>
      <c r="D238" s="13"/>
      <c r="E238" s="13"/>
      <c r="F238" s="13"/>
      <c r="G238" s="13"/>
      <c r="H238" s="13"/>
      <c r="I238" s="13"/>
      <c r="J238" s="13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"/>
      <c r="C239" s="13"/>
      <c r="D239" s="13"/>
      <c r="E239" s="13"/>
      <c r="F239" s="13"/>
      <c r="G239" s="13"/>
      <c r="H239" s="13"/>
      <c r="I239" s="13"/>
      <c r="J239" s="13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"/>
      <c r="C240" s="13"/>
      <c r="D240" s="13"/>
      <c r="E240" s="13"/>
      <c r="F240" s="13"/>
      <c r="G240" s="13"/>
      <c r="H240" s="13"/>
      <c r="I240" s="13"/>
      <c r="J240" s="13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3"/>
      <c r="C241" s="13"/>
      <c r="D241" s="13"/>
      <c r="E241" s="13"/>
      <c r="F241" s="13"/>
      <c r="G241" s="13"/>
      <c r="H241" s="13"/>
      <c r="I241" s="13"/>
      <c r="J241" s="13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3"/>
      <c r="C242" s="13"/>
      <c r="D242" s="13"/>
      <c r="E242" s="13"/>
      <c r="F242" s="13"/>
      <c r="G242" s="13"/>
      <c r="H242" s="13"/>
      <c r="I242" s="13"/>
      <c r="J242" s="13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3"/>
      <c r="C243" s="13"/>
      <c r="D243" s="13"/>
      <c r="E243" s="13"/>
      <c r="F243" s="13"/>
      <c r="G243" s="13"/>
      <c r="H243" s="13"/>
      <c r="I243" s="13"/>
      <c r="J243" s="13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3"/>
      <c r="C244" s="13"/>
      <c r="D244" s="13"/>
      <c r="E244" s="13"/>
      <c r="F244" s="13"/>
      <c r="G244" s="13"/>
      <c r="H244" s="13"/>
      <c r="I244" s="13"/>
      <c r="J244" s="13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3"/>
      <c r="C245" s="13"/>
      <c r="D245" s="13"/>
      <c r="E245" s="13"/>
      <c r="F245" s="13"/>
      <c r="G245" s="13"/>
      <c r="H245" s="13"/>
      <c r="I245" s="13"/>
      <c r="J245" s="13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3"/>
      <c r="C246" s="13"/>
      <c r="D246" s="13"/>
      <c r="E246" s="13"/>
      <c r="F246" s="13"/>
      <c r="G246" s="13"/>
      <c r="H246" s="13"/>
      <c r="I246" s="13"/>
      <c r="J246" s="13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3"/>
      <c r="C247" s="13"/>
      <c r="D247" s="13"/>
      <c r="E247" s="13"/>
      <c r="F247" s="13"/>
      <c r="G247" s="13"/>
      <c r="H247" s="13"/>
      <c r="I247" s="13"/>
      <c r="J247" s="13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3"/>
      <c r="C248" s="13"/>
      <c r="D248" s="13"/>
      <c r="E248" s="13"/>
      <c r="F248" s="13"/>
      <c r="G248" s="13"/>
      <c r="H248" s="13"/>
      <c r="I248" s="13"/>
      <c r="J248" s="13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3"/>
      <c r="C249" s="13"/>
      <c r="D249" s="13"/>
      <c r="E249" s="13"/>
      <c r="F249" s="13"/>
      <c r="G249" s="13"/>
      <c r="H249" s="13"/>
      <c r="I249" s="13"/>
      <c r="J249" s="13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3"/>
      <c r="C250" s="13"/>
      <c r="D250" s="13"/>
      <c r="E250" s="13"/>
      <c r="F250" s="13"/>
      <c r="G250" s="13"/>
      <c r="H250" s="13"/>
      <c r="I250" s="13"/>
      <c r="J250" s="13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3"/>
      <c r="C251" s="13"/>
      <c r="D251" s="13"/>
      <c r="E251" s="13"/>
      <c r="F251" s="13"/>
      <c r="G251" s="13"/>
      <c r="H251" s="13"/>
      <c r="I251" s="13"/>
      <c r="J251" s="13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3"/>
      <c r="C252" s="13"/>
      <c r="D252" s="13"/>
      <c r="E252" s="13"/>
      <c r="F252" s="13"/>
      <c r="G252" s="13"/>
      <c r="H252" s="13"/>
      <c r="I252" s="13"/>
      <c r="J252" s="13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3"/>
      <c r="C253" s="13"/>
      <c r="D253" s="13"/>
      <c r="E253" s="13"/>
      <c r="F253" s="13"/>
      <c r="G253" s="13"/>
      <c r="H253" s="13"/>
      <c r="I253" s="13"/>
      <c r="J253" s="13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3"/>
      <c r="C254" s="13"/>
      <c r="D254" s="13"/>
      <c r="E254" s="13"/>
      <c r="F254" s="13"/>
      <c r="G254" s="13"/>
      <c r="H254" s="13"/>
      <c r="I254" s="13"/>
      <c r="J254" s="13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3"/>
      <c r="C255" s="13"/>
      <c r="D255" s="13"/>
      <c r="E255" s="13"/>
      <c r="F255" s="13"/>
      <c r="G255" s="13"/>
      <c r="H255" s="13"/>
      <c r="I255" s="13"/>
      <c r="J255" s="13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3"/>
      <c r="C256" s="13"/>
      <c r="D256" s="13"/>
      <c r="E256" s="13"/>
      <c r="F256" s="13"/>
      <c r="G256" s="13"/>
      <c r="H256" s="13"/>
      <c r="I256" s="13"/>
      <c r="J256" s="13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3"/>
      <c r="C257" s="13"/>
      <c r="D257" s="13"/>
      <c r="E257" s="13"/>
      <c r="F257" s="13"/>
      <c r="G257" s="13"/>
      <c r="H257" s="13"/>
      <c r="I257" s="13"/>
      <c r="J257" s="13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3"/>
      <c r="C258" s="13"/>
      <c r="D258" s="13"/>
      <c r="E258" s="13"/>
      <c r="F258" s="13"/>
      <c r="G258" s="13"/>
      <c r="H258" s="13"/>
      <c r="I258" s="13"/>
      <c r="J258" s="13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3"/>
      <c r="C259" s="13"/>
      <c r="D259" s="13"/>
      <c r="E259" s="13"/>
      <c r="F259" s="13"/>
      <c r="G259" s="13"/>
      <c r="H259" s="13"/>
      <c r="I259" s="13"/>
      <c r="J259" s="13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3"/>
      <c r="C260" s="13"/>
      <c r="D260" s="13"/>
      <c r="E260" s="13"/>
      <c r="F260" s="13"/>
      <c r="G260" s="13"/>
      <c r="H260" s="13"/>
      <c r="I260" s="13"/>
      <c r="J260" s="13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3"/>
      <c r="C261" s="13"/>
      <c r="D261" s="13"/>
      <c r="E261" s="13"/>
      <c r="F261" s="13"/>
      <c r="G261" s="13"/>
      <c r="H261" s="13"/>
      <c r="I261" s="13"/>
      <c r="J261" s="13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3"/>
      <c r="C262" s="13"/>
      <c r="D262" s="13"/>
      <c r="E262" s="13"/>
      <c r="F262" s="13"/>
      <c r="G262" s="13"/>
      <c r="H262" s="13"/>
      <c r="I262" s="13"/>
      <c r="J262" s="13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3"/>
      <c r="C263" s="13"/>
      <c r="D263" s="13"/>
      <c r="E263" s="13"/>
      <c r="F263" s="13"/>
      <c r="G263" s="13"/>
      <c r="H263" s="13"/>
      <c r="I263" s="13"/>
      <c r="J263" s="13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3"/>
      <c r="C264" s="13"/>
      <c r="D264" s="13"/>
      <c r="E264" s="13"/>
      <c r="F264" s="13"/>
      <c r="G264" s="13"/>
      <c r="H264" s="13"/>
      <c r="I264" s="13"/>
      <c r="J264" s="13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3"/>
      <c r="C265" s="13"/>
      <c r="D265" s="13"/>
      <c r="E265" s="13"/>
      <c r="F265" s="13"/>
      <c r="G265" s="13"/>
      <c r="H265" s="13"/>
      <c r="I265" s="13"/>
      <c r="J265" s="13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3"/>
      <c r="C266" s="13"/>
      <c r="D266" s="13"/>
      <c r="E266" s="13"/>
      <c r="F266" s="13"/>
      <c r="G266" s="13"/>
      <c r="H266" s="13"/>
      <c r="I266" s="13"/>
      <c r="J266" s="13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85"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C32:E35"/>
    <mergeCell ref="G32:G35"/>
    <mergeCell ref="H31:J31"/>
    <mergeCell ref="C31:E31"/>
    <mergeCell ref="B1:B5"/>
    <mergeCell ref="C1:H3"/>
    <mergeCell ref="C4:H5"/>
    <mergeCell ref="H28:J28"/>
    <mergeCell ref="H30:J30"/>
    <mergeCell ref="C21:E21"/>
    <mergeCell ref="C30:E30"/>
    <mergeCell ref="C8:C10"/>
    <mergeCell ref="C11:C12"/>
    <mergeCell ref="B17:B20"/>
    <mergeCell ref="B23:B27"/>
    <mergeCell ref="C23:C25"/>
    <mergeCell ref="I4:I5"/>
    <mergeCell ref="B8:B12"/>
    <mergeCell ref="G8:G12"/>
    <mergeCell ref="I11:I12"/>
    <mergeCell ref="D11:D12"/>
    <mergeCell ref="H17:J20"/>
    <mergeCell ref="H21:J21"/>
    <mergeCell ref="H23:H25"/>
    <mergeCell ref="C13:E13"/>
    <mergeCell ref="C15:E15"/>
    <mergeCell ref="C16:E16"/>
    <mergeCell ref="C17:E20"/>
    <mergeCell ref="G17:G20"/>
    <mergeCell ref="H8:H10"/>
    <mergeCell ref="H11:H12"/>
    <mergeCell ref="H13:J13"/>
    <mergeCell ref="H15:J15"/>
    <mergeCell ref="H16:J16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C56:C57"/>
    <mergeCell ref="D56:D57"/>
    <mergeCell ref="H61:J61"/>
    <mergeCell ref="H62:J65"/>
    <mergeCell ref="H66:J66"/>
    <mergeCell ref="C58:E58"/>
    <mergeCell ref="C60:E60"/>
    <mergeCell ref="C61:E61"/>
    <mergeCell ref="C43:E43"/>
    <mergeCell ref="H56:H57"/>
    <mergeCell ref="I56:I57"/>
    <mergeCell ref="H58:J58"/>
    <mergeCell ref="H60:J60"/>
    <mergeCell ref="H53:H55"/>
    <mergeCell ref="H51:J51"/>
    <mergeCell ref="C45:E45"/>
    <mergeCell ref="H45:J45"/>
    <mergeCell ref="C46:E46"/>
    <mergeCell ref="H46:J46"/>
    <mergeCell ref="C47:E50"/>
    <mergeCell ref="I41:I42"/>
    <mergeCell ref="G47:G50"/>
    <mergeCell ref="H47:J50"/>
    <mergeCell ref="H43:J43"/>
    <mergeCell ref="H44:J44"/>
    <mergeCell ref="B38:B42"/>
    <mergeCell ref="C38:C40"/>
    <mergeCell ref="G38:G42"/>
    <mergeCell ref="H38:H40"/>
    <mergeCell ref="C41:C42"/>
    <mergeCell ref="H41:H42"/>
    <mergeCell ref="D41:D42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1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83"/>
      <c r="B1" s="470"/>
      <c r="C1" s="270"/>
      <c r="D1" s="470" t="s">
        <v>0</v>
      </c>
      <c r="E1" s="250"/>
      <c r="F1" s="250"/>
      <c r="G1" s="250"/>
      <c r="H1" s="250"/>
      <c r="I1" s="270"/>
      <c r="J1" s="104" t="s">
        <v>1</v>
      </c>
      <c r="K1" s="104" t="s">
        <v>424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2"/>
      <c r="Y1" s="82"/>
      <c r="Z1" s="82"/>
    </row>
    <row r="2" spans="1:26" ht="24.75" customHeight="1" x14ac:dyDescent="0.45">
      <c r="A2" s="83"/>
      <c r="B2" s="271"/>
      <c r="C2" s="220"/>
      <c r="D2" s="271"/>
      <c r="E2" s="213"/>
      <c r="F2" s="213"/>
      <c r="G2" s="213"/>
      <c r="H2" s="213"/>
      <c r="I2" s="220"/>
      <c r="J2" s="104" t="s">
        <v>3</v>
      </c>
      <c r="K2" s="105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2"/>
      <c r="Y2" s="82"/>
      <c r="Z2" s="82"/>
    </row>
    <row r="3" spans="1:26" ht="24.75" customHeight="1" x14ac:dyDescent="0.45">
      <c r="A3" s="83"/>
      <c r="B3" s="271"/>
      <c r="C3" s="220"/>
      <c r="D3" s="272"/>
      <c r="E3" s="252"/>
      <c r="F3" s="252"/>
      <c r="G3" s="252"/>
      <c r="H3" s="252"/>
      <c r="I3" s="273"/>
      <c r="J3" s="104" t="s">
        <v>5</v>
      </c>
      <c r="K3" s="104" t="s">
        <v>6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2"/>
      <c r="Y3" s="82"/>
      <c r="Z3" s="82"/>
    </row>
    <row r="4" spans="1:26" ht="15.75" customHeight="1" x14ac:dyDescent="0.45">
      <c r="A4" s="82"/>
      <c r="B4" s="271"/>
      <c r="C4" s="220"/>
      <c r="D4" s="470" t="s">
        <v>425</v>
      </c>
      <c r="E4" s="250"/>
      <c r="F4" s="250"/>
      <c r="G4" s="250"/>
      <c r="H4" s="250"/>
      <c r="I4" s="270"/>
      <c r="J4" s="471" t="s">
        <v>7</v>
      </c>
      <c r="K4" s="104" t="s">
        <v>225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82"/>
      <c r="B5" s="272"/>
      <c r="C5" s="273"/>
      <c r="D5" s="272"/>
      <c r="E5" s="252"/>
      <c r="F5" s="252"/>
      <c r="G5" s="252"/>
      <c r="H5" s="252"/>
      <c r="I5" s="273"/>
      <c r="J5" s="397"/>
      <c r="K5" s="106" t="s">
        <v>226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9"/>
      <c r="K6" s="127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4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13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57" customHeight="1" x14ac:dyDescent="0.45">
      <c r="A8" s="82"/>
      <c r="B8" s="148" t="s">
        <v>426</v>
      </c>
      <c r="C8" s="225"/>
      <c r="D8" s="226"/>
      <c r="E8" s="226"/>
      <c r="F8" s="209"/>
      <c r="G8" s="148" t="s">
        <v>427</v>
      </c>
      <c r="H8" s="225"/>
      <c r="I8" s="226"/>
      <c r="J8" s="226"/>
      <c r="K8" s="209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45" customHeight="1" x14ac:dyDescent="0.45">
      <c r="A9" s="82"/>
      <c r="B9" s="148" t="s">
        <v>21</v>
      </c>
      <c r="C9" s="494"/>
      <c r="D9" s="227"/>
      <c r="E9" s="148" t="s">
        <v>356</v>
      </c>
      <c r="F9" s="494"/>
      <c r="G9" s="227"/>
      <c r="H9" s="531" t="s">
        <v>355</v>
      </c>
      <c r="I9" s="227"/>
      <c r="J9" s="496"/>
      <c r="K9" s="227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57" customHeight="1" x14ac:dyDescent="0.55000000000000004">
      <c r="A10" s="82"/>
      <c r="B10" s="148" t="s">
        <v>428</v>
      </c>
      <c r="C10" s="559"/>
      <c r="D10" s="227"/>
      <c r="E10" s="148" t="s">
        <v>429</v>
      </c>
      <c r="F10" s="557"/>
      <c r="G10" s="227"/>
      <c r="H10" s="531" t="s">
        <v>430</v>
      </c>
      <c r="I10" s="227"/>
      <c r="J10" s="556"/>
      <c r="K10" s="227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71.25" customHeight="1" x14ac:dyDescent="0.55000000000000004">
      <c r="A11" s="82"/>
      <c r="B11" s="148" t="s">
        <v>431</v>
      </c>
      <c r="C11" s="559"/>
      <c r="D11" s="227"/>
      <c r="E11" s="148" t="s">
        <v>432</v>
      </c>
      <c r="F11" s="557"/>
      <c r="G11" s="227"/>
      <c r="H11" s="531" t="s">
        <v>433</v>
      </c>
      <c r="I11" s="227"/>
      <c r="J11" s="556"/>
      <c r="K11" s="227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33.75" customHeight="1" x14ac:dyDescent="0.45">
      <c r="A12" s="82"/>
      <c r="B12" s="10" t="s">
        <v>434</v>
      </c>
      <c r="C12" s="558"/>
      <c r="D12" s="226"/>
      <c r="E12" s="226"/>
      <c r="F12" s="226"/>
      <c r="G12" s="226"/>
      <c r="H12" s="226"/>
      <c r="I12" s="226"/>
      <c r="J12" s="226"/>
      <c r="K12" s="227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3.75" customHeight="1" x14ac:dyDescent="0.45">
      <c r="A13" s="82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7.5" customHeight="1" x14ac:dyDescent="0.45">
      <c r="A14" s="82"/>
      <c r="B14" s="531" t="s">
        <v>27</v>
      </c>
      <c r="C14" s="226"/>
      <c r="D14" s="226"/>
      <c r="E14" s="226"/>
      <c r="F14" s="226"/>
      <c r="G14" s="226"/>
      <c r="H14" s="226"/>
      <c r="I14" s="226"/>
      <c r="J14" s="226"/>
      <c r="K14" s="227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42" customHeight="1" x14ac:dyDescent="0.45">
      <c r="A15" s="82"/>
      <c r="B15" s="148" t="s">
        <v>69</v>
      </c>
      <c r="C15" s="531" t="s">
        <v>435</v>
      </c>
      <c r="D15" s="226"/>
      <c r="E15" s="226"/>
      <c r="F15" s="226"/>
      <c r="G15" s="227"/>
      <c r="H15" s="531" t="s">
        <v>30</v>
      </c>
      <c r="I15" s="227"/>
      <c r="J15" s="531" t="s">
        <v>31</v>
      </c>
      <c r="K15" s="227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48" customHeight="1" x14ac:dyDescent="0.45">
      <c r="A16" s="82"/>
      <c r="B16" s="148" t="s">
        <v>329</v>
      </c>
      <c r="C16" s="533" t="s">
        <v>436</v>
      </c>
      <c r="D16" s="226"/>
      <c r="E16" s="226"/>
      <c r="F16" s="226"/>
      <c r="G16" s="227"/>
      <c r="H16" s="472"/>
      <c r="I16" s="227"/>
      <c r="J16" s="532"/>
      <c r="K16" s="227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51.75" customHeight="1" x14ac:dyDescent="0.45">
      <c r="A17" s="82"/>
      <c r="B17" s="110" t="s">
        <v>437</v>
      </c>
      <c r="C17" s="533" t="s">
        <v>438</v>
      </c>
      <c r="D17" s="226"/>
      <c r="E17" s="226"/>
      <c r="F17" s="226"/>
      <c r="G17" s="227"/>
      <c r="H17" s="472"/>
      <c r="I17" s="227"/>
      <c r="J17" s="150"/>
      <c r="K17" s="15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63.75" customHeight="1" x14ac:dyDescent="0.45">
      <c r="A18" s="82"/>
      <c r="B18" s="110" t="s">
        <v>439</v>
      </c>
      <c r="C18" s="533" t="s">
        <v>440</v>
      </c>
      <c r="D18" s="226"/>
      <c r="E18" s="226"/>
      <c r="F18" s="226"/>
      <c r="G18" s="227"/>
      <c r="H18" s="472"/>
      <c r="I18" s="227"/>
      <c r="J18" s="150"/>
      <c r="K18" s="15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50.25" customHeight="1" x14ac:dyDescent="0.45">
      <c r="A19" s="82"/>
      <c r="B19" s="110" t="s">
        <v>441</v>
      </c>
      <c r="C19" s="533" t="s">
        <v>442</v>
      </c>
      <c r="D19" s="226"/>
      <c r="E19" s="226"/>
      <c r="F19" s="226"/>
      <c r="G19" s="227"/>
      <c r="H19" s="472"/>
      <c r="I19" s="227"/>
      <c r="J19" s="150"/>
      <c r="K19" s="15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60" customHeight="1" x14ac:dyDescent="0.45">
      <c r="A20" s="82"/>
      <c r="B20" s="110" t="s">
        <v>443</v>
      </c>
      <c r="C20" s="533" t="s">
        <v>444</v>
      </c>
      <c r="D20" s="226"/>
      <c r="E20" s="226"/>
      <c r="F20" s="226"/>
      <c r="G20" s="227"/>
      <c r="H20" s="472"/>
      <c r="I20" s="227"/>
      <c r="J20" s="150"/>
      <c r="K20" s="15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54" customHeight="1" x14ac:dyDescent="0.45">
      <c r="A21" s="82"/>
      <c r="B21" s="179" t="s">
        <v>445</v>
      </c>
      <c r="C21" s="533" t="s">
        <v>446</v>
      </c>
      <c r="D21" s="226"/>
      <c r="E21" s="226"/>
      <c r="F21" s="226"/>
      <c r="G21" s="227"/>
      <c r="H21" s="472"/>
      <c r="I21" s="227"/>
      <c r="J21" s="532"/>
      <c r="K21" s="227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45.75" customHeight="1" x14ac:dyDescent="0.45">
      <c r="A22" s="82"/>
      <c r="B22" s="151" t="s">
        <v>447</v>
      </c>
      <c r="C22" s="533" t="s">
        <v>448</v>
      </c>
      <c r="D22" s="226"/>
      <c r="E22" s="226"/>
      <c r="F22" s="226"/>
      <c r="G22" s="227"/>
      <c r="H22" s="472"/>
      <c r="I22" s="227"/>
      <c r="J22" s="532"/>
      <c r="K22" s="227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51" customHeight="1" x14ac:dyDescent="0.45">
      <c r="A23" s="82"/>
      <c r="B23" s="151" t="s">
        <v>449</v>
      </c>
      <c r="C23" s="533" t="s">
        <v>450</v>
      </c>
      <c r="D23" s="226"/>
      <c r="E23" s="226"/>
      <c r="F23" s="226"/>
      <c r="G23" s="227"/>
      <c r="H23" s="472"/>
      <c r="I23" s="227"/>
      <c r="J23" s="532"/>
      <c r="K23" s="227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54" customHeight="1" x14ac:dyDescent="0.45">
      <c r="A24" s="82"/>
      <c r="B24" s="151" t="s">
        <v>451</v>
      </c>
      <c r="C24" s="533" t="s">
        <v>452</v>
      </c>
      <c r="D24" s="226"/>
      <c r="E24" s="226"/>
      <c r="F24" s="226"/>
      <c r="G24" s="227"/>
      <c r="H24" s="472"/>
      <c r="I24" s="227"/>
      <c r="J24" s="532"/>
      <c r="K24" s="227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54" customHeight="1" x14ac:dyDescent="0.45">
      <c r="A25" s="82"/>
      <c r="B25" s="151" t="s">
        <v>453</v>
      </c>
      <c r="C25" s="533" t="s">
        <v>454</v>
      </c>
      <c r="D25" s="226"/>
      <c r="E25" s="226"/>
      <c r="F25" s="226"/>
      <c r="G25" s="227"/>
      <c r="H25" s="472"/>
      <c r="I25" s="227"/>
      <c r="J25" s="532"/>
      <c r="K25" s="227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54" customHeight="1" x14ac:dyDescent="0.45">
      <c r="A26" s="82"/>
      <c r="B26" s="180" t="s">
        <v>455</v>
      </c>
      <c r="C26" s="488" t="s">
        <v>456</v>
      </c>
      <c r="D26" s="226"/>
      <c r="E26" s="226"/>
      <c r="F26" s="226"/>
      <c r="G26" s="227"/>
      <c r="H26" s="472"/>
      <c r="I26" s="227"/>
      <c r="J26" s="532"/>
      <c r="K26" s="227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49.5" customHeight="1" x14ac:dyDescent="0.45">
      <c r="A27" s="82"/>
      <c r="B27" s="151" t="s">
        <v>457</v>
      </c>
      <c r="C27" s="488" t="s">
        <v>458</v>
      </c>
      <c r="D27" s="226"/>
      <c r="E27" s="226"/>
      <c r="F27" s="226"/>
      <c r="G27" s="227"/>
      <c r="H27" s="472"/>
      <c r="I27" s="227"/>
      <c r="J27" s="532"/>
      <c r="K27" s="227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72.75" customHeight="1" x14ac:dyDescent="0.45">
      <c r="A28" s="82"/>
      <c r="B28" s="151" t="s">
        <v>441</v>
      </c>
      <c r="C28" s="488" t="s">
        <v>459</v>
      </c>
      <c r="D28" s="226"/>
      <c r="E28" s="226"/>
      <c r="F28" s="226"/>
      <c r="G28" s="227"/>
      <c r="H28" s="472"/>
      <c r="I28" s="227"/>
      <c r="J28" s="150"/>
      <c r="K28" s="15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55.5" customHeight="1" x14ac:dyDescent="0.45">
      <c r="A29" s="82"/>
      <c r="B29" s="151" t="s">
        <v>460</v>
      </c>
      <c r="C29" s="488" t="s">
        <v>461</v>
      </c>
      <c r="D29" s="226"/>
      <c r="E29" s="226"/>
      <c r="F29" s="226"/>
      <c r="G29" s="227"/>
      <c r="H29" s="472"/>
      <c r="I29" s="227"/>
      <c r="J29" s="532"/>
      <c r="K29" s="227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2.5" customHeight="1" x14ac:dyDescent="0.45">
      <c r="A30" s="82"/>
      <c r="B30" s="112"/>
      <c r="C30" s="112"/>
      <c r="D30" s="112"/>
      <c r="E30" s="153"/>
      <c r="F30" s="153"/>
      <c r="G30" s="153"/>
      <c r="H30" s="154"/>
      <c r="I30" s="154"/>
      <c r="J30" s="154"/>
      <c r="K30" s="154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5.75" customHeight="1" x14ac:dyDescent="0.45">
      <c r="A31" s="82"/>
      <c r="B31" s="534" t="s">
        <v>45</v>
      </c>
      <c r="C31" s="535"/>
      <c r="D31" s="250"/>
      <c r="E31" s="250"/>
      <c r="F31" s="250"/>
      <c r="G31" s="250"/>
      <c r="H31" s="250"/>
      <c r="I31" s="250"/>
      <c r="J31" s="250"/>
      <c r="K31" s="270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65.25" customHeight="1" x14ac:dyDescent="0.45">
      <c r="A32" s="82"/>
      <c r="B32" s="397"/>
      <c r="C32" s="272"/>
      <c r="D32" s="252"/>
      <c r="E32" s="252"/>
      <c r="F32" s="252"/>
      <c r="G32" s="252"/>
      <c r="H32" s="252"/>
      <c r="I32" s="252"/>
      <c r="J32" s="252"/>
      <c r="K32" s="273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22.5" customHeight="1" x14ac:dyDescent="0.45">
      <c r="A33" s="82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36" customHeight="1" x14ac:dyDescent="0.45">
      <c r="A35" s="82"/>
      <c r="B35" s="552" t="s">
        <v>249</v>
      </c>
      <c r="C35" s="226"/>
      <c r="D35" s="181"/>
      <c r="E35" s="531" t="s">
        <v>250</v>
      </c>
      <c r="F35" s="227"/>
      <c r="G35" s="182"/>
      <c r="H35" s="531" t="s">
        <v>251</v>
      </c>
      <c r="I35" s="227"/>
      <c r="J35" s="183"/>
      <c r="K35" s="148" t="s">
        <v>252</v>
      </c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36" customHeight="1" x14ac:dyDescent="0.45">
      <c r="A36" s="82"/>
      <c r="B36" s="552" t="s">
        <v>270</v>
      </c>
      <c r="C36" s="227"/>
      <c r="D36" s="116"/>
      <c r="E36" s="184"/>
      <c r="F36" s="184"/>
      <c r="G36" s="185"/>
      <c r="H36" s="554" t="s">
        <v>462</v>
      </c>
      <c r="I36" s="315"/>
      <c r="J36" s="186"/>
      <c r="K36" s="117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31.5" customHeight="1" x14ac:dyDescent="0.45">
      <c r="A37" s="82"/>
      <c r="B37" s="552" t="s">
        <v>418</v>
      </c>
      <c r="C37" s="227"/>
      <c r="D37" s="555"/>
      <c r="E37" s="252"/>
      <c r="F37" s="252"/>
      <c r="G37" s="273"/>
      <c r="H37" s="554" t="s">
        <v>463</v>
      </c>
      <c r="I37" s="315"/>
      <c r="J37" s="555"/>
      <c r="K37" s="273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31.5" customHeight="1" x14ac:dyDescent="0.45">
      <c r="A38" s="82"/>
      <c r="B38" s="552" t="s">
        <v>464</v>
      </c>
      <c r="C38" s="227"/>
      <c r="D38" s="553"/>
      <c r="E38" s="226"/>
      <c r="F38" s="226"/>
      <c r="G38" s="226"/>
      <c r="H38" s="226"/>
      <c r="I38" s="226"/>
      <c r="J38" s="226"/>
      <c r="K38" s="227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290" t="s">
        <v>52</v>
      </c>
      <c r="C40" s="213"/>
      <c r="D40" s="213"/>
      <c r="E40" s="213"/>
      <c r="F40" s="213"/>
      <c r="G40" s="213"/>
      <c r="H40" s="213"/>
      <c r="I40" s="213"/>
      <c r="J40" s="213"/>
      <c r="K40" s="213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  <row r="1001" spans="1:26" ht="15.75" customHeight="1" x14ac:dyDescent="0.45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</row>
  </sheetData>
  <mergeCells count="74">
    <mergeCell ref="C22:G22"/>
    <mergeCell ref="H22:I22"/>
    <mergeCell ref="J22:K22"/>
    <mergeCell ref="H20:I20"/>
    <mergeCell ref="C20:G20"/>
    <mergeCell ref="C21:G21"/>
    <mergeCell ref="H21:I21"/>
    <mergeCell ref="J21:K21"/>
    <mergeCell ref="C17:G17"/>
    <mergeCell ref="H17:I17"/>
    <mergeCell ref="C18:G18"/>
    <mergeCell ref="H18:I18"/>
    <mergeCell ref="C19:G19"/>
    <mergeCell ref="H19:I19"/>
    <mergeCell ref="J10:K10"/>
    <mergeCell ref="F11:G11"/>
    <mergeCell ref="H11:I11"/>
    <mergeCell ref="H16:I16"/>
    <mergeCell ref="J16:K16"/>
    <mergeCell ref="J11:K11"/>
    <mergeCell ref="C12:K12"/>
    <mergeCell ref="B14:K14"/>
    <mergeCell ref="C15:G15"/>
    <mergeCell ref="H15:I15"/>
    <mergeCell ref="J15:K15"/>
    <mergeCell ref="C16:G16"/>
    <mergeCell ref="C10:D10"/>
    <mergeCell ref="C11:D11"/>
    <mergeCell ref="F10:G10"/>
    <mergeCell ref="H10:I10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B40:K40"/>
    <mergeCell ref="B36:C36"/>
    <mergeCell ref="H36:I36"/>
    <mergeCell ref="B37:C37"/>
    <mergeCell ref="D37:G37"/>
    <mergeCell ref="H37:I37"/>
    <mergeCell ref="J37:K37"/>
    <mergeCell ref="B38:C38"/>
    <mergeCell ref="J29:K29"/>
    <mergeCell ref="B31:B32"/>
    <mergeCell ref="C31:K32"/>
    <mergeCell ref="B35:C35"/>
    <mergeCell ref="D38:K38"/>
    <mergeCell ref="H28:I28"/>
    <mergeCell ref="E35:F35"/>
    <mergeCell ref="H35:I35"/>
    <mergeCell ref="C28:G28"/>
    <mergeCell ref="C29:G29"/>
    <mergeCell ref="H29:I29"/>
    <mergeCell ref="C26:G26"/>
    <mergeCell ref="H26:I26"/>
    <mergeCell ref="J26:K26"/>
    <mergeCell ref="C27:G27"/>
    <mergeCell ref="H27:I27"/>
    <mergeCell ref="J27:K27"/>
    <mergeCell ref="H25:I25"/>
    <mergeCell ref="J25:K25"/>
    <mergeCell ref="C23:G23"/>
    <mergeCell ref="H23:I23"/>
    <mergeCell ref="J23:K23"/>
    <mergeCell ref="C24:G24"/>
    <mergeCell ref="H24:I24"/>
    <mergeCell ref="J24:K24"/>
    <mergeCell ref="C25:G25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7"/>
      <c r="B1" s="549"/>
      <c r="C1" s="550" t="s">
        <v>0</v>
      </c>
      <c r="D1" s="211"/>
      <c r="E1" s="211"/>
      <c r="F1" s="211"/>
      <c r="G1" s="211"/>
      <c r="H1" s="205"/>
      <c r="I1" s="158" t="s">
        <v>1</v>
      </c>
      <c r="J1" s="159" t="s">
        <v>465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57"/>
      <c r="B2" s="213"/>
      <c r="C2" s="212"/>
      <c r="D2" s="213"/>
      <c r="E2" s="213"/>
      <c r="F2" s="213"/>
      <c r="G2" s="213"/>
      <c r="H2" s="201"/>
      <c r="I2" s="107" t="s">
        <v>3</v>
      </c>
      <c r="J2" s="160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57"/>
      <c r="B3" s="213"/>
      <c r="C3" s="308"/>
      <c r="D3" s="252"/>
      <c r="E3" s="252"/>
      <c r="F3" s="252"/>
      <c r="G3" s="252"/>
      <c r="H3" s="369"/>
      <c r="I3" s="161" t="s">
        <v>5</v>
      </c>
      <c r="J3" s="161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162"/>
      <c r="B4" s="213"/>
      <c r="C4" s="550" t="s">
        <v>466</v>
      </c>
      <c r="D4" s="211"/>
      <c r="E4" s="211"/>
      <c r="F4" s="211"/>
      <c r="G4" s="211"/>
      <c r="H4" s="205"/>
      <c r="I4" s="551" t="s">
        <v>7</v>
      </c>
      <c r="J4" s="163" t="s">
        <v>8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162"/>
      <c r="B5" s="214"/>
      <c r="C5" s="206"/>
      <c r="D5" s="214"/>
      <c r="E5" s="214"/>
      <c r="F5" s="214"/>
      <c r="G5" s="214"/>
      <c r="H5" s="207"/>
      <c r="I5" s="508"/>
      <c r="J5" s="164" t="s">
        <v>9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127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537"/>
      <c r="C8" s="506" t="s">
        <v>0</v>
      </c>
      <c r="D8" s="146" t="s">
        <v>1</v>
      </c>
      <c r="E8" s="146" t="s">
        <v>465</v>
      </c>
      <c r="F8" s="13"/>
      <c r="G8" s="537"/>
      <c r="H8" s="506" t="s">
        <v>0</v>
      </c>
      <c r="I8" s="146" t="s">
        <v>1</v>
      </c>
      <c r="J8" s="146" t="s">
        <v>465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12"/>
      <c r="C9" s="507"/>
      <c r="D9" s="147" t="s">
        <v>3</v>
      </c>
      <c r="E9" s="165">
        <v>1</v>
      </c>
      <c r="F9" s="13"/>
      <c r="G9" s="212"/>
      <c r="H9" s="507"/>
      <c r="I9" s="147" t="s">
        <v>3</v>
      </c>
      <c r="J9" s="165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12"/>
      <c r="C10" s="508"/>
      <c r="D10" s="146" t="s">
        <v>5</v>
      </c>
      <c r="E10" s="146" t="s">
        <v>6</v>
      </c>
      <c r="F10" s="13"/>
      <c r="G10" s="212"/>
      <c r="H10" s="508"/>
      <c r="I10" s="146" t="s">
        <v>5</v>
      </c>
      <c r="J10" s="146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12"/>
      <c r="C11" s="506" t="s">
        <v>466</v>
      </c>
      <c r="D11" s="538" t="s">
        <v>7</v>
      </c>
      <c r="E11" s="166" t="s">
        <v>8</v>
      </c>
      <c r="F11" s="13"/>
      <c r="G11" s="212"/>
      <c r="H11" s="506" t="s">
        <v>466</v>
      </c>
      <c r="I11" s="538" t="s">
        <v>7</v>
      </c>
      <c r="J11" s="166" t="s">
        <v>8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162"/>
      <c r="B12" s="212"/>
      <c r="C12" s="508"/>
      <c r="D12" s="369"/>
      <c r="E12" s="167" t="s">
        <v>9</v>
      </c>
      <c r="F12" s="13"/>
      <c r="G12" s="212"/>
      <c r="H12" s="508"/>
      <c r="I12" s="369"/>
      <c r="J12" s="167" t="s">
        <v>9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6" customHeight="1" x14ac:dyDescent="0.45">
      <c r="A13" s="82"/>
      <c r="B13" s="168" t="s">
        <v>421</v>
      </c>
      <c r="C13" s="541"/>
      <c r="D13" s="211"/>
      <c r="E13" s="205"/>
      <c r="F13" s="169"/>
      <c r="G13" s="168" t="s">
        <v>421</v>
      </c>
      <c r="H13" s="541"/>
      <c r="I13" s="211"/>
      <c r="J13" s="205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21" customHeight="1" x14ac:dyDescent="0.45">
      <c r="A14" s="82"/>
      <c r="B14" s="170" t="s">
        <v>348</v>
      </c>
      <c r="C14" s="542"/>
      <c r="D14" s="243"/>
      <c r="E14" s="203"/>
      <c r="F14" s="169"/>
      <c r="G14" s="170" t="s">
        <v>348</v>
      </c>
      <c r="H14" s="542"/>
      <c r="I14" s="243"/>
      <c r="J14" s="203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33" customHeight="1" x14ac:dyDescent="0.45">
      <c r="A15" s="82"/>
      <c r="B15" s="168" t="s">
        <v>467</v>
      </c>
      <c r="C15" s="542"/>
      <c r="D15" s="243"/>
      <c r="E15" s="203"/>
      <c r="F15" s="169"/>
      <c r="G15" s="168" t="s">
        <v>467</v>
      </c>
      <c r="H15" s="542"/>
      <c r="I15" s="243"/>
      <c r="J15" s="203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2.25" customHeight="1" x14ac:dyDescent="0.45">
      <c r="A16" s="82"/>
      <c r="B16" s="170" t="s">
        <v>468</v>
      </c>
      <c r="C16" s="187"/>
      <c r="D16" s="187" t="s">
        <v>469</v>
      </c>
      <c r="E16" s="188"/>
      <c r="F16" s="173"/>
      <c r="G16" s="170" t="s">
        <v>468</v>
      </c>
      <c r="H16" s="187"/>
      <c r="I16" s="187" t="s">
        <v>469</v>
      </c>
      <c r="J16" s="188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539" t="s">
        <v>31</v>
      </c>
      <c r="C17" s="540"/>
      <c r="D17" s="211"/>
      <c r="E17" s="205"/>
      <c r="F17" s="173"/>
      <c r="G17" s="539" t="s">
        <v>31</v>
      </c>
      <c r="H17" s="540"/>
      <c r="I17" s="211"/>
      <c r="J17" s="205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" customHeight="1" x14ac:dyDescent="0.45">
      <c r="A18" s="82"/>
      <c r="B18" s="507"/>
      <c r="C18" s="212"/>
      <c r="D18" s="213"/>
      <c r="E18" s="201"/>
      <c r="F18" s="169"/>
      <c r="G18" s="507"/>
      <c r="H18" s="212"/>
      <c r="I18" s="213"/>
      <c r="J18" s="201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507"/>
      <c r="C19" s="212"/>
      <c r="D19" s="213"/>
      <c r="E19" s="201"/>
      <c r="F19" s="169"/>
      <c r="G19" s="507"/>
      <c r="H19" s="212"/>
      <c r="I19" s="213"/>
      <c r="J19" s="201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507"/>
      <c r="C20" s="212"/>
      <c r="D20" s="213"/>
      <c r="E20" s="201"/>
      <c r="F20" s="169"/>
      <c r="G20" s="508"/>
      <c r="H20" s="206"/>
      <c r="I20" s="214"/>
      <c r="J20" s="207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1" customHeight="1" x14ac:dyDescent="0.45">
      <c r="A21" s="82"/>
      <c r="B21" s="189" t="s">
        <v>86</v>
      </c>
      <c r="C21" s="544"/>
      <c r="D21" s="243"/>
      <c r="E21" s="203"/>
      <c r="F21" s="13"/>
      <c r="G21" s="189" t="s">
        <v>86</v>
      </c>
      <c r="H21" s="544"/>
      <c r="I21" s="243"/>
      <c r="J21" s="203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1.75" customHeight="1" x14ac:dyDescent="0.45">
      <c r="A22" s="82"/>
      <c r="B22" s="174" t="s">
        <v>87</v>
      </c>
      <c r="C22" s="140"/>
      <c r="D22" s="190" t="s">
        <v>67</v>
      </c>
      <c r="E22" s="191"/>
      <c r="F22" s="13"/>
      <c r="G22" s="174" t="s">
        <v>87</v>
      </c>
      <c r="H22" s="140"/>
      <c r="I22" s="190" t="s">
        <v>67</v>
      </c>
      <c r="J22" s="191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13"/>
      <c r="C23" s="13"/>
      <c r="D23" s="13"/>
      <c r="E23" s="13"/>
      <c r="F23" s="13"/>
      <c r="G23" s="13"/>
      <c r="H23" s="13"/>
      <c r="I23" s="13"/>
      <c r="J23" s="13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537"/>
      <c r="C24" s="506" t="s">
        <v>0</v>
      </c>
      <c r="D24" s="146" t="s">
        <v>1</v>
      </c>
      <c r="E24" s="146" t="s">
        <v>465</v>
      </c>
      <c r="F24" s="13"/>
      <c r="G24" s="537"/>
      <c r="H24" s="506" t="s">
        <v>0</v>
      </c>
      <c r="I24" s="146" t="s">
        <v>1</v>
      </c>
      <c r="J24" s="146" t="s">
        <v>465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212"/>
      <c r="C25" s="507"/>
      <c r="D25" s="147" t="s">
        <v>3</v>
      </c>
      <c r="E25" s="165">
        <v>1</v>
      </c>
      <c r="F25" s="13"/>
      <c r="G25" s="212"/>
      <c r="H25" s="507"/>
      <c r="I25" s="147" t="s">
        <v>3</v>
      </c>
      <c r="J25" s="165">
        <v>1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212"/>
      <c r="C26" s="508"/>
      <c r="D26" s="146" t="s">
        <v>5</v>
      </c>
      <c r="E26" s="146" t="s">
        <v>6</v>
      </c>
      <c r="F26" s="13"/>
      <c r="G26" s="212"/>
      <c r="H26" s="508"/>
      <c r="I26" s="146" t="s">
        <v>5</v>
      </c>
      <c r="J26" s="146" t="s">
        <v>6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212"/>
      <c r="C27" s="506" t="s">
        <v>466</v>
      </c>
      <c r="D27" s="538" t="s">
        <v>7</v>
      </c>
      <c r="E27" s="166" t="s">
        <v>8</v>
      </c>
      <c r="F27" s="13"/>
      <c r="G27" s="212"/>
      <c r="H27" s="506" t="s">
        <v>466</v>
      </c>
      <c r="I27" s="538" t="s">
        <v>7</v>
      </c>
      <c r="J27" s="166" t="s">
        <v>8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212"/>
      <c r="C28" s="508"/>
      <c r="D28" s="369"/>
      <c r="E28" s="167" t="s">
        <v>9</v>
      </c>
      <c r="F28" s="13"/>
      <c r="G28" s="212"/>
      <c r="H28" s="508"/>
      <c r="I28" s="369"/>
      <c r="J28" s="167" t="s">
        <v>9</v>
      </c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34.5" customHeight="1" x14ac:dyDescent="0.45">
      <c r="A29" s="82"/>
      <c r="B29" s="168" t="s">
        <v>421</v>
      </c>
      <c r="C29" s="541"/>
      <c r="D29" s="211"/>
      <c r="E29" s="205"/>
      <c r="F29" s="169"/>
      <c r="G29" s="168" t="s">
        <v>421</v>
      </c>
      <c r="H29" s="541"/>
      <c r="I29" s="211"/>
      <c r="J29" s="205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7" customHeight="1" x14ac:dyDescent="0.45">
      <c r="A30" s="82"/>
      <c r="B30" s="170" t="s">
        <v>348</v>
      </c>
      <c r="C30" s="542"/>
      <c r="D30" s="243"/>
      <c r="E30" s="203"/>
      <c r="F30" s="169"/>
      <c r="G30" s="170" t="s">
        <v>348</v>
      </c>
      <c r="H30" s="542"/>
      <c r="I30" s="243"/>
      <c r="J30" s="203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36" customHeight="1" x14ac:dyDescent="0.45">
      <c r="A31" s="82"/>
      <c r="B31" s="168" t="s">
        <v>467</v>
      </c>
      <c r="C31" s="542"/>
      <c r="D31" s="243"/>
      <c r="E31" s="203"/>
      <c r="F31" s="169"/>
      <c r="G31" s="168" t="s">
        <v>467</v>
      </c>
      <c r="H31" s="542"/>
      <c r="I31" s="243"/>
      <c r="J31" s="203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42.75" customHeight="1" x14ac:dyDescent="0.45">
      <c r="A32" s="82"/>
      <c r="B32" s="170" t="s">
        <v>468</v>
      </c>
      <c r="C32" s="187"/>
      <c r="D32" s="192" t="s">
        <v>469</v>
      </c>
      <c r="E32" s="188"/>
      <c r="F32" s="173"/>
      <c r="G32" s="170" t="s">
        <v>468</v>
      </c>
      <c r="H32" s="187"/>
      <c r="I32" s="192" t="s">
        <v>469</v>
      </c>
      <c r="J32" s="188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539" t="s">
        <v>31</v>
      </c>
      <c r="C33" s="540"/>
      <c r="D33" s="211"/>
      <c r="E33" s="205"/>
      <c r="F33" s="173"/>
      <c r="G33" s="539" t="s">
        <v>31</v>
      </c>
      <c r="H33" s="540"/>
      <c r="I33" s="211"/>
      <c r="J33" s="205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507"/>
      <c r="C34" s="212"/>
      <c r="D34" s="213"/>
      <c r="E34" s="201"/>
      <c r="F34" s="169"/>
      <c r="G34" s="507"/>
      <c r="H34" s="212"/>
      <c r="I34" s="213"/>
      <c r="J34" s="201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507"/>
      <c r="C35" s="212"/>
      <c r="D35" s="213"/>
      <c r="E35" s="201"/>
      <c r="F35" s="169"/>
      <c r="G35" s="507"/>
      <c r="H35" s="212"/>
      <c r="I35" s="213"/>
      <c r="J35" s="201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507"/>
      <c r="C36" s="212"/>
      <c r="D36" s="213"/>
      <c r="E36" s="201"/>
      <c r="F36" s="169"/>
      <c r="G36" s="508"/>
      <c r="H36" s="206"/>
      <c r="I36" s="214"/>
      <c r="J36" s="207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3.25" customHeight="1" x14ac:dyDescent="0.45">
      <c r="A37" s="82"/>
      <c r="B37" s="189" t="s">
        <v>86</v>
      </c>
      <c r="C37" s="544"/>
      <c r="D37" s="243"/>
      <c r="E37" s="203"/>
      <c r="F37" s="13"/>
      <c r="G37" s="189" t="s">
        <v>86</v>
      </c>
      <c r="H37" s="544"/>
      <c r="I37" s="243"/>
      <c r="J37" s="203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1" customHeight="1" x14ac:dyDescent="0.45">
      <c r="A38" s="82"/>
      <c r="B38" s="174" t="s">
        <v>87</v>
      </c>
      <c r="C38" s="140"/>
      <c r="D38" s="190" t="s">
        <v>67</v>
      </c>
      <c r="E38" s="191"/>
      <c r="F38" s="13"/>
      <c r="G38" s="174" t="s">
        <v>87</v>
      </c>
      <c r="H38" s="140"/>
      <c r="I38" s="190" t="s">
        <v>67</v>
      </c>
      <c r="J38" s="191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"/>
      <c r="C39" s="13"/>
      <c r="D39" s="13"/>
      <c r="E39" s="13"/>
      <c r="F39" s="13"/>
      <c r="G39" s="13"/>
      <c r="H39" s="13"/>
      <c r="I39" s="13"/>
      <c r="J39" s="13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537"/>
      <c r="C40" s="506" t="s">
        <v>0</v>
      </c>
      <c r="D40" s="146" t="s">
        <v>1</v>
      </c>
      <c r="E40" s="146" t="s">
        <v>465</v>
      </c>
      <c r="F40" s="13"/>
      <c r="G40" s="537"/>
      <c r="H40" s="506" t="s">
        <v>0</v>
      </c>
      <c r="I40" s="146" t="s">
        <v>1</v>
      </c>
      <c r="J40" s="146" t="s">
        <v>465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212"/>
      <c r="C41" s="507"/>
      <c r="D41" s="147" t="s">
        <v>3</v>
      </c>
      <c r="E41" s="165">
        <v>1</v>
      </c>
      <c r="F41" s="13"/>
      <c r="G41" s="212"/>
      <c r="H41" s="507"/>
      <c r="I41" s="147" t="s">
        <v>3</v>
      </c>
      <c r="J41" s="165">
        <v>1</v>
      </c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212"/>
      <c r="C42" s="508"/>
      <c r="D42" s="146" t="s">
        <v>5</v>
      </c>
      <c r="E42" s="146" t="s">
        <v>6</v>
      </c>
      <c r="F42" s="13"/>
      <c r="G42" s="212"/>
      <c r="H42" s="508"/>
      <c r="I42" s="146" t="s">
        <v>5</v>
      </c>
      <c r="J42" s="146" t="s">
        <v>6</v>
      </c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212"/>
      <c r="C43" s="506" t="s">
        <v>466</v>
      </c>
      <c r="D43" s="538" t="s">
        <v>7</v>
      </c>
      <c r="E43" s="166" t="s">
        <v>8</v>
      </c>
      <c r="F43" s="13"/>
      <c r="G43" s="212"/>
      <c r="H43" s="506" t="s">
        <v>466</v>
      </c>
      <c r="I43" s="538" t="s">
        <v>7</v>
      </c>
      <c r="J43" s="166" t="s">
        <v>8</v>
      </c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212"/>
      <c r="C44" s="508"/>
      <c r="D44" s="369"/>
      <c r="E44" s="167" t="s">
        <v>9</v>
      </c>
      <c r="F44" s="13"/>
      <c r="G44" s="212"/>
      <c r="H44" s="508"/>
      <c r="I44" s="369"/>
      <c r="J44" s="167" t="s">
        <v>9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24.75" customHeight="1" x14ac:dyDescent="0.45">
      <c r="A45" s="82"/>
      <c r="B45" s="168" t="s">
        <v>421</v>
      </c>
      <c r="C45" s="541"/>
      <c r="D45" s="211"/>
      <c r="E45" s="205"/>
      <c r="F45" s="169"/>
      <c r="G45" s="168" t="s">
        <v>421</v>
      </c>
      <c r="H45" s="541"/>
      <c r="I45" s="211"/>
      <c r="J45" s="205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22.5" customHeight="1" x14ac:dyDescent="0.45">
      <c r="A46" s="82"/>
      <c r="B46" s="170" t="s">
        <v>348</v>
      </c>
      <c r="C46" s="542"/>
      <c r="D46" s="243"/>
      <c r="E46" s="203"/>
      <c r="F46" s="169"/>
      <c r="G46" s="170" t="s">
        <v>348</v>
      </c>
      <c r="H46" s="542"/>
      <c r="I46" s="243"/>
      <c r="J46" s="203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34.5" customHeight="1" x14ac:dyDescent="0.45">
      <c r="A47" s="82"/>
      <c r="B47" s="168" t="s">
        <v>467</v>
      </c>
      <c r="C47" s="542"/>
      <c r="D47" s="243"/>
      <c r="E47" s="203"/>
      <c r="F47" s="169"/>
      <c r="G47" s="168" t="s">
        <v>467</v>
      </c>
      <c r="H47" s="542"/>
      <c r="I47" s="243"/>
      <c r="J47" s="203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38.25" customHeight="1" x14ac:dyDescent="0.45">
      <c r="A48" s="82"/>
      <c r="B48" s="170" t="s">
        <v>468</v>
      </c>
      <c r="C48" s="187"/>
      <c r="D48" s="187" t="s">
        <v>469</v>
      </c>
      <c r="E48" s="188"/>
      <c r="F48" s="173"/>
      <c r="G48" s="170" t="s">
        <v>468</v>
      </c>
      <c r="H48" s="187"/>
      <c r="I48" s="187" t="s">
        <v>469</v>
      </c>
      <c r="J48" s="188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539" t="s">
        <v>31</v>
      </c>
      <c r="C49" s="540"/>
      <c r="D49" s="211"/>
      <c r="E49" s="205"/>
      <c r="F49" s="173"/>
      <c r="G49" s="539" t="s">
        <v>31</v>
      </c>
      <c r="H49" s="540"/>
      <c r="I49" s="211"/>
      <c r="J49" s="205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507"/>
      <c r="C50" s="212"/>
      <c r="D50" s="213"/>
      <c r="E50" s="201"/>
      <c r="F50" s="169"/>
      <c r="G50" s="507"/>
      <c r="H50" s="212"/>
      <c r="I50" s="213"/>
      <c r="J50" s="201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507"/>
      <c r="C51" s="212"/>
      <c r="D51" s="213"/>
      <c r="E51" s="201"/>
      <c r="F51" s="169"/>
      <c r="G51" s="507"/>
      <c r="H51" s="212"/>
      <c r="I51" s="213"/>
      <c r="J51" s="201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507"/>
      <c r="C52" s="212"/>
      <c r="D52" s="213"/>
      <c r="E52" s="201"/>
      <c r="F52" s="169"/>
      <c r="G52" s="508"/>
      <c r="H52" s="206"/>
      <c r="I52" s="214"/>
      <c r="J52" s="207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22.5" customHeight="1" x14ac:dyDescent="0.45">
      <c r="A53" s="82"/>
      <c r="B53" s="189" t="s">
        <v>86</v>
      </c>
      <c r="C53" s="544"/>
      <c r="D53" s="243"/>
      <c r="E53" s="203"/>
      <c r="F53" s="13"/>
      <c r="G53" s="189" t="s">
        <v>86</v>
      </c>
      <c r="H53" s="544"/>
      <c r="I53" s="243"/>
      <c r="J53" s="203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24" customHeight="1" x14ac:dyDescent="0.45">
      <c r="A54" s="82"/>
      <c r="B54" s="174" t="s">
        <v>87</v>
      </c>
      <c r="C54" s="140"/>
      <c r="D54" s="190" t="s">
        <v>67</v>
      </c>
      <c r="E54" s="191"/>
      <c r="F54" s="13"/>
      <c r="G54" s="174" t="s">
        <v>87</v>
      </c>
      <c r="H54" s="140"/>
      <c r="I54" s="190" t="s">
        <v>67</v>
      </c>
      <c r="J54" s="191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537"/>
      <c r="C56" s="506" t="s">
        <v>0</v>
      </c>
      <c r="D56" s="146" t="s">
        <v>1</v>
      </c>
      <c r="E56" s="146" t="s">
        <v>465</v>
      </c>
      <c r="F56" s="13"/>
      <c r="G56" s="537"/>
      <c r="H56" s="506" t="s">
        <v>0</v>
      </c>
      <c r="I56" s="146" t="s">
        <v>1</v>
      </c>
      <c r="J56" s="146" t="s">
        <v>465</v>
      </c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212"/>
      <c r="C57" s="507"/>
      <c r="D57" s="147" t="s">
        <v>3</v>
      </c>
      <c r="E57" s="165">
        <v>1</v>
      </c>
      <c r="F57" s="13"/>
      <c r="G57" s="212"/>
      <c r="H57" s="507"/>
      <c r="I57" s="147" t="s">
        <v>3</v>
      </c>
      <c r="J57" s="165">
        <v>1</v>
      </c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212"/>
      <c r="C58" s="508"/>
      <c r="D58" s="146" t="s">
        <v>5</v>
      </c>
      <c r="E58" s="146" t="s">
        <v>6</v>
      </c>
      <c r="F58" s="13"/>
      <c r="G58" s="212"/>
      <c r="H58" s="508"/>
      <c r="I58" s="146" t="s">
        <v>5</v>
      </c>
      <c r="J58" s="146" t="s">
        <v>6</v>
      </c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212"/>
      <c r="C59" s="506" t="s">
        <v>466</v>
      </c>
      <c r="D59" s="538" t="s">
        <v>7</v>
      </c>
      <c r="E59" s="166" t="s">
        <v>8</v>
      </c>
      <c r="F59" s="13"/>
      <c r="G59" s="212"/>
      <c r="H59" s="506" t="s">
        <v>466</v>
      </c>
      <c r="I59" s="538" t="s">
        <v>7</v>
      </c>
      <c r="J59" s="166" t="s">
        <v>8</v>
      </c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212"/>
      <c r="C60" s="508"/>
      <c r="D60" s="369"/>
      <c r="E60" s="167" t="s">
        <v>9</v>
      </c>
      <c r="F60" s="13"/>
      <c r="G60" s="212"/>
      <c r="H60" s="508"/>
      <c r="I60" s="369"/>
      <c r="J60" s="167" t="s">
        <v>9</v>
      </c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33" customHeight="1" x14ac:dyDescent="0.45">
      <c r="A61" s="82"/>
      <c r="B61" s="168" t="s">
        <v>421</v>
      </c>
      <c r="C61" s="541"/>
      <c r="D61" s="211"/>
      <c r="E61" s="205"/>
      <c r="F61" s="169"/>
      <c r="G61" s="168" t="s">
        <v>421</v>
      </c>
      <c r="H61" s="541"/>
      <c r="I61" s="211"/>
      <c r="J61" s="205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33" customHeight="1" x14ac:dyDescent="0.45">
      <c r="A62" s="82"/>
      <c r="B62" s="170" t="s">
        <v>348</v>
      </c>
      <c r="C62" s="542"/>
      <c r="D62" s="243"/>
      <c r="E62" s="203"/>
      <c r="F62" s="169"/>
      <c r="G62" s="170" t="s">
        <v>348</v>
      </c>
      <c r="H62" s="542"/>
      <c r="I62" s="243"/>
      <c r="J62" s="203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45" customHeight="1" x14ac:dyDescent="0.45">
      <c r="A63" s="82"/>
      <c r="B63" s="168" t="s">
        <v>467</v>
      </c>
      <c r="C63" s="542"/>
      <c r="D63" s="243"/>
      <c r="E63" s="203"/>
      <c r="F63" s="169"/>
      <c r="G63" s="168" t="s">
        <v>467</v>
      </c>
      <c r="H63" s="542"/>
      <c r="I63" s="243"/>
      <c r="J63" s="203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36" customHeight="1" x14ac:dyDescent="0.45">
      <c r="A64" s="82"/>
      <c r="B64" s="170" t="s">
        <v>468</v>
      </c>
      <c r="C64" s="187"/>
      <c r="D64" s="187" t="s">
        <v>469</v>
      </c>
      <c r="E64" s="188"/>
      <c r="F64" s="173"/>
      <c r="G64" s="170" t="s">
        <v>468</v>
      </c>
      <c r="H64" s="187"/>
      <c r="I64" s="187" t="s">
        <v>469</v>
      </c>
      <c r="J64" s="188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539" t="s">
        <v>31</v>
      </c>
      <c r="C65" s="540"/>
      <c r="D65" s="211"/>
      <c r="E65" s="205"/>
      <c r="F65" s="173"/>
      <c r="G65" s="539" t="s">
        <v>31</v>
      </c>
      <c r="H65" s="540"/>
      <c r="I65" s="211"/>
      <c r="J65" s="205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507"/>
      <c r="C66" s="212"/>
      <c r="D66" s="213"/>
      <c r="E66" s="201"/>
      <c r="F66" s="169"/>
      <c r="G66" s="507"/>
      <c r="H66" s="212"/>
      <c r="I66" s="213"/>
      <c r="J66" s="201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507"/>
      <c r="C67" s="212"/>
      <c r="D67" s="213"/>
      <c r="E67" s="201"/>
      <c r="F67" s="169"/>
      <c r="G67" s="507"/>
      <c r="H67" s="212"/>
      <c r="I67" s="213"/>
      <c r="J67" s="201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507"/>
      <c r="C68" s="212"/>
      <c r="D68" s="213"/>
      <c r="E68" s="201"/>
      <c r="F68" s="169"/>
      <c r="G68" s="508"/>
      <c r="H68" s="206"/>
      <c r="I68" s="214"/>
      <c r="J68" s="207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24" customHeight="1" x14ac:dyDescent="0.45">
      <c r="A69" s="82"/>
      <c r="B69" s="189" t="s">
        <v>86</v>
      </c>
      <c r="C69" s="544"/>
      <c r="D69" s="243"/>
      <c r="E69" s="203"/>
      <c r="F69" s="13"/>
      <c r="G69" s="189" t="s">
        <v>86</v>
      </c>
      <c r="H69" s="544"/>
      <c r="I69" s="243"/>
      <c r="J69" s="203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23.25" customHeight="1" x14ac:dyDescent="0.45">
      <c r="A70" s="82"/>
      <c r="B70" s="174" t="s">
        <v>87</v>
      </c>
      <c r="C70" s="140"/>
      <c r="D70" s="190" t="s">
        <v>67</v>
      </c>
      <c r="E70" s="191"/>
      <c r="F70" s="13"/>
      <c r="G70" s="174" t="s">
        <v>87</v>
      </c>
      <c r="H70" s="140"/>
      <c r="I70" s="190" t="s">
        <v>67</v>
      </c>
      <c r="J70" s="191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"/>
      <c r="C236" s="13"/>
      <c r="D236" s="13"/>
      <c r="E236" s="13"/>
      <c r="F236" s="13"/>
      <c r="G236" s="13"/>
      <c r="H236" s="13"/>
      <c r="I236" s="13"/>
      <c r="J236" s="13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"/>
      <c r="C237" s="13"/>
      <c r="D237" s="13"/>
      <c r="E237" s="13"/>
      <c r="F237" s="13"/>
      <c r="G237" s="13"/>
      <c r="H237" s="13"/>
      <c r="I237" s="13"/>
      <c r="J237" s="13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"/>
      <c r="C238" s="13"/>
      <c r="D238" s="13"/>
      <c r="E238" s="13"/>
      <c r="F238" s="13"/>
      <c r="G238" s="13"/>
      <c r="H238" s="13"/>
      <c r="I238" s="13"/>
      <c r="J238" s="13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"/>
      <c r="C239" s="13"/>
      <c r="D239" s="13"/>
      <c r="E239" s="13"/>
      <c r="F239" s="13"/>
      <c r="G239" s="13"/>
      <c r="H239" s="13"/>
      <c r="I239" s="13"/>
      <c r="J239" s="13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"/>
      <c r="C240" s="13"/>
      <c r="D240" s="13"/>
      <c r="E240" s="13"/>
      <c r="F240" s="13"/>
      <c r="G240" s="13"/>
      <c r="H240" s="13"/>
      <c r="I240" s="13"/>
      <c r="J240" s="13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3"/>
      <c r="C241" s="13"/>
      <c r="D241" s="13"/>
      <c r="E241" s="13"/>
      <c r="F241" s="13"/>
      <c r="G241" s="13"/>
      <c r="H241" s="13"/>
      <c r="I241" s="13"/>
      <c r="J241" s="13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3"/>
      <c r="C242" s="13"/>
      <c r="D242" s="13"/>
      <c r="E242" s="13"/>
      <c r="F242" s="13"/>
      <c r="G242" s="13"/>
      <c r="H242" s="13"/>
      <c r="I242" s="13"/>
      <c r="J242" s="13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3"/>
      <c r="C243" s="13"/>
      <c r="D243" s="13"/>
      <c r="E243" s="13"/>
      <c r="F243" s="13"/>
      <c r="G243" s="13"/>
      <c r="H243" s="13"/>
      <c r="I243" s="13"/>
      <c r="J243" s="13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3"/>
      <c r="C244" s="13"/>
      <c r="D244" s="13"/>
      <c r="E244" s="13"/>
      <c r="F244" s="13"/>
      <c r="G244" s="13"/>
      <c r="H244" s="13"/>
      <c r="I244" s="13"/>
      <c r="J244" s="13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3"/>
      <c r="C245" s="13"/>
      <c r="D245" s="13"/>
      <c r="E245" s="13"/>
      <c r="F245" s="13"/>
      <c r="G245" s="13"/>
      <c r="H245" s="13"/>
      <c r="I245" s="13"/>
      <c r="J245" s="13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3"/>
      <c r="C246" s="13"/>
      <c r="D246" s="13"/>
      <c r="E246" s="13"/>
      <c r="F246" s="13"/>
      <c r="G246" s="13"/>
      <c r="H246" s="13"/>
      <c r="I246" s="13"/>
      <c r="J246" s="13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3"/>
      <c r="C247" s="13"/>
      <c r="D247" s="13"/>
      <c r="E247" s="13"/>
      <c r="F247" s="13"/>
      <c r="G247" s="13"/>
      <c r="H247" s="13"/>
      <c r="I247" s="13"/>
      <c r="J247" s="13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3"/>
      <c r="C248" s="13"/>
      <c r="D248" s="13"/>
      <c r="E248" s="13"/>
      <c r="F248" s="13"/>
      <c r="G248" s="13"/>
      <c r="H248" s="13"/>
      <c r="I248" s="13"/>
      <c r="J248" s="13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3"/>
      <c r="C249" s="13"/>
      <c r="D249" s="13"/>
      <c r="E249" s="13"/>
      <c r="F249" s="13"/>
      <c r="G249" s="13"/>
      <c r="H249" s="13"/>
      <c r="I249" s="13"/>
      <c r="J249" s="13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3"/>
      <c r="C250" s="13"/>
      <c r="D250" s="13"/>
      <c r="E250" s="13"/>
      <c r="F250" s="13"/>
      <c r="G250" s="13"/>
      <c r="H250" s="13"/>
      <c r="I250" s="13"/>
      <c r="J250" s="13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3"/>
      <c r="C251" s="13"/>
      <c r="D251" s="13"/>
      <c r="E251" s="13"/>
      <c r="F251" s="13"/>
      <c r="G251" s="13"/>
      <c r="H251" s="13"/>
      <c r="I251" s="13"/>
      <c r="J251" s="13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3"/>
      <c r="C252" s="13"/>
      <c r="D252" s="13"/>
      <c r="E252" s="13"/>
      <c r="F252" s="13"/>
      <c r="G252" s="13"/>
      <c r="H252" s="13"/>
      <c r="I252" s="13"/>
      <c r="J252" s="13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3"/>
      <c r="C253" s="13"/>
      <c r="D253" s="13"/>
      <c r="E253" s="13"/>
      <c r="F253" s="13"/>
      <c r="G253" s="13"/>
      <c r="H253" s="13"/>
      <c r="I253" s="13"/>
      <c r="J253" s="13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3"/>
      <c r="C254" s="13"/>
      <c r="D254" s="13"/>
      <c r="E254" s="13"/>
      <c r="F254" s="13"/>
      <c r="G254" s="13"/>
      <c r="H254" s="13"/>
      <c r="I254" s="13"/>
      <c r="J254" s="13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3"/>
      <c r="C255" s="13"/>
      <c r="D255" s="13"/>
      <c r="E255" s="13"/>
      <c r="F255" s="13"/>
      <c r="G255" s="13"/>
      <c r="H255" s="13"/>
      <c r="I255" s="13"/>
      <c r="J255" s="13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3"/>
      <c r="C256" s="13"/>
      <c r="D256" s="13"/>
      <c r="E256" s="13"/>
      <c r="F256" s="13"/>
      <c r="G256" s="13"/>
      <c r="H256" s="13"/>
      <c r="I256" s="13"/>
      <c r="J256" s="13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3"/>
      <c r="C257" s="13"/>
      <c r="D257" s="13"/>
      <c r="E257" s="13"/>
      <c r="F257" s="13"/>
      <c r="G257" s="13"/>
      <c r="H257" s="13"/>
      <c r="I257" s="13"/>
      <c r="J257" s="13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3"/>
      <c r="C258" s="13"/>
      <c r="D258" s="13"/>
      <c r="E258" s="13"/>
      <c r="F258" s="13"/>
      <c r="G258" s="13"/>
      <c r="H258" s="13"/>
      <c r="I258" s="13"/>
      <c r="J258" s="13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3"/>
      <c r="C259" s="13"/>
      <c r="D259" s="13"/>
      <c r="E259" s="13"/>
      <c r="F259" s="13"/>
      <c r="G259" s="13"/>
      <c r="H259" s="13"/>
      <c r="I259" s="13"/>
      <c r="J259" s="13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3"/>
      <c r="C260" s="13"/>
      <c r="D260" s="13"/>
      <c r="E260" s="13"/>
      <c r="F260" s="13"/>
      <c r="G260" s="13"/>
      <c r="H260" s="13"/>
      <c r="I260" s="13"/>
      <c r="J260" s="13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3"/>
      <c r="C261" s="13"/>
      <c r="D261" s="13"/>
      <c r="E261" s="13"/>
      <c r="F261" s="13"/>
      <c r="G261" s="13"/>
      <c r="H261" s="13"/>
      <c r="I261" s="13"/>
      <c r="J261" s="13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3"/>
      <c r="C262" s="13"/>
      <c r="D262" s="13"/>
      <c r="E262" s="13"/>
      <c r="F262" s="13"/>
      <c r="G262" s="13"/>
      <c r="H262" s="13"/>
      <c r="I262" s="13"/>
      <c r="J262" s="13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3"/>
      <c r="C263" s="13"/>
      <c r="D263" s="13"/>
      <c r="E263" s="13"/>
      <c r="F263" s="13"/>
      <c r="G263" s="13"/>
      <c r="H263" s="13"/>
      <c r="I263" s="13"/>
      <c r="J263" s="13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3"/>
      <c r="C264" s="13"/>
      <c r="D264" s="13"/>
      <c r="E264" s="13"/>
      <c r="F264" s="13"/>
      <c r="G264" s="13"/>
      <c r="H264" s="13"/>
      <c r="I264" s="13"/>
      <c r="J264" s="13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3"/>
      <c r="C265" s="13"/>
      <c r="D265" s="13"/>
      <c r="E265" s="13"/>
      <c r="F265" s="13"/>
      <c r="G265" s="13"/>
      <c r="H265" s="13"/>
      <c r="I265" s="13"/>
      <c r="J265" s="13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3"/>
      <c r="C266" s="13"/>
      <c r="D266" s="13"/>
      <c r="E266" s="13"/>
      <c r="F266" s="13"/>
      <c r="G266" s="13"/>
      <c r="H266" s="13"/>
      <c r="I266" s="13"/>
      <c r="J266" s="13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3"/>
      <c r="C267" s="13"/>
      <c r="D267" s="13"/>
      <c r="E267" s="13"/>
      <c r="F267" s="13"/>
      <c r="G267" s="13"/>
      <c r="H267" s="13"/>
      <c r="I267" s="13"/>
      <c r="J267" s="13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3"/>
      <c r="C268" s="13"/>
      <c r="D268" s="13"/>
      <c r="E268" s="13"/>
      <c r="F268" s="13"/>
      <c r="G268" s="13"/>
      <c r="H268" s="13"/>
      <c r="I268" s="13"/>
      <c r="J268" s="13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3"/>
      <c r="C269" s="13"/>
      <c r="D269" s="13"/>
      <c r="E269" s="13"/>
      <c r="F269" s="13"/>
      <c r="G269" s="13"/>
      <c r="H269" s="13"/>
      <c r="I269" s="13"/>
      <c r="J269" s="13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13"/>
      <c r="C270" s="13"/>
      <c r="D270" s="13"/>
      <c r="E270" s="13"/>
      <c r="F270" s="13"/>
      <c r="G270" s="13"/>
      <c r="H270" s="13"/>
      <c r="I270" s="13"/>
      <c r="J270" s="13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84"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13:E13"/>
    <mergeCell ref="C14:E14"/>
    <mergeCell ref="C15:E15"/>
    <mergeCell ref="C17:E20"/>
    <mergeCell ref="G17:G20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94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8.1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28.398437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7"/>
      <c r="B1" s="549"/>
      <c r="C1" s="550" t="s">
        <v>0</v>
      </c>
      <c r="D1" s="211"/>
      <c r="E1" s="211"/>
      <c r="F1" s="211"/>
      <c r="G1" s="211"/>
      <c r="H1" s="205"/>
      <c r="I1" s="158" t="s">
        <v>1</v>
      </c>
      <c r="J1" s="159" t="s">
        <v>470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57"/>
      <c r="B2" s="213"/>
      <c r="C2" s="212"/>
      <c r="D2" s="213"/>
      <c r="E2" s="213"/>
      <c r="F2" s="213"/>
      <c r="G2" s="213"/>
      <c r="H2" s="201"/>
      <c r="I2" s="107" t="s">
        <v>3</v>
      </c>
      <c r="J2" s="160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57"/>
      <c r="B3" s="213"/>
      <c r="C3" s="308"/>
      <c r="D3" s="252"/>
      <c r="E3" s="252"/>
      <c r="F3" s="252"/>
      <c r="G3" s="252"/>
      <c r="H3" s="369"/>
      <c r="I3" s="161" t="s">
        <v>5</v>
      </c>
      <c r="J3" s="161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162"/>
      <c r="B4" s="213"/>
      <c r="C4" s="550" t="s">
        <v>471</v>
      </c>
      <c r="D4" s="211"/>
      <c r="E4" s="211"/>
      <c r="F4" s="211"/>
      <c r="G4" s="211"/>
      <c r="H4" s="205"/>
      <c r="I4" s="551" t="s">
        <v>7</v>
      </c>
      <c r="J4" s="163" t="s">
        <v>225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162"/>
      <c r="B5" s="214"/>
      <c r="C5" s="206"/>
      <c r="D5" s="214"/>
      <c r="E5" s="214"/>
      <c r="F5" s="214"/>
      <c r="G5" s="214"/>
      <c r="H5" s="207"/>
      <c r="I5" s="508"/>
      <c r="J5" s="164" t="s">
        <v>226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127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7" customHeight="1" x14ac:dyDescent="0.45">
      <c r="A8" s="82"/>
      <c r="B8" s="560"/>
      <c r="C8" s="560" t="s">
        <v>0</v>
      </c>
      <c r="D8" s="211"/>
      <c r="E8" s="211"/>
      <c r="F8" s="211"/>
      <c r="G8" s="205"/>
      <c r="H8" s="193" t="s">
        <v>1</v>
      </c>
      <c r="I8" s="561" t="s">
        <v>470</v>
      </c>
      <c r="J8" s="203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5.5" customHeight="1" x14ac:dyDescent="0.45">
      <c r="A9" s="82"/>
      <c r="B9" s="212"/>
      <c r="C9" s="212"/>
      <c r="D9" s="213"/>
      <c r="E9" s="213"/>
      <c r="F9" s="213"/>
      <c r="G9" s="201"/>
      <c r="H9" s="194" t="s">
        <v>3</v>
      </c>
      <c r="I9" s="562">
        <v>1</v>
      </c>
      <c r="J9" s="203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8.5" customHeight="1" x14ac:dyDescent="0.45">
      <c r="A10" s="82"/>
      <c r="B10" s="212"/>
      <c r="C10" s="560" t="s">
        <v>471</v>
      </c>
      <c r="D10" s="211"/>
      <c r="E10" s="211"/>
      <c r="F10" s="211"/>
      <c r="G10" s="205"/>
      <c r="H10" s="195" t="s">
        <v>5</v>
      </c>
      <c r="I10" s="561" t="s">
        <v>6</v>
      </c>
      <c r="J10" s="203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7" customHeight="1" x14ac:dyDescent="0.45">
      <c r="A11" s="82"/>
      <c r="B11" s="212"/>
      <c r="C11" s="212"/>
      <c r="D11" s="213"/>
      <c r="E11" s="213"/>
      <c r="F11" s="213"/>
      <c r="G11" s="201"/>
      <c r="H11" s="563" t="s">
        <v>7</v>
      </c>
      <c r="I11" s="564" t="s">
        <v>225</v>
      </c>
      <c r="J11" s="205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2.5" customHeight="1" x14ac:dyDescent="0.45">
      <c r="A12" s="162"/>
      <c r="B12" s="212"/>
      <c r="C12" s="308"/>
      <c r="D12" s="252"/>
      <c r="E12" s="252"/>
      <c r="F12" s="252"/>
      <c r="G12" s="369"/>
      <c r="H12" s="369"/>
      <c r="I12" s="565" t="s">
        <v>226</v>
      </c>
      <c r="J12" s="227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57" customHeight="1" x14ac:dyDescent="0.45">
      <c r="A13" s="82"/>
      <c r="B13" s="196" t="s">
        <v>421</v>
      </c>
      <c r="C13" s="566"/>
      <c r="D13" s="211"/>
      <c r="E13" s="211"/>
      <c r="F13" s="211"/>
      <c r="G13" s="211"/>
      <c r="H13" s="211"/>
      <c r="I13" s="211"/>
      <c r="J13" s="205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40.5" customHeight="1" x14ac:dyDescent="0.6">
      <c r="A14" s="82"/>
      <c r="B14" s="197" t="s">
        <v>348</v>
      </c>
      <c r="C14" s="567"/>
      <c r="D14" s="243"/>
      <c r="E14" s="243"/>
      <c r="F14" s="243"/>
      <c r="G14" s="203"/>
      <c r="H14" s="198" t="s">
        <v>472</v>
      </c>
      <c r="I14" s="567"/>
      <c r="J14" s="203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45" customHeight="1" x14ac:dyDescent="0.45">
      <c r="A15" s="82"/>
      <c r="B15" s="196" t="s">
        <v>422</v>
      </c>
      <c r="C15" s="568"/>
      <c r="D15" s="214"/>
      <c r="E15" s="214"/>
      <c r="F15" s="214"/>
      <c r="G15" s="207"/>
      <c r="H15" s="199" t="s">
        <v>473</v>
      </c>
      <c r="I15" s="568"/>
      <c r="J15" s="207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51" customHeight="1" x14ac:dyDescent="0.6">
      <c r="A16" s="82"/>
      <c r="B16" s="196" t="s">
        <v>474</v>
      </c>
      <c r="C16" s="567"/>
      <c r="D16" s="243"/>
      <c r="E16" s="243"/>
      <c r="F16" s="243"/>
      <c r="G16" s="203"/>
      <c r="H16" s="198" t="s">
        <v>475</v>
      </c>
      <c r="I16" s="567"/>
      <c r="J16" s="203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30" customHeight="1" x14ac:dyDescent="0.45">
      <c r="A17" s="82"/>
      <c r="B17" s="569" t="s">
        <v>476</v>
      </c>
      <c r="C17" s="571"/>
      <c r="D17" s="211"/>
      <c r="E17" s="211"/>
      <c r="F17" s="211"/>
      <c r="G17" s="211"/>
      <c r="H17" s="211"/>
      <c r="I17" s="211"/>
      <c r="J17" s="205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9.75" customHeight="1" x14ac:dyDescent="0.45">
      <c r="A18" s="82"/>
      <c r="B18" s="507"/>
      <c r="C18" s="212"/>
      <c r="D18" s="213"/>
      <c r="E18" s="213"/>
      <c r="F18" s="213"/>
      <c r="G18" s="213"/>
      <c r="H18" s="213"/>
      <c r="I18" s="213"/>
      <c r="J18" s="201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4.25" x14ac:dyDescent="0.45">
      <c r="A19" s="82"/>
      <c r="B19" s="507"/>
      <c r="C19" s="212"/>
      <c r="D19" s="213"/>
      <c r="E19" s="213"/>
      <c r="F19" s="213"/>
      <c r="G19" s="213"/>
      <c r="H19" s="213"/>
      <c r="I19" s="213"/>
      <c r="J19" s="201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3.5" customHeight="1" x14ac:dyDescent="0.45">
      <c r="A20" s="82"/>
      <c r="B20" s="508"/>
      <c r="C20" s="206"/>
      <c r="D20" s="214"/>
      <c r="E20" s="214"/>
      <c r="F20" s="214"/>
      <c r="G20" s="214"/>
      <c r="H20" s="214"/>
      <c r="I20" s="214"/>
      <c r="J20" s="207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569" t="s">
        <v>417</v>
      </c>
      <c r="C21" s="571"/>
      <c r="D21" s="211"/>
      <c r="E21" s="211"/>
      <c r="F21" s="211"/>
      <c r="G21" s="205"/>
      <c r="H21" s="572" t="s">
        <v>477</v>
      </c>
      <c r="I21" s="571"/>
      <c r="J21" s="205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" customHeight="1" x14ac:dyDescent="0.45">
      <c r="A22" s="82"/>
      <c r="B22" s="507"/>
      <c r="C22" s="212"/>
      <c r="D22" s="213"/>
      <c r="E22" s="213"/>
      <c r="F22" s="213"/>
      <c r="G22" s="201"/>
      <c r="H22" s="201"/>
      <c r="I22" s="206"/>
      <c r="J22" s="207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22.5" customHeight="1" x14ac:dyDescent="0.45">
      <c r="A23" s="82"/>
      <c r="B23" s="507"/>
      <c r="C23" s="212"/>
      <c r="D23" s="213"/>
      <c r="E23" s="213"/>
      <c r="F23" s="213"/>
      <c r="G23" s="201"/>
      <c r="H23" s="569" t="s">
        <v>208</v>
      </c>
      <c r="I23" s="571"/>
      <c r="J23" s="205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6.5" customHeight="1" x14ac:dyDescent="0.45">
      <c r="A24" s="82"/>
      <c r="B24" s="508"/>
      <c r="C24" s="206"/>
      <c r="D24" s="214"/>
      <c r="E24" s="214"/>
      <c r="F24" s="214"/>
      <c r="G24" s="207"/>
      <c r="H24" s="508"/>
      <c r="I24" s="206"/>
      <c r="J24" s="207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13"/>
      <c r="C25" s="13"/>
      <c r="D25" s="13"/>
      <c r="E25" s="13"/>
      <c r="F25" s="13"/>
      <c r="G25" s="13"/>
      <c r="H25" s="13"/>
      <c r="I25" s="13"/>
      <c r="J25" s="13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13"/>
      <c r="C26" s="13"/>
      <c r="D26" s="13"/>
      <c r="E26" s="13"/>
      <c r="F26" s="13"/>
      <c r="G26" s="13"/>
      <c r="H26" s="13"/>
      <c r="I26" s="13"/>
      <c r="J26" s="13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13"/>
      <c r="C27" s="13"/>
      <c r="D27" s="13"/>
      <c r="E27" s="13"/>
      <c r="F27" s="13"/>
      <c r="G27" s="13"/>
      <c r="H27" s="13"/>
      <c r="I27" s="13"/>
      <c r="J27" s="13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39" customHeight="1" x14ac:dyDescent="0.45">
      <c r="A28" s="82"/>
      <c r="B28" s="570"/>
      <c r="C28" s="573" t="s">
        <v>0</v>
      </c>
      <c r="D28" s="211"/>
      <c r="E28" s="211"/>
      <c r="F28" s="211"/>
      <c r="G28" s="205"/>
      <c r="H28" s="193" t="s">
        <v>1</v>
      </c>
      <c r="I28" s="561" t="s">
        <v>470</v>
      </c>
      <c r="J28" s="203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31.5" customHeight="1" x14ac:dyDescent="0.45">
      <c r="A29" s="82"/>
      <c r="B29" s="402"/>
      <c r="C29" s="213"/>
      <c r="D29" s="213"/>
      <c r="E29" s="213"/>
      <c r="F29" s="213"/>
      <c r="G29" s="201"/>
      <c r="H29" s="194" t="s">
        <v>3</v>
      </c>
      <c r="I29" s="562">
        <v>1</v>
      </c>
      <c r="J29" s="203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7" customHeight="1" x14ac:dyDescent="0.45">
      <c r="A30" s="82"/>
      <c r="B30" s="402"/>
      <c r="C30" s="573" t="s">
        <v>471</v>
      </c>
      <c r="D30" s="211"/>
      <c r="E30" s="211"/>
      <c r="F30" s="211"/>
      <c r="G30" s="205"/>
      <c r="H30" s="195" t="s">
        <v>5</v>
      </c>
      <c r="I30" s="561" t="s">
        <v>6</v>
      </c>
      <c r="J30" s="203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34.5" customHeight="1" x14ac:dyDescent="0.45">
      <c r="A31" s="82"/>
      <c r="B31" s="402"/>
      <c r="C31" s="213"/>
      <c r="D31" s="213"/>
      <c r="E31" s="213"/>
      <c r="F31" s="213"/>
      <c r="G31" s="201"/>
      <c r="H31" s="563" t="s">
        <v>7</v>
      </c>
      <c r="I31" s="564" t="s">
        <v>225</v>
      </c>
      <c r="J31" s="205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37.5" customHeight="1" x14ac:dyDescent="0.45">
      <c r="A32" s="82"/>
      <c r="B32" s="397"/>
      <c r="C32" s="252"/>
      <c r="D32" s="252"/>
      <c r="E32" s="252"/>
      <c r="F32" s="252"/>
      <c r="G32" s="369"/>
      <c r="H32" s="369"/>
      <c r="I32" s="565" t="s">
        <v>226</v>
      </c>
      <c r="J32" s="227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55.5" customHeight="1" x14ac:dyDescent="0.45">
      <c r="A33" s="82"/>
      <c r="B33" s="196" t="s">
        <v>421</v>
      </c>
      <c r="C33" s="566"/>
      <c r="D33" s="211"/>
      <c r="E33" s="211"/>
      <c r="F33" s="211"/>
      <c r="G33" s="211"/>
      <c r="H33" s="211"/>
      <c r="I33" s="211"/>
      <c r="J33" s="205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46.5" customHeight="1" x14ac:dyDescent="0.6">
      <c r="A34" s="82"/>
      <c r="B34" s="197" t="s">
        <v>348</v>
      </c>
      <c r="C34" s="567"/>
      <c r="D34" s="243"/>
      <c r="E34" s="243"/>
      <c r="F34" s="243"/>
      <c r="G34" s="203"/>
      <c r="H34" s="198" t="s">
        <v>472</v>
      </c>
      <c r="I34" s="567"/>
      <c r="J34" s="203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34.5" customHeight="1" x14ac:dyDescent="0.45">
      <c r="A35" s="82"/>
      <c r="B35" s="196" t="s">
        <v>422</v>
      </c>
      <c r="C35" s="568"/>
      <c r="D35" s="214"/>
      <c r="E35" s="214"/>
      <c r="F35" s="214"/>
      <c r="G35" s="207"/>
      <c r="H35" s="199" t="s">
        <v>473</v>
      </c>
      <c r="I35" s="568"/>
      <c r="J35" s="207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54" customHeight="1" x14ac:dyDescent="0.6">
      <c r="A36" s="82"/>
      <c r="B36" s="196" t="s">
        <v>474</v>
      </c>
      <c r="C36" s="567"/>
      <c r="D36" s="243"/>
      <c r="E36" s="243"/>
      <c r="F36" s="243"/>
      <c r="G36" s="203"/>
      <c r="H36" s="198" t="s">
        <v>475</v>
      </c>
      <c r="I36" s="567"/>
      <c r="J36" s="203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569" t="s">
        <v>476</v>
      </c>
      <c r="C37" s="571"/>
      <c r="D37" s="211"/>
      <c r="E37" s="211"/>
      <c r="F37" s="211"/>
      <c r="G37" s="211"/>
      <c r="H37" s="211"/>
      <c r="I37" s="211"/>
      <c r="J37" s="205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507"/>
      <c r="C38" s="212"/>
      <c r="D38" s="213"/>
      <c r="E38" s="213"/>
      <c r="F38" s="213"/>
      <c r="G38" s="213"/>
      <c r="H38" s="213"/>
      <c r="I38" s="213"/>
      <c r="J38" s="201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31.5" customHeight="1" x14ac:dyDescent="0.45">
      <c r="A39" s="82"/>
      <c r="B39" s="507"/>
      <c r="C39" s="212"/>
      <c r="D39" s="213"/>
      <c r="E39" s="213"/>
      <c r="F39" s="213"/>
      <c r="G39" s="213"/>
      <c r="H39" s="213"/>
      <c r="I39" s="213"/>
      <c r="J39" s="201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508"/>
      <c r="C40" s="206"/>
      <c r="D40" s="214"/>
      <c r="E40" s="214"/>
      <c r="F40" s="214"/>
      <c r="G40" s="214"/>
      <c r="H40" s="214"/>
      <c r="I40" s="214"/>
      <c r="J40" s="207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569" t="s">
        <v>417</v>
      </c>
      <c r="C41" s="571"/>
      <c r="D41" s="211"/>
      <c r="E41" s="211"/>
      <c r="F41" s="211"/>
      <c r="G41" s="205"/>
      <c r="H41" s="572" t="s">
        <v>477</v>
      </c>
      <c r="I41" s="571"/>
      <c r="J41" s="205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25.5" customHeight="1" x14ac:dyDescent="0.45">
      <c r="A42" s="82"/>
      <c r="B42" s="507"/>
      <c r="C42" s="212"/>
      <c r="D42" s="213"/>
      <c r="E42" s="213"/>
      <c r="F42" s="213"/>
      <c r="G42" s="201"/>
      <c r="H42" s="201"/>
      <c r="I42" s="206"/>
      <c r="J42" s="207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507"/>
      <c r="C43" s="212"/>
      <c r="D43" s="213"/>
      <c r="E43" s="213"/>
      <c r="F43" s="213"/>
      <c r="G43" s="201"/>
      <c r="H43" s="569" t="s">
        <v>208</v>
      </c>
      <c r="I43" s="571"/>
      <c r="J43" s="205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508"/>
      <c r="C44" s="206"/>
      <c r="D44" s="214"/>
      <c r="E44" s="214"/>
      <c r="F44" s="214"/>
      <c r="G44" s="207"/>
      <c r="H44" s="508"/>
      <c r="I44" s="206"/>
      <c r="J44" s="207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3"/>
      <c r="C45" s="13"/>
      <c r="D45" s="13"/>
      <c r="E45" s="13"/>
      <c r="F45" s="13"/>
      <c r="G45" s="13"/>
      <c r="H45" s="13"/>
      <c r="I45" s="13"/>
      <c r="J45" s="13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3"/>
      <c r="C46" s="13"/>
      <c r="D46" s="13"/>
      <c r="E46" s="13"/>
      <c r="F46" s="13"/>
      <c r="G46" s="13"/>
      <c r="H46" s="13"/>
      <c r="I46" s="13"/>
      <c r="J46" s="13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27" customHeight="1" x14ac:dyDescent="0.45">
      <c r="A47" s="82"/>
      <c r="B47" s="570"/>
      <c r="C47" s="573" t="s">
        <v>0</v>
      </c>
      <c r="D47" s="211"/>
      <c r="E47" s="211"/>
      <c r="F47" s="211"/>
      <c r="G47" s="205"/>
      <c r="H47" s="193" t="s">
        <v>1</v>
      </c>
      <c r="I47" s="561" t="s">
        <v>470</v>
      </c>
      <c r="J47" s="203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25.5" customHeight="1" x14ac:dyDescent="0.45">
      <c r="A48" s="82"/>
      <c r="B48" s="402"/>
      <c r="C48" s="213"/>
      <c r="D48" s="213"/>
      <c r="E48" s="213"/>
      <c r="F48" s="213"/>
      <c r="G48" s="201"/>
      <c r="H48" s="194" t="s">
        <v>3</v>
      </c>
      <c r="I48" s="562">
        <v>1</v>
      </c>
      <c r="J48" s="203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31.5" customHeight="1" x14ac:dyDescent="0.45">
      <c r="A49" s="82"/>
      <c r="B49" s="402"/>
      <c r="C49" s="573" t="s">
        <v>471</v>
      </c>
      <c r="D49" s="211"/>
      <c r="E49" s="211"/>
      <c r="F49" s="211"/>
      <c r="G49" s="205"/>
      <c r="H49" s="195" t="s">
        <v>5</v>
      </c>
      <c r="I49" s="561" t="s">
        <v>6</v>
      </c>
      <c r="J49" s="203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28.5" customHeight="1" x14ac:dyDescent="0.45">
      <c r="A50" s="82"/>
      <c r="B50" s="402"/>
      <c r="C50" s="213"/>
      <c r="D50" s="213"/>
      <c r="E50" s="213"/>
      <c r="F50" s="213"/>
      <c r="G50" s="201"/>
      <c r="H50" s="563" t="s">
        <v>7</v>
      </c>
      <c r="I50" s="564" t="s">
        <v>225</v>
      </c>
      <c r="J50" s="205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27" customHeight="1" x14ac:dyDescent="0.45">
      <c r="A51" s="82"/>
      <c r="B51" s="397"/>
      <c r="C51" s="252"/>
      <c r="D51" s="252"/>
      <c r="E51" s="252"/>
      <c r="F51" s="252"/>
      <c r="G51" s="369"/>
      <c r="H51" s="369"/>
      <c r="I51" s="565" t="s">
        <v>226</v>
      </c>
      <c r="J51" s="227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36" customHeight="1" x14ac:dyDescent="0.45">
      <c r="A52" s="82"/>
      <c r="B52" s="196" t="s">
        <v>421</v>
      </c>
      <c r="C52" s="566"/>
      <c r="D52" s="211"/>
      <c r="E52" s="211"/>
      <c r="F52" s="211"/>
      <c r="G52" s="211"/>
      <c r="H52" s="211"/>
      <c r="I52" s="211"/>
      <c r="J52" s="205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43.5" customHeight="1" x14ac:dyDescent="0.6">
      <c r="A53" s="82"/>
      <c r="B53" s="197" t="s">
        <v>348</v>
      </c>
      <c r="C53" s="567"/>
      <c r="D53" s="243"/>
      <c r="E53" s="243"/>
      <c r="F53" s="243"/>
      <c r="G53" s="203"/>
      <c r="H53" s="198" t="s">
        <v>472</v>
      </c>
      <c r="I53" s="567"/>
      <c r="J53" s="203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40.5" customHeight="1" x14ac:dyDescent="0.45">
      <c r="A54" s="82"/>
      <c r="B54" s="196" t="s">
        <v>422</v>
      </c>
      <c r="C54" s="568"/>
      <c r="D54" s="214"/>
      <c r="E54" s="214"/>
      <c r="F54" s="214"/>
      <c r="G54" s="207"/>
      <c r="H54" s="199" t="s">
        <v>473</v>
      </c>
      <c r="I54" s="568"/>
      <c r="J54" s="207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49.5" customHeight="1" x14ac:dyDescent="0.6">
      <c r="A55" s="82"/>
      <c r="B55" s="196" t="s">
        <v>474</v>
      </c>
      <c r="C55" s="567"/>
      <c r="D55" s="243"/>
      <c r="E55" s="243"/>
      <c r="F55" s="243"/>
      <c r="G55" s="203"/>
      <c r="H55" s="198" t="s">
        <v>475</v>
      </c>
      <c r="I55" s="567"/>
      <c r="J55" s="203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569" t="s">
        <v>476</v>
      </c>
      <c r="C56" s="571"/>
      <c r="D56" s="211"/>
      <c r="E56" s="211"/>
      <c r="F56" s="211"/>
      <c r="G56" s="211"/>
      <c r="H56" s="211"/>
      <c r="I56" s="211"/>
      <c r="J56" s="205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507"/>
      <c r="C57" s="212"/>
      <c r="D57" s="213"/>
      <c r="E57" s="213"/>
      <c r="F57" s="213"/>
      <c r="G57" s="213"/>
      <c r="H57" s="213"/>
      <c r="I57" s="213"/>
      <c r="J57" s="201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507"/>
      <c r="C58" s="212"/>
      <c r="D58" s="213"/>
      <c r="E58" s="213"/>
      <c r="F58" s="213"/>
      <c r="G58" s="213"/>
      <c r="H58" s="213"/>
      <c r="I58" s="213"/>
      <c r="J58" s="201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508"/>
      <c r="C59" s="206"/>
      <c r="D59" s="214"/>
      <c r="E59" s="214"/>
      <c r="F59" s="214"/>
      <c r="G59" s="214"/>
      <c r="H59" s="214"/>
      <c r="I59" s="214"/>
      <c r="J59" s="207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569" t="s">
        <v>417</v>
      </c>
      <c r="C60" s="571"/>
      <c r="D60" s="211"/>
      <c r="E60" s="211"/>
      <c r="F60" s="211"/>
      <c r="G60" s="205"/>
      <c r="H60" s="572" t="s">
        <v>477</v>
      </c>
      <c r="I60" s="571"/>
      <c r="J60" s="205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507"/>
      <c r="C61" s="212"/>
      <c r="D61" s="213"/>
      <c r="E61" s="213"/>
      <c r="F61" s="213"/>
      <c r="G61" s="201"/>
      <c r="H61" s="201"/>
      <c r="I61" s="206"/>
      <c r="J61" s="207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507"/>
      <c r="C62" s="212"/>
      <c r="D62" s="213"/>
      <c r="E62" s="213"/>
      <c r="F62" s="213"/>
      <c r="G62" s="201"/>
      <c r="H62" s="569" t="s">
        <v>208</v>
      </c>
      <c r="I62" s="571"/>
      <c r="J62" s="205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508"/>
      <c r="C63" s="206"/>
      <c r="D63" s="214"/>
      <c r="E63" s="214"/>
      <c r="F63" s="214"/>
      <c r="G63" s="207"/>
      <c r="H63" s="508"/>
      <c r="I63" s="206"/>
      <c r="J63" s="207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3"/>
      <c r="C64" s="13"/>
      <c r="D64" s="13"/>
      <c r="E64" s="13"/>
      <c r="F64" s="13"/>
      <c r="G64" s="13"/>
      <c r="H64" s="13"/>
      <c r="I64" s="13"/>
      <c r="J64" s="13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"/>
      <c r="C65" s="13"/>
      <c r="D65" s="13"/>
      <c r="E65" s="13"/>
      <c r="F65" s="13"/>
      <c r="G65" s="13"/>
      <c r="H65" s="13"/>
      <c r="I65" s="13"/>
      <c r="J65" s="13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27" customHeight="1" x14ac:dyDescent="0.45">
      <c r="A66" s="82"/>
      <c r="B66" s="570"/>
      <c r="C66" s="573" t="s">
        <v>0</v>
      </c>
      <c r="D66" s="211"/>
      <c r="E66" s="211"/>
      <c r="F66" s="211"/>
      <c r="G66" s="205"/>
      <c r="H66" s="193" t="s">
        <v>1</v>
      </c>
      <c r="I66" s="561" t="s">
        <v>470</v>
      </c>
      <c r="J66" s="203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24" customHeight="1" x14ac:dyDescent="0.45">
      <c r="A67" s="82"/>
      <c r="B67" s="402"/>
      <c r="C67" s="213"/>
      <c r="D67" s="213"/>
      <c r="E67" s="213"/>
      <c r="F67" s="213"/>
      <c r="G67" s="201"/>
      <c r="H67" s="194" t="s">
        <v>3</v>
      </c>
      <c r="I67" s="562">
        <v>1</v>
      </c>
      <c r="J67" s="203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25.5" customHeight="1" x14ac:dyDescent="0.45">
      <c r="A68" s="82"/>
      <c r="B68" s="402"/>
      <c r="C68" s="573" t="s">
        <v>471</v>
      </c>
      <c r="D68" s="211"/>
      <c r="E68" s="211"/>
      <c r="F68" s="211"/>
      <c r="G68" s="205"/>
      <c r="H68" s="195" t="s">
        <v>5</v>
      </c>
      <c r="I68" s="561" t="s">
        <v>6</v>
      </c>
      <c r="J68" s="203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28.5" customHeight="1" x14ac:dyDescent="0.45">
      <c r="A69" s="82"/>
      <c r="B69" s="402"/>
      <c r="C69" s="213"/>
      <c r="D69" s="213"/>
      <c r="E69" s="213"/>
      <c r="F69" s="213"/>
      <c r="G69" s="201"/>
      <c r="H69" s="563" t="s">
        <v>7</v>
      </c>
      <c r="I69" s="564" t="s">
        <v>225</v>
      </c>
      <c r="J69" s="205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31.5" customHeight="1" x14ac:dyDescent="0.45">
      <c r="A70" s="82"/>
      <c r="B70" s="397"/>
      <c r="C70" s="252"/>
      <c r="D70" s="252"/>
      <c r="E70" s="252"/>
      <c r="F70" s="252"/>
      <c r="G70" s="369"/>
      <c r="H70" s="369"/>
      <c r="I70" s="565" t="s">
        <v>226</v>
      </c>
      <c r="J70" s="227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43.5" customHeight="1" x14ac:dyDescent="0.45">
      <c r="A71" s="82"/>
      <c r="B71" s="196" t="s">
        <v>421</v>
      </c>
      <c r="C71" s="566"/>
      <c r="D71" s="211"/>
      <c r="E71" s="211"/>
      <c r="F71" s="211"/>
      <c r="G71" s="211"/>
      <c r="H71" s="211"/>
      <c r="I71" s="211"/>
      <c r="J71" s="205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54" customHeight="1" x14ac:dyDescent="0.6">
      <c r="A72" s="82"/>
      <c r="B72" s="197" t="s">
        <v>348</v>
      </c>
      <c r="C72" s="567"/>
      <c r="D72" s="243"/>
      <c r="E72" s="243"/>
      <c r="F72" s="243"/>
      <c r="G72" s="203"/>
      <c r="H72" s="198" t="s">
        <v>472</v>
      </c>
      <c r="I72" s="567"/>
      <c r="J72" s="20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37.5" customHeight="1" x14ac:dyDescent="0.45">
      <c r="A73" s="82"/>
      <c r="B73" s="196" t="s">
        <v>422</v>
      </c>
      <c r="C73" s="568"/>
      <c r="D73" s="214"/>
      <c r="E73" s="214"/>
      <c r="F73" s="214"/>
      <c r="G73" s="207"/>
      <c r="H73" s="199" t="s">
        <v>473</v>
      </c>
      <c r="I73" s="568"/>
      <c r="J73" s="207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55.5" customHeight="1" x14ac:dyDescent="0.6">
      <c r="A74" s="82"/>
      <c r="B74" s="196" t="s">
        <v>474</v>
      </c>
      <c r="C74" s="567"/>
      <c r="D74" s="243"/>
      <c r="E74" s="243"/>
      <c r="F74" s="243"/>
      <c r="G74" s="203"/>
      <c r="H74" s="198" t="s">
        <v>475</v>
      </c>
      <c r="I74" s="567"/>
      <c r="J74" s="203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569" t="s">
        <v>476</v>
      </c>
      <c r="C75" s="571"/>
      <c r="D75" s="211"/>
      <c r="E75" s="211"/>
      <c r="F75" s="211"/>
      <c r="G75" s="211"/>
      <c r="H75" s="211"/>
      <c r="I75" s="211"/>
      <c r="J75" s="205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507"/>
      <c r="C76" s="212"/>
      <c r="D76" s="213"/>
      <c r="E76" s="213"/>
      <c r="F76" s="213"/>
      <c r="G76" s="213"/>
      <c r="H76" s="213"/>
      <c r="I76" s="213"/>
      <c r="J76" s="201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507"/>
      <c r="C77" s="212"/>
      <c r="D77" s="213"/>
      <c r="E77" s="213"/>
      <c r="F77" s="213"/>
      <c r="G77" s="213"/>
      <c r="H77" s="213"/>
      <c r="I77" s="213"/>
      <c r="J77" s="201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508"/>
      <c r="C78" s="206"/>
      <c r="D78" s="214"/>
      <c r="E78" s="214"/>
      <c r="F78" s="214"/>
      <c r="G78" s="214"/>
      <c r="H78" s="214"/>
      <c r="I78" s="214"/>
      <c r="J78" s="207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569" t="s">
        <v>417</v>
      </c>
      <c r="C79" s="571"/>
      <c r="D79" s="211"/>
      <c r="E79" s="211"/>
      <c r="F79" s="211"/>
      <c r="G79" s="205"/>
      <c r="H79" s="572" t="s">
        <v>477</v>
      </c>
      <c r="I79" s="571"/>
      <c r="J79" s="205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6.5" customHeight="1" x14ac:dyDescent="0.45">
      <c r="A80" s="82"/>
      <c r="B80" s="507"/>
      <c r="C80" s="212"/>
      <c r="D80" s="213"/>
      <c r="E80" s="213"/>
      <c r="F80" s="213"/>
      <c r="G80" s="201"/>
      <c r="H80" s="201"/>
      <c r="I80" s="206"/>
      <c r="J80" s="207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507"/>
      <c r="C81" s="212"/>
      <c r="D81" s="213"/>
      <c r="E81" s="213"/>
      <c r="F81" s="213"/>
      <c r="G81" s="201"/>
      <c r="H81" s="569" t="s">
        <v>208</v>
      </c>
      <c r="I81" s="571"/>
      <c r="J81" s="205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508"/>
      <c r="C82" s="206"/>
      <c r="D82" s="214"/>
      <c r="E82" s="214"/>
      <c r="F82" s="214"/>
      <c r="G82" s="207"/>
      <c r="H82" s="508"/>
      <c r="I82" s="206"/>
      <c r="J82" s="207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</sheetData>
  <mergeCells count="100">
    <mergeCell ref="B75:B78"/>
    <mergeCell ref="C75:J78"/>
    <mergeCell ref="B79:B82"/>
    <mergeCell ref="C79:G82"/>
    <mergeCell ref="H79:H80"/>
    <mergeCell ref="I79:J80"/>
    <mergeCell ref="H81:H82"/>
    <mergeCell ref="I81:J82"/>
    <mergeCell ref="C52:J52"/>
    <mergeCell ref="C53:G53"/>
    <mergeCell ref="I53:J53"/>
    <mergeCell ref="I54:J54"/>
    <mergeCell ref="H60:H61"/>
    <mergeCell ref="I60:J61"/>
    <mergeCell ref="C54:G54"/>
    <mergeCell ref="C55:G55"/>
    <mergeCell ref="I55:J55"/>
    <mergeCell ref="I49:J49"/>
    <mergeCell ref="I50:J50"/>
    <mergeCell ref="I51:J51"/>
    <mergeCell ref="C41:G44"/>
    <mergeCell ref="H41:H42"/>
    <mergeCell ref="I41:J42"/>
    <mergeCell ref="H43:H44"/>
    <mergeCell ref="I43:J44"/>
    <mergeCell ref="I47:J47"/>
    <mergeCell ref="I48:J48"/>
    <mergeCell ref="C47:G48"/>
    <mergeCell ref="C49:G51"/>
    <mergeCell ref="H50:H51"/>
    <mergeCell ref="I73:J73"/>
    <mergeCell ref="I74:J74"/>
    <mergeCell ref="C68:G70"/>
    <mergeCell ref="I68:J68"/>
    <mergeCell ref="C71:J71"/>
    <mergeCell ref="C72:G72"/>
    <mergeCell ref="I72:J72"/>
    <mergeCell ref="C73:G73"/>
    <mergeCell ref="C74:G74"/>
    <mergeCell ref="B56:B59"/>
    <mergeCell ref="C56:J59"/>
    <mergeCell ref="C60:G63"/>
    <mergeCell ref="C66:G67"/>
    <mergeCell ref="H69:H70"/>
    <mergeCell ref="I69:J69"/>
    <mergeCell ref="I70:J70"/>
    <mergeCell ref="B60:B63"/>
    <mergeCell ref="B66:B70"/>
    <mergeCell ref="H62:H63"/>
    <mergeCell ref="I62:J63"/>
    <mergeCell ref="I66:J66"/>
    <mergeCell ref="I67:J67"/>
    <mergeCell ref="B41:B44"/>
    <mergeCell ref="B47:B51"/>
    <mergeCell ref="B17:B20"/>
    <mergeCell ref="C17:J20"/>
    <mergeCell ref="C21:G24"/>
    <mergeCell ref="H21:H22"/>
    <mergeCell ref="I21:J22"/>
    <mergeCell ref="H23:H24"/>
    <mergeCell ref="I23:J24"/>
    <mergeCell ref="C28:G29"/>
    <mergeCell ref="I28:J28"/>
    <mergeCell ref="I29:J29"/>
    <mergeCell ref="C30:G32"/>
    <mergeCell ref="I30:J30"/>
    <mergeCell ref="H31:H32"/>
    <mergeCell ref="I31:J31"/>
    <mergeCell ref="C16:G16"/>
    <mergeCell ref="I16:J16"/>
    <mergeCell ref="B21:B24"/>
    <mergeCell ref="B28:B32"/>
    <mergeCell ref="B37:B40"/>
    <mergeCell ref="C36:G36"/>
    <mergeCell ref="C37:J40"/>
    <mergeCell ref="I32:J32"/>
    <mergeCell ref="C33:J33"/>
    <mergeCell ref="C34:G34"/>
    <mergeCell ref="I34:J34"/>
    <mergeCell ref="C35:G35"/>
    <mergeCell ref="I35:J35"/>
    <mergeCell ref="I36:J36"/>
    <mergeCell ref="C13:J13"/>
    <mergeCell ref="C14:G14"/>
    <mergeCell ref="I14:J14"/>
    <mergeCell ref="C15:G15"/>
    <mergeCell ref="I15:J15"/>
    <mergeCell ref="B1:B5"/>
    <mergeCell ref="C1:H3"/>
    <mergeCell ref="C4:H5"/>
    <mergeCell ref="I4:I5"/>
    <mergeCell ref="B8:B12"/>
    <mergeCell ref="I8:J8"/>
    <mergeCell ref="I9:J9"/>
    <mergeCell ref="C8:G9"/>
    <mergeCell ref="C10:G12"/>
    <mergeCell ref="I10:J10"/>
    <mergeCell ref="H11:H12"/>
    <mergeCell ref="I11:J11"/>
    <mergeCell ref="I12:J1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ACONDICIONAMIENTO</vt:lpstr>
      <vt:lpstr>ESTADO DE LIMPIEZA DE A Y E</vt:lpstr>
      <vt:lpstr>COA PT</vt:lpstr>
      <vt:lpstr>ROTULO DE DISPENSACION</vt:lpstr>
      <vt:lpstr>INSPECCIÓN ETIQUETAS </vt:lpstr>
      <vt:lpstr>PRODUCTO EN PROCESO</vt:lpstr>
      <vt:lpstr>INSPECCIÓN DE PRODUCTO FINAL</vt:lpstr>
      <vt:lpstr>ENVASADO NO CONTINUO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2026-03-27T23:26:13Z</dcterms:modified>
</cp:coreProperties>
</file>