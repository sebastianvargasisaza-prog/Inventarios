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Gerencia/Espagiria/Formulas Maestras/SUERO NIACINAMIDA 5_ FORMULA NUEVA/"/>
    </mc:Choice>
  </mc:AlternateContent>
  <xr:revisionPtr revIDLastSave="7" documentId="11_4747C850C466B2F74895ACE88C5E0D93DB7AC152" xr6:coauthVersionLast="47" xr6:coauthVersionMax="47" xr10:uidLastSave="{985A7272-B651-4615-B98F-67CF5A0C156F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ORDEN ENVASADO" sheetId="7" r:id="rId7"/>
    <sheet name=" ORDEN ENVASADO 1" sheetId="8" r:id="rId8"/>
    <sheet name="ACONDICIONAMIENTO" sheetId="9" r:id="rId9"/>
    <sheet name="ACONDICIONAMIENTO 1" sheetId="10" r:id="rId10"/>
    <sheet name="ESTADO DE LIMPIEZA DE A Y E" sheetId="11" r:id="rId11"/>
    <sheet name="COA PT" sheetId="12" r:id="rId12"/>
    <sheet name="ROTULO DE DISPENSACION" sheetId="13" r:id="rId13"/>
    <sheet name="INSPECCIÓN ETIQUETAS" sheetId="14" r:id="rId14"/>
    <sheet name="PRODUCTO EN PROCESO" sheetId="15" r:id="rId15"/>
    <sheet name="INSPECCIÓN DE PRODUCTO FINAL" sheetId="16" r:id="rId16"/>
    <sheet name="ENVASADO NO CONTINUO" sheetId="17" r:id="rId17"/>
    <sheet name="ROTULO PT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2c4ml91yOKkDXGEFu5JYpIEqNkbtVBh8aya3BpN9Z8g="/>
    </ext>
  </extLst>
</workbook>
</file>

<file path=xl/calcChain.xml><?xml version="1.0" encoding="utf-8"?>
<calcChain xmlns="http://schemas.openxmlformats.org/spreadsheetml/2006/main">
  <c r="H8" i="16" l="1"/>
  <c r="H10" i="14"/>
  <c r="H220" i="13"/>
  <c r="C220" i="13"/>
  <c r="H206" i="13"/>
  <c r="C206" i="13"/>
  <c r="H192" i="13"/>
  <c r="C192" i="13"/>
  <c r="C191" i="13"/>
  <c r="H178" i="13"/>
  <c r="C178" i="13"/>
  <c r="H164" i="13"/>
  <c r="C164" i="13"/>
  <c r="H150" i="13"/>
  <c r="C150" i="13"/>
  <c r="C149" i="13"/>
  <c r="H136" i="13"/>
  <c r="C136" i="13"/>
  <c r="H122" i="13"/>
  <c r="C122" i="13"/>
  <c r="H108" i="13"/>
  <c r="C108" i="13"/>
  <c r="C107" i="13"/>
  <c r="H94" i="13"/>
  <c r="C94" i="13"/>
  <c r="H80" i="13"/>
  <c r="C80" i="13"/>
  <c r="H66" i="13"/>
  <c r="C66" i="13"/>
  <c r="C65" i="13"/>
  <c r="H52" i="13"/>
  <c r="C52" i="13"/>
  <c r="H38" i="13"/>
  <c r="C38" i="13"/>
  <c r="H23" i="13"/>
  <c r="C23" i="13"/>
  <c r="C22" i="13"/>
  <c r="H8" i="13"/>
  <c r="C8" i="13"/>
  <c r="O8" i="10"/>
  <c r="F8" i="10"/>
  <c r="F8" i="9"/>
  <c r="D7" i="12" s="1"/>
  <c r="C10" i="14" s="1"/>
  <c r="M16" i="8"/>
  <c r="M15" i="8"/>
  <c r="M14" i="8"/>
  <c r="F7" i="8"/>
  <c r="M17" i="7"/>
  <c r="M16" i="7"/>
  <c r="M15" i="7"/>
  <c r="M14" i="7"/>
  <c r="F7" i="7"/>
  <c r="D9" i="6"/>
  <c r="M34" i="4"/>
  <c r="H34" i="4"/>
  <c r="C34" i="4"/>
  <c r="A34" i="4"/>
  <c r="M33" i="4"/>
  <c r="H33" i="4"/>
  <c r="C33" i="4"/>
  <c r="A33" i="4"/>
  <c r="M32" i="4"/>
  <c r="H32" i="4"/>
  <c r="C32" i="4"/>
  <c r="A32" i="4"/>
  <c r="M31" i="4"/>
  <c r="H31" i="4"/>
  <c r="C31" i="4"/>
  <c r="A31" i="4"/>
  <c r="M30" i="4"/>
  <c r="H30" i="4"/>
  <c r="C30" i="4"/>
  <c r="A30" i="4"/>
  <c r="M29" i="4"/>
  <c r="H29" i="4"/>
  <c r="C29" i="4"/>
  <c r="A29" i="4"/>
  <c r="M28" i="4"/>
  <c r="H28" i="4"/>
  <c r="C28" i="4"/>
  <c r="A28" i="4"/>
  <c r="M27" i="4"/>
  <c r="H27" i="4"/>
  <c r="C27" i="4"/>
  <c r="A27" i="4"/>
  <c r="M26" i="4"/>
  <c r="H26" i="4"/>
  <c r="C26" i="4"/>
  <c r="A26" i="4"/>
  <c r="M25" i="4"/>
  <c r="H25" i="4"/>
  <c r="C25" i="4"/>
  <c r="A25" i="4"/>
  <c r="M24" i="4"/>
  <c r="H24" i="4"/>
  <c r="C24" i="4"/>
  <c r="A24" i="4"/>
  <c r="M23" i="4"/>
  <c r="H23" i="4"/>
  <c r="C23" i="4"/>
  <c r="A23" i="4"/>
  <c r="M22" i="4"/>
  <c r="H22" i="4"/>
  <c r="C22" i="4"/>
  <c r="A22" i="4"/>
  <c r="M21" i="4"/>
  <c r="H21" i="4"/>
  <c r="C21" i="4"/>
  <c r="A21" i="4"/>
  <c r="M20" i="4"/>
  <c r="H20" i="4"/>
  <c r="C20" i="4"/>
  <c r="A20" i="4"/>
  <c r="M19" i="4"/>
  <c r="H19" i="4"/>
  <c r="C19" i="4"/>
  <c r="A19" i="4"/>
  <c r="M18" i="4"/>
  <c r="H18" i="4"/>
  <c r="C18" i="4"/>
  <c r="A18" i="4"/>
  <c r="M17" i="4"/>
  <c r="H17" i="4"/>
  <c r="C17" i="4"/>
  <c r="A17" i="4"/>
  <c r="M33" i="3"/>
  <c r="N32" i="3"/>
  <c r="C221" i="13" s="1"/>
  <c r="N30" i="3"/>
  <c r="C193" i="13" s="1"/>
  <c r="N29" i="3"/>
  <c r="C179" i="13" s="1"/>
  <c r="N28" i="3"/>
  <c r="C165" i="13" s="1"/>
  <c r="N27" i="3"/>
  <c r="K29" i="4" s="1"/>
  <c r="N26" i="3"/>
  <c r="C137" i="13" s="1"/>
  <c r="N25" i="3"/>
  <c r="C123" i="13" s="1"/>
  <c r="N24" i="3"/>
  <c r="C109" i="13" s="1"/>
  <c r="N23" i="3"/>
  <c r="C95" i="13" s="1"/>
  <c r="N22" i="3"/>
  <c r="K24" i="4" s="1"/>
  <c r="N21" i="3"/>
  <c r="K23" i="4" s="1"/>
  <c r="G9" i="3"/>
  <c r="F7" i="4" s="1"/>
  <c r="F7" i="5" s="1"/>
  <c r="D6" i="6" s="1"/>
  <c r="G10" i="2"/>
  <c r="N9" i="2"/>
  <c r="M11" i="3" s="1"/>
  <c r="G9" i="2"/>
  <c r="G11" i="3" s="1"/>
  <c r="N8" i="2"/>
  <c r="M10" i="3" s="1"/>
  <c r="G8" i="2"/>
  <c r="G10" i="3" s="1"/>
  <c r="H8" i="14" s="1"/>
  <c r="C9" i="16" s="1"/>
  <c r="G7" i="2"/>
  <c r="K32" i="4" l="1"/>
  <c r="K28" i="4"/>
  <c r="H135" i="13"/>
  <c r="H7" i="13"/>
  <c r="F8" i="4"/>
  <c r="F8" i="5" s="1"/>
  <c r="D8" i="6" s="1"/>
  <c r="H177" i="13"/>
  <c r="H93" i="13"/>
  <c r="H22" i="13"/>
  <c r="H219" i="13"/>
  <c r="H51" i="13"/>
  <c r="H191" i="13"/>
  <c r="H65" i="13"/>
  <c r="H205" i="13"/>
  <c r="H163" i="13"/>
  <c r="H121" i="13"/>
  <c r="H79" i="13"/>
  <c r="H37" i="13"/>
  <c r="H149" i="13"/>
  <c r="H107" i="13"/>
  <c r="D8" i="12"/>
  <c r="I8" i="6"/>
  <c r="C120" i="13"/>
  <c r="C92" i="13"/>
  <c r="F9" i="4"/>
  <c r="F9" i="5" s="1"/>
  <c r="D7" i="6" s="1"/>
  <c r="C218" i="13"/>
  <c r="C176" i="13"/>
  <c r="C134" i="13"/>
  <c r="C50" i="13"/>
  <c r="C6" i="13"/>
  <c r="C162" i="13"/>
  <c r="C204" i="13"/>
  <c r="C148" i="13"/>
  <c r="C36" i="13"/>
  <c r="C64" i="13"/>
  <c r="C190" i="13"/>
  <c r="C78" i="13"/>
  <c r="C106" i="13"/>
  <c r="C21" i="13"/>
  <c r="J9" i="16"/>
  <c r="C8" i="15"/>
  <c r="H8" i="15" s="1"/>
  <c r="F6" i="7"/>
  <c r="F6" i="8"/>
  <c r="C37" i="13"/>
  <c r="C79" i="13"/>
  <c r="C121" i="13"/>
  <c r="C163" i="13"/>
  <c r="C205" i="13"/>
  <c r="C151" i="13"/>
  <c r="N31" i="3"/>
  <c r="K26" i="4"/>
  <c r="N15" i="3"/>
  <c r="K30" i="4"/>
  <c r="N17" i="3"/>
  <c r="C7" i="13"/>
  <c r="C51" i="13"/>
  <c r="C93" i="13"/>
  <c r="C135" i="13"/>
  <c r="C177" i="13"/>
  <c r="C219" i="13"/>
  <c r="N16" i="3"/>
  <c r="N19" i="3"/>
  <c r="K27" i="4"/>
  <c r="C10" i="15"/>
  <c r="H10" i="15" s="1"/>
  <c r="N20" i="3"/>
  <c r="K25" i="4"/>
  <c r="N18" i="3"/>
  <c r="K34" i="4"/>
  <c r="K31" i="4"/>
  <c r="C67" i="13" l="1"/>
  <c r="K21" i="4"/>
  <c r="K19" i="4"/>
  <c r="C39" i="13"/>
  <c r="C207" i="13"/>
  <c r="K33" i="4"/>
  <c r="C53" i="13"/>
  <c r="K20" i="4"/>
  <c r="C24" i="13"/>
  <c r="K18" i="4"/>
  <c r="J7" i="8"/>
  <c r="J7" i="7"/>
  <c r="F7" i="10"/>
  <c r="D6" i="12"/>
  <c r="C8" i="14" s="1"/>
  <c r="F7" i="9"/>
  <c r="C9" i="13"/>
  <c r="N33" i="3"/>
  <c r="K17" i="4"/>
  <c r="C81" i="13"/>
  <c r="K22" i="4"/>
  <c r="C7" i="15" l="1"/>
  <c r="H7" i="15" s="1"/>
  <c r="C8" i="16"/>
  <c r="J8" i="10"/>
  <c r="J8" i="9"/>
  <c r="H7" i="12" s="1"/>
  <c r="C9" i="14" s="1"/>
  <c r="F9" i="16" l="1"/>
  <c r="C9" i="15"/>
  <c r="H9" i="15" s="1"/>
</calcChain>
</file>

<file path=xl/sharedStrings.xml><?xml version="1.0" encoding="utf-8"?>
<sst xmlns="http://schemas.openxmlformats.org/spreadsheetml/2006/main" count="1759" uniqueCount="473">
  <si>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</si>
  <si>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</si>
  <si>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</si>
  <si>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</si>
  <si>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</si>
  <si>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</si>
  <si>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</si>
  <si>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</si>
  <si>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</si>
  <si>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</si>
  <si>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</si>
  <si>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SUERO DE NIACINAMIDA 5% FORMULA NUEVA</t>
  </si>
  <si>
    <t>LOTE</t>
  </si>
  <si>
    <t>252111</t>
  </si>
  <si>
    <t>OP</t>
  </si>
  <si>
    <t>OP-L-099</t>
  </si>
  <si>
    <t>PRESENTACIÓN</t>
  </si>
  <si>
    <t>10 - 30 mL</t>
  </si>
  <si>
    <t>TAMAÑO LOTE (kg)</t>
  </si>
  <si>
    <t>CLIENTE</t>
  </si>
  <si>
    <t>ANIMUS LAB</t>
  </si>
  <si>
    <t>NOTIFICACIÓN SANITARIA</t>
  </si>
  <si>
    <t>NSOC33886-24CO</t>
  </si>
  <si>
    <t>UNIDADES APROBADAS/FABRICADAS</t>
  </si>
  <si>
    <t>FORMA COSMETICA</t>
  </si>
  <si>
    <t>SOLUCION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</si>
  <si>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</si>
  <si>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</si>
  <si>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</si>
  <si>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</si>
  <si>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</si>
  <si>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</si>
  <si>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</si>
  <si>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</si>
  <si>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</si>
  <si>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</si>
  <si>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</si>
  <si>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</si>
  <si>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</si>
  <si>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</si>
  <si>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</si>
  <si>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</si>
  <si>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</si>
  <si>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</si>
  <si>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</si>
  <si>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</si>
  <si>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</si>
  <si>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</si>
  <si>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</si>
  <si>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</si>
  <si>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</si>
  <si>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</si>
  <si>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</si>
  <si>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</si>
  <si>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</si>
  <si>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</si>
  <si>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</si>
  <si>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</si>
  <si>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</si>
  <si>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</si>
  <si>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</si>
  <si>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</si>
  <si>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</si>
  <si>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</si>
  <si>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</si>
  <si>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</si>
  <si>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</si>
  <si>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</si>
  <si>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</si>
  <si>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</si>
  <si>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</si>
  <si>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</si>
  <si>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</si>
  <si>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</si>
  <si>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</si>
  <si>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</si>
  <si>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</si>
  <si>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</si>
  <si>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</si>
  <si>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</si>
  <si>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</si>
  <si>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</si>
  <si>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</si>
  <si>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</si>
  <si>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</si>
  <si>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</si>
  <si>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</si>
  <si>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</si>
  <si>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</si>
  <si>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</si>
  <si>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</si>
  <si>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</si>
  <si>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</si>
  <si>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</si>
  <si>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</si>
  <si>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</si>
  <si>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</si>
  <si>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 xml:space="preserve"> 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</si>
  <si>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</si>
  <si>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</si>
  <si>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</si>
  <si>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</si>
  <si>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</si>
  <si>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</si>
  <si>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</si>
  <si>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NIACINAMIDA</t>
  </si>
  <si>
    <t>MPNIACSO01</t>
  </si>
  <si>
    <t>YT-NC20250428</t>
  </si>
  <si>
    <t>BIOSURE FE</t>
  </si>
  <si>
    <t>MPBIOFELI01</t>
  </si>
  <si>
    <t xml:space="preserve">N-ACETIL GLUCOSAMINA </t>
  </si>
  <si>
    <t>MPGLUCSO01</t>
  </si>
  <si>
    <t>YT-20251213</t>
  </si>
  <si>
    <t>GLUCONOLACTONA</t>
  </si>
  <si>
    <t>MPGLUCSO02</t>
  </si>
  <si>
    <t>YT-G20250419</t>
  </si>
  <si>
    <t xml:space="preserve">ÁCIDO HIALURÓNICO 50 KD </t>
  </si>
  <si>
    <t>MPACHISO03</t>
  </si>
  <si>
    <t>LYPH250219</t>
  </si>
  <si>
    <t xml:space="preserve">ÁCIDO HIALURÓNICO 1500 KD </t>
  </si>
  <si>
    <t>MPACHISO01</t>
  </si>
  <si>
    <t xml:space="preserve">ÁCIDO HIALURÓNICO 300 KD </t>
  </si>
  <si>
    <t>MPACHISO02</t>
  </si>
  <si>
    <t>LYPH250602</t>
  </si>
  <si>
    <t>BETAINA</t>
  </si>
  <si>
    <t>MPBETASO02</t>
  </si>
  <si>
    <t>YT-20240405</t>
  </si>
  <si>
    <t>ECTOINA</t>
  </si>
  <si>
    <t>MPECTOSO01</t>
  </si>
  <si>
    <t>YT-20250123</t>
  </si>
  <si>
    <t>PANTENOL POLVO</t>
  </si>
  <si>
    <t>MPPANTSO01</t>
  </si>
  <si>
    <t>YT-20250402</t>
  </si>
  <si>
    <t>VITAMINA E POLVO</t>
  </si>
  <si>
    <t>MPVITESO01</t>
  </si>
  <si>
    <t>TERPENOS SOLUBLES 98%</t>
  </si>
  <si>
    <t>MPTERSSO01</t>
  </si>
  <si>
    <t>ASIATICOSIDO</t>
  </si>
  <si>
    <t>MPASIASO01</t>
  </si>
  <si>
    <t>YT-20250115</t>
  </si>
  <si>
    <t>1,2 HEXANEDIOL</t>
  </si>
  <si>
    <t>MPHEXDILI01</t>
  </si>
  <si>
    <t>YT-20250504</t>
  </si>
  <si>
    <t>GRANSIL VX419</t>
  </si>
  <si>
    <t>MPGRANLI01</t>
  </si>
  <si>
    <t>980305S1125</t>
  </si>
  <si>
    <t>EDTA DISODICO</t>
  </si>
  <si>
    <t>MPEDDISO01</t>
  </si>
  <si>
    <t>GLICERINA</t>
  </si>
  <si>
    <t>MPGLICLI01</t>
  </si>
  <si>
    <t>021067-25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</si>
  <si>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</si>
  <si>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</si>
  <si>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</si>
  <si>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</si>
  <si>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</si>
  <si>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</si>
  <si>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</si>
  <si>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</si>
  <si>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</si>
  <si>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</si>
  <si>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</si>
  <si>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</si>
  <si>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</si>
  <si>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</si>
  <si>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</si>
  <si>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</si>
  <si>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</si>
  <si>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</si>
  <si>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</si>
  <si>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</si>
  <si>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</si>
  <si>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</si>
  <si>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</si>
  <si>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  <family val="1"/>
      </rPr>
      <t>NOTA:</t>
    </r>
    <r>
      <rPr>
        <sz val="12"/>
        <color theme="1"/>
        <rFont val="Times New Roman"/>
        <family val="1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</si>
  <si>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</si>
  <si>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</si>
  <si>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</si>
  <si>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</si>
  <si>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</si>
  <si>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</si>
  <si>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</si>
  <si>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</si>
  <si>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</si>
  <si>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</si>
  <si>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</si>
  <si>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</si>
  <si>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</si>
  <si>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</si>
  <si>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</si>
  <si>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</si>
  <si>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</si>
  <si>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</si>
  <si>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</si>
  <si>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</si>
  <si>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r>
      <rPr>
        <b/>
        <sz val="11"/>
        <color theme="1"/>
        <rFont val="Arial"/>
        <family val="2"/>
      </rPr>
      <t>1.</t>
    </r>
    <r>
      <rPr>
        <sz val="11"/>
        <color theme="1"/>
        <rFont val="Arial"/>
        <family val="2"/>
      </rPr>
      <t xml:space="preserve">   Dispensar en una balanza analítica con capacidad de 620g y adicionar en un recipiente las siguientes materias                                                                              primas:
Agua Destilada                                                                  
Carbopol                                                                                  
Propilenglicol                                                                       
Glicina Polvo                                                                                                                                                                                                                                                          Colocar en una plancha de calentamiento el Agua Destilada, la Glicina y calentar a 45°C +/- 5°C, medir y registrar la temperatura, una vez alcanzada la temperatura adecuada apague el calentamiento Temperatura Real_____, tome el carbopol y el propilenglicol hasta que se hidrate este proceso, para mezclar con el agua destilada, terminado este proceso tome un agitador o mezclador y agite  aproximadamente a 150 RPM, esta fase hasta disolucion, RPM Real:________ </t>
    </r>
  </si>
  <si>
    <r>
      <rPr>
        <b/>
        <sz val="11"/>
        <color theme="1"/>
        <rFont val="Arial"/>
        <family val="2"/>
      </rPr>
      <t xml:space="preserve">2.   </t>
    </r>
    <r>
      <rPr>
        <sz val="11"/>
        <color theme="1"/>
        <rFont val="Arial"/>
        <family val="2"/>
      </rPr>
      <t>Dispensar en una balanza analítica con capacidad de 620g y adicionar en un recipiente las siguientes materias                                                                              primas:
Agua Destilada                                                                 
Acido Hialuronico 50KD                                                                                  
Propilenglicol,                                                                        
Acido Hialuronico 300 KD                                                           
Acido Hialuronico 1500KD                                                                                                                                                                                                                                                                                                            Colocar en una plancha de calentamiento las materias primas dispensada y calentar a 45°C +/- 5°C, medir y registrar la temperatura, una vez alcanzada la temperatura adecuada apague el calentamiento Temperatura Real_____, tome el mezclador o el agitador manual hasta que se hidrate este proceso agitando  aproximadamente a 150 RPM, esta fase hasta disolucion total, RPM Real:________ y adicione a la primera fase</t>
    </r>
  </si>
  <si>
    <r>
      <rPr>
        <b/>
        <sz val="11"/>
        <color theme="1"/>
        <rFont val="Arial"/>
        <family val="2"/>
      </rPr>
      <t>3.</t>
    </r>
    <r>
      <rPr>
        <sz val="11"/>
        <color theme="1"/>
        <rFont val="Arial"/>
        <family val="2"/>
      </rPr>
      <t xml:space="preserve">   Dispensar en una balanza analítica con capacidad de 620g y adicionar en un recipiente las siguientes materias                                                                              primas:                                                                                                      
Alantoina                                                                                                               
Agua Destilada:                                             
Niacinamida                                                                             
Silicona Liquida                                                                    
Aloe Vera 200X                                                                   
Sorbato Potasio                                                                        
Benzoato Sodio                                                                          
Pantenol Polvo                                                                               
Fenoxietanol                                                                                   
Tome un recipiente y agite hasta presentar total disolucion de las mezclas a una  velocidad constante de 150 rpm RPM Real:______, por ultimo adicione esta preparacion a la fase 1      
</t>
    </r>
  </si>
  <si>
    <r>
      <rPr>
        <b/>
        <sz val="11"/>
        <color theme="1"/>
        <rFont val="Arial"/>
        <family val="2"/>
      </rPr>
      <t>4.</t>
    </r>
    <r>
      <rPr>
        <sz val="11"/>
        <color theme="1"/>
        <rFont val="Arial"/>
        <family val="2"/>
      </rPr>
      <t xml:space="preserve">  Tome un recipiente metálico las 3 etapas de premezclado y dejar agitando durante 60 minutos a una velocidad constante de 200 rpm con el agitador hasta que está presente una mezcla homogenea, RPM Real:______, por ultimo apague el agitador hasta que la mezcla quede totalmente uniforme.</t>
    </r>
  </si>
  <si>
    <r>
      <rPr>
        <b/>
        <sz val="12"/>
        <color theme="1"/>
        <rFont val="Arial"/>
        <family val="2"/>
      </rPr>
      <t>NOTA:</t>
    </r>
    <r>
      <rPr>
        <sz val="12"/>
        <color theme="1"/>
        <rFont val="Arial"/>
        <family val="2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</si>
  <si>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</si>
  <si>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</si>
  <si>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</si>
  <si>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</si>
  <si>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</si>
  <si>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</si>
  <si>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</si>
  <si>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</si>
  <si>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</si>
  <si>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</si>
  <si>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</si>
  <si>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</si>
  <si>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</si>
  <si>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</si>
  <si>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</si>
  <si>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</si>
  <si>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</si>
  <si>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</si>
  <si>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</si>
  <si>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</si>
  <si>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Opalescente o blanco, con textura ligera, fluida y viscosidad moderada, homogéneo y uniforme en color y textura, Transparente a ligeramente opaco</t>
  </si>
  <si>
    <t>Viscosidad</t>
  </si>
  <si>
    <t>INFORMATIVO</t>
  </si>
  <si>
    <t>Densidad</t>
  </si>
  <si>
    <t>0,999 - 1,100 g/cm³</t>
  </si>
  <si>
    <t>pH</t>
  </si>
  <si>
    <t>5,0 - 6,0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</si>
  <si>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</si>
  <si>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</si>
  <si>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</si>
  <si>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</si>
  <si>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</si>
  <si>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</si>
  <si>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</si>
  <si>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</si>
  <si>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</si>
  <si>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</si>
  <si>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30 mL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</si>
  <si>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</si>
  <si>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</si>
  <si>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</si>
  <si>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</si>
  <si>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</si>
  <si>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</si>
  <si>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</si>
  <si>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</si>
  <si>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</si>
  <si>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</si>
  <si>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ENV-TR-VI-030-01</t>
  </si>
  <si>
    <t>No Especifica</t>
  </si>
  <si>
    <t>Envase Vidrio Transpartente 30 ml</t>
  </si>
  <si>
    <t>TA-BL-GO-075-01</t>
  </si>
  <si>
    <t>Gotero Blanco 72 mm</t>
  </si>
  <si>
    <t>PL-NIA-30</t>
  </si>
  <si>
    <t>Plegadiza Niacinamida 30mL</t>
  </si>
  <si>
    <t>Etiqueta Suero De Niacinamida 5% 30mL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</si>
  <si>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</si>
  <si>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</si>
  <si>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</si>
  <si>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</si>
  <si>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</si>
  <si>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</si>
  <si>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</si>
  <si>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</si>
  <si>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</si>
  <si>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</si>
  <si>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</si>
  <si>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</si>
  <si>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</si>
  <si>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</si>
  <si>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</si>
  <si>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</si>
  <si>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</si>
  <si>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</si>
  <si>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</si>
  <si>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</si>
  <si>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</si>
  <si>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</si>
  <si>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</si>
  <si>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</si>
  <si>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</si>
  <si>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</si>
  <si>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</si>
  <si>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</si>
  <si>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</si>
  <si>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</si>
  <si>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</si>
  <si>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</si>
  <si>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</si>
  <si>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</si>
  <si>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</si>
  <si>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</si>
  <si>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</si>
  <si>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</si>
  <si>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10 mL</t>
  </si>
  <si>
    <t>ENV-VI- AZ- 010-01</t>
  </si>
  <si>
    <t>Envase Vidrio Azul 10 ml</t>
  </si>
  <si>
    <t>TA-NE-GO-075-01</t>
  </si>
  <si>
    <t>Gotero Blanco 55 mm</t>
  </si>
  <si>
    <t xml:space="preserve">Etiqueta Suero De Niacinamida 10 mL 5% </t>
  </si>
  <si>
    <t>PRD-PRO-001-F07</t>
  </si>
  <si>
    <t>ACONDICIONAMIENTO Y EMPAQUE</t>
  </si>
  <si>
    <t>HORA INICIO</t>
  </si>
  <si>
    <t>HORA FIN</t>
  </si>
  <si>
    <r>
      <rPr>
        <b/>
        <sz val="12"/>
        <color rgb="FF000000"/>
        <rFont val="Times New Roman"/>
        <family val="1"/>
      </rPr>
      <t xml:space="preserve">TAREAS A REALIZAR </t>
    </r>
    <r>
      <rPr>
        <i/>
        <sz val="12"/>
        <color rgb="FF000000"/>
        <rFont val="Times New Roman"/>
        <family val="1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</si>
  <si>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</si>
  <si>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</si>
  <si>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</si>
  <si>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</si>
  <si>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</si>
  <si>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</si>
  <si>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</si>
  <si>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</si>
  <si>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</si>
  <si>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</si>
  <si>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</si>
  <si>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</si>
  <si>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</si>
  <si>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</si>
  <si>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</si>
  <si>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</si>
  <si>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</si>
  <si>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</si>
  <si>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</si>
  <si>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</si>
  <si>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</si>
  <si>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</si>
  <si>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</si>
  <si>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</si>
  <si>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</si>
  <si>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</si>
  <si>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</si>
  <si>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</si>
  <si>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</si>
  <si>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</si>
  <si>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r>
      <rPr>
        <b/>
        <sz val="12"/>
        <color rgb="FF000000"/>
        <rFont val="Times New Roman"/>
        <family val="1"/>
      </rPr>
      <t xml:space="preserve">TAREAS A REALIZAR </t>
    </r>
    <r>
      <rPr>
        <i/>
        <sz val="12"/>
        <color rgb="FF000000"/>
        <rFont val="Times New Roman"/>
        <family val="1"/>
      </rPr>
      <t>(Marque con una X)</t>
    </r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</si>
  <si>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</si>
  <si>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</si>
  <si>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</si>
  <si>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</si>
  <si>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</si>
  <si>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</si>
  <si>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</si>
  <si>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</si>
  <si>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</si>
  <si>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</si>
  <si>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</si>
  <si>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</si>
  <si>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</si>
  <si>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</si>
  <si>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</si>
  <si>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</si>
  <si>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</si>
  <si>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</si>
  <si>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</si>
  <si>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</si>
  <si>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</si>
  <si>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</si>
  <si>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</si>
  <si>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</si>
  <si>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</si>
  <si>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Transparente a ligeramente opaco</t>
  </si>
  <si>
    <t>Organoléptico</t>
  </si>
  <si>
    <t>Olor</t>
  </si>
  <si>
    <t>Inodoro</t>
  </si>
  <si>
    <t>Apariencia</t>
  </si>
  <si>
    <t>Opalescente o blanco, con textura ligera, fluida y viscosidad moderada, homogéneo y uniforme en color y textura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</si>
  <si>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</si>
  <si>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</si>
  <si>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</si>
  <si>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</si>
  <si>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</si>
  <si>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</si>
  <si>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</si>
  <si>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</si>
  <si>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</si>
  <si>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</si>
  <si>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</si>
  <si>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</si>
  <si>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</si>
  <si>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</si>
  <si>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</si>
  <si>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</si>
  <si>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</si>
  <si>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</si>
  <si>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</si>
  <si>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</si>
  <si>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</si>
  <si>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</si>
  <si>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</si>
  <si>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</si>
  <si>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</si>
  <si>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</si>
  <si>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</si>
  <si>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</si>
  <si>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</si>
  <si>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</si>
  <si>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</si>
  <si>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</si>
  <si>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</si>
  <si>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</si>
  <si>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</si>
  <si>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</si>
  <si>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</si>
  <si>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</si>
  <si>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</si>
  <si>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</si>
  <si>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</si>
  <si>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</si>
  <si>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</si>
  <si>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</si>
  <si>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</si>
  <si>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</si>
  <si>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</si>
  <si>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PRD-PRO-001-F10</t>
  </si>
  <si>
    <t>PRODUCTO EN PROCESO</t>
  </si>
  <si>
    <t>Nombre del producto:</t>
  </si>
  <si>
    <t>Numero de Op:</t>
  </si>
  <si>
    <t>Tamaño del lote: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</si>
  <si>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</si>
  <si>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</si>
  <si>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</si>
  <si>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</si>
  <si>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</si>
  <si>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</si>
  <si>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</si>
  <si>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</si>
  <si>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</si>
  <si>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</si>
  <si>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</si>
  <si>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sz val="14"/>
        <color theme="1"/>
        <rFont val="Times New Roman"/>
        <family val="1"/>
      </rPr>
      <t xml:space="preserve">ETIQUETA ACORDE A LO ESTIPULADO EN </t>
    </r>
    <r>
      <rPr>
        <b/>
        <sz val="14"/>
        <color theme="1"/>
        <rFont val="Times New Roman"/>
        <family val="1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</si>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</sst>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mmm\ yyyy"/>
  </numFmts>
  <fonts count="24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rgb="FF000000"/>
      <name val="Verdana"/>
      <family val="2"/>
    </font>
    <font>
      <b/>
      <sz val="14"/>
      <color theme="1"/>
      <name val="Arial"/>
      <family val="2"/>
    </font>
    <font>
      <sz val="11"/>
      <color theme="1"/>
      <name val="Times New Roman"/>
      <family val="1"/>
    </font>
    <font>
      <sz val="13"/>
      <color rgb="FF000000"/>
      <name val="Times New Roman"/>
      <family val="1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8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b/>
      <sz val="11"/>
      <color theme="1"/>
      <name val="Arial"/>
      <family val="2"/>
    </font>
    <font>
      <i/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7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6" xfId="0" applyFont="1" applyBorder="1"/>
    <xf numFmtId="0" fontId="6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3" fillId="0" borderId="7" xfId="0" applyFont="1" applyBorder="1"/>
    <xf numFmtId="0" fontId="1" fillId="0" borderId="1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0" fontId="1" fillId="0" borderId="18" xfId="0" applyFont="1" applyBorder="1" applyAlignment="1">
      <alignment wrapText="1"/>
    </xf>
    <xf numFmtId="2" fontId="3" fillId="0" borderId="18" xfId="0" applyNumberFormat="1" applyFont="1" applyBorder="1" applyAlignment="1">
      <alignment vertical="center"/>
    </xf>
    <xf numFmtId="0" fontId="3" fillId="0" borderId="18" xfId="0" applyFont="1" applyBorder="1"/>
    <xf numFmtId="0" fontId="3" fillId="0" borderId="31" xfId="0" applyFont="1" applyBorder="1"/>
    <xf numFmtId="0" fontId="3" fillId="0" borderId="24" xfId="0" applyFont="1" applyBorder="1"/>
    <xf numFmtId="0" fontId="3" fillId="0" borderId="27" xfId="0" applyFont="1" applyBorder="1"/>
    <xf numFmtId="168" fontId="6" fillId="0" borderId="0" xfId="0" applyNumberFormat="1" applyFont="1"/>
    <xf numFmtId="169" fontId="6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170" fontId="3" fillId="0" borderId="31" xfId="0" applyNumberFormat="1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66" fontId="3" fillId="0" borderId="46" xfId="0" applyNumberFormat="1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/>
    </xf>
    <xf numFmtId="2" fontId="3" fillId="0" borderId="50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2" fontId="3" fillId="0" borderId="18" xfId="0" applyNumberFormat="1" applyFont="1" applyBorder="1" applyAlignment="1">
      <alignment horizontal="center"/>
    </xf>
    <xf numFmtId="2" fontId="1" fillId="6" borderId="4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3" fillId="0" borderId="28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right"/>
    </xf>
    <xf numFmtId="0" fontId="3" fillId="0" borderId="20" xfId="0" applyFont="1" applyBorder="1"/>
    <xf numFmtId="0" fontId="1" fillId="0" borderId="20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30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33" xfId="0" applyFont="1" applyBorder="1" applyAlignment="1">
      <alignment horizontal="right"/>
    </xf>
    <xf numFmtId="0" fontId="1" fillId="0" borderId="34" xfId="0" applyFont="1" applyBorder="1" applyAlignment="1">
      <alignment horizontal="right"/>
    </xf>
    <xf numFmtId="0" fontId="3" fillId="0" borderId="34" xfId="0" applyFont="1" applyBorder="1"/>
    <xf numFmtId="169" fontId="3" fillId="0" borderId="35" xfId="0" applyNumberFormat="1" applyFont="1" applyBorder="1"/>
    <xf numFmtId="0" fontId="9" fillId="0" borderId="0" xfId="0" applyFont="1"/>
    <xf numFmtId="0" fontId="10" fillId="0" borderId="27" xfId="0" applyFont="1" applyBorder="1"/>
    <xf numFmtId="0" fontId="10" fillId="0" borderId="46" xfId="0" applyFont="1" applyBorder="1"/>
    <xf numFmtId="0" fontId="3" fillId="0" borderId="31" xfId="0" applyFont="1" applyBorder="1" applyAlignment="1">
      <alignment vertical="center" wrapText="1"/>
    </xf>
    <xf numFmtId="0" fontId="3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left"/>
    </xf>
    <xf numFmtId="2" fontId="6" fillId="0" borderId="0" xfId="0" applyNumberFormat="1" applyFont="1"/>
    <xf numFmtId="0" fontId="3" fillId="0" borderId="16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20" xfId="0" applyFont="1" applyBorder="1"/>
    <xf numFmtId="165" fontId="6" fillId="0" borderId="18" xfId="0" applyNumberFormat="1" applyFont="1" applyBorder="1" applyAlignment="1">
      <alignment vertical="center"/>
    </xf>
    <xf numFmtId="0" fontId="7" fillId="0" borderId="45" xfId="0" applyFont="1" applyBorder="1" applyAlignment="1">
      <alignment vertical="center"/>
    </xf>
    <xf numFmtId="0" fontId="1" fillId="0" borderId="50" xfId="0" applyFont="1" applyBorder="1" applyAlignment="1">
      <alignment horizontal="center" vertical="center" wrapText="1"/>
    </xf>
    <xf numFmtId="0" fontId="3" fillId="0" borderId="18" xfId="0" applyFont="1" applyBorder="1" applyAlignment="1">
      <alignment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center" vertical="center"/>
    </xf>
    <xf numFmtId="1" fontId="5" fillId="0" borderId="18" xfId="0" applyNumberFormat="1" applyFont="1" applyBorder="1" applyAlignment="1">
      <alignment vertical="center"/>
    </xf>
    <xf numFmtId="1" fontId="5" fillId="0" borderId="55" xfId="0" applyNumberFormat="1" applyFont="1" applyBorder="1" applyAlignment="1">
      <alignment horizontal="center" vertical="center" wrapText="1"/>
    </xf>
    <xf numFmtId="1" fontId="5" fillId="0" borderId="50" xfId="0" applyNumberFormat="1" applyFont="1" applyBorder="1" applyAlignment="1">
      <alignment horizontal="center" vertical="center" wrapText="1"/>
    </xf>
    <xf numFmtId="1" fontId="15" fillId="0" borderId="56" xfId="0" applyNumberFormat="1" applyFont="1" applyBorder="1" applyAlignment="1">
      <alignment horizontal="center" vertical="center" wrapText="1"/>
    </xf>
    <xf numFmtId="1" fontId="5" fillId="0" borderId="14" xfId="0" applyNumberFormat="1" applyFont="1" applyBorder="1" applyAlignment="1">
      <alignment horizontal="center" vertical="center" wrapText="1"/>
    </xf>
    <xf numFmtId="1" fontId="5" fillId="0" borderId="45" xfId="0" applyNumberFormat="1" applyFont="1" applyBorder="1" applyAlignment="1">
      <alignment horizontal="center" vertical="center" wrapText="1"/>
    </xf>
    <xf numFmtId="1" fontId="5" fillId="0" borderId="46" xfId="0" applyNumberFormat="1" applyFont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2" xfId="0" applyNumberFormat="1" applyFont="1" applyBorder="1" applyAlignment="1">
      <alignment horizontal="center" vertical="center"/>
    </xf>
    <xf numFmtId="0" fontId="3" fillId="0" borderId="43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16" fillId="0" borderId="18" xfId="0" applyFont="1" applyBorder="1" applyAlignment="1">
      <alignment horizontal="center" vertical="center"/>
    </xf>
    <xf numFmtId="164" fontId="16" fillId="0" borderId="18" xfId="0" applyNumberFormat="1" applyFont="1" applyBorder="1" applyAlignment="1">
      <alignment horizontal="center" vertical="center"/>
    </xf>
    <xf numFmtId="165" fontId="16" fillId="0" borderId="1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6" fillId="0" borderId="4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4" fillId="0" borderId="6" xfId="0" applyFont="1" applyBorder="1"/>
    <xf numFmtId="0" fontId="14" fillId="0" borderId="7" xfId="0" applyFont="1" applyBorder="1"/>
    <xf numFmtId="0" fontId="16" fillId="0" borderId="6" xfId="0" applyFont="1" applyBorder="1" applyAlignment="1">
      <alignment horizontal="right" wrapText="1"/>
    </xf>
    <xf numFmtId="0" fontId="17" fillId="0" borderId="0" xfId="0" applyFont="1" applyAlignment="1">
      <alignment wrapText="1"/>
    </xf>
    <xf numFmtId="0" fontId="17" fillId="0" borderId="7" xfId="0" applyFont="1" applyBorder="1" applyAlignment="1">
      <alignment wrapText="1"/>
    </xf>
    <xf numFmtId="0" fontId="17" fillId="0" borderId="6" xfId="0" applyFont="1" applyBorder="1" applyAlignment="1">
      <alignment wrapText="1"/>
    </xf>
    <xf numFmtId="0" fontId="16" fillId="0" borderId="5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5" xfId="0" applyFont="1" applyBorder="1"/>
    <xf numFmtId="0" fontId="18" fillId="0" borderId="42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9" fillId="0" borderId="49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wrapText="1"/>
    </xf>
    <xf numFmtId="0" fontId="14" fillId="0" borderId="0" xfId="0" applyFont="1" applyAlignment="1">
      <alignment wrapText="1"/>
    </xf>
    <xf numFmtId="0" fontId="19" fillId="0" borderId="61" xfId="0" applyFont="1" applyBorder="1" applyAlignment="1">
      <alignment horizontal="right" wrapText="1"/>
    </xf>
    <xf numFmtId="0" fontId="19" fillId="0" borderId="5" xfId="0" applyFont="1" applyBorder="1" applyAlignment="1">
      <alignment horizontal="right" wrapText="1"/>
    </xf>
    <xf numFmtId="0" fontId="19" fillId="0" borderId="5" xfId="0" applyFont="1" applyBorder="1" applyAlignment="1">
      <alignment horizontal="right" vertical="center" wrapText="1"/>
    </xf>
    <xf numFmtId="0" fontId="19" fillId="0" borderId="24" xfId="0" applyFont="1" applyBorder="1" applyAlignment="1">
      <alignment horizontal="right" wrapText="1"/>
    </xf>
    <xf numFmtId="0" fontId="19" fillId="0" borderId="0" xfId="0" applyFont="1" applyAlignment="1">
      <alignment horizontal="right" wrapText="1"/>
    </xf>
    <xf numFmtId="0" fontId="14" fillId="0" borderId="27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14" fillId="0" borderId="30" xfId="0" applyFont="1" applyBorder="1" applyAlignment="1">
      <alignment wrapText="1"/>
    </xf>
    <xf numFmtId="0" fontId="19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wrapText="1"/>
    </xf>
    <xf numFmtId="0" fontId="6" fillId="0" borderId="34" xfId="0" applyFont="1" applyBorder="1"/>
    <xf numFmtId="0" fontId="14" fillId="0" borderId="35" xfId="0" applyFont="1" applyBorder="1" applyAlignment="1">
      <alignment wrapText="1"/>
    </xf>
    <xf numFmtId="167" fontId="6" fillId="0" borderId="0" xfId="0" applyNumberFormat="1" applyFont="1"/>
    <xf numFmtId="2" fontId="14" fillId="0" borderId="34" xfId="0" applyNumberFormat="1" applyFont="1" applyBorder="1" applyAlignment="1">
      <alignment wrapText="1"/>
    </xf>
    <xf numFmtId="2" fontId="6" fillId="0" borderId="34" xfId="0" applyNumberFormat="1" applyFont="1" applyBorder="1"/>
    <xf numFmtId="0" fontId="1" fillId="0" borderId="62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6" fillId="0" borderId="7" xfId="0" applyFont="1" applyBorder="1"/>
    <xf numFmtId="0" fontId="20" fillId="0" borderId="6" xfId="0" applyFont="1" applyBorder="1"/>
    <xf numFmtId="0" fontId="20" fillId="0" borderId="0" xfId="0" applyFont="1"/>
    <xf numFmtId="0" fontId="20" fillId="0" borderId="7" xfId="0" applyFont="1" applyBorder="1"/>
    <xf numFmtId="0" fontId="16" fillId="0" borderId="4" xfId="0" applyFont="1" applyBorder="1" applyAlignment="1">
      <alignment horizontal="center" wrapText="1"/>
    </xf>
    <xf numFmtId="0" fontId="18" fillId="0" borderId="50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wrapText="1"/>
    </xf>
    <xf numFmtId="0" fontId="16" fillId="0" borderId="0" xfId="0" applyFont="1" applyAlignment="1">
      <alignment horizontal="right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" fillId="0" borderId="67" xfId="0" applyFont="1" applyBorder="1" applyAlignment="1">
      <alignment horizontal="center" vertical="center"/>
    </xf>
    <xf numFmtId="0" fontId="6" fillId="0" borderId="2" xfId="0" applyFont="1" applyBorder="1"/>
    <xf numFmtId="0" fontId="1" fillId="0" borderId="68" xfId="0" applyFont="1" applyBorder="1" applyAlignment="1">
      <alignment horizontal="center" vertical="center"/>
    </xf>
    <xf numFmtId="164" fontId="1" fillId="0" borderId="63" xfId="0" applyNumberFormat="1" applyFont="1" applyBorder="1" applyAlignment="1">
      <alignment horizontal="center" vertical="center"/>
    </xf>
    <xf numFmtId="164" fontId="1" fillId="0" borderId="69" xfId="0" applyNumberFormat="1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5" fontId="1" fillId="0" borderId="62" xfId="0" applyNumberFormat="1" applyFont="1" applyBorder="1" applyAlignment="1">
      <alignment horizontal="center" vertical="center"/>
    </xf>
    <xf numFmtId="165" fontId="1" fillId="0" borderId="57" xfId="0" applyNumberFormat="1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 wrapText="1"/>
    </xf>
    <xf numFmtId="0" fontId="6" fillId="0" borderId="27" xfId="0" applyFont="1" applyBorder="1"/>
    <xf numFmtId="0" fontId="6" fillId="0" borderId="62" xfId="0" applyFont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 wrapText="1"/>
    </xf>
    <xf numFmtId="1" fontId="3" fillId="0" borderId="37" xfId="0" applyNumberFormat="1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wrapText="1"/>
    </xf>
    <xf numFmtId="0" fontId="6" fillId="0" borderId="38" xfId="0" applyFont="1" applyBorder="1" applyAlignment="1">
      <alignment horizontal="center" wrapText="1"/>
    </xf>
    <xf numFmtId="0" fontId="6" fillId="0" borderId="64" xfId="0" applyFont="1" applyBorder="1"/>
    <xf numFmtId="0" fontId="7" fillId="0" borderId="71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wrapText="1"/>
    </xf>
    <xf numFmtId="0" fontId="7" fillId="0" borderId="74" xfId="0" applyFont="1" applyBorder="1" applyAlignment="1">
      <alignment horizontal="center" vertical="center" wrapText="1"/>
    </xf>
    <xf numFmtId="0" fontId="6" fillId="0" borderId="9" xfId="0" applyFont="1" applyBorder="1"/>
    <xf numFmtId="0" fontId="7" fillId="0" borderId="75" xfId="0" applyFont="1" applyBorder="1" applyAlignment="1">
      <alignment horizontal="center" vertical="center" wrapText="1"/>
    </xf>
    <xf numFmtId="0" fontId="16" fillId="0" borderId="4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16" fillId="0" borderId="18" xfId="0" applyFont="1" applyBorder="1" applyAlignment="1">
      <alignment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vertical="center" wrapText="1"/>
    </xf>
    <xf numFmtId="0" fontId="16" fillId="0" borderId="8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66" xfId="0" applyFont="1" applyBorder="1" applyAlignment="1">
      <alignment horizontal="center" vertical="center"/>
    </xf>
    <xf numFmtId="164" fontId="16" fillId="0" borderId="63" xfId="0" applyNumberFormat="1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14" fillId="0" borderId="27" xfId="0" applyFont="1" applyBorder="1"/>
    <xf numFmtId="0" fontId="16" fillId="0" borderId="36" xfId="0" applyFont="1" applyBorder="1" applyAlignment="1">
      <alignment horizontal="center" vertical="center"/>
    </xf>
    <xf numFmtId="165" fontId="16" fillId="0" borderId="63" xfId="0" applyNumberFormat="1" applyFont="1" applyBorder="1" applyAlignment="1">
      <alignment horizontal="center" vertical="center"/>
    </xf>
    <xf numFmtId="0" fontId="6" fillId="0" borderId="65" xfId="0" applyFont="1" applyBorder="1" applyAlignment="1">
      <alignment wrapText="1"/>
    </xf>
    <xf numFmtId="0" fontId="6" fillId="0" borderId="64" xfId="0" applyFont="1" applyBorder="1" applyAlignment="1">
      <alignment wrapText="1"/>
    </xf>
    <xf numFmtId="0" fontId="7" fillId="0" borderId="63" xfId="0" applyFont="1" applyBorder="1" applyAlignment="1">
      <alignment vertical="center" wrapText="1"/>
    </xf>
    <xf numFmtId="0" fontId="6" fillId="0" borderId="63" xfId="0" applyFont="1" applyBorder="1" applyAlignment="1">
      <alignment wrapText="1"/>
    </xf>
    <xf numFmtId="0" fontId="6" fillId="0" borderId="65" xfId="0" applyFont="1" applyBorder="1" applyAlignment="1">
      <alignment vertical="center" wrapText="1"/>
    </xf>
    <xf numFmtId="0" fontId="1" fillId="0" borderId="3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wrapText="1"/>
    </xf>
    <xf numFmtId="0" fontId="1" fillId="0" borderId="63" xfId="0" applyFont="1" applyBorder="1" applyAlignment="1">
      <alignment horizontal="center" wrapText="1"/>
    </xf>
    <xf numFmtId="0" fontId="1" fillId="0" borderId="63" xfId="0" applyFont="1" applyBorder="1" applyAlignment="1">
      <alignment horizontal="center" vertical="center" wrapText="1"/>
    </xf>
    <xf numFmtId="0" fontId="3" fillId="0" borderId="65" xfId="0" applyFont="1" applyBorder="1" applyAlignment="1">
      <alignment wrapText="1"/>
    </xf>
    <xf numFmtId="0" fontId="1" fillId="0" borderId="65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2" fillId="0" borderId="40" xfId="0" applyFont="1" applyBorder="1"/>
    <xf numFmtId="0" fontId="2" fillId="0" borderId="39" xfId="0" applyFont="1" applyBorder="1"/>
    <xf numFmtId="0" fontId="1" fillId="0" borderId="44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" fillId="0" borderId="15" xfId="0" applyFont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2" fillId="0" borderId="23" xfId="0" applyFont="1" applyBorder="1"/>
    <xf numFmtId="0" fontId="4" fillId="0" borderId="8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/>
    <xf numFmtId="0" fontId="1" fillId="6" borderId="44" xfId="0" applyFont="1" applyFill="1" applyBorder="1" applyAlignment="1">
      <alignment horizontal="center" vertical="center"/>
    </xf>
    <xf numFmtId="2" fontId="1" fillId="6" borderId="12" xfId="0" applyNumberFormat="1" applyFont="1" applyFill="1" applyBorder="1" applyAlignment="1">
      <alignment horizontal="center" vertical="center"/>
    </xf>
    <xf numFmtId="0" fontId="2" fillId="0" borderId="51" xfId="0" applyFont="1" applyBorder="1"/>
    <xf numFmtId="0" fontId="4" fillId="0" borderId="4" xfId="0" applyFont="1" applyBorder="1" applyAlignment="1">
      <alignment horizontal="center"/>
    </xf>
    <xf numFmtId="0" fontId="2" fillId="0" borderId="11" xfId="0" applyFont="1" applyBorder="1"/>
    <xf numFmtId="0" fontId="2" fillId="0" borderId="5" xfId="0" applyFont="1" applyBorder="1"/>
    <xf numFmtId="2" fontId="3" fillId="0" borderId="4" xfId="0" applyNumberFormat="1" applyFont="1" applyBorder="1" applyAlignment="1">
      <alignment horizontal="center"/>
    </xf>
    <xf numFmtId="0" fontId="2" fillId="0" borderId="25" xfId="0" applyFont="1" applyBorder="1"/>
    <xf numFmtId="0" fontId="8" fillId="0" borderId="0" xfId="0" applyFont="1" applyAlignment="1">
      <alignment horizontal="left"/>
    </xf>
    <xf numFmtId="0" fontId="0" fillId="0" borderId="0" xfId="0"/>
    <xf numFmtId="0" fontId="1" fillId="0" borderId="41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2" xfId="0" applyFont="1" applyBorder="1"/>
    <xf numFmtId="0" fontId="1" fillId="0" borderId="24" xfId="0" applyFont="1" applyBorder="1" applyAlignment="1">
      <alignment horizontal="right"/>
    </xf>
    <xf numFmtId="0" fontId="3" fillId="0" borderId="2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top" wrapText="1"/>
    </xf>
    <xf numFmtId="0" fontId="2" fillId="0" borderId="20" xfId="0" applyFont="1" applyBorder="1"/>
    <xf numFmtId="0" fontId="2" fillId="0" borderId="36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1" fillId="0" borderId="22" xfId="0" applyFont="1" applyBorder="1" applyAlignment="1">
      <alignment horizontal="right"/>
    </xf>
    <xf numFmtId="0" fontId="3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0" borderId="27" xfId="0" applyFont="1" applyBorder="1"/>
    <xf numFmtId="0" fontId="1" fillId="0" borderId="4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2" fillId="0" borderId="24" xfId="0" applyFont="1" applyBorder="1"/>
    <xf numFmtId="0" fontId="1" fillId="0" borderId="37" xfId="0" applyFont="1" applyBorder="1" applyAlignment="1">
      <alignment horizontal="center" vertical="center"/>
    </xf>
    <xf numFmtId="0" fontId="2" fillId="0" borderId="38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24" xfId="0" applyFont="1" applyBorder="1" applyAlignment="1">
      <alignment horizontal="center" wrapText="1"/>
    </xf>
    <xf numFmtId="0" fontId="3" fillId="0" borderId="22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167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7" fontId="3" fillId="0" borderId="1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1" fillId="0" borderId="19" xfId="0" applyFont="1" applyBorder="1" applyAlignment="1">
      <alignment horizontal="left" vertical="top"/>
    </xf>
    <xf numFmtId="0" fontId="2" fillId="0" borderId="21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30" xfId="0" applyFont="1" applyBorder="1"/>
    <xf numFmtId="0" fontId="5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2" fillId="0" borderId="26" xfId="0" applyFont="1" applyBorder="1"/>
    <xf numFmtId="0" fontId="1" fillId="0" borderId="1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1" fillId="5" borderId="29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wrapText="1"/>
    </xf>
    <xf numFmtId="0" fontId="1" fillId="0" borderId="2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/>
    </xf>
    <xf numFmtId="0" fontId="1" fillId="0" borderId="44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11" fillId="0" borderId="9" xfId="0" applyFont="1" applyBorder="1"/>
    <xf numFmtId="2" fontId="4" fillId="0" borderId="8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top" wrapText="1"/>
    </xf>
    <xf numFmtId="0" fontId="1" fillId="0" borderId="4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165" fontId="3" fillId="0" borderId="12" xfId="0" applyNumberFormat="1" applyFont="1" applyBorder="1" applyAlignment="1">
      <alignment horizontal="center" vertical="center" wrapText="1"/>
    </xf>
    <xf numFmtId="0" fontId="1" fillId="0" borderId="41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3" fillId="0" borderId="54" xfId="0" applyFont="1" applyBorder="1" applyAlignment="1">
      <alignment horizontal="left" vertical="center" wrapText="1"/>
    </xf>
    <xf numFmtId="0" fontId="13" fillId="0" borderId="54" xfId="0" applyFont="1" applyBorder="1" applyAlignment="1">
      <alignment horizontal="left" wrapText="1"/>
    </xf>
    <xf numFmtId="0" fontId="6" fillId="0" borderId="52" xfId="0" applyFont="1" applyBorder="1" applyAlignment="1">
      <alignment horizontal="left" vertical="center" wrapText="1"/>
    </xf>
    <xf numFmtId="0" fontId="2" fillId="0" borderId="53" xfId="0" applyFont="1" applyBorder="1"/>
    <xf numFmtId="0" fontId="6" fillId="0" borderId="37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6" fillId="0" borderId="52" xfId="0" applyFont="1" applyBorder="1" applyAlignment="1">
      <alignment horizontal="center" vertical="center" wrapText="1"/>
    </xf>
    <xf numFmtId="1" fontId="12" fillId="0" borderId="15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wrapText="1"/>
    </xf>
    <xf numFmtId="0" fontId="7" fillId="0" borderId="19" xfId="0" applyFont="1" applyBorder="1" applyAlignment="1">
      <alignment horizontal="left" vertical="top" wrapText="1"/>
    </xf>
    <xf numFmtId="0" fontId="2" fillId="0" borderId="52" xfId="0" applyFont="1" applyBorder="1"/>
    <xf numFmtId="0" fontId="7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0" fontId="2" fillId="0" borderId="50" xfId="0" applyFont="1" applyBorder="1"/>
    <xf numFmtId="165" fontId="3" fillId="0" borderId="4" xfId="0" applyNumberFormat="1" applyFont="1" applyBorder="1" applyAlignment="1">
      <alignment horizontal="center" vertical="center"/>
    </xf>
    <xf numFmtId="170" fontId="3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2" fillId="0" borderId="55" xfId="0" applyFont="1" applyBorder="1"/>
    <xf numFmtId="1" fontId="3" fillId="0" borderId="4" xfId="0" applyNumberFormat="1" applyFont="1" applyBorder="1" applyAlignment="1">
      <alignment horizontal="center" vertical="center"/>
    </xf>
    <xf numFmtId="1" fontId="5" fillId="0" borderId="26" xfId="0" applyNumberFormat="1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wrapText="1"/>
    </xf>
    <xf numFmtId="1" fontId="4" fillId="0" borderId="28" xfId="0" applyNumberFormat="1" applyFont="1" applyBorder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0" fontId="1" fillId="0" borderId="28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left" vertical="center" wrapText="1"/>
    </xf>
    <xf numFmtId="1" fontId="5" fillId="0" borderId="28" xfId="0" applyNumberFormat="1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 wrapText="1"/>
    </xf>
    <xf numFmtId="1" fontId="5" fillId="0" borderId="41" xfId="0" applyNumberFormat="1" applyFont="1" applyBorder="1" applyAlignment="1">
      <alignment horizontal="center" vertical="center" wrapText="1"/>
    </xf>
    <xf numFmtId="1" fontId="5" fillId="0" borderId="28" xfId="0" applyNumberFormat="1" applyFont="1" applyBorder="1" applyAlignment="1">
      <alignment horizontal="left" vertical="center" wrapText="1"/>
    </xf>
    <xf numFmtId="1" fontId="5" fillId="0" borderId="44" xfId="0" applyNumberFormat="1" applyFont="1" applyBorder="1" applyAlignment="1">
      <alignment horizontal="center" vertical="center" wrapText="1"/>
    </xf>
    <xf numFmtId="1" fontId="5" fillId="0" borderId="37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right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right" vertical="center" wrapText="1"/>
    </xf>
    <xf numFmtId="1" fontId="5" fillId="0" borderId="16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right" vertical="center" wrapText="1"/>
    </xf>
    <xf numFmtId="1" fontId="5" fillId="0" borderId="34" xfId="0" applyNumberFormat="1" applyFont="1" applyBorder="1" applyAlignment="1">
      <alignment horizontal="center" vertical="center" wrapText="1"/>
    </xf>
    <xf numFmtId="1" fontId="5" fillId="0" borderId="34" xfId="0" applyNumberFormat="1" applyFont="1" applyBorder="1" applyAlignment="1">
      <alignment horizontal="right" vertical="center" wrapText="1"/>
    </xf>
    <xf numFmtId="1" fontId="5" fillId="0" borderId="24" xfId="0" applyNumberFormat="1" applyFont="1" applyBorder="1" applyAlignment="1">
      <alignment horizontal="right" vertical="center" wrapText="1"/>
    </xf>
    <xf numFmtId="1" fontId="5" fillId="0" borderId="33" xfId="0" applyNumberFormat="1" applyFont="1" applyBorder="1" applyAlignment="1">
      <alignment horizontal="right" vertical="center" wrapText="1"/>
    </xf>
    <xf numFmtId="1" fontId="5" fillId="0" borderId="29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4" fillId="0" borderId="0" xfId="0" applyFont="1"/>
    <xf numFmtId="0" fontId="16" fillId="0" borderId="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textRotation="90" wrapText="1"/>
    </xf>
    <xf numFmtId="0" fontId="16" fillId="0" borderId="4" xfId="0" applyFont="1" applyBorder="1" applyAlignment="1">
      <alignment horizontal="right" vertical="center" wrapText="1"/>
    </xf>
    <xf numFmtId="0" fontId="17" fillId="0" borderId="4" xfId="0" applyFont="1" applyBorder="1" applyAlignment="1">
      <alignment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center" wrapText="1"/>
    </xf>
    <xf numFmtId="0" fontId="17" fillId="0" borderId="11" xfId="0" applyFont="1" applyBorder="1" applyAlignment="1">
      <alignment vertical="center" wrapText="1"/>
    </xf>
    <xf numFmtId="0" fontId="16" fillId="0" borderId="6" xfId="0" applyFont="1" applyBorder="1" applyAlignment="1">
      <alignment horizontal="right" wrapText="1"/>
    </xf>
    <xf numFmtId="0" fontId="17" fillId="0" borderId="9" xfId="0" applyFont="1" applyBorder="1" applyAlignment="1">
      <alignment horizontal="center" wrapText="1"/>
    </xf>
    <xf numFmtId="0" fontId="16" fillId="0" borderId="4" xfId="0" applyFont="1" applyBorder="1" applyAlignment="1">
      <alignment horizontal="left" vertical="center" wrapText="1"/>
    </xf>
    <xf numFmtId="0" fontId="17" fillId="0" borderId="1" xfId="0" applyFont="1" applyBorder="1"/>
    <xf numFmtId="0" fontId="17" fillId="0" borderId="4" xfId="0" applyFont="1" applyBorder="1" applyAlignment="1">
      <alignment horizontal="center"/>
    </xf>
    <xf numFmtId="0" fontId="16" fillId="0" borderId="6" xfId="0" applyFont="1" applyBorder="1" applyAlignment="1">
      <alignment horizontal="center" vertical="center" textRotation="90" wrapText="1"/>
    </xf>
    <xf numFmtId="0" fontId="17" fillId="0" borderId="0" xfId="0" applyFont="1" applyAlignment="1">
      <alignment horizontal="center" wrapText="1"/>
    </xf>
    <xf numFmtId="0" fontId="1" fillId="0" borderId="57" xfId="0" applyFont="1" applyBorder="1" applyAlignment="1">
      <alignment horizontal="center" vertical="center" wrapText="1"/>
    </xf>
    <xf numFmtId="0" fontId="2" fillId="0" borderId="58" xfId="0" applyFont="1" applyBorder="1"/>
    <xf numFmtId="0" fontId="2" fillId="0" borderId="59" xfId="0" applyFont="1" applyBorder="1"/>
    <xf numFmtId="0" fontId="2" fillId="0" borderId="60" xfId="0" applyFont="1" applyBorder="1"/>
    <xf numFmtId="165" fontId="1" fillId="0" borderId="12" xfId="0" applyNumberFormat="1" applyFont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2" fontId="10" fillId="0" borderId="9" xfId="0" applyNumberFormat="1" applyFont="1" applyBorder="1" applyAlignment="1">
      <alignment horizontal="center" wrapText="1"/>
    </xf>
    <xf numFmtId="2" fontId="14" fillId="0" borderId="9" xfId="0" applyNumberFormat="1" applyFont="1" applyBorder="1" applyAlignment="1">
      <alignment wrapText="1"/>
    </xf>
    <xf numFmtId="165" fontId="10" fillId="0" borderId="8" xfId="0" applyNumberFormat="1" applyFont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4" fillId="0" borderId="9" xfId="0" applyFont="1" applyBorder="1" applyAlignment="1">
      <alignment wrapText="1"/>
    </xf>
    <xf numFmtId="0" fontId="1" fillId="0" borderId="62" xfId="0" applyFont="1" applyBorder="1" applyAlignment="1">
      <alignment horizontal="center" vertical="center" wrapText="1"/>
    </xf>
    <xf numFmtId="0" fontId="2" fillId="0" borderId="64" xfId="0" applyFont="1" applyBorder="1"/>
    <xf numFmtId="0" fontId="2" fillId="0" borderId="65" xfId="0" applyFont="1" applyBorder="1"/>
    <xf numFmtId="2" fontId="1" fillId="0" borderId="22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165" fontId="1" fillId="0" borderId="37" xfId="0" applyNumberFormat="1" applyFont="1" applyBorder="1" applyAlignment="1">
      <alignment horizontal="center" vertical="center"/>
    </xf>
    <xf numFmtId="171" fontId="17" fillId="0" borderId="4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wrapText="1"/>
    </xf>
    <xf numFmtId="0" fontId="17" fillId="0" borderId="4" xfId="0" applyFont="1" applyBorder="1" applyAlignment="1">
      <alignment horizontal="left" vertical="center" wrapText="1"/>
    </xf>
    <xf numFmtId="0" fontId="16" fillId="0" borderId="4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wrapText="1"/>
    </xf>
    <xf numFmtId="0" fontId="18" fillId="0" borderId="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wrapText="1"/>
    </xf>
    <xf numFmtId="0" fontId="7" fillId="0" borderId="6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wrapText="1"/>
    </xf>
    <xf numFmtId="0" fontId="6" fillId="0" borderId="37" xfId="0" applyFont="1" applyBorder="1" applyAlignment="1">
      <alignment horizontal="center" wrapText="1"/>
    </xf>
    <xf numFmtId="0" fontId="7" fillId="0" borderId="70" xfId="0" applyFont="1" applyBorder="1" applyAlignment="1">
      <alignment horizontal="center" vertical="center" wrapText="1"/>
    </xf>
    <xf numFmtId="0" fontId="2" fillId="0" borderId="72" xfId="0" applyFont="1" applyBorder="1"/>
    <xf numFmtId="0" fontId="2" fillId="0" borderId="73" xfId="0" applyFont="1" applyBorder="1"/>
    <xf numFmtId="0" fontId="14" fillId="0" borderId="37" xfId="0" applyFont="1" applyBorder="1" applyAlignment="1">
      <alignment horizontal="center" wrapText="1"/>
    </xf>
    <xf numFmtId="0" fontId="3" fillId="0" borderId="37" xfId="0" applyFont="1" applyBorder="1" applyAlignment="1">
      <alignment horizontal="center" vertical="center" wrapText="1"/>
    </xf>
    <xf numFmtId="166" fontId="3" fillId="0" borderId="37" xfId="0" applyNumberFormat="1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wrapText="1"/>
    </xf>
    <xf numFmtId="0" fontId="16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2" fillId="0" borderId="76" xfId="0" applyFont="1" applyBorder="1"/>
    <xf numFmtId="0" fontId="3" fillId="0" borderId="62" xfId="0" applyFont="1" applyBorder="1" applyAlignment="1">
      <alignment horizontal="center" wrapText="1"/>
    </xf>
    <xf numFmtId="0" fontId="1" fillId="0" borderId="36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wrapText="1"/>
    </xf>
    <xf numFmtId="0" fontId="3" fillId="0" borderId="3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33</xdr:row>
      <xdr:rowOff>0</xdr:rowOff>
    </xdr:from>
    <xdr:ext cx="26670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33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33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33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66700" cy="333375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32</xdr:row>
      <xdr:rowOff>0</xdr:rowOff>
    </xdr:from>
    <xdr:ext cx="266700" cy="333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32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32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32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66700" cy="3333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46</xdr:row>
      <xdr:rowOff>0</xdr:rowOff>
    </xdr:from>
    <xdr:ext cx="266700" cy="3333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46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46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46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46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46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46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46</xdr:row>
      <xdr:rowOff>0</xdr:rowOff>
    </xdr:from>
    <xdr:ext cx="266700" cy="3333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46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46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46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46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46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46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46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40</xdr:row>
      <xdr:rowOff>0</xdr:rowOff>
    </xdr:from>
    <xdr:ext cx="266700" cy="3333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40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66700" cy="33337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28</xdr:row>
      <xdr:rowOff>0</xdr:rowOff>
    </xdr:from>
    <xdr:ext cx="266700" cy="3333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28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28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28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28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28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28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28</xdr:row>
      <xdr:rowOff>0</xdr:rowOff>
    </xdr:from>
    <xdr:ext cx="266700" cy="3333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28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28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28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28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28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28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28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47</xdr:row>
      <xdr:rowOff>0</xdr:rowOff>
    </xdr:from>
    <xdr:ext cx="266700" cy="33337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47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47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47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667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46</xdr:row>
      <xdr:rowOff>0</xdr:rowOff>
    </xdr:from>
    <xdr:ext cx="266700" cy="3333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46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46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46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46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46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46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46</xdr:row>
      <xdr:rowOff>0</xdr:rowOff>
    </xdr:from>
    <xdr:ext cx="266700" cy="3333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46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46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46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46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46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46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46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40</xdr:row>
      <xdr:rowOff>0</xdr:rowOff>
    </xdr:from>
    <xdr:ext cx="266700" cy="3333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40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66700" cy="33337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40</xdr:row>
      <xdr:rowOff>0</xdr:rowOff>
    </xdr:from>
    <xdr:ext cx="266700" cy="3333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40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66700" cy="33337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86</xdr:row>
      <xdr:rowOff>104775</xdr:rowOff>
    </xdr:from>
    <xdr:ext cx="1028700" cy="7334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100</xdr:row>
      <xdr:rowOff>104775</xdr:rowOff>
    </xdr:from>
    <xdr:ext cx="1028700" cy="7334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114</xdr:row>
      <xdr:rowOff>104775</xdr:rowOff>
    </xdr:from>
    <xdr:ext cx="1028700" cy="73342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128</xdr:row>
      <xdr:rowOff>104775</xdr:rowOff>
    </xdr:from>
    <xdr:ext cx="1028700" cy="7334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142</xdr:row>
      <xdr:rowOff>104775</xdr:rowOff>
    </xdr:from>
    <xdr:ext cx="1028700" cy="7334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156</xdr:row>
      <xdr:rowOff>104775</xdr:rowOff>
    </xdr:from>
    <xdr:ext cx="1028700" cy="73342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170</xdr:row>
      <xdr:rowOff>104775</xdr:rowOff>
    </xdr:from>
    <xdr:ext cx="1028700" cy="733425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184</xdr:row>
      <xdr:rowOff>104775</xdr:rowOff>
    </xdr:from>
    <xdr:ext cx="1028700" cy="73342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170</xdr:row>
      <xdr:rowOff>104775</xdr:rowOff>
    </xdr:from>
    <xdr:ext cx="1028700" cy="733425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198</xdr:row>
      <xdr:rowOff>104775</xdr:rowOff>
    </xdr:from>
    <xdr:ext cx="1028700" cy="733425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212</xdr:row>
      <xdr:rowOff>104775</xdr:rowOff>
    </xdr:from>
    <xdr:ext cx="1028700" cy="733425"/>
    <xdr:pic>
      <xdr:nvPicPr>
        <xdr:cNvPr id="18" name="image1.png" title="Image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323850</xdr:colOff>
      <xdr:row>2</xdr:row>
      <xdr:rowOff>38100</xdr:rowOff>
    </xdr:from>
    <xdr:ext cx="828675" cy="59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2</xdr:row>
      <xdr:rowOff>9525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16</xdr:row>
      <xdr:rowOff>171450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16</xdr:row>
      <xdr:rowOff>152400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32</xdr:row>
      <xdr:rowOff>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31</xdr:row>
      <xdr:rowOff>152400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47</xdr:row>
      <xdr:rowOff>9525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46</xdr:row>
      <xdr:rowOff>161925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C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 x14ac:dyDescent="0.45">
      <c r="A1" s="280"/>
      <c r="B1" s="243"/>
      <c r="C1" s="281"/>
      <c r="D1" s="280" t="s">
        <v>0</v>
      </c>
      <c r="E1" s="243"/>
      <c r="F1" s="243"/>
      <c r="G1" s="243"/>
      <c r="H1" s="243"/>
      <c r="I1" s="243"/>
      <c r="J1" s="243"/>
      <c r="K1" s="243"/>
      <c r="L1" s="281"/>
      <c r="M1" s="287" t="s">
        <v>1</v>
      </c>
      <c r="N1" s="233"/>
      <c r="O1" s="287" t="s">
        <v>2</v>
      </c>
      <c r="P1" s="233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 x14ac:dyDescent="0.45">
      <c r="A2" s="284"/>
      <c r="B2" s="237"/>
      <c r="C2" s="285"/>
      <c r="D2" s="286"/>
      <c r="E2" s="226"/>
      <c r="F2" s="226"/>
      <c r="G2" s="226"/>
      <c r="H2" s="226"/>
      <c r="I2" s="226"/>
      <c r="J2" s="226"/>
      <c r="K2" s="226"/>
      <c r="L2" s="227"/>
      <c r="M2" s="288" t="s">
        <v>3</v>
      </c>
      <c r="N2" s="227"/>
      <c r="O2" s="289">
        <v>1</v>
      </c>
      <c r="P2" s="281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 x14ac:dyDescent="0.45">
      <c r="A3" s="284"/>
      <c r="B3" s="237"/>
      <c r="C3" s="285"/>
      <c r="D3" s="290" t="s">
        <v>4</v>
      </c>
      <c r="E3" s="243"/>
      <c r="F3" s="243"/>
      <c r="G3" s="243"/>
      <c r="H3" s="243"/>
      <c r="I3" s="243"/>
      <c r="J3" s="243"/>
      <c r="K3" s="243"/>
      <c r="L3" s="281"/>
      <c r="M3" s="288" t="s">
        <v>5</v>
      </c>
      <c r="N3" s="227"/>
      <c r="O3" s="287" t="s">
        <v>6</v>
      </c>
      <c r="P3" s="233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 x14ac:dyDescent="0.45">
      <c r="A4" s="284"/>
      <c r="B4" s="237"/>
      <c r="C4" s="285"/>
      <c r="D4" s="284"/>
      <c r="E4" s="237"/>
      <c r="F4" s="237"/>
      <c r="G4" s="237"/>
      <c r="H4" s="237"/>
      <c r="I4" s="237"/>
      <c r="J4" s="237"/>
      <c r="K4" s="237"/>
      <c r="L4" s="285"/>
      <c r="M4" s="280" t="s">
        <v>7</v>
      </c>
      <c r="N4" s="281"/>
      <c r="O4" s="264" t="s">
        <v>8</v>
      </c>
      <c r="P4" s="233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 x14ac:dyDescent="0.45">
      <c r="A5" s="286"/>
      <c r="B5" s="226"/>
      <c r="C5" s="227"/>
      <c r="D5" s="286"/>
      <c r="E5" s="226"/>
      <c r="F5" s="226"/>
      <c r="G5" s="226"/>
      <c r="H5" s="226"/>
      <c r="I5" s="226"/>
      <c r="J5" s="226"/>
      <c r="K5" s="226"/>
      <c r="L5" s="227"/>
      <c r="M5" s="286"/>
      <c r="N5" s="227"/>
      <c r="O5" s="265" t="s">
        <v>9</v>
      </c>
      <c r="P5" s="233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 x14ac:dyDescent="0.45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75" t="s">
        <v>10</v>
      </c>
      <c r="B7" s="232"/>
      <c r="C7" s="232"/>
      <c r="D7" s="232"/>
      <c r="E7" s="233"/>
      <c r="F7" s="274" t="s">
        <v>11</v>
      </c>
      <c r="G7" s="232"/>
      <c r="H7" s="232"/>
      <c r="I7" s="232"/>
      <c r="J7" s="232"/>
      <c r="K7" s="232"/>
      <c r="L7" s="232"/>
      <c r="M7" s="232"/>
      <c r="N7" s="232"/>
      <c r="O7" s="232"/>
      <c r="P7" s="233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 x14ac:dyDescent="0.45">
      <c r="A8" s="275" t="s">
        <v>12</v>
      </c>
      <c r="B8" s="232"/>
      <c r="C8" s="232"/>
      <c r="D8" s="232"/>
      <c r="E8" s="233"/>
      <c r="F8" s="292" t="s">
        <v>13</v>
      </c>
      <c r="G8" s="232"/>
      <c r="H8" s="232"/>
      <c r="I8" s="232"/>
      <c r="J8" s="233"/>
      <c r="K8" s="275" t="s">
        <v>14</v>
      </c>
      <c r="L8" s="233"/>
      <c r="M8" s="274" t="s">
        <v>15</v>
      </c>
      <c r="N8" s="232"/>
      <c r="O8" s="232"/>
      <c r="P8" s="233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 x14ac:dyDescent="0.45">
      <c r="A9" s="275" t="s">
        <v>16</v>
      </c>
      <c r="B9" s="232"/>
      <c r="C9" s="232"/>
      <c r="D9" s="232"/>
      <c r="E9" s="233"/>
      <c r="F9" s="274" t="s">
        <v>17</v>
      </c>
      <c r="G9" s="232"/>
      <c r="H9" s="232"/>
      <c r="I9" s="232"/>
      <c r="J9" s="233"/>
      <c r="K9" s="275" t="s">
        <v>18</v>
      </c>
      <c r="L9" s="233"/>
      <c r="M9" s="293">
        <v>33</v>
      </c>
      <c r="N9" s="232"/>
      <c r="O9" s="232"/>
      <c r="P9" s="233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 x14ac:dyDescent="0.45">
      <c r="A10" s="275" t="s">
        <v>19</v>
      </c>
      <c r="B10" s="232"/>
      <c r="C10" s="232"/>
      <c r="D10" s="232"/>
      <c r="E10" s="233"/>
      <c r="F10" s="274" t="s">
        <v>20</v>
      </c>
      <c r="G10" s="232"/>
      <c r="H10" s="232"/>
      <c r="I10" s="232"/>
      <c r="J10" s="232"/>
      <c r="K10" s="232"/>
      <c r="L10" s="232"/>
      <c r="M10" s="232"/>
      <c r="N10" s="232"/>
      <c r="O10" s="232"/>
      <c r="P10" s="233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 x14ac:dyDescent="0.45">
      <c r="A11" s="275" t="s">
        <v>21</v>
      </c>
      <c r="B11" s="232"/>
      <c r="C11" s="232"/>
      <c r="D11" s="232"/>
      <c r="E11" s="233"/>
      <c r="F11" s="294" t="s">
        <v>22</v>
      </c>
      <c r="G11" s="219"/>
      <c r="H11" s="219"/>
      <c r="I11" s="219"/>
      <c r="J11" s="220"/>
      <c r="K11" s="276" t="s">
        <v>23</v>
      </c>
      <c r="L11" s="233"/>
      <c r="M11" s="293"/>
      <c r="N11" s="232"/>
      <c r="O11" s="232"/>
      <c r="P11" s="233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 x14ac:dyDescent="0.45">
      <c r="A12" s="291" t="s">
        <v>24</v>
      </c>
      <c r="B12" s="219"/>
      <c r="C12" s="219"/>
      <c r="D12" s="219"/>
      <c r="E12" s="220"/>
      <c r="F12" s="294" t="s">
        <v>25</v>
      </c>
      <c r="G12" s="219"/>
      <c r="H12" s="219"/>
      <c r="I12" s="219"/>
      <c r="J12" s="220"/>
      <c r="K12" s="277" t="s">
        <v>26</v>
      </c>
      <c r="L12" s="220"/>
      <c r="M12" s="295"/>
      <c r="N12" s="219"/>
      <c r="O12" s="219"/>
      <c r="P12" s="220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 x14ac:dyDescent="0.45">
      <c r="A13" s="296"/>
      <c r="B13" s="237"/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O13" s="237"/>
      <c r="P13" s="285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 x14ac:dyDescent="0.45">
      <c r="A14" s="297" t="s">
        <v>27</v>
      </c>
      <c r="B14" s="222"/>
      <c r="C14" s="222"/>
      <c r="D14" s="222"/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45">
      <c r="A15" s="9" t="s">
        <v>28</v>
      </c>
      <c r="B15" s="287" t="s">
        <v>29</v>
      </c>
      <c r="C15" s="232"/>
      <c r="D15" s="232"/>
      <c r="E15" s="232"/>
      <c r="F15" s="232"/>
      <c r="G15" s="232"/>
      <c r="H15" s="232"/>
      <c r="I15" s="232"/>
      <c r="J15" s="232"/>
      <c r="K15" s="233"/>
      <c r="L15" s="287" t="s">
        <v>30</v>
      </c>
      <c r="M15" s="233"/>
      <c r="N15" s="287" t="s">
        <v>31</v>
      </c>
      <c r="O15" s="232"/>
      <c r="P15" s="23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 x14ac:dyDescent="0.45">
      <c r="A16" s="10">
        <v>1</v>
      </c>
      <c r="B16" s="298" t="s">
        <v>32</v>
      </c>
      <c r="C16" s="232"/>
      <c r="D16" s="232"/>
      <c r="E16" s="232"/>
      <c r="F16" s="232"/>
      <c r="G16" s="232"/>
      <c r="H16" s="232"/>
      <c r="I16" s="232"/>
      <c r="J16" s="232"/>
      <c r="K16" s="233"/>
      <c r="L16" s="287"/>
      <c r="M16" s="233"/>
      <c r="N16" s="287"/>
      <c r="O16" s="232"/>
      <c r="P16" s="23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 x14ac:dyDescent="0.45">
      <c r="A17" s="10">
        <v>2</v>
      </c>
      <c r="B17" s="298" t="s">
        <v>33</v>
      </c>
      <c r="C17" s="232"/>
      <c r="D17" s="232"/>
      <c r="E17" s="232"/>
      <c r="F17" s="232"/>
      <c r="G17" s="232"/>
      <c r="H17" s="232"/>
      <c r="I17" s="232"/>
      <c r="J17" s="232"/>
      <c r="K17" s="233"/>
      <c r="L17" s="287"/>
      <c r="M17" s="233"/>
      <c r="N17" s="287"/>
      <c r="O17" s="232"/>
      <c r="P17" s="23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 x14ac:dyDescent="0.45">
      <c r="A18" s="10">
        <v>3</v>
      </c>
      <c r="B18" s="298" t="s">
        <v>34</v>
      </c>
      <c r="C18" s="232"/>
      <c r="D18" s="232"/>
      <c r="E18" s="232"/>
      <c r="F18" s="232"/>
      <c r="G18" s="232"/>
      <c r="H18" s="232"/>
      <c r="I18" s="232"/>
      <c r="J18" s="232"/>
      <c r="K18" s="233"/>
      <c r="L18" s="287"/>
      <c r="M18" s="233"/>
      <c r="N18" s="287"/>
      <c r="O18" s="232"/>
      <c r="P18" s="23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 x14ac:dyDescent="0.45">
      <c r="A19" s="10">
        <v>4</v>
      </c>
      <c r="B19" s="298" t="s">
        <v>35</v>
      </c>
      <c r="C19" s="232"/>
      <c r="D19" s="232"/>
      <c r="E19" s="232"/>
      <c r="F19" s="232"/>
      <c r="G19" s="232"/>
      <c r="H19" s="232"/>
      <c r="I19" s="232"/>
      <c r="J19" s="232"/>
      <c r="K19" s="233"/>
      <c r="L19" s="287"/>
      <c r="M19" s="233"/>
      <c r="N19" s="287"/>
      <c r="O19" s="232"/>
      <c r="P19" s="23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 x14ac:dyDescent="0.45">
      <c r="A20" s="10">
        <v>5</v>
      </c>
      <c r="B20" s="298" t="s">
        <v>36</v>
      </c>
      <c r="C20" s="232"/>
      <c r="D20" s="232"/>
      <c r="E20" s="232"/>
      <c r="F20" s="232"/>
      <c r="G20" s="232"/>
      <c r="H20" s="232"/>
      <c r="I20" s="232"/>
      <c r="J20" s="232"/>
      <c r="K20" s="233"/>
      <c r="L20" s="287"/>
      <c r="M20" s="233"/>
      <c r="N20" s="287"/>
      <c r="O20" s="232"/>
      <c r="P20" s="23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 x14ac:dyDescent="0.45">
      <c r="A21" s="10">
        <v>6</v>
      </c>
      <c r="B21" s="298" t="s">
        <v>37</v>
      </c>
      <c r="C21" s="232"/>
      <c r="D21" s="232"/>
      <c r="E21" s="232"/>
      <c r="F21" s="232"/>
      <c r="G21" s="232"/>
      <c r="H21" s="232"/>
      <c r="I21" s="232"/>
      <c r="J21" s="232"/>
      <c r="K21" s="233"/>
      <c r="L21" s="287"/>
      <c r="M21" s="233"/>
      <c r="N21" s="287"/>
      <c r="O21" s="232"/>
      <c r="P21" s="23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 x14ac:dyDescent="0.45">
      <c r="A22" s="10">
        <v>7</v>
      </c>
      <c r="B22" s="298" t="s">
        <v>38</v>
      </c>
      <c r="C22" s="232"/>
      <c r="D22" s="232"/>
      <c r="E22" s="232"/>
      <c r="F22" s="232"/>
      <c r="G22" s="232"/>
      <c r="H22" s="232"/>
      <c r="I22" s="232"/>
      <c r="J22" s="232"/>
      <c r="K22" s="233"/>
      <c r="L22" s="287"/>
      <c r="M22" s="233"/>
      <c r="N22" s="287"/>
      <c r="O22" s="232"/>
      <c r="P22" s="23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 x14ac:dyDescent="0.45">
      <c r="A23" s="10">
        <v>8</v>
      </c>
      <c r="B23" s="298" t="s">
        <v>39</v>
      </c>
      <c r="C23" s="232"/>
      <c r="D23" s="232"/>
      <c r="E23" s="232"/>
      <c r="F23" s="232"/>
      <c r="G23" s="232"/>
      <c r="H23" s="232"/>
      <c r="I23" s="232"/>
      <c r="J23" s="232"/>
      <c r="K23" s="233"/>
      <c r="L23" s="287"/>
      <c r="M23" s="233"/>
      <c r="N23" s="287"/>
      <c r="O23" s="232"/>
      <c r="P23" s="233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 x14ac:dyDescent="0.45">
      <c r="A24" s="10">
        <v>9</v>
      </c>
      <c r="B24" s="298" t="s">
        <v>40</v>
      </c>
      <c r="C24" s="232"/>
      <c r="D24" s="232"/>
      <c r="E24" s="232"/>
      <c r="F24" s="232"/>
      <c r="G24" s="232"/>
      <c r="H24" s="232"/>
      <c r="I24" s="232"/>
      <c r="J24" s="232"/>
      <c r="K24" s="233"/>
      <c r="L24" s="287"/>
      <c r="M24" s="233"/>
      <c r="N24" s="287"/>
      <c r="O24" s="232"/>
      <c r="P24" s="233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 x14ac:dyDescent="0.45">
      <c r="A25" s="10">
        <v>10</v>
      </c>
      <c r="B25" s="298" t="s">
        <v>41</v>
      </c>
      <c r="C25" s="232"/>
      <c r="D25" s="232"/>
      <c r="E25" s="232"/>
      <c r="F25" s="232"/>
      <c r="G25" s="232"/>
      <c r="H25" s="232"/>
      <c r="I25" s="232"/>
      <c r="J25" s="232"/>
      <c r="K25" s="233"/>
      <c r="L25" s="287"/>
      <c r="M25" s="233"/>
      <c r="N25" s="287"/>
      <c r="O25" s="232"/>
      <c r="P25" s="23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 x14ac:dyDescent="0.45">
      <c r="A26" s="10">
        <v>11</v>
      </c>
      <c r="B26" s="298" t="s">
        <v>42</v>
      </c>
      <c r="C26" s="232"/>
      <c r="D26" s="232"/>
      <c r="E26" s="232"/>
      <c r="F26" s="232"/>
      <c r="G26" s="232"/>
      <c r="H26" s="232"/>
      <c r="I26" s="232"/>
      <c r="J26" s="232"/>
      <c r="K26" s="233"/>
      <c r="L26" s="287"/>
      <c r="M26" s="233"/>
      <c r="N26" s="287"/>
      <c r="O26" s="232"/>
      <c r="P26" s="23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 x14ac:dyDescent="0.45">
      <c r="A27" s="10">
        <v>12</v>
      </c>
      <c r="B27" s="298" t="s">
        <v>43</v>
      </c>
      <c r="C27" s="232"/>
      <c r="D27" s="232"/>
      <c r="E27" s="232"/>
      <c r="F27" s="232"/>
      <c r="G27" s="232"/>
      <c r="H27" s="232"/>
      <c r="I27" s="232"/>
      <c r="J27" s="232"/>
      <c r="K27" s="233"/>
      <c r="L27" s="287"/>
      <c r="M27" s="233"/>
      <c r="N27" s="287"/>
      <c r="O27" s="232"/>
      <c r="P27" s="23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 x14ac:dyDescent="0.45">
      <c r="A28" s="10">
        <v>13</v>
      </c>
      <c r="B28" s="298" t="s">
        <v>44</v>
      </c>
      <c r="C28" s="232"/>
      <c r="D28" s="232"/>
      <c r="E28" s="232"/>
      <c r="F28" s="232"/>
      <c r="G28" s="232"/>
      <c r="H28" s="232"/>
      <c r="I28" s="232"/>
      <c r="J28" s="232"/>
      <c r="K28" s="233"/>
      <c r="L28" s="287"/>
      <c r="M28" s="233"/>
      <c r="N28" s="287"/>
      <c r="O28" s="232"/>
      <c r="P28" s="23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 x14ac:dyDescent="0.45">
      <c r="A29" s="302" t="s">
        <v>45</v>
      </c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303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45">
      <c r="A30" s="304" t="s">
        <v>46</v>
      </c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3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 x14ac:dyDescent="0.45">
      <c r="A31" s="300"/>
      <c r="B31" s="232"/>
      <c r="C31" s="232"/>
      <c r="D31" s="232"/>
      <c r="E31" s="232"/>
      <c r="F31" s="232"/>
      <c r="G31" s="232"/>
      <c r="H31" s="232"/>
      <c r="I31" s="232"/>
      <c r="J31" s="233"/>
      <c r="K31" s="305"/>
      <c r="L31" s="232"/>
      <c r="M31" s="232"/>
      <c r="N31" s="232"/>
      <c r="O31" s="232"/>
      <c r="P31" s="233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 x14ac:dyDescent="0.45">
      <c r="A32" s="299" t="s">
        <v>47</v>
      </c>
      <c r="B32" s="232"/>
      <c r="C32" s="232"/>
      <c r="D32" s="232"/>
      <c r="E32" s="232"/>
      <c r="F32" s="232"/>
      <c r="G32" s="232"/>
      <c r="H32" s="232"/>
      <c r="I32" s="232"/>
      <c r="J32" s="233"/>
      <c r="K32" s="287" t="s">
        <v>48</v>
      </c>
      <c r="L32" s="232"/>
      <c r="M32" s="232"/>
      <c r="N32" s="232"/>
      <c r="O32" s="232"/>
      <c r="P32" s="233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45">
      <c r="A33" s="304" t="s">
        <v>49</v>
      </c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3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45">
      <c r="A34" s="276" t="s">
        <v>50</v>
      </c>
      <c r="B34" s="232"/>
      <c r="C34" s="232"/>
      <c r="D34" s="232"/>
      <c r="E34" s="232"/>
      <c r="F34" s="232"/>
      <c r="G34" s="233"/>
      <c r="H34" s="306"/>
      <c r="I34" s="232"/>
      <c r="J34" s="232"/>
      <c r="K34" s="232"/>
      <c r="L34" s="232"/>
      <c r="M34" s="232"/>
      <c r="N34" s="232"/>
      <c r="O34" s="232"/>
      <c r="P34" s="233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 x14ac:dyDescent="0.45">
      <c r="A35" s="299" t="s">
        <v>51</v>
      </c>
      <c r="B35" s="232"/>
      <c r="C35" s="232"/>
      <c r="D35" s="232"/>
      <c r="E35" s="232"/>
      <c r="F35" s="232"/>
      <c r="G35" s="233"/>
      <c r="H35" s="300"/>
      <c r="I35" s="232"/>
      <c r="J35" s="232"/>
      <c r="K35" s="232"/>
      <c r="L35" s="232"/>
      <c r="M35" s="232"/>
      <c r="N35" s="232"/>
      <c r="O35" s="232"/>
      <c r="P35" s="233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2"/>
      <c r="L36" s="2"/>
      <c r="M36" s="13"/>
      <c r="N36" s="14"/>
      <c r="O36" s="14"/>
      <c r="P36" s="15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301" t="s">
        <v>52</v>
      </c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7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3"/>
      <c r="N38" s="14"/>
      <c r="O38" s="14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3"/>
      <c r="N39" s="14"/>
      <c r="O39" s="1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3"/>
      <c r="N40" s="14"/>
      <c r="O40" s="1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/>
    <row r="239" spans="1:26" ht="15.75" customHeight="1" x14ac:dyDescent="0.45"/>
    <row r="240" spans="1:26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88"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A34:G34"/>
    <mergeCell ref="H34:P34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N16:P16"/>
    <mergeCell ref="B17:K17"/>
    <mergeCell ref="L17:M17"/>
    <mergeCell ref="N17:P17"/>
    <mergeCell ref="B18:K18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F12:J12"/>
    <mergeCell ref="K12:L12"/>
    <mergeCell ref="M12:P12"/>
    <mergeCell ref="A13:P13"/>
    <mergeCell ref="A14:P14"/>
    <mergeCell ref="M9:P9"/>
    <mergeCell ref="F9:J9"/>
    <mergeCell ref="K9:L9"/>
    <mergeCell ref="F10:P10"/>
    <mergeCell ref="F11:J11"/>
    <mergeCell ref="K11:L11"/>
    <mergeCell ref="M11:P11"/>
    <mergeCell ref="F7:P7"/>
    <mergeCell ref="A8:E8"/>
    <mergeCell ref="F8:J8"/>
    <mergeCell ref="K8:L8"/>
    <mergeCell ref="M8:P8"/>
    <mergeCell ref="A9:E9"/>
    <mergeCell ref="A10:E10"/>
    <mergeCell ref="A11:E11"/>
    <mergeCell ref="A12:E12"/>
    <mergeCell ref="A7:E7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</mergeCells>
  <pageMargins left="0.23622047244094491" right="0.23622047244094491" top="0.39370078740157483" bottom="0.74803149606299213" header="0" footer="0"/>
  <pageSetup paperSize="3"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 x14ac:dyDescent="0.45">
      <c r="A1" s="263"/>
      <c r="B1" s="251"/>
      <c r="C1" s="303"/>
      <c r="D1" s="318" t="s">
        <v>0</v>
      </c>
      <c r="E1" s="251"/>
      <c r="F1" s="251"/>
      <c r="G1" s="251"/>
      <c r="H1" s="251"/>
      <c r="I1" s="251"/>
      <c r="J1" s="251"/>
      <c r="K1" s="251"/>
      <c r="L1" s="303"/>
      <c r="M1" s="297" t="s">
        <v>1</v>
      </c>
      <c r="N1" s="223"/>
      <c r="O1" s="297" t="s">
        <v>53</v>
      </c>
      <c r="P1" s="224"/>
    </row>
    <row r="2" spans="1:19" ht="15" customHeight="1" x14ac:dyDescent="0.45">
      <c r="A2" s="266"/>
      <c r="B2" s="237"/>
      <c r="C2" s="285"/>
      <c r="D2" s="286"/>
      <c r="E2" s="226"/>
      <c r="F2" s="226"/>
      <c r="G2" s="226"/>
      <c r="H2" s="226"/>
      <c r="I2" s="226"/>
      <c r="J2" s="226"/>
      <c r="K2" s="226"/>
      <c r="L2" s="227"/>
      <c r="M2" s="287" t="s">
        <v>3</v>
      </c>
      <c r="N2" s="233"/>
      <c r="O2" s="319">
        <v>1</v>
      </c>
      <c r="P2" s="235"/>
    </row>
    <row r="3" spans="1:19" ht="15.75" customHeight="1" x14ac:dyDescent="0.45">
      <c r="A3" s="266"/>
      <c r="B3" s="237"/>
      <c r="C3" s="285"/>
      <c r="D3" s="290" t="s">
        <v>54</v>
      </c>
      <c r="E3" s="243"/>
      <c r="F3" s="243"/>
      <c r="G3" s="243"/>
      <c r="H3" s="243"/>
      <c r="I3" s="243"/>
      <c r="J3" s="243"/>
      <c r="K3" s="243"/>
      <c r="L3" s="281"/>
      <c r="M3" s="287" t="s">
        <v>5</v>
      </c>
      <c r="N3" s="233"/>
      <c r="O3" s="287" t="s">
        <v>6</v>
      </c>
      <c r="P3" s="235"/>
      <c r="Q3" s="12"/>
      <c r="R3" s="12"/>
      <c r="S3" s="12"/>
    </row>
    <row r="4" spans="1:19" ht="15.75" customHeight="1" x14ac:dyDescent="0.45">
      <c r="A4" s="266"/>
      <c r="B4" s="237"/>
      <c r="C4" s="285"/>
      <c r="D4" s="284"/>
      <c r="E4" s="237"/>
      <c r="F4" s="237"/>
      <c r="G4" s="237"/>
      <c r="H4" s="237"/>
      <c r="I4" s="237"/>
      <c r="J4" s="237"/>
      <c r="K4" s="237"/>
      <c r="L4" s="285"/>
      <c r="M4" s="296" t="s">
        <v>7</v>
      </c>
      <c r="N4" s="285"/>
      <c r="O4" s="264" t="s">
        <v>8</v>
      </c>
      <c r="P4" s="235"/>
      <c r="Q4" s="12"/>
      <c r="R4" s="12"/>
      <c r="S4" s="12"/>
    </row>
    <row r="5" spans="1:19" ht="15.75" customHeight="1" x14ac:dyDescent="0.45">
      <c r="A5" s="314"/>
      <c r="B5" s="226"/>
      <c r="C5" s="227"/>
      <c r="D5" s="286"/>
      <c r="E5" s="226"/>
      <c r="F5" s="226"/>
      <c r="G5" s="226"/>
      <c r="H5" s="226"/>
      <c r="I5" s="226"/>
      <c r="J5" s="226"/>
      <c r="K5" s="226"/>
      <c r="L5" s="227"/>
      <c r="M5" s="286"/>
      <c r="N5" s="227"/>
      <c r="O5" s="265" t="s">
        <v>9</v>
      </c>
      <c r="P5" s="235"/>
      <c r="Q5" s="12"/>
      <c r="R5" s="12"/>
      <c r="S5" s="12"/>
    </row>
    <row r="6" spans="1:19" ht="12" customHeight="1" x14ac:dyDescent="0.45">
      <c r="A6" s="320"/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61"/>
      <c r="Q6" s="12"/>
      <c r="R6" s="12"/>
      <c r="S6" s="12"/>
    </row>
    <row r="7" spans="1:19" ht="30" customHeight="1" x14ac:dyDescent="0.45">
      <c r="A7" s="278" t="s">
        <v>10</v>
      </c>
      <c r="B7" s="232"/>
      <c r="C7" s="232"/>
      <c r="D7" s="232"/>
      <c r="E7" s="232"/>
      <c r="F7" s="233"/>
      <c r="G7" s="274" t="str">
        <f>'LISTA CHEQUEO'!F7</f>
        <v>SUERO DE NIACINAMIDA 5% FORMULA NUEVA</v>
      </c>
      <c r="H7" s="232"/>
      <c r="I7" s="232"/>
      <c r="J7" s="232"/>
      <c r="K7" s="232"/>
      <c r="L7" s="232"/>
      <c r="M7" s="232"/>
      <c r="N7" s="232"/>
      <c r="O7" s="232"/>
      <c r="P7" s="235"/>
      <c r="Q7" s="12"/>
      <c r="R7" s="12"/>
      <c r="S7" s="12"/>
    </row>
    <row r="8" spans="1:19" ht="30" customHeight="1" x14ac:dyDescent="0.45">
      <c r="A8" s="321" t="s">
        <v>21</v>
      </c>
      <c r="B8" s="226"/>
      <c r="C8" s="226"/>
      <c r="D8" s="226"/>
      <c r="E8" s="226"/>
      <c r="F8" s="226"/>
      <c r="G8" s="279" t="str">
        <f>'LISTA CHEQUEO'!F11</f>
        <v>NSOC33886-24CO</v>
      </c>
      <c r="H8" s="219"/>
      <c r="I8" s="219"/>
      <c r="J8" s="219"/>
      <c r="K8" s="220"/>
      <c r="L8" s="288" t="s">
        <v>55</v>
      </c>
      <c r="M8" s="227"/>
      <c r="N8" s="292" t="str">
        <f>'LISTA CHEQUEO'!F8</f>
        <v>252111</v>
      </c>
      <c r="O8" s="232"/>
      <c r="P8" s="235"/>
      <c r="Q8" s="12"/>
      <c r="R8" s="12"/>
      <c r="S8" s="12"/>
    </row>
    <row r="9" spans="1:19" ht="30" customHeight="1" x14ac:dyDescent="0.45">
      <c r="A9" s="322" t="s">
        <v>56</v>
      </c>
      <c r="B9" s="243"/>
      <c r="C9" s="243"/>
      <c r="D9" s="243"/>
      <c r="E9" s="243"/>
      <c r="F9" s="243"/>
      <c r="G9" s="279" t="str">
        <f>'LISTA CHEQUEO'!F12</f>
        <v>SOLUCION</v>
      </c>
      <c r="H9" s="219"/>
      <c r="I9" s="219"/>
      <c r="J9" s="219"/>
      <c r="K9" s="220"/>
      <c r="L9" s="280" t="s">
        <v>57</v>
      </c>
      <c r="M9" s="281"/>
      <c r="N9" s="274" t="str">
        <f>'LISTA CHEQUEO'!M8</f>
        <v>OP-L-099</v>
      </c>
      <c r="O9" s="232"/>
      <c r="P9" s="235"/>
      <c r="Q9" s="12"/>
      <c r="R9" s="12"/>
      <c r="S9" s="12"/>
    </row>
    <row r="10" spans="1:19" ht="30" customHeight="1" x14ac:dyDescent="0.45">
      <c r="A10" s="278" t="s">
        <v>58</v>
      </c>
      <c r="B10" s="232"/>
      <c r="C10" s="232"/>
      <c r="D10" s="232"/>
      <c r="E10" s="232"/>
      <c r="F10" s="233"/>
      <c r="G10" s="323">
        <f>'LISTA CHEQUEO'!M9</f>
        <v>33</v>
      </c>
      <c r="H10" s="232"/>
      <c r="I10" s="232"/>
      <c r="J10" s="232"/>
      <c r="K10" s="233"/>
      <c r="L10" s="304" t="s">
        <v>59</v>
      </c>
      <c r="M10" s="233"/>
      <c r="N10" s="324"/>
      <c r="O10" s="232"/>
      <c r="P10" s="235"/>
      <c r="Q10" s="12"/>
      <c r="R10" s="12"/>
      <c r="S10" s="12"/>
    </row>
    <row r="11" spans="1:19" ht="12" customHeight="1" x14ac:dyDescent="0.45">
      <c r="A11" s="307"/>
      <c r="B11" s="232"/>
      <c r="C11" s="232"/>
      <c r="D11" s="232"/>
      <c r="E11" s="232"/>
      <c r="F11" s="232"/>
      <c r="G11" s="232"/>
      <c r="H11" s="232"/>
      <c r="I11" s="232"/>
      <c r="J11" s="232"/>
      <c r="K11" s="232"/>
      <c r="L11" s="232"/>
      <c r="M11" s="232"/>
      <c r="N11" s="232"/>
      <c r="O11" s="232"/>
      <c r="P11" s="235"/>
      <c r="Q11" s="12"/>
      <c r="R11" s="12"/>
      <c r="S11" s="12"/>
    </row>
    <row r="12" spans="1:19" ht="42.75" customHeight="1" x14ac:dyDescent="0.45">
      <c r="A12" s="308" t="s">
        <v>60</v>
      </c>
      <c r="B12" s="226"/>
      <c r="C12" s="226"/>
      <c r="D12" s="226"/>
      <c r="E12" s="226"/>
      <c r="F12" s="226"/>
      <c r="G12" s="309"/>
      <c r="H12" s="226"/>
      <c r="I12" s="226"/>
      <c r="J12" s="226"/>
      <c r="K12" s="226"/>
      <c r="L12" s="226"/>
      <c r="M12" s="226"/>
      <c r="N12" s="226"/>
      <c r="O12" s="226"/>
      <c r="P12" s="310"/>
      <c r="Q12" s="12"/>
      <c r="R12" s="12"/>
      <c r="S12" s="12"/>
    </row>
    <row r="13" spans="1:19" ht="43.5" customHeight="1" x14ac:dyDescent="0.45">
      <c r="A13" s="307" t="s">
        <v>61</v>
      </c>
      <c r="B13" s="232"/>
      <c r="C13" s="232"/>
      <c r="D13" s="232"/>
      <c r="E13" s="232"/>
      <c r="F13" s="233"/>
      <c r="G13" s="276" t="s">
        <v>62</v>
      </c>
      <c r="H13" s="233"/>
      <c r="I13" s="276" t="s">
        <v>63</v>
      </c>
      <c r="J13" s="233"/>
      <c r="K13" s="276" t="s">
        <v>64</v>
      </c>
      <c r="L13" s="233"/>
      <c r="M13" s="276" t="s">
        <v>65</v>
      </c>
      <c r="N13" s="233"/>
      <c r="O13" s="276" t="s">
        <v>66</v>
      </c>
      <c r="P13" s="235"/>
      <c r="Q13" s="12"/>
      <c r="R13" s="12"/>
      <c r="S13" s="12"/>
    </row>
    <row r="14" spans="1:19" ht="24.75" customHeight="1" x14ac:dyDescent="0.45">
      <c r="A14" s="311" t="s">
        <v>67</v>
      </c>
      <c r="B14" s="232"/>
      <c r="C14" s="232"/>
      <c r="D14" s="232"/>
      <c r="E14" s="232"/>
      <c r="F14" s="233"/>
      <c r="G14" s="276"/>
      <c r="H14" s="233"/>
      <c r="I14" s="276"/>
      <c r="J14" s="233"/>
      <c r="K14" s="276"/>
      <c r="L14" s="233"/>
      <c r="M14" s="276"/>
      <c r="N14" s="233"/>
      <c r="O14" s="276"/>
      <c r="P14" s="235"/>
      <c r="Q14" s="12"/>
      <c r="R14" s="12"/>
      <c r="S14" s="12"/>
    </row>
    <row r="15" spans="1:19" ht="27.75" customHeight="1" x14ac:dyDescent="0.45">
      <c r="A15" s="311" t="s">
        <v>68</v>
      </c>
      <c r="B15" s="232"/>
      <c r="C15" s="232"/>
      <c r="D15" s="232"/>
      <c r="E15" s="232"/>
      <c r="F15" s="233"/>
      <c r="G15" s="306"/>
      <c r="H15" s="233"/>
      <c r="I15" s="306"/>
      <c r="J15" s="233"/>
      <c r="K15" s="306"/>
      <c r="L15" s="233"/>
      <c r="M15" s="306"/>
      <c r="N15" s="233"/>
      <c r="O15" s="306"/>
      <c r="P15" s="235"/>
      <c r="Q15" s="12"/>
      <c r="R15" s="12"/>
      <c r="S15" s="12"/>
    </row>
    <row r="16" spans="1:19" ht="16.5" customHeight="1" x14ac:dyDescent="0.45">
      <c r="A16" s="313" t="s">
        <v>69</v>
      </c>
      <c r="B16" s="243"/>
      <c r="C16" s="243"/>
      <c r="D16" s="243"/>
      <c r="E16" s="243"/>
      <c r="F16" s="281"/>
      <c r="G16" s="16" t="s">
        <v>70</v>
      </c>
      <c r="H16" s="16" t="s">
        <v>71</v>
      </c>
      <c r="I16" s="16" t="s">
        <v>70</v>
      </c>
      <c r="J16" s="16" t="s">
        <v>71</v>
      </c>
      <c r="K16" s="16" t="s">
        <v>70</v>
      </c>
      <c r="L16" s="16" t="s">
        <v>71</v>
      </c>
      <c r="M16" s="16" t="s">
        <v>70</v>
      </c>
      <c r="N16" s="16" t="s">
        <v>71</v>
      </c>
      <c r="O16" s="16" t="s">
        <v>70</v>
      </c>
      <c r="P16" s="17" t="s">
        <v>71</v>
      </c>
      <c r="Q16" s="12"/>
      <c r="R16" s="12"/>
      <c r="S16" s="12"/>
    </row>
    <row r="17" spans="1:19" ht="16.5" customHeight="1" x14ac:dyDescent="0.45">
      <c r="A17" s="266"/>
      <c r="B17" s="237"/>
      <c r="C17" s="237"/>
      <c r="D17" s="237"/>
      <c r="E17" s="237"/>
      <c r="F17" s="285"/>
      <c r="G17" s="18"/>
      <c r="H17" s="18"/>
      <c r="I17" s="18"/>
      <c r="J17" s="18"/>
      <c r="K17" s="18"/>
      <c r="L17" s="18"/>
      <c r="M17" s="16"/>
      <c r="N17" s="16"/>
      <c r="O17" s="16"/>
      <c r="P17" s="17"/>
      <c r="Q17" s="12"/>
      <c r="R17" s="12"/>
      <c r="S17" s="12"/>
    </row>
    <row r="18" spans="1:19" ht="16.5" customHeight="1" x14ac:dyDescent="0.45">
      <c r="A18" s="314"/>
      <c r="B18" s="226"/>
      <c r="C18" s="226"/>
      <c r="D18" s="226"/>
      <c r="E18" s="226"/>
      <c r="F18" s="227"/>
      <c r="G18" s="18" t="s">
        <v>72</v>
      </c>
      <c r="H18" s="18" t="s">
        <v>73</v>
      </c>
      <c r="I18" s="18" t="s">
        <v>72</v>
      </c>
      <c r="J18" s="18" t="s">
        <v>73</v>
      </c>
      <c r="K18" s="18" t="s">
        <v>72</v>
      </c>
      <c r="L18" s="18" t="s">
        <v>73</v>
      </c>
      <c r="M18" s="16" t="s">
        <v>72</v>
      </c>
      <c r="N18" s="16" t="s">
        <v>73</v>
      </c>
      <c r="O18" s="16" t="s">
        <v>72</v>
      </c>
      <c r="P18" s="17" t="s">
        <v>73</v>
      </c>
      <c r="Q18" s="12"/>
      <c r="R18" s="12"/>
      <c r="S18" s="12"/>
    </row>
    <row r="19" spans="1:19" ht="54" customHeight="1" x14ac:dyDescent="0.45">
      <c r="A19" s="312" t="s">
        <v>74</v>
      </c>
      <c r="B19" s="232"/>
      <c r="C19" s="232"/>
      <c r="D19" s="232"/>
      <c r="E19" s="232"/>
      <c r="F19" s="233"/>
      <c r="G19" s="18"/>
      <c r="H19" s="18"/>
      <c r="I19" s="18"/>
      <c r="J19" s="18"/>
      <c r="K19" s="18"/>
      <c r="L19" s="18"/>
      <c r="M19" s="16"/>
      <c r="N19" s="16"/>
      <c r="O19" s="16"/>
      <c r="P19" s="17"/>
      <c r="Q19" s="12"/>
      <c r="R19" s="12"/>
      <c r="S19" s="12"/>
    </row>
    <row r="20" spans="1:19" ht="30.75" customHeight="1" x14ac:dyDescent="0.45">
      <c r="A20" s="312" t="s">
        <v>75</v>
      </c>
      <c r="B20" s="232"/>
      <c r="C20" s="232"/>
      <c r="D20" s="232"/>
      <c r="E20" s="232"/>
      <c r="F20" s="233"/>
      <c r="G20" s="19"/>
      <c r="H20" s="19"/>
      <c r="I20" s="16"/>
      <c r="J20" s="16"/>
      <c r="K20" s="16"/>
      <c r="L20" s="16"/>
      <c r="M20" s="16"/>
      <c r="N20" s="20"/>
      <c r="O20" s="21"/>
      <c r="P20" s="22"/>
      <c r="Q20" s="12"/>
      <c r="R20" s="12"/>
      <c r="S20" s="12"/>
    </row>
    <row r="21" spans="1:19" ht="39" customHeight="1" x14ac:dyDescent="0.45">
      <c r="A21" s="312" t="s">
        <v>76</v>
      </c>
      <c r="B21" s="232"/>
      <c r="C21" s="232"/>
      <c r="D21" s="232"/>
      <c r="E21" s="232"/>
      <c r="F21" s="233"/>
      <c r="G21" s="19"/>
      <c r="H21" s="19"/>
      <c r="I21" s="16"/>
      <c r="J21" s="16"/>
      <c r="K21" s="16"/>
      <c r="L21" s="16"/>
      <c r="M21" s="16"/>
      <c r="N21" s="20"/>
      <c r="O21" s="21"/>
      <c r="P21" s="22"/>
      <c r="Q21" s="12"/>
      <c r="R21" s="12"/>
      <c r="S21" s="12"/>
    </row>
    <row r="22" spans="1:19" ht="36.75" customHeight="1" x14ac:dyDescent="0.45">
      <c r="A22" s="312" t="s">
        <v>77</v>
      </c>
      <c r="B22" s="232"/>
      <c r="C22" s="232"/>
      <c r="D22" s="232"/>
      <c r="E22" s="232"/>
      <c r="F22" s="233"/>
      <c r="G22" s="19"/>
      <c r="H22" s="19"/>
      <c r="I22" s="16"/>
      <c r="J22" s="16"/>
      <c r="K22" s="16"/>
      <c r="L22" s="16"/>
      <c r="M22" s="16"/>
      <c r="N22" s="20"/>
      <c r="O22" s="21"/>
      <c r="P22" s="22"/>
      <c r="Q22" s="12"/>
      <c r="R22" s="12"/>
      <c r="S22" s="12"/>
    </row>
    <row r="23" spans="1:19" ht="45" customHeight="1" x14ac:dyDescent="0.45">
      <c r="A23" s="312" t="s">
        <v>78</v>
      </c>
      <c r="B23" s="232"/>
      <c r="C23" s="232"/>
      <c r="D23" s="232"/>
      <c r="E23" s="232"/>
      <c r="F23" s="233"/>
      <c r="G23" s="19"/>
      <c r="H23" s="19"/>
      <c r="I23" s="16"/>
      <c r="J23" s="16"/>
      <c r="K23" s="16"/>
      <c r="L23" s="16"/>
      <c r="M23" s="16"/>
      <c r="N23" s="20"/>
      <c r="O23" s="21"/>
      <c r="P23" s="22"/>
      <c r="Q23" s="12"/>
      <c r="R23" s="12"/>
      <c r="S23" s="12"/>
    </row>
    <row r="24" spans="1:19" ht="54" customHeight="1" x14ac:dyDescent="0.45">
      <c r="A24" s="312" t="s">
        <v>79</v>
      </c>
      <c r="B24" s="232"/>
      <c r="C24" s="232"/>
      <c r="D24" s="232"/>
      <c r="E24" s="232"/>
      <c r="F24" s="233"/>
      <c r="G24" s="19"/>
      <c r="H24" s="19"/>
      <c r="I24" s="16"/>
      <c r="J24" s="16"/>
      <c r="K24" s="16"/>
      <c r="L24" s="16"/>
      <c r="M24" s="16"/>
      <c r="N24" s="20"/>
      <c r="O24" s="21"/>
      <c r="P24" s="22"/>
      <c r="Q24" s="12"/>
      <c r="R24" s="12"/>
      <c r="S24" s="12"/>
    </row>
    <row r="25" spans="1:19" ht="42" customHeight="1" x14ac:dyDescent="0.45">
      <c r="A25" s="312" t="s">
        <v>80</v>
      </c>
      <c r="B25" s="232"/>
      <c r="C25" s="232"/>
      <c r="D25" s="232"/>
      <c r="E25" s="232"/>
      <c r="F25" s="233"/>
      <c r="G25" s="19"/>
      <c r="H25" s="19"/>
      <c r="I25" s="16"/>
      <c r="J25" s="16"/>
      <c r="K25" s="16"/>
      <c r="L25" s="16"/>
      <c r="M25" s="16"/>
      <c r="N25" s="20"/>
      <c r="O25" s="21"/>
      <c r="P25" s="22"/>
      <c r="Q25" s="12"/>
      <c r="R25" s="12"/>
      <c r="S25" s="12"/>
    </row>
    <row r="26" spans="1:19" ht="57.75" customHeight="1" x14ac:dyDescent="0.45">
      <c r="A26" s="312" t="s">
        <v>81</v>
      </c>
      <c r="B26" s="232"/>
      <c r="C26" s="232"/>
      <c r="D26" s="232"/>
      <c r="E26" s="232"/>
      <c r="F26" s="233"/>
      <c r="G26" s="19"/>
      <c r="H26" s="19"/>
      <c r="I26" s="16"/>
      <c r="J26" s="16"/>
      <c r="K26" s="16"/>
      <c r="L26" s="16"/>
      <c r="M26" s="16"/>
      <c r="N26" s="20"/>
      <c r="O26" s="21"/>
      <c r="P26" s="22"/>
      <c r="Q26" s="12"/>
      <c r="R26" s="12"/>
      <c r="S26" s="12"/>
    </row>
    <row r="27" spans="1:19" ht="37.5" customHeight="1" x14ac:dyDescent="0.45">
      <c r="A27" s="312" t="s">
        <v>82</v>
      </c>
      <c r="B27" s="232"/>
      <c r="C27" s="232"/>
      <c r="D27" s="232"/>
      <c r="E27" s="232"/>
      <c r="F27" s="233"/>
      <c r="G27" s="19"/>
      <c r="H27" s="19"/>
      <c r="I27" s="16"/>
      <c r="J27" s="16"/>
      <c r="K27" s="16"/>
      <c r="L27" s="16"/>
      <c r="M27" s="16"/>
      <c r="N27" s="20"/>
      <c r="O27" s="21"/>
      <c r="P27" s="22"/>
      <c r="Q27" s="12"/>
      <c r="R27" s="12"/>
      <c r="S27" s="12"/>
    </row>
    <row r="28" spans="1:19" ht="41.25" customHeight="1" x14ac:dyDescent="0.45">
      <c r="A28" s="312" t="s">
        <v>83</v>
      </c>
      <c r="B28" s="232"/>
      <c r="C28" s="232"/>
      <c r="D28" s="232"/>
      <c r="E28" s="232"/>
      <c r="F28" s="233"/>
      <c r="G28" s="19"/>
      <c r="H28" s="19"/>
      <c r="I28" s="16"/>
      <c r="J28" s="16"/>
      <c r="K28" s="16"/>
      <c r="L28" s="16"/>
      <c r="M28" s="16"/>
      <c r="N28" s="20"/>
      <c r="O28" s="21"/>
      <c r="P28" s="22"/>
      <c r="Q28" s="12"/>
      <c r="R28" s="12"/>
      <c r="S28" s="12"/>
    </row>
    <row r="29" spans="1:19" ht="49.5" customHeight="1" x14ac:dyDescent="0.45">
      <c r="A29" s="312" t="s">
        <v>84</v>
      </c>
      <c r="B29" s="232"/>
      <c r="C29" s="232"/>
      <c r="D29" s="232"/>
      <c r="E29" s="232"/>
      <c r="F29" s="233"/>
      <c r="G29" s="19"/>
      <c r="H29" s="19"/>
      <c r="I29" s="16"/>
      <c r="J29" s="16"/>
      <c r="K29" s="16"/>
      <c r="L29" s="16"/>
      <c r="M29" s="16"/>
      <c r="N29" s="20"/>
      <c r="O29" s="21"/>
      <c r="P29" s="22"/>
      <c r="Q29" s="12"/>
      <c r="R29" s="12"/>
      <c r="S29" s="12"/>
    </row>
    <row r="30" spans="1:19" ht="27" customHeight="1" x14ac:dyDescent="0.45">
      <c r="A30" s="312" t="s">
        <v>85</v>
      </c>
      <c r="B30" s="232"/>
      <c r="C30" s="232"/>
      <c r="D30" s="232"/>
      <c r="E30" s="232"/>
      <c r="F30" s="233"/>
      <c r="G30" s="19"/>
      <c r="H30" s="19"/>
      <c r="I30" s="16"/>
      <c r="J30" s="16"/>
      <c r="K30" s="16"/>
      <c r="L30" s="16"/>
      <c r="M30" s="16"/>
      <c r="N30" s="20"/>
      <c r="O30" s="21"/>
      <c r="P30" s="22"/>
      <c r="Q30" s="12"/>
      <c r="R30" s="12"/>
      <c r="S30" s="12"/>
    </row>
    <row r="31" spans="1:19" ht="21.75" customHeight="1" x14ac:dyDescent="0.45">
      <c r="A31" s="311" t="s">
        <v>86</v>
      </c>
      <c r="B31" s="232"/>
      <c r="C31" s="232"/>
      <c r="D31" s="232"/>
      <c r="E31" s="232"/>
      <c r="F31" s="233"/>
      <c r="G31" s="306"/>
      <c r="H31" s="233"/>
      <c r="I31" s="306"/>
      <c r="J31" s="233"/>
      <c r="K31" s="306"/>
      <c r="L31" s="233"/>
      <c r="M31" s="306"/>
      <c r="N31" s="233"/>
      <c r="O31" s="306"/>
      <c r="P31" s="235"/>
      <c r="Q31" s="12"/>
      <c r="R31" s="12"/>
      <c r="S31" s="12"/>
    </row>
    <row r="32" spans="1:19" ht="21" customHeight="1" x14ac:dyDescent="0.45">
      <c r="A32" s="307" t="s">
        <v>87</v>
      </c>
      <c r="B32" s="232"/>
      <c r="C32" s="232"/>
      <c r="D32" s="232"/>
      <c r="E32" s="232"/>
      <c r="F32" s="233"/>
      <c r="G32" s="306"/>
      <c r="H32" s="233"/>
      <c r="I32" s="306"/>
      <c r="J32" s="233"/>
      <c r="K32" s="306"/>
      <c r="L32" s="233"/>
      <c r="M32" s="306"/>
      <c r="N32" s="233"/>
      <c r="O32" s="306"/>
      <c r="P32" s="235"/>
      <c r="Q32" s="12"/>
      <c r="R32" s="12"/>
      <c r="S32" s="12"/>
    </row>
    <row r="33" spans="1:19" ht="15.75" customHeight="1" x14ac:dyDescent="0.45">
      <c r="A33" s="2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3"/>
      <c r="N33" s="14"/>
      <c r="O33" s="14"/>
      <c r="P33" s="24"/>
      <c r="Q33" s="12"/>
      <c r="R33" s="12"/>
      <c r="S33" s="12"/>
    </row>
    <row r="34" spans="1:19" ht="42" customHeight="1" x14ac:dyDescent="0.45">
      <c r="A34" s="317" t="s">
        <v>45</v>
      </c>
      <c r="B34" s="243"/>
      <c r="C34" s="243"/>
      <c r="D34" s="243"/>
      <c r="E34" s="243"/>
      <c r="F34" s="281"/>
      <c r="G34" s="315"/>
      <c r="H34" s="243"/>
      <c r="I34" s="243"/>
      <c r="J34" s="243"/>
      <c r="K34" s="243"/>
      <c r="L34" s="243"/>
      <c r="M34" s="243"/>
      <c r="N34" s="243"/>
      <c r="O34" s="243"/>
      <c r="P34" s="244"/>
      <c r="Q34" s="12"/>
      <c r="R34" s="12"/>
      <c r="S34" s="12"/>
    </row>
    <row r="35" spans="1:19" ht="45.75" customHeight="1" x14ac:dyDescent="0.45">
      <c r="A35" s="266"/>
      <c r="B35" s="237"/>
      <c r="C35" s="237"/>
      <c r="D35" s="237"/>
      <c r="E35" s="237"/>
      <c r="F35" s="285"/>
      <c r="G35" s="284"/>
      <c r="H35" s="237"/>
      <c r="I35" s="237"/>
      <c r="J35" s="237"/>
      <c r="K35" s="237"/>
      <c r="L35" s="237"/>
      <c r="M35" s="237"/>
      <c r="N35" s="237"/>
      <c r="O35" s="237"/>
      <c r="P35" s="261"/>
      <c r="Q35" s="12"/>
      <c r="R35" s="12"/>
      <c r="S35" s="12"/>
    </row>
    <row r="36" spans="1:19" ht="15.75" customHeight="1" x14ac:dyDescent="0.45">
      <c r="A36" s="314"/>
      <c r="B36" s="226"/>
      <c r="C36" s="226"/>
      <c r="D36" s="226"/>
      <c r="E36" s="226"/>
      <c r="F36" s="227"/>
      <c r="G36" s="286"/>
      <c r="H36" s="226"/>
      <c r="I36" s="226"/>
      <c r="J36" s="226"/>
      <c r="K36" s="226"/>
      <c r="L36" s="226"/>
      <c r="M36" s="226"/>
      <c r="N36" s="226"/>
      <c r="O36" s="226"/>
      <c r="P36" s="310"/>
      <c r="Q36" s="12"/>
      <c r="R36" s="12"/>
      <c r="S36" s="12"/>
    </row>
    <row r="37" spans="1:19" ht="15.75" customHeight="1" x14ac:dyDescent="0.45">
      <c r="A37" s="2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4"/>
      <c r="O37" s="14"/>
      <c r="P37" s="24"/>
      <c r="Q37" s="12"/>
      <c r="R37" s="12"/>
      <c r="S37" s="12"/>
    </row>
    <row r="38" spans="1:19" ht="15.75" customHeight="1" x14ac:dyDescent="0.45">
      <c r="A38" s="316" t="s">
        <v>88</v>
      </c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54"/>
      <c r="M38" s="254"/>
      <c r="N38" s="254"/>
      <c r="O38" s="254"/>
      <c r="P38" s="255"/>
      <c r="Q38" s="12"/>
      <c r="R38" s="12"/>
      <c r="S38" s="12"/>
    </row>
    <row r="39" spans="1:19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5"/>
      <c r="N39" s="26"/>
      <c r="O39" s="26"/>
      <c r="P39" s="12"/>
      <c r="Q39" s="12"/>
      <c r="R39" s="12"/>
      <c r="S39" s="12"/>
    </row>
    <row r="40" spans="1:19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5"/>
      <c r="N40" s="26"/>
      <c r="O40" s="26"/>
      <c r="P40" s="12"/>
      <c r="Q40" s="12"/>
      <c r="R40" s="12"/>
      <c r="S40" s="12"/>
    </row>
    <row r="41" spans="1:19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5"/>
      <c r="N41" s="26"/>
      <c r="O41" s="26"/>
      <c r="P41" s="12"/>
      <c r="Q41" s="12"/>
      <c r="R41" s="12"/>
      <c r="S41" s="12"/>
    </row>
    <row r="42" spans="1:19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5"/>
      <c r="N42" s="26"/>
      <c r="O42" s="26"/>
      <c r="P42" s="12"/>
      <c r="Q42" s="12"/>
      <c r="R42" s="12"/>
      <c r="S42" s="12"/>
    </row>
    <row r="43" spans="1:19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5"/>
      <c r="N43" s="26"/>
      <c r="O43" s="26"/>
      <c r="P43" s="12"/>
      <c r="Q43" s="12"/>
      <c r="R43" s="12"/>
      <c r="S43" s="12"/>
    </row>
    <row r="44" spans="1:19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5"/>
      <c r="N44" s="26"/>
      <c r="O44" s="26"/>
      <c r="P44" s="12"/>
      <c r="Q44" s="12"/>
      <c r="R44" s="12"/>
      <c r="S44" s="12"/>
    </row>
    <row r="45" spans="1:19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5"/>
      <c r="N45" s="26"/>
      <c r="O45" s="26"/>
      <c r="P45" s="12"/>
      <c r="Q45" s="12"/>
      <c r="R45" s="12"/>
      <c r="S45" s="12"/>
    </row>
    <row r="46" spans="1:19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5"/>
      <c r="N46" s="26"/>
      <c r="O46" s="26"/>
      <c r="P46" s="12"/>
      <c r="Q46" s="12"/>
      <c r="R46" s="12"/>
      <c r="S46" s="12"/>
    </row>
    <row r="47" spans="1:19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5"/>
      <c r="N47" s="26"/>
      <c r="O47" s="26"/>
      <c r="P47" s="12"/>
      <c r="Q47" s="12"/>
      <c r="R47" s="12"/>
      <c r="S47" s="1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5"/>
      <c r="N48" s="26"/>
      <c r="O48" s="26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5"/>
      <c r="N49" s="26"/>
      <c r="O49" s="26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5"/>
      <c r="N50" s="26"/>
      <c r="O50" s="26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5"/>
      <c r="N51" s="26"/>
      <c r="O51" s="26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5"/>
      <c r="N52" s="26"/>
      <c r="O52" s="26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5"/>
      <c r="N53" s="26"/>
      <c r="O53" s="26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5"/>
      <c r="N54" s="26"/>
      <c r="O54" s="26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5"/>
      <c r="N55" s="26"/>
      <c r="O55" s="26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5"/>
      <c r="N56" s="26"/>
      <c r="O56" s="26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5"/>
      <c r="N57" s="26"/>
      <c r="O57" s="26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5"/>
      <c r="N58" s="26"/>
      <c r="O58" s="26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5"/>
      <c r="N59" s="26"/>
      <c r="O59" s="26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5"/>
      <c r="N60" s="26"/>
      <c r="O60" s="26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5"/>
      <c r="N61" s="26"/>
      <c r="O61" s="26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5"/>
      <c r="N62" s="26"/>
      <c r="O62" s="26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5"/>
      <c r="N63" s="26"/>
      <c r="O63" s="26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5"/>
      <c r="N64" s="26"/>
      <c r="O64" s="26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5"/>
      <c r="N65" s="26"/>
      <c r="O65" s="26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5"/>
      <c r="N66" s="26"/>
      <c r="O66" s="26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5"/>
      <c r="N67" s="26"/>
      <c r="O67" s="26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5"/>
      <c r="N68" s="26"/>
      <c r="O68" s="26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5"/>
      <c r="N69" s="26"/>
      <c r="O69" s="26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5"/>
      <c r="N70" s="26"/>
      <c r="O70" s="26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5"/>
      <c r="N71" s="26"/>
      <c r="O71" s="26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5"/>
      <c r="N72" s="26"/>
      <c r="O72" s="26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5"/>
      <c r="N73" s="26"/>
      <c r="O73" s="26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5"/>
      <c r="N74" s="26"/>
      <c r="O74" s="26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5"/>
      <c r="N75" s="26"/>
      <c r="O75" s="26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5"/>
      <c r="N76" s="26"/>
      <c r="O76" s="26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5"/>
      <c r="N77" s="26"/>
      <c r="O77" s="26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5"/>
      <c r="N78" s="26"/>
      <c r="O78" s="26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5"/>
      <c r="N79" s="26"/>
      <c r="O79" s="26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5"/>
      <c r="N80" s="26"/>
      <c r="O80" s="26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5"/>
      <c r="N81" s="26"/>
      <c r="O81" s="26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5"/>
      <c r="N82" s="26"/>
      <c r="O82" s="26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5"/>
      <c r="N83" s="26"/>
      <c r="O83" s="26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5"/>
      <c r="N84" s="26"/>
      <c r="O84" s="26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5"/>
      <c r="N85" s="26"/>
      <c r="O85" s="26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5"/>
      <c r="N86" s="26"/>
      <c r="O86" s="26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5"/>
      <c r="N87" s="26"/>
      <c r="O87" s="26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5"/>
      <c r="N88" s="26"/>
      <c r="O88" s="26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5"/>
      <c r="N89" s="26"/>
      <c r="O89" s="26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5"/>
      <c r="N90" s="26"/>
      <c r="O90" s="26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5"/>
      <c r="N91" s="26"/>
      <c r="O91" s="26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5"/>
      <c r="N92" s="26"/>
      <c r="O92" s="26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5"/>
      <c r="N93" s="26"/>
      <c r="O93" s="26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5"/>
      <c r="N94" s="26"/>
      <c r="O94" s="26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5"/>
      <c r="N95" s="26"/>
      <c r="O95" s="26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5"/>
      <c r="N96" s="26"/>
      <c r="O96" s="26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5"/>
      <c r="N97" s="26"/>
      <c r="O97" s="26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5"/>
      <c r="N98" s="26"/>
      <c r="O98" s="26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5"/>
      <c r="N99" s="26"/>
      <c r="O99" s="26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5"/>
      <c r="N100" s="26"/>
      <c r="O100" s="26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5"/>
      <c r="N101" s="26"/>
      <c r="O101" s="26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5"/>
      <c r="N102" s="26"/>
      <c r="O102" s="26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5"/>
      <c r="N103" s="26"/>
      <c r="O103" s="26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5"/>
      <c r="N104" s="26"/>
      <c r="O104" s="26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5"/>
      <c r="N105" s="26"/>
      <c r="O105" s="26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5"/>
      <c r="N106" s="26"/>
      <c r="O106" s="26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5"/>
      <c r="N107" s="26"/>
      <c r="O107" s="26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5"/>
      <c r="N108" s="26"/>
      <c r="O108" s="26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5"/>
      <c r="N109" s="26"/>
      <c r="O109" s="26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5"/>
      <c r="N110" s="26"/>
      <c r="O110" s="26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5"/>
      <c r="N111" s="26"/>
      <c r="O111" s="26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5"/>
      <c r="N112" s="26"/>
      <c r="O112" s="26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5"/>
      <c r="N113" s="26"/>
      <c r="O113" s="26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5"/>
      <c r="N114" s="26"/>
      <c r="O114" s="26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5"/>
      <c r="N115" s="26"/>
      <c r="O115" s="26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5"/>
      <c r="N116" s="26"/>
      <c r="O116" s="26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5"/>
      <c r="N117" s="26"/>
      <c r="O117" s="26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5"/>
      <c r="N118" s="26"/>
      <c r="O118" s="26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5"/>
      <c r="N119" s="26"/>
      <c r="O119" s="26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5"/>
      <c r="N120" s="26"/>
      <c r="O120" s="26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5"/>
      <c r="N121" s="26"/>
      <c r="O121" s="26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5"/>
      <c r="N122" s="26"/>
      <c r="O122" s="26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5"/>
      <c r="N123" s="26"/>
      <c r="O123" s="26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5"/>
      <c r="N124" s="26"/>
      <c r="O124" s="26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5"/>
      <c r="N125" s="26"/>
      <c r="O125" s="26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5"/>
      <c r="N126" s="26"/>
      <c r="O126" s="26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5"/>
      <c r="N127" s="26"/>
      <c r="O127" s="26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5"/>
      <c r="N128" s="26"/>
      <c r="O128" s="26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5"/>
      <c r="N129" s="26"/>
      <c r="O129" s="26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5"/>
      <c r="N130" s="26"/>
      <c r="O130" s="26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5"/>
      <c r="N131" s="26"/>
      <c r="O131" s="26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5"/>
      <c r="N132" s="26"/>
      <c r="O132" s="26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5"/>
      <c r="N133" s="26"/>
      <c r="O133" s="26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5"/>
      <c r="N134" s="26"/>
      <c r="O134" s="26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5"/>
      <c r="N135" s="26"/>
      <c r="O135" s="26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5"/>
      <c r="N136" s="26"/>
      <c r="O136" s="26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5"/>
      <c r="N137" s="26"/>
      <c r="O137" s="26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5"/>
      <c r="N138" s="26"/>
      <c r="O138" s="26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5"/>
      <c r="N139" s="26"/>
      <c r="O139" s="26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5"/>
      <c r="N140" s="26"/>
      <c r="O140" s="26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5"/>
      <c r="N141" s="26"/>
      <c r="O141" s="26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5"/>
      <c r="N142" s="26"/>
      <c r="O142" s="26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5"/>
      <c r="N143" s="26"/>
      <c r="O143" s="26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5"/>
      <c r="N144" s="26"/>
      <c r="O144" s="26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5"/>
      <c r="N145" s="26"/>
      <c r="O145" s="26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5"/>
      <c r="N146" s="26"/>
      <c r="O146" s="26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5"/>
      <c r="N147" s="26"/>
      <c r="O147" s="26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5"/>
      <c r="N148" s="26"/>
      <c r="O148" s="26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5"/>
      <c r="N149" s="26"/>
      <c r="O149" s="26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5"/>
      <c r="N150" s="26"/>
      <c r="O150" s="26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5"/>
      <c r="N151" s="26"/>
      <c r="O151" s="26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5"/>
      <c r="N152" s="26"/>
      <c r="O152" s="26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5"/>
      <c r="N153" s="26"/>
      <c r="O153" s="26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5"/>
      <c r="N154" s="26"/>
      <c r="O154" s="26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5"/>
      <c r="N155" s="26"/>
      <c r="O155" s="26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5"/>
      <c r="N156" s="26"/>
      <c r="O156" s="26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5"/>
      <c r="N157" s="26"/>
      <c r="O157" s="26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5"/>
      <c r="N158" s="26"/>
      <c r="O158" s="26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5"/>
      <c r="N159" s="26"/>
      <c r="O159" s="26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5"/>
      <c r="N160" s="26"/>
      <c r="O160" s="26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5"/>
      <c r="N161" s="26"/>
      <c r="O161" s="26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5"/>
      <c r="N162" s="26"/>
      <c r="O162" s="26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5"/>
      <c r="N163" s="26"/>
      <c r="O163" s="26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5"/>
      <c r="N164" s="26"/>
      <c r="O164" s="26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5"/>
      <c r="N165" s="26"/>
      <c r="O165" s="26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5"/>
      <c r="N166" s="26"/>
      <c r="O166" s="26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5"/>
      <c r="N167" s="26"/>
      <c r="O167" s="26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5"/>
      <c r="N168" s="26"/>
      <c r="O168" s="26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5"/>
      <c r="N169" s="26"/>
      <c r="O169" s="26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5"/>
      <c r="N170" s="26"/>
      <c r="O170" s="26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5"/>
      <c r="N171" s="26"/>
      <c r="O171" s="26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5"/>
      <c r="N172" s="26"/>
      <c r="O172" s="26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5"/>
      <c r="N173" s="26"/>
      <c r="O173" s="26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5"/>
      <c r="N174" s="26"/>
      <c r="O174" s="26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5"/>
      <c r="N175" s="26"/>
      <c r="O175" s="26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5"/>
      <c r="N176" s="26"/>
      <c r="O176" s="26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5"/>
      <c r="N177" s="26"/>
      <c r="O177" s="26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5"/>
      <c r="N178" s="26"/>
      <c r="O178" s="26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5"/>
      <c r="N179" s="26"/>
      <c r="O179" s="26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5"/>
      <c r="N180" s="26"/>
      <c r="O180" s="26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5"/>
      <c r="N181" s="26"/>
      <c r="O181" s="26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5"/>
      <c r="N182" s="26"/>
      <c r="O182" s="26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5"/>
      <c r="N183" s="26"/>
      <c r="O183" s="26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5"/>
      <c r="N184" s="26"/>
      <c r="O184" s="26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5"/>
      <c r="N185" s="26"/>
      <c r="O185" s="26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5"/>
      <c r="N186" s="26"/>
      <c r="O186" s="26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5"/>
      <c r="N187" s="26"/>
      <c r="O187" s="26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5"/>
      <c r="N188" s="26"/>
      <c r="O188" s="26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5"/>
      <c r="N189" s="26"/>
      <c r="O189" s="26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5"/>
      <c r="N190" s="26"/>
      <c r="O190" s="26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5"/>
      <c r="N191" s="26"/>
      <c r="O191" s="26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5"/>
      <c r="N192" s="26"/>
      <c r="O192" s="26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5"/>
      <c r="N193" s="26"/>
      <c r="O193" s="26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5"/>
      <c r="N194" s="26"/>
      <c r="O194" s="26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5"/>
      <c r="N195" s="26"/>
      <c r="O195" s="26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5"/>
      <c r="N196" s="26"/>
      <c r="O196" s="26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5"/>
      <c r="N197" s="26"/>
      <c r="O197" s="26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5"/>
      <c r="N198" s="26"/>
      <c r="O198" s="26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5"/>
      <c r="N199" s="26"/>
      <c r="O199" s="26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5"/>
      <c r="N200" s="26"/>
      <c r="O200" s="26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5"/>
      <c r="N201" s="26"/>
      <c r="O201" s="26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5"/>
      <c r="N202" s="26"/>
      <c r="O202" s="26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5"/>
      <c r="N203" s="26"/>
      <c r="O203" s="26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5"/>
      <c r="N204" s="26"/>
      <c r="O204" s="26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5"/>
      <c r="N205" s="26"/>
      <c r="O205" s="26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5"/>
      <c r="N206" s="26"/>
      <c r="O206" s="26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5"/>
      <c r="N207" s="26"/>
      <c r="O207" s="26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5"/>
      <c r="N208" s="26"/>
      <c r="O208" s="26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5"/>
      <c r="N209" s="26"/>
      <c r="O209" s="26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5"/>
      <c r="N210" s="26"/>
      <c r="O210" s="26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5"/>
      <c r="N211" s="26"/>
      <c r="O211" s="26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5"/>
      <c r="N212" s="26"/>
      <c r="O212" s="26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5"/>
      <c r="N213" s="26"/>
      <c r="O213" s="26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5"/>
      <c r="N214" s="26"/>
      <c r="O214" s="26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5"/>
      <c r="N215" s="26"/>
      <c r="O215" s="26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5"/>
      <c r="N216" s="26"/>
      <c r="O216" s="26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5"/>
      <c r="N217" s="26"/>
      <c r="O217" s="26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5"/>
      <c r="N218" s="26"/>
      <c r="O218" s="26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5"/>
      <c r="N219" s="26"/>
      <c r="O219" s="26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5"/>
      <c r="N220" s="26"/>
      <c r="O220" s="26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5"/>
      <c r="N221" s="26"/>
      <c r="O221" s="26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5"/>
      <c r="N222" s="26"/>
      <c r="O222" s="26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5"/>
      <c r="N223" s="26"/>
      <c r="O223" s="26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5"/>
      <c r="N224" s="26"/>
      <c r="O224" s="26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5"/>
      <c r="N225" s="26"/>
      <c r="O225" s="26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5"/>
      <c r="N226" s="26"/>
      <c r="O226" s="26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5"/>
      <c r="N227" s="26"/>
      <c r="O227" s="26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5"/>
      <c r="N228" s="26"/>
      <c r="O228" s="26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5"/>
      <c r="N229" s="26"/>
      <c r="O229" s="26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5"/>
      <c r="N230" s="26"/>
      <c r="O230" s="26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5"/>
      <c r="N231" s="26"/>
      <c r="O231" s="26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5"/>
      <c r="N232" s="26"/>
      <c r="O232" s="26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5"/>
      <c r="N233" s="26"/>
      <c r="O233" s="26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5"/>
      <c r="N234" s="26"/>
      <c r="O234" s="26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5"/>
      <c r="N235" s="26"/>
      <c r="O235" s="26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5"/>
      <c r="N236" s="26"/>
      <c r="O236" s="26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5"/>
      <c r="N237" s="26"/>
      <c r="O237" s="26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5"/>
      <c r="N238" s="26"/>
      <c r="O238" s="26"/>
      <c r="P238" s="12"/>
      <c r="Q238" s="12"/>
      <c r="R238" s="12"/>
      <c r="S238" s="12"/>
    </row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6">
    <mergeCell ref="A9:F9"/>
    <mergeCell ref="G9:K9"/>
    <mergeCell ref="L9:M9"/>
    <mergeCell ref="N9:P9"/>
    <mergeCell ref="G10:K10"/>
    <mergeCell ref="L10:M10"/>
    <mergeCell ref="N10:P10"/>
    <mergeCell ref="A6:P6"/>
    <mergeCell ref="A7:F7"/>
    <mergeCell ref="G7:P7"/>
    <mergeCell ref="A8:F8"/>
    <mergeCell ref="G8:K8"/>
    <mergeCell ref="L8:M8"/>
    <mergeCell ref="N8:P8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G15:H15"/>
    <mergeCell ref="I15:J15"/>
    <mergeCell ref="K15:L15"/>
    <mergeCell ref="M15:N15"/>
    <mergeCell ref="O15:P15"/>
    <mergeCell ref="A19:F19"/>
    <mergeCell ref="A20:F20"/>
    <mergeCell ref="A21:F21"/>
    <mergeCell ref="A22:F22"/>
    <mergeCell ref="A15:F15"/>
    <mergeCell ref="A16:F18"/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  <mergeCell ref="O14:P14"/>
    <mergeCell ref="A14:F14"/>
    <mergeCell ref="G14:H14"/>
    <mergeCell ref="I14:J14"/>
    <mergeCell ref="K14:L1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1002"/>
  <sheetViews>
    <sheetView tabSelected="1" topLeftCell="A19" workbookViewId="0">
      <selection activeCell="A15" sqref="A15:P33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7.86328125" customWidth="1"/>
    <col min="7" max="7" width="14.86328125" customWidth="1"/>
    <col min="8" max="8" width="5.73046875" customWidth="1"/>
    <col min="9" max="9" width="2" customWidth="1"/>
    <col min="10" max="10" width="2.53125" customWidth="1"/>
    <col min="11" max="11" width="12" customWidth="1"/>
    <col min="12" max="12" width="11" customWidth="1"/>
    <col min="13" max="13" width="10" customWidth="1"/>
    <col min="14" max="14" width="12.53125" customWidth="1"/>
    <col min="15" max="15" width="2.86328125" customWidth="1"/>
    <col min="16" max="16" width="16.73046875" customWidth="1"/>
    <col min="17" max="17" width="19" customWidth="1"/>
  </cols>
  <sheetData>
    <row r="1" spans="1:27" ht="15" customHeight="1" x14ac:dyDescent="0.45">
      <c r="A1" s="263" t="s">
        <v>89</v>
      </c>
      <c r="B1" s="251"/>
      <c r="C1" s="252"/>
      <c r="D1" s="263" t="s">
        <v>0</v>
      </c>
      <c r="E1" s="251"/>
      <c r="F1" s="251"/>
      <c r="G1" s="251"/>
      <c r="H1" s="251"/>
      <c r="I1" s="251"/>
      <c r="J1" s="251"/>
      <c r="K1" s="251"/>
      <c r="L1" s="252"/>
      <c r="M1" s="267" t="s">
        <v>1</v>
      </c>
      <c r="N1" s="268"/>
      <c r="O1" s="267" t="s">
        <v>90</v>
      </c>
      <c r="P1" s="217"/>
    </row>
    <row r="2" spans="1:27" ht="15" customHeight="1" x14ac:dyDescent="0.45">
      <c r="A2" s="266"/>
      <c r="B2" s="237"/>
      <c r="C2" s="261"/>
      <c r="D2" s="253"/>
      <c r="E2" s="254"/>
      <c r="F2" s="254"/>
      <c r="G2" s="254"/>
      <c r="H2" s="254"/>
      <c r="I2" s="254"/>
      <c r="J2" s="254"/>
      <c r="K2" s="254"/>
      <c r="L2" s="255"/>
      <c r="M2" s="267" t="s">
        <v>3</v>
      </c>
      <c r="N2" s="217"/>
      <c r="O2" s="269">
        <v>1</v>
      </c>
      <c r="P2" s="261"/>
    </row>
    <row r="3" spans="1:27" ht="15.75" customHeight="1" x14ac:dyDescent="0.45">
      <c r="A3" s="266"/>
      <c r="B3" s="237"/>
      <c r="C3" s="261"/>
      <c r="D3" s="270" t="s">
        <v>91</v>
      </c>
      <c r="E3" s="237"/>
      <c r="F3" s="237"/>
      <c r="G3" s="237"/>
      <c r="H3" s="237"/>
      <c r="I3" s="237"/>
      <c r="J3" s="237"/>
      <c r="K3" s="237"/>
      <c r="L3" s="261"/>
      <c r="M3" s="260" t="s">
        <v>5</v>
      </c>
      <c r="N3" s="261"/>
      <c r="O3" s="262" t="s">
        <v>6</v>
      </c>
      <c r="P3" s="217"/>
      <c r="Q3" s="12"/>
    </row>
    <row r="4" spans="1:27" ht="15.75" customHeight="1" x14ac:dyDescent="0.45">
      <c r="A4" s="266"/>
      <c r="B4" s="237"/>
      <c r="C4" s="261"/>
      <c r="D4" s="237"/>
      <c r="E4" s="237"/>
      <c r="F4" s="237"/>
      <c r="G4" s="237"/>
      <c r="H4" s="237"/>
      <c r="I4" s="237"/>
      <c r="J4" s="237"/>
      <c r="K4" s="237"/>
      <c r="L4" s="261"/>
      <c r="M4" s="263" t="s">
        <v>7</v>
      </c>
      <c r="N4" s="252"/>
      <c r="O4" s="264" t="s">
        <v>8</v>
      </c>
      <c r="P4" s="235"/>
      <c r="Q4" s="12"/>
    </row>
    <row r="5" spans="1:27" ht="15.75" customHeight="1" x14ac:dyDescent="0.45">
      <c r="A5" s="253"/>
      <c r="B5" s="254"/>
      <c r="C5" s="255"/>
      <c r="D5" s="254"/>
      <c r="E5" s="254"/>
      <c r="F5" s="254"/>
      <c r="G5" s="254"/>
      <c r="H5" s="254"/>
      <c r="I5" s="254"/>
      <c r="J5" s="254"/>
      <c r="K5" s="254"/>
      <c r="L5" s="255"/>
      <c r="M5" s="253"/>
      <c r="N5" s="255"/>
      <c r="O5" s="265" t="s">
        <v>9</v>
      </c>
      <c r="P5" s="235"/>
      <c r="Q5" s="12"/>
    </row>
    <row r="6" spans="1:27" ht="12" customHeight="1" x14ac:dyDescent="0.45">
      <c r="A6" s="271"/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61"/>
      <c r="Q6" s="12"/>
    </row>
    <row r="7" spans="1:27" ht="26.25" customHeight="1" x14ac:dyDescent="0.45">
      <c r="A7" s="272" t="s">
        <v>92</v>
      </c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2"/>
      <c r="Q7" s="12"/>
    </row>
    <row r="8" spans="1:27" ht="26.25" customHeight="1" x14ac:dyDescent="0.45">
      <c r="A8" s="253"/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12"/>
    </row>
    <row r="9" spans="1:27" ht="36" customHeight="1" x14ac:dyDescent="0.45">
      <c r="A9" s="273" t="s">
        <v>10</v>
      </c>
      <c r="B9" s="222"/>
      <c r="C9" s="222"/>
      <c r="D9" s="222"/>
      <c r="E9" s="222"/>
      <c r="F9" s="223"/>
      <c r="G9" s="274" t="str">
        <f>'DESPEJE DE LINEA'!G7</f>
        <v>SUERO DE NIACINAMIDA 5% FORMULA NUEVA</v>
      </c>
      <c r="H9" s="232"/>
      <c r="I9" s="232"/>
      <c r="J9" s="232"/>
      <c r="K9" s="232"/>
      <c r="L9" s="232"/>
      <c r="M9" s="232"/>
      <c r="N9" s="232"/>
      <c r="O9" s="232"/>
      <c r="P9" s="235"/>
      <c r="Q9" s="12"/>
    </row>
    <row r="10" spans="1:27" ht="36" customHeight="1" x14ac:dyDescent="0.45">
      <c r="A10" s="278" t="s">
        <v>21</v>
      </c>
      <c r="B10" s="232"/>
      <c r="C10" s="232"/>
      <c r="D10" s="232"/>
      <c r="E10" s="232"/>
      <c r="F10" s="233"/>
      <c r="G10" s="274" t="str">
        <f>'DESPEJE DE LINEA'!G8</f>
        <v>NSOC33886-24CO</v>
      </c>
      <c r="H10" s="232"/>
      <c r="I10" s="232"/>
      <c r="J10" s="233"/>
      <c r="K10" s="275" t="s">
        <v>55</v>
      </c>
      <c r="L10" s="233"/>
      <c r="M10" s="29" t="str">
        <f>'DESPEJE DE LINEA'!N8</f>
        <v>252111</v>
      </c>
      <c r="N10" s="276" t="s">
        <v>59</v>
      </c>
      <c r="O10" s="233"/>
      <c r="P10" s="30"/>
      <c r="Q10" s="12"/>
    </row>
    <row r="11" spans="1:27" ht="36" customHeight="1" x14ac:dyDescent="0.45">
      <c r="A11" s="278" t="s">
        <v>56</v>
      </c>
      <c r="B11" s="232"/>
      <c r="C11" s="232"/>
      <c r="D11" s="232"/>
      <c r="E11" s="232"/>
      <c r="F11" s="233"/>
      <c r="G11" s="279" t="str">
        <f>'DESPEJE DE LINEA'!G9</f>
        <v>SOLUCION</v>
      </c>
      <c r="H11" s="219"/>
      <c r="I11" s="219"/>
      <c r="J11" s="220"/>
      <c r="K11" s="280" t="s">
        <v>93</v>
      </c>
      <c r="L11" s="281"/>
      <c r="M11" s="31" t="str">
        <f>'DESPEJE DE LINEA'!N9</f>
        <v>OP-L-099</v>
      </c>
      <c r="N11" s="276" t="s">
        <v>94</v>
      </c>
      <c r="O11" s="233"/>
      <c r="P11" s="32"/>
      <c r="Q11" s="12"/>
    </row>
    <row r="12" spans="1:27" ht="36" customHeight="1" x14ac:dyDescent="0.45">
      <c r="A12" s="218" t="s">
        <v>95</v>
      </c>
      <c r="B12" s="219"/>
      <c r="C12" s="219"/>
      <c r="D12" s="219"/>
      <c r="E12" s="219"/>
      <c r="F12" s="220"/>
      <c r="G12" s="282"/>
      <c r="H12" s="219"/>
      <c r="I12" s="219"/>
      <c r="J12" s="220"/>
      <c r="K12" s="277" t="s">
        <v>96</v>
      </c>
      <c r="L12" s="220"/>
      <c r="M12" s="33"/>
      <c r="N12" s="277" t="s">
        <v>58</v>
      </c>
      <c r="O12" s="220"/>
      <c r="P12" s="34">
        <v>120</v>
      </c>
      <c r="Q12" s="12"/>
    </row>
    <row r="13" spans="1:27" ht="12" customHeight="1" x14ac:dyDescent="0.45">
      <c r="A13" s="215" t="s">
        <v>97</v>
      </c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7"/>
      <c r="Q13" s="12"/>
    </row>
    <row r="14" spans="1:27" ht="42.75" customHeight="1" x14ac:dyDescent="0.45">
      <c r="A14" s="36" t="s">
        <v>98</v>
      </c>
      <c r="B14" s="221" t="s">
        <v>99</v>
      </c>
      <c r="C14" s="222"/>
      <c r="D14" s="222"/>
      <c r="E14" s="222"/>
      <c r="F14" s="223"/>
      <c r="G14" s="221" t="s">
        <v>100</v>
      </c>
      <c r="H14" s="222"/>
      <c r="I14" s="223"/>
      <c r="J14" s="221" t="s">
        <v>12</v>
      </c>
      <c r="K14" s="222"/>
      <c r="L14" s="223"/>
      <c r="M14" s="37" t="s">
        <v>101</v>
      </c>
      <c r="N14" s="221" t="s">
        <v>102</v>
      </c>
      <c r="O14" s="222"/>
      <c r="P14" s="224"/>
      <c r="Q14" s="12"/>
    </row>
    <row r="15" spans="1:27" ht="16.5" customHeight="1" x14ac:dyDescent="0.45">
      <c r="A15" s="38">
        <v>1</v>
      </c>
      <c r="B15" s="225" t="s">
        <v>103</v>
      </c>
      <c r="C15" s="226"/>
      <c r="D15" s="226"/>
      <c r="E15" s="226"/>
      <c r="F15" s="227"/>
      <c r="G15" s="231" t="s">
        <v>104</v>
      </c>
      <c r="H15" s="232"/>
      <c r="I15" s="233"/>
      <c r="J15" s="231"/>
      <c r="K15" s="232"/>
      <c r="L15" s="233"/>
      <c r="M15" s="39">
        <v>91.43</v>
      </c>
      <c r="N15" s="234">
        <f t="shared" ref="N15:N32" si="0">(+$P$12*M15/100)*1000</f>
        <v>109716.00000000001</v>
      </c>
      <c r="O15" s="232"/>
      <c r="P15" s="235"/>
      <c r="Q15" s="239"/>
      <c r="R15" s="237"/>
      <c r="S15" s="237"/>
      <c r="T15" s="237"/>
      <c r="U15" s="237"/>
      <c r="V15" s="283"/>
      <c r="W15" s="237"/>
      <c r="X15" s="237"/>
      <c r="Y15" s="283"/>
      <c r="Z15" s="237"/>
      <c r="AA15" s="237"/>
    </row>
    <row r="16" spans="1:27" ht="16.5" customHeight="1" x14ac:dyDescent="0.45">
      <c r="A16" s="38">
        <v>2</v>
      </c>
      <c r="B16" s="240" t="s">
        <v>105</v>
      </c>
      <c r="C16" s="232"/>
      <c r="D16" s="232"/>
      <c r="E16" s="232"/>
      <c r="F16" s="233"/>
      <c r="G16" s="231" t="s">
        <v>106</v>
      </c>
      <c r="H16" s="232"/>
      <c r="I16" s="233"/>
      <c r="J16" s="231" t="s">
        <v>107</v>
      </c>
      <c r="K16" s="232"/>
      <c r="L16" s="233"/>
      <c r="M16" s="42">
        <v>5</v>
      </c>
      <c r="N16" s="234">
        <f t="shared" si="0"/>
        <v>6000</v>
      </c>
      <c r="O16" s="232"/>
      <c r="P16" s="235"/>
      <c r="Q16" s="239"/>
      <c r="R16" s="237"/>
      <c r="S16" s="237"/>
      <c r="T16" s="237"/>
      <c r="U16" s="237"/>
      <c r="V16" s="283"/>
      <c r="W16" s="237"/>
      <c r="X16" s="237"/>
      <c r="Y16" s="283"/>
      <c r="Z16" s="237"/>
      <c r="AA16" s="237"/>
    </row>
    <row r="17" spans="1:27" ht="16.5" customHeight="1" x14ac:dyDescent="0.45">
      <c r="A17" s="38">
        <v>3</v>
      </c>
      <c r="B17" s="240" t="s">
        <v>108</v>
      </c>
      <c r="C17" s="232"/>
      <c r="D17" s="232"/>
      <c r="E17" s="232"/>
      <c r="F17" s="233"/>
      <c r="G17" s="231" t="s">
        <v>109</v>
      </c>
      <c r="H17" s="232"/>
      <c r="I17" s="233"/>
      <c r="J17" s="231">
        <v>250127005</v>
      </c>
      <c r="K17" s="232"/>
      <c r="L17" s="233"/>
      <c r="M17" s="42">
        <v>1</v>
      </c>
      <c r="N17" s="234">
        <f t="shared" si="0"/>
        <v>1200</v>
      </c>
      <c r="O17" s="232"/>
      <c r="P17" s="235"/>
      <c r="Q17" s="239"/>
      <c r="R17" s="237"/>
      <c r="S17" s="237"/>
      <c r="T17" s="237"/>
      <c r="U17" s="237"/>
      <c r="V17" s="283"/>
      <c r="W17" s="237"/>
      <c r="X17" s="237"/>
      <c r="Y17" s="283"/>
      <c r="Z17" s="237"/>
      <c r="AA17" s="237"/>
    </row>
    <row r="18" spans="1:27" ht="16.5" customHeight="1" x14ac:dyDescent="0.45">
      <c r="A18" s="38">
        <v>4</v>
      </c>
      <c r="B18" s="240" t="s">
        <v>110</v>
      </c>
      <c r="C18" s="232"/>
      <c r="D18" s="232"/>
      <c r="E18" s="232"/>
      <c r="F18" s="233"/>
      <c r="G18" s="231" t="s">
        <v>111</v>
      </c>
      <c r="H18" s="232"/>
      <c r="I18" s="233"/>
      <c r="J18" s="231" t="s">
        <v>112</v>
      </c>
      <c r="K18" s="232"/>
      <c r="L18" s="233"/>
      <c r="M18" s="42">
        <v>0.5</v>
      </c>
      <c r="N18" s="234">
        <f t="shared" si="0"/>
        <v>600</v>
      </c>
      <c r="O18" s="232"/>
      <c r="P18" s="235"/>
      <c r="Q18" s="239"/>
      <c r="R18" s="237"/>
      <c r="S18" s="237"/>
      <c r="T18" s="237"/>
      <c r="U18" s="237"/>
      <c r="V18" s="283"/>
      <c r="W18" s="237"/>
      <c r="X18" s="237"/>
      <c r="Y18" s="283"/>
      <c r="Z18" s="237"/>
      <c r="AA18" s="237"/>
    </row>
    <row r="19" spans="1:27" ht="16.5" customHeight="1" x14ac:dyDescent="0.45">
      <c r="A19" s="38">
        <v>5</v>
      </c>
      <c r="B19" s="240" t="s">
        <v>113</v>
      </c>
      <c r="C19" s="232"/>
      <c r="D19" s="232"/>
      <c r="E19" s="232"/>
      <c r="F19" s="233"/>
      <c r="G19" s="231" t="s">
        <v>114</v>
      </c>
      <c r="H19" s="232"/>
      <c r="I19" s="233"/>
      <c r="J19" s="231" t="s">
        <v>115</v>
      </c>
      <c r="K19" s="232"/>
      <c r="L19" s="233"/>
      <c r="M19" s="42">
        <v>0.3</v>
      </c>
      <c r="N19" s="234">
        <f t="shared" si="0"/>
        <v>360</v>
      </c>
      <c r="O19" s="232"/>
      <c r="P19" s="235"/>
      <c r="Q19" s="239"/>
      <c r="R19" s="237"/>
      <c r="S19" s="237"/>
      <c r="T19" s="237"/>
      <c r="U19" s="237"/>
      <c r="V19" s="283"/>
      <c r="W19" s="237"/>
      <c r="X19" s="237"/>
      <c r="Y19" s="283"/>
      <c r="Z19" s="237"/>
      <c r="AA19" s="237"/>
    </row>
    <row r="20" spans="1:27" ht="16.5" customHeight="1" x14ac:dyDescent="0.45">
      <c r="A20" s="38">
        <v>6</v>
      </c>
      <c r="B20" s="240" t="s">
        <v>116</v>
      </c>
      <c r="C20" s="232"/>
      <c r="D20" s="232"/>
      <c r="E20" s="232"/>
      <c r="F20" s="233"/>
      <c r="G20" s="231" t="s">
        <v>117</v>
      </c>
      <c r="H20" s="232"/>
      <c r="I20" s="233"/>
      <c r="J20" s="231" t="s">
        <v>118</v>
      </c>
      <c r="K20" s="232"/>
      <c r="L20" s="233"/>
      <c r="M20" s="42">
        <v>0.35</v>
      </c>
      <c r="N20" s="234">
        <f t="shared" si="0"/>
        <v>420</v>
      </c>
      <c r="O20" s="232"/>
      <c r="P20" s="235"/>
      <c r="Q20" s="239"/>
      <c r="R20" s="237"/>
      <c r="S20" s="237"/>
      <c r="T20" s="237"/>
      <c r="U20" s="237"/>
      <c r="V20" s="283"/>
      <c r="W20" s="237"/>
      <c r="X20" s="237"/>
      <c r="Y20" s="283"/>
      <c r="Z20" s="237"/>
      <c r="AA20" s="237"/>
    </row>
    <row r="21" spans="1:27" ht="16.5" customHeight="1" x14ac:dyDescent="0.45">
      <c r="A21" s="38">
        <v>7</v>
      </c>
      <c r="B21" s="240" t="s">
        <v>119</v>
      </c>
      <c r="C21" s="232"/>
      <c r="D21" s="232"/>
      <c r="E21" s="232"/>
      <c r="F21" s="233"/>
      <c r="G21" s="231" t="s">
        <v>120</v>
      </c>
      <c r="H21" s="232"/>
      <c r="I21" s="233"/>
      <c r="J21" s="231" t="s">
        <v>118</v>
      </c>
      <c r="K21" s="232"/>
      <c r="L21" s="233"/>
      <c r="M21" s="42">
        <v>0.05</v>
      </c>
      <c r="N21" s="234">
        <f t="shared" si="0"/>
        <v>60</v>
      </c>
      <c r="O21" s="232"/>
      <c r="P21" s="235"/>
      <c r="Q21" s="40"/>
      <c r="R21" s="40"/>
      <c r="S21" s="40"/>
      <c r="T21" s="40"/>
      <c r="U21" s="40"/>
      <c r="V21" s="41"/>
      <c r="W21" s="41"/>
      <c r="X21" s="41"/>
      <c r="Y21" s="41"/>
      <c r="Z21" s="41"/>
      <c r="AA21" s="41"/>
    </row>
    <row r="22" spans="1:27" ht="16.5" customHeight="1" x14ac:dyDescent="0.45">
      <c r="A22" s="38">
        <v>8</v>
      </c>
      <c r="B22" s="240" t="s">
        <v>121</v>
      </c>
      <c r="C22" s="232"/>
      <c r="D22" s="232"/>
      <c r="E22" s="232"/>
      <c r="F22" s="233"/>
      <c r="G22" s="231" t="s">
        <v>122</v>
      </c>
      <c r="H22" s="232"/>
      <c r="I22" s="233"/>
      <c r="J22" s="231" t="s">
        <v>123</v>
      </c>
      <c r="K22" s="232"/>
      <c r="L22" s="233"/>
      <c r="M22" s="42">
        <v>0.05</v>
      </c>
      <c r="N22" s="234">
        <f t="shared" si="0"/>
        <v>60</v>
      </c>
      <c r="O22" s="232"/>
      <c r="P22" s="235"/>
      <c r="Q22" s="40"/>
      <c r="R22" s="40"/>
      <c r="S22" s="40"/>
      <c r="T22" s="40"/>
      <c r="U22" s="40"/>
      <c r="V22" s="41"/>
      <c r="W22" s="41"/>
      <c r="X22" s="41"/>
      <c r="Y22" s="41"/>
      <c r="Z22" s="41"/>
      <c r="AA22" s="41"/>
    </row>
    <row r="23" spans="1:27" ht="15" customHeight="1" x14ac:dyDescent="0.45">
      <c r="A23" s="38">
        <v>9</v>
      </c>
      <c r="B23" s="240" t="s">
        <v>124</v>
      </c>
      <c r="C23" s="232"/>
      <c r="D23" s="232"/>
      <c r="E23" s="232"/>
      <c r="F23" s="233"/>
      <c r="G23" s="231" t="s">
        <v>125</v>
      </c>
      <c r="H23" s="232"/>
      <c r="I23" s="233"/>
      <c r="J23" s="231" t="s">
        <v>126</v>
      </c>
      <c r="K23" s="232"/>
      <c r="L23" s="233"/>
      <c r="M23" s="42">
        <v>0.05</v>
      </c>
      <c r="N23" s="234">
        <f t="shared" si="0"/>
        <v>60</v>
      </c>
      <c r="O23" s="232"/>
      <c r="P23" s="235"/>
      <c r="Q23" s="239"/>
      <c r="R23" s="237"/>
      <c r="S23" s="237"/>
      <c r="T23" s="237"/>
      <c r="U23" s="237"/>
      <c r="V23" s="283"/>
      <c r="W23" s="237"/>
      <c r="X23" s="237"/>
      <c r="Y23" s="283"/>
      <c r="Z23" s="237"/>
      <c r="AA23" s="237"/>
    </row>
    <row r="24" spans="1:27" ht="15" customHeight="1" x14ac:dyDescent="0.45">
      <c r="A24" s="38">
        <v>10</v>
      </c>
      <c r="B24" s="240" t="s">
        <v>127</v>
      </c>
      <c r="C24" s="232"/>
      <c r="D24" s="232"/>
      <c r="E24" s="232"/>
      <c r="F24" s="233"/>
      <c r="G24" s="231" t="s">
        <v>128</v>
      </c>
      <c r="H24" s="232"/>
      <c r="I24" s="233"/>
      <c r="J24" s="231" t="s">
        <v>129</v>
      </c>
      <c r="K24" s="232"/>
      <c r="L24" s="233"/>
      <c r="M24" s="42">
        <v>0.1</v>
      </c>
      <c r="N24" s="234">
        <f t="shared" si="0"/>
        <v>120</v>
      </c>
      <c r="O24" s="232"/>
      <c r="P24" s="235"/>
      <c r="Q24" s="239"/>
      <c r="R24" s="237"/>
      <c r="S24" s="237"/>
      <c r="T24" s="237"/>
      <c r="U24" s="237"/>
      <c r="V24" s="283"/>
      <c r="W24" s="237"/>
      <c r="X24" s="237"/>
      <c r="Y24" s="283"/>
      <c r="Z24" s="237"/>
      <c r="AA24" s="237"/>
    </row>
    <row r="25" spans="1:27" ht="15" customHeight="1" x14ac:dyDescent="0.45">
      <c r="A25" s="38">
        <v>11</v>
      </c>
      <c r="B25" s="240" t="s">
        <v>130</v>
      </c>
      <c r="C25" s="232"/>
      <c r="D25" s="232"/>
      <c r="E25" s="232"/>
      <c r="F25" s="233"/>
      <c r="G25" s="231" t="s">
        <v>131</v>
      </c>
      <c r="H25" s="232"/>
      <c r="I25" s="233"/>
      <c r="J25" s="231" t="s">
        <v>132</v>
      </c>
      <c r="K25" s="232"/>
      <c r="L25" s="233"/>
      <c r="M25" s="42">
        <v>0.05</v>
      </c>
      <c r="N25" s="234">
        <f t="shared" si="0"/>
        <v>60</v>
      </c>
      <c r="O25" s="232"/>
      <c r="P25" s="235"/>
      <c r="Q25" s="239"/>
      <c r="R25" s="237"/>
      <c r="S25" s="237"/>
      <c r="T25" s="237"/>
      <c r="U25" s="237"/>
      <c r="V25" s="283"/>
      <c r="W25" s="237"/>
      <c r="X25" s="237"/>
      <c r="Y25" s="283"/>
      <c r="Z25" s="237"/>
      <c r="AA25" s="237"/>
    </row>
    <row r="26" spans="1:27" ht="15" customHeight="1" x14ac:dyDescent="0.45">
      <c r="A26" s="38">
        <v>12</v>
      </c>
      <c r="B26" s="240" t="s">
        <v>133</v>
      </c>
      <c r="C26" s="232"/>
      <c r="D26" s="232"/>
      <c r="E26" s="232"/>
      <c r="F26" s="233"/>
      <c r="G26" s="231" t="s">
        <v>134</v>
      </c>
      <c r="H26" s="232"/>
      <c r="I26" s="233"/>
      <c r="J26" s="231">
        <v>20240217</v>
      </c>
      <c r="K26" s="232"/>
      <c r="L26" s="233"/>
      <c r="M26" s="42">
        <v>0.15</v>
      </c>
      <c r="N26" s="234">
        <f t="shared" si="0"/>
        <v>180</v>
      </c>
      <c r="O26" s="232"/>
      <c r="P26" s="235"/>
      <c r="Q26" s="239"/>
      <c r="R26" s="237"/>
      <c r="S26" s="237"/>
      <c r="T26" s="237"/>
      <c r="U26" s="237"/>
      <c r="V26" s="283"/>
      <c r="W26" s="237"/>
      <c r="X26" s="237"/>
      <c r="Y26" s="283"/>
      <c r="Z26" s="237"/>
      <c r="AA26" s="237"/>
    </row>
    <row r="27" spans="1:27" ht="15" customHeight="1" x14ac:dyDescent="0.45">
      <c r="A27" s="38">
        <v>13</v>
      </c>
      <c r="B27" s="240" t="s">
        <v>135</v>
      </c>
      <c r="C27" s="232"/>
      <c r="D27" s="232"/>
      <c r="E27" s="232"/>
      <c r="F27" s="233"/>
      <c r="G27" s="231" t="s">
        <v>136</v>
      </c>
      <c r="H27" s="232"/>
      <c r="I27" s="233"/>
      <c r="J27" s="231" t="s">
        <v>129</v>
      </c>
      <c r="K27" s="232"/>
      <c r="L27" s="233"/>
      <c r="M27" s="42">
        <v>0.01</v>
      </c>
      <c r="N27" s="234">
        <f t="shared" si="0"/>
        <v>12</v>
      </c>
      <c r="O27" s="232"/>
      <c r="P27" s="235"/>
      <c r="Q27" s="239"/>
      <c r="R27" s="237"/>
      <c r="S27" s="237"/>
      <c r="T27" s="237"/>
      <c r="U27" s="237"/>
      <c r="V27" s="283"/>
      <c r="W27" s="237"/>
      <c r="X27" s="237"/>
      <c r="Y27" s="283"/>
      <c r="Z27" s="237"/>
      <c r="AA27" s="237"/>
    </row>
    <row r="28" spans="1:27" ht="15" customHeight="1" x14ac:dyDescent="0.45">
      <c r="A28" s="38">
        <v>14</v>
      </c>
      <c r="B28" s="240" t="s">
        <v>137</v>
      </c>
      <c r="C28" s="232"/>
      <c r="D28" s="232"/>
      <c r="E28" s="232"/>
      <c r="F28" s="233"/>
      <c r="G28" s="231" t="s">
        <v>138</v>
      </c>
      <c r="H28" s="232"/>
      <c r="I28" s="233"/>
      <c r="J28" s="231" t="s">
        <v>139</v>
      </c>
      <c r="K28" s="232"/>
      <c r="L28" s="233"/>
      <c r="M28" s="42">
        <v>0.01</v>
      </c>
      <c r="N28" s="234">
        <f t="shared" si="0"/>
        <v>12</v>
      </c>
      <c r="O28" s="232"/>
      <c r="P28" s="235"/>
      <c r="Q28" s="239"/>
      <c r="R28" s="237"/>
      <c r="S28" s="237"/>
      <c r="T28" s="237"/>
      <c r="U28" s="237"/>
      <c r="V28" s="283"/>
      <c r="W28" s="237"/>
      <c r="X28" s="237"/>
      <c r="Y28" s="283"/>
      <c r="Z28" s="237"/>
      <c r="AA28" s="237"/>
    </row>
    <row r="29" spans="1:27" ht="15" customHeight="1" x14ac:dyDescent="0.45">
      <c r="A29" s="38">
        <v>15</v>
      </c>
      <c r="B29" s="240" t="s">
        <v>140</v>
      </c>
      <c r="C29" s="232"/>
      <c r="D29" s="232"/>
      <c r="E29" s="232"/>
      <c r="F29" s="233"/>
      <c r="G29" s="231" t="s">
        <v>141</v>
      </c>
      <c r="H29" s="232"/>
      <c r="I29" s="233"/>
      <c r="J29" s="231" t="s">
        <v>142</v>
      </c>
      <c r="K29" s="232"/>
      <c r="L29" s="233"/>
      <c r="M29" s="42">
        <v>0.5</v>
      </c>
      <c r="N29" s="234">
        <f t="shared" si="0"/>
        <v>600</v>
      </c>
      <c r="O29" s="232"/>
      <c r="P29" s="235"/>
      <c r="Q29" s="239"/>
      <c r="R29" s="237"/>
      <c r="S29" s="237"/>
      <c r="T29" s="237"/>
      <c r="U29" s="237"/>
      <c r="V29" s="283"/>
      <c r="W29" s="237"/>
      <c r="X29" s="237"/>
      <c r="Y29" s="283"/>
      <c r="Z29" s="237"/>
      <c r="AA29" s="237"/>
    </row>
    <row r="30" spans="1:27" ht="15" customHeight="1" x14ac:dyDescent="0.45">
      <c r="A30" s="38">
        <v>16</v>
      </c>
      <c r="B30" s="240" t="s">
        <v>143</v>
      </c>
      <c r="C30" s="232"/>
      <c r="D30" s="232"/>
      <c r="E30" s="232"/>
      <c r="F30" s="233"/>
      <c r="G30" s="231" t="s">
        <v>144</v>
      </c>
      <c r="H30" s="232"/>
      <c r="I30" s="233"/>
      <c r="J30" s="231" t="s">
        <v>145</v>
      </c>
      <c r="K30" s="232"/>
      <c r="L30" s="233"/>
      <c r="M30" s="42">
        <v>0.3</v>
      </c>
      <c r="N30" s="234">
        <f t="shared" si="0"/>
        <v>360</v>
      </c>
      <c r="O30" s="232"/>
      <c r="P30" s="235"/>
      <c r="Q30" s="239"/>
      <c r="R30" s="237"/>
      <c r="S30" s="237"/>
      <c r="T30" s="237"/>
      <c r="U30" s="237"/>
      <c r="V30" s="283"/>
      <c r="W30" s="237"/>
      <c r="X30" s="237"/>
      <c r="Y30" s="283"/>
      <c r="Z30" s="237"/>
      <c r="AA30" s="237"/>
    </row>
    <row r="31" spans="1:27" ht="15" customHeight="1" x14ac:dyDescent="0.45">
      <c r="A31" s="38">
        <v>17</v>
      </c>
      <c r="B31" s="240" t="s">
        <v>146</v>
      </c>
      <c r="C31" s="232"/>
      <c r="D31" s="232"/>
      <c r="E31" s="232"/>
      <c r="F31" s="233"/>
      <c r="G31" s="231" t="s">
        <v>147</v>
      </c>
      <c r="H31" s="232"/>
      <c r="I31" s="233"/>
      <c r="J31" s="231">
        <v>20240815</v>
      </c>
      <c r="K31" s="232"/>
      <c r="L31" s="233"/>
      <c r="M31" s="42">
        <v>0.05</v>
      </c>
      <c r="N31" s="234">
        <f t="shared" si="0"/>
        <v>60</v>
      </c>
      <c r="O31" s="232"/>
      <c r="P31" s="235"/>
      <c r="Q31" s="239"/>
      <c r="R31" s="237"/>
      <c r="S31" s="237"/>
      <c r="T31" s="237"/>
      <c r="U31" s="237"/>
      <c r="V31" s="283"/>
      <c r="W31" s="237"/>
      <c r="X31" s="237"/>
      <c r="Y31" s="283"/>
      <c r="Z31" s="237"/>
      <c r="AA31" s="237"/>
    </row>
    <row r="32" spans="1:27" ht="15" customHeight="1" x14ac:dyDescent="0.45">
      <c r="A32" s="38">
        <v>18</v>
      </c>
      <c r="B32" s="225" t="s">
        <v>148</v>
      </c>
      <c r="C32" s="226"/>
      <c r="D32" s="226"/>
      <c r="E32" s="226"/>
      <c r="F32" s="227"/>
      <c r="G32" s="231" t="s">
        <v>149</v>
      </c>
      <c r="H32" s="232"/>
      <c r="I32" s="233"/>
      <c r="J32" s="231" t="s">
        <v>150</v>
      </c>
      <c r="K32" s="232"/>
      <c r="L32" s="233"/>
      <c r="M32" s="42">
        <v>0.1</v>
      </c>
      <c r="N32" s="234">
        <f t="shared" si="0"/>
        <v>120</v>
      </c>
      <c r="O32" s="232"/>
      <c r="P32" s="235"/>
      <c r="Q32" s="239"/>
      <c r="R32" s="237"/>
      <c r="S32" s="237"/>
      <c r="T32" s="237"/>
      <c r="U32" s="237"/>
      <c r="V32" s="283"/>
      <c r="W32" s="237"/>
      <c r="X32" s="237"/>
      <c r="Y32" s="283"/>
      <c r="Z32" s="237"/>
      <c r="AA32" s="237"/>
    </row>
    <row r="33" spans="1:20" ht="21" customHeight="1" x14ac:dyDescent="0.45">
      <c r="A33" s="228" t="s">
        <v>151</v>
      </c>
      <c r="B33" s="219"/>
      <c r="C33" s="219"/>
      <c r="D33" s="219"/>
      <c r="E33" s="219"/>
      <c r="F33" s="219"/>
      <c r="G33" s="219"/>
      <c r="H33" s="219"/>
      <c r="I33" s="219"/>
      <c r="J33" s="219"/>
      <c r="K33" s="219"/>
      <c r="L33" s="220"/>
      <c r="M33" s="43">
        <f>SUM(M15:M32)</f>
        <v>99.999999999999986</v>
      </c>
      <c r="N33" s="229">
        <f>SUM(N15:P32)</f>
        <v>120000.00000000001</v>
      </c>
      <c r="O33" s="219"/>
      <c r="P33" s="230"/>
      <c r="Q33" s="12"/>
      <c r="R33" s="236"/>
      <c r="S33" s="237"/>
      <c r="T33" s="237"/>
    </row>
    <row r="34" spans="1:20" ht="18" customHeight="1" x14ac:dyDescent="0.45">
      <c r="A34" s="238" t="s">
        <v>152</v>
      </c>
      <c r="B34" s="222"/>
      <c r="C34" s="222"/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4"/>
      <c r="Q34" s="12"/>
      <c r="R34" s="236"/>
      <c r="S34" s="237"/>
      <c r="T34" s="237"/>
    </row>
    <row r="35" spans="1:20" ht="51" customHeight="1" x14ac:dyDescent="0.45">
      <c r="A35" s="241" t="s">
        <v>153</v>
      </c>
      <c r="B35" s="232"/>
      <c r="C35" s="232"/>
      <c r="D35" s="232"/>
      <c r="E35" s="232"/>
      <c r="F35" s="232"/>
      <c r="G35" s="232"/>
      <c r="H35" s="232"/>
      <c r="I35" s="232"/>
      <c r="J35" s="232"/>
      <c r="K35" s="232"/>
      <c r="L35" s="232"/>
      <c r="M35" s="232"/>
      <c r="N35" s="232"/>
      <c r="O35" s="232"/>
      <c r="P35" s="235"/>
      <c r="Q35" s="12"/>
      <c r="R35" s="236"/>
      <c r="S35" s="237"/>
      <c r="T35" s="237"/>
    </row>
    <row r="36" spans="1:20" ht="33" customHeight="1" x14ac:dyDescent="0.45">
      <c r="A36" s="241" t="s">
        <v>154</v>
      </c>
      <c r="B36" s="232"/>
      <c r="C36" s="232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2"/>
      <c r="P36" s="235"/>
      <c r="Q36" s="12"/>
      <c r="R36" s="236"/>
      <c r="S36" s="237"/>
      <c r="T36" s="237"/>
    </row>
    <row r="37" spans="1:20" ht="30.75" customHeight="1" x14ac:dyDescent="0.45">
      <c r="A37" s="241" t="s">
        <v>155</v>
      </c>
      <c r="B37" s="232"/>
      <c r="C37" s="232"/>
      <c r="D37" s="232"/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35"/>
      <c r="Q37" s="12"/>
      <c r="R37" s="236"/>
      <c r="S37" s="237"/>
      <c r="T37" s="237"/>
    </row>
    <row r="38" spans="1:20" ht="18" customHeight="1" x14ac:dyDescent="0.45">
      <c r="A38" s="242" t="s">
        <v>156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4"/>
      <c r="Q38" s="12"/>
      <c r="R38" s="236"/>
      <c r="S38" s="237"/>
      <c r="T38" s="237"/>
    </row>
    <row r="39" spans="1:20" ht="34.5" customHeight="1" x14ac:dyDescent="0.45">
      <c r="A39" s="250" t="s">
        <v>45</v>
      </c>
      <c r="B39" s="25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2"/>
      <c r="Q39" s="12"/>
      <c r="R39" s="236"/>
      <c r="S39" s="237"/>
      <c r="T39" s="237"/>
    </row>
    <row r="40" spans="1:20" ht="27" customHeight="1" x14ac:dyDescent="0.45">
      <c r="A40" s="253"/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5"/>
      <c r="Q40" s="12"/>
      <c r="R40" s="236"/>
      <c r="S40" s="237"/>
      <c r="T40" s="237"/>
    </row>
    <row r="41" spans="1:20" ht="19.5" customHeight="1" x14ac:dyDescent="0.45">
      <c r="A41" s="256" t="s">
        <v>157</v>
      </c>
      <c r="B41" s="251"/>
      <c r="C41" s="251"/>
      <c r="D41" s="251"/>
      <c r="E41" s="251"/>
      <c r="F41" s="46"/>
      <c r="G41" s="257"/>
      <c r="H41" s="222"/>
      <c r="I41" s="222"/>
      <c r="J41" s="222"/>
      <c r="K41" s="222"/>
      <c r="L41" s="222"/>
      <c r="M41" s="47"/>
      <c r="N41" s="48" t="s">
        <v>67</v>
      </c>
      <c r="O41" s="258"/>
      <c r="P41" s="224"/>
      <c r="Q41" s="12"/>
      <c r="R41" s="236"/>
      <c r="S41" s="237"/>
      <c r="T41" s="237"/>
    </row>
    <row r="42" spans="1:20" ht="18" customHeight="1" x14ac:dyDescent="0.45">
      <c r="A42" s="246"/>
      <c r="B42" s="237"/>
      <c r="C42" s="237"/>
      <c r="D42" s="237"/>
      <c r="E42" s="237"/>
      <c r="F42" s="2"/>
      <c r="G42" s="259" t="s">
        <v>158</v>
      </c>
      <c r="H42" s="243"/>
      <c r="I42" s="243"/>
      <c r="J42" s="243"/>
      <c r="K42" s="243"/>
      <c r="L42" s="243"/>
      <c r="M42" s="2"/>
      <c r="N42" s="50"/>
      <c r="O42" s="50"/>
      <c r="P42" s="24"/>
      <c r="Q42" s="12"/>
      <c r="R42" s="236"/>
      <c r="S42" s="237"/>
      <c r="T42" s="237"/>
    </row>
    <row r="43" spans="1:20" ht="19.5" customHeight="1" x14ac:dyDescent="0.45">
      <c r="A43" s="245" t="s">
        <v>159</v>
      </c>
      <c r="B43" s="237"/>
      <c r="C43" s="237"/>
      <c r="D43" s="237"/>
      <c r="E43" s="237"/>
      <c r="F43" s="51"/>
      <c r="G43" s="248"/>
      <c r="H43" s="226"/>
      <c r="I43" s="226"/>
      <c r="J43" s="226"/>
      <c r="K43" s="226"/>
      <c r="L43" s="226"/>
      <c r="M43" s="2"/>
      <c r="N43" s="52" t="s">
        <v>67</v>
      </c>
      <c r="O43" s="51"/>
      <c r="P43" s="53"/>
      <c r="Q43" s="12"/>
      <c r="R43" s="236"/>
      <c r="S43" s="237"/>
      <c r="T43" s="237"/>
    </row>
    <row r="44" spans="1:20" ht="33.75" customHeight="1" x14ac:dyDescent="0.45">
      <c r="A44" s="246"/>
      <c r="B44" s="237"/>
      <c r="C44" s="237"/>
      <c r="D44" s="237"/>
      <c r="E44" s="237"/>
      <c r="F44" s="2"/>
      <c r="G44" s="247" t="s">
        <v>160</v>
      </c>
      <c r="H44" s="243"/>
      <c r="I44" s="243"/>
      <c r="J44" s="243"/>
      <c r="K44" s="243"/>
      <c r="L44" s="243"/>
      <c r="M44" s="54"/>
      <c r="N44" s="55"/>
      <c r="O44" s="55"/>
      <c r="P44" s="24"/>
      <c r="Q44" s="12"/>
      <c r="R44" s="236"/>
      <c r="S44" s="237"/>
      <c r="T44" s="237"/>
    </row>
    <row r="45" spans="1:20" ht="19.5" customHeight="1" x14ac:dyDescent="0.45">
      <c r="A45" s="245" t="s">
        <v>161</v>
      </c>
      <c r="B45" s="237"/>
      <c r="C45" s="237"/>
      <c r="D45" s="237"/>
      <c r="E45" s="237"/>
      <c r="F45" s="51"/>
      <c r="G45" s="248"/>
      <c r="H45" s="226"/>
      <c r="I45" s="226"/>
      <c r="J45" s="226"/>
      <c r="K45" s="226"/>
      <c r="L45" s="226"/>
      <c r="M45" s="2"/>
      <c r="N45" s="52" t="s">
        <v>67</v>
      </c>
      <c r="O45" s="51"/>
      <c r="P45" s="53"/>
      <c r="Q45" s="12"/>
    </row>
    <row r="46" spans="1:20" ht="19.5" customHeight="1" x14ac:dyDescent="0.45">
      <c r="A46" s="56"/>
      <c r="B46" s="57"/>
      <c r="C46" s="57"/>
      <c r="D46" s="57"/>
      <c r="E46" s="57"/>
      <c r="F46" s="249" t="s">
        <v>162</v>
      </c>
      <c r="G46" s="219"/>
      <c r="H46" s="219"/>
      <c r="I46" s="219"/>
      <c r="J46" s="219"/>
      <c r="K46" s="219"/>
      <c r="L46" s="219"/>
      <c r="M46" s="58"/>
      <c r="N46" s="57"/>
      <c r="O46" s="57"/>
      <c r="P46" s="59"/>
      <c r="Q46" s="12"/>
    </row>
    <row r="47" spans="1:20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5"/>
      <c r="N47" s="26"/>
      <c r="O47" s="26"/>
      <c r="P47" s="12"/>
      <c r="Q47" s="12"/>
    </row>
    <row r="48" spans="1:20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5"/>
      <c r="N48" s="26"/>
      <c r="O48" s="26"/>
      <c r="P48" s="12"/>
      <c r="Q48" s="12"/>
    </row>
    <row r="49" spans="1:17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5"/>
      <c r="N49" s="26"/>
      <c r="O49" s="26"/>
      <c r="P49" s="12"/>
      <c r="Q49" s="12"/>
    </row>
    <row r="50" spans="1:17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5"/>
      <c r="N50" s="26"/>
      <c r="O50" s="26"/>
      <c r="P50" s="12"/>
      <c r="Q50" s="12"/>
    </row>
    <row r="51" spans="1:17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5"/>
      <c r="N51" s="26"/>
      <c r="O51" s="26"/>
      <c r="P51" s="12"/>
      <c r="Q51" s="12"/>
    </row>
    <row r="52" spans="1:17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5"/>
      <c r="N52" s="26"/>
      <c r="O52" s="26"/>
      <c r="P52" s="12"/>
      <c r="Q52" s="12"/>
    </row>
    <row r="53" spans="1:17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5"/>
      <c r="N53" s="26"/>
      <c r="O53" s="26"/>
      <c r="P53" s="12"/>
      <c r="Q53" s="12"/>
    </row>
    <row r="54" spans="1:17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5"/>
      <c r="N54" s="26"/>
      <c r="O54" s="26"/>
      <c r="P54" s="12"/>
      <c r="Q54" s="12"/>
    </row>
    <row r="55" spans="1:17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5"/>
      <c r="N55" s="26"/>
      <c r="O55" s="26"/>
      <c r="P55" s="12"/>
      <c r="Q55" s="12"/>
    </row>
    <row r="56" spans="1:17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5"/>
      <c r="N56" s="26"/>
      <c r="O56" s="26"/>
      <c r="P56" s="12"/>
      <c r="Q56" s="12"/>
    </row>
    <row r="57" spans="1:17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5"/>
      <c r="N57" s="26"/>
      <c r="O57" s="26"/>
      <c r="P57" s="12"/>
      <c r="Q57" s="12"/>
    </row>
    <row r="58" spans="1:17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5"/>
      <c r="N58" s="26"/>
      <c r="O58" s="26"/>
      <c r="P58" s="12"/>
      <c r="Q58" s="12"/>
    </row>
    <row r="59" spans="1:17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5"/>
      <c r="N59" s="26"/>
      <c r="O59" s="26"/>
      <c r="P59" s="12"/>
      <c r="Q59" s="12"/>
    </row>
    <row r="60" spans="1:17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5"/>
      <c r="N60" s="26"/>
      <c r="O60" s="26"/>
      <c r="P60" s="12"/>
      <c r="Q60" s="12"/>
    </row>
    <row r="61" spans="1:17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5"/>
      <c r="N61" s="26"/>
      <c r="O61" s="26"/>
      <c r="P61" s="12"/>
      <c r="Q61" s="12"/>
    </row>
    <row r="62" spans="1:17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5"/>
      <c r="N62" s="26"/>
      <c r="O62" s="26"/>
      <c r="P62" s="12"/>
      <c r="Q62" s="12"/>
    </row>
    <row r="63" spans="1:17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5"/>
      <c r="N63" s="26"/>
      <c r="O63" s="26"/>
      <c r="P63" s="12"/>
      <c r="Q63" s="12"/>
    </row>
    <row r="64" spans="1:17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5"/>
      <c r="N64" s="26"/>
      <c r="O64" s="26"/>
      <c r="P64" s="12"/>
      <c r="Q64" s="12"/>
    </row>
    <row r="65" spans="1:17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5"/>
      <c r="N65" s="26"/>
      <c r="O65" s="26"/>
      <c r="P65" s="12"/>
      <c r="Q65" s="12"/>
    </row>
    <row r="66" spans="1:17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5"/>
      <c r="N66" s="26"/>
      <c r="O66" s="26"/>
      <c r="P66" s="12"/>
      <c r="Q66" s="12"/>
    </row>
    <row r="67" spans="1:17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5"/>
      <c r="N67" s="26"/>
      <c r="O67" s="26"/>
      <c r="P67" s="12"/>
      <c r="Q67" s="12"/>
    </row>
    <row r="68" spans="1:17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5"/>
      <c r="N68" s="26"/>
      <c r="O68" s="26"/>
      <c r="P68" s="12"/>
      <c r="Q68" s="12"/>
    </row>
    <row r="69" spans="1:17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5"/>
      <c r="N69" s="26"/>
      <c r="O69" s="26"/>
      <c r="P69" s="12"/>
      <c r="Q69" s="12"/>
    </row>
    <row r="70" spans="1:17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5"/>
      <c r="N70" s="26"/>
      <c r="O70" s="26"/>
      <c r="P70" s="12"/>
      <c r="Q70" s="12"/>
    </row>
    <row r="71" spans="1:17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5"/>
      <c r="N71" s="26"/>
      <c r="O71" s="26"/>
      <c r="P71" s="12"/>
      <c r="Q71" s="12"/>
    </row>
    <row r="72" spans="1:17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5"/>
      <c r="N72" s="26"/>
      <c r="O72" s="26"/>
      <c r="P72" s="12"/>
      <c r="Q72" s="12"/>
    </row>
    <row r="73" spans="1:17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5"/>
      <c r="N73" s="26"/>
      <c r="O73" s="26"/>
      <c r="P73" s="12"/>
      <c r="Q73" s="12"/>
    </row>
    <row r="74" spans="1:17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5"/>
      <c r="N74" s="26"/>
      <c r="O74" s="26"/>
      <c r="P74" s="12"/>
      <c r="Q74" s="12"/>
    </row>
    <row r="75" spans="1:17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5"/>
      <c r="N75" s="26"/>
      <c r="O75" s="26"/>
      <c r="P75" s="12"/>
      <c r="Q75" s="12"/>
    </row>
    <row r="76" spans="1:17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5"/>
      <c r="N76" s="26"/>
      <c r="O76" s="26"/>
      <c r="P76" s="12"/>
      <c r="Q76" s="12"/>
    </row>
    <row r="77" spans="1:17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5"/>
      <c r="N77" s="26"/>
      <c r="O77" s="26"/>
      <c r="P77" s="12"/>
      <c r="Q77" s="12"/>
    </row>
    <row r="78" spans="1:17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5"/>
      <c r="N78" s="26"/>
      <c r="O78" s="26"/>
      <c r="P78" s="12"/>
      <c r="Q78" s="12"/>
    </row>
    <row r="79" spans="1:17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5"/>
      <c r="N79" s="26"/>
      <c r="O79" s="26"/>
      <c r="P79" s="12"/>
      <c r="Q79" s="12"/>
    </row>
    <row r="80" spans="1:17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5"/>
      <c r="N80" s="26"/>
      <c r="O80" s="26"/>
      <c r="P80" s="12"/>
      <c r="Q80" s="12"/>
    </row>
    <row r="81" spans="1:17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5"/>
      <c r="N81" s="26"/>
      <c r="O81" s="26"/>
      <c r="P81" s="12"/>
      <c r="Q81" s="12"/>
    </row>
    <row r="82" spans="1:17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5"/>
      <c r="N82" s="26"/>
      <c r="O82" s="26"/>
      <c r="P82" s="12"/>
      <c r="Q82" s="12"/>
    </row>
    <row r="83" spans="1:17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5"/>
      <c r="N83" s="26"/>
      <c r="O83" s="26"/>
      <c r="P83" s="12"/>
      <c r="Q83" s="12"/>
    </row>
    <row r="84" spans="1:17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5"/>
      <c r="N84" s="26"/>
      <c r="O84" s="26"/>
      <c r="P84" s="12"/>
      <c r="Q84" s="12"/>
    </row>
    <row r="85" spans="1:17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5"/>
      <c r="N85" s="26"/>
      <c r="O85" s="26"/>
      <c r="P85" s="12"/>
      <c r="Q85" s="12"/>
    </row>
    <row r="86" spans="1:17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5"/>
      <c r="N86" s="26"/>
      <c r="O86" s="26"/>
      <c r="P86" s="12"/>
      <c r="Q86" s="12"/>
    </row>
    <row r="87" spans="1:17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5"/>
      <c r="N87" s="26"/>
      <c r="O87" s="26"/>
      <c r="P87" s="12"/>
      <c r="Q87" s="12"/>
    </row>
    <row r="88" spans="1:17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5"/>
      <c r="N88" s="26"/>
      <c r="O88" s="26"/>
      <c r="P88" s="12"/>
      <c r="Q88" s="12"/>
    </row>
    <row r="89" spans="1:17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5"/>
      <c r="N89" s="26"/>
      <c r="O89" s="26"/>
      <c r="P89" s="12"/>
      <c r="Q89" s="12"/>
    </row>
    <row r="90" spans="1:17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5"/>
      <c r="N90" s="26"/>
      <c r="O90" s="26"/>
      <c r="P90" s="12"/>
      <c r="Q90" s="12"/>
    </row>
    <row r="91" spans="1:17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5"/>
      <c r="N91" s="26"/>
      <c r="O91" s="26"/>
      <c r="P91" s="12"/>
      <c r="Q91" s="12"/>
    </row>
    <row r="92" spans="1:17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5"/>
      <c r="N92" s="26"/>
      <c r="O92" s="26"/>
      <c r="P92" s="12"/>
      <c r="Q92" s="12"/>
    </row>
    <row r="93" spans="1:17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5"/>
      <c r="N93" s="26"/>
      <c r="O93" s="26"/>
      <c r="P93" s="12"/>
      <c r="Q93" s="12"/>
    </row>
    <row r="94" spans="1:17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5"/>
      <c r="N94" s="26"/>
      <c r="O94" s="26"/>
      <c r="P94" s="12"/>
      <c r="Q94" s="12"/>
    </row>
    <row r="95" spans="1:17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5"/>
      <c r="N95" s="26"/>
      <c r="O95" s="26"/>
      <c r="P95" s="12"/>
      <c r="Q95" s="12"/>
    </row>
    <row r="96" spans="1:17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5"/>
      <c r="N96" s="26"/>
      <c r="O96" s="26"/>
      <c r="P96" s="12"/>
      <c r="Q96" s="12"/>
    </row>
    <row r="97" spans="1:17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5"/>
      <c r="N97" s="26"/>
      <c r="O97" s="26"/>
      <c r="P97" s="12"/>
      <c r="Q97" s="12"/>
    </row>
    <row r="98" spans="1:17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5"/>
      <c r="N98" s="26"/>
      <c r="O98" s="26"/>
      <c r="P98" s="12"/>
      <c r="Q98" s="12"/>
    </row>
    <row r="99" spans="1:17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5"/>
      <c r="N99" s="26"/>
      <c r="O99" s="26"/>
      <c r="P99" s="12"/>
      <c r="Q99" s="12"/>
    </row>
    <row r="100" spans="1:17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5"/>
      <c r="N100" s="26"/>
      <c r="O100" s="26"/>
      <c r="P100" s="12"/>
      <c r="Q100" s="12"/>
    </row>
    <row r="101" spans="1:17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5"/>
      <c r="N101" s="26"/>
      <c r="O101" s="26"/>
      <c r="P101" s="12"/>
      <c r="Q101" s="12"/>
    </row>
    <row r="102" spans="1:17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5"/>
      <c r="N102" s="26"/>
      <c r="O102" s="26"/>
      <c r="P102" s="12"/>
      <c r="Q102" s="12"/>
    </row>
    <row r="103" spans="1:17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5"/>
      <c r="N103" s="26"/>
      <c r="O103" s="26"/>
      <c r="P103" s="12"/>
      <c r="Q103" s="12"/>
    </row>
    <row r="104" spans="1:17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5"/>
      <c r="N104" s="26"/>
      <c r="O104" s="26"/>
      <c r="P104" s="12"/>
      <c r="Q104" s="12"/>
    </row>
    <row r="105" spans="1:17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5"/>
      <c r="N105" s="26"/>
      <c r="O105" s="26"/>
      <c r="P105" s="12"/>
      <c r="Q105" s="12"/>
    </row>
    <row r="106" spans="1:17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5"/>
      <c r="N106" s="26"/>
      <c r="O106" s="26"/>
      <c r="P106" s="12"/>
      <c r="Q106" s="12"/>
    </row>
    <row r="107" spans="1:17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5"/>
      <c r="N107" s="26"/>
      <c r="O107" s="26"/>
      <c r="P107" s="12"/>
      <c r="Q107" s="12"/>
    </row>
    <row r="108" spans="1:17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5"/>
      <c r="N108" s="26"/>
      <c r="O108" s="26"/>
      <c r="P108" s="12"/>
      <c r="Q108" s="12"/>
    </row>
    <row r="109" spans="1:17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5"/>
      <c r="N109" s="26"/>
      <c r="O109" s="26"/>
      <c r="P109" s="12"/>
      <c r="Q109" s="12"/>
    </row>
    <row r="110" spans="1:17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5"/>
      <c r="N110" s="26"/>
      <c r="O110" s="26"/>
      <c r="P110" s="12"/>
      <c r="Q110" s="12"/>
    </row>
    <row r="111" spans="1:17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5"/>
      <c r="N111" s="26"/>
      <c r="O111" s="26"/>
      <c r="P111" s="12"/>
      <c r="Q111" s="12"/>
    </row>
    <row r="112" spans="1:17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5"/>
      <c r="N112" s="26"/>
      <c r="O112" s="26"/>
      <c r="P112" s="12"/>
      <c r="Q112" s="12"/>
    </row>
    <row r="113" spans="1:17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5"/>
      <c r="N113" s="26"/>
      <c r="O113" s="26"/>
      <c r="P113" s="12"/>
      <c r="Q113" s="12"/>
    </row>
    <row r="114" spans="1:17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5"/>
      <c r="N114" s="26"/>
      <c r="O114" s="26"/>
      <c r="P114" s="12"/>
      <c r="Q114" s="12"/>
    </row>
    <row r="115" spans="1:17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5"/>
      <c r="N115" s="26"/>
      <c r="O115" s="26"/>
      <c r="P115" s="12"/>
      <c r="Q115" s="12"/>
    </row>
    <row r="116" spans="1:17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5"/>
      <c r="N116" s="26"/>
      <c r="O116" s="26"/>
      <c r="P116" s="12"/>
      <c r="Q116" s="12"/>
    </row>
    <row r="117" spans="1:17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5"/>
      <c r="N117" s="26"/>
      <c r="O117" s="26"/>
      <c r="P117" s="12"/>
      <c r="Q117" s="12"/>
    </row>
    <row r="118" spans="1:17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5"/>
      <c r="N118" s="26"/>
      <c r="O118" s="26"/>
      <c r="P118" s="12"/>
      <c r="Q118" s="12"/>
    </row>
    <row r="119" spans="1:17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5"/>
      <c r="N119" s="26"/>
      <c r="O119" s="26"/>
      <c r="P119" s="12"/>
      <c r="Q119" s="12"/>
    </row>
    <row r="120" spans="1:17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5"/>
      <c r="N120" s="26"/>
      <c r="O120" s="26"/>
      <c r="P120" s="12"/>
      <c r="Q120" s="12"/>
    </row>
    <row r="121" spans="1:17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5"/>
      <c r="N121" s="26"/>
      <c r="O121" s="26"/>
      <c r="P121" s="12"/>
      <c r="Q121" s="12"/>
    </row>
    <row r="122" spans="1:17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5"/>
      <c r="N122" s="26"/>
      <c r="O122" s="26"/>
      <c r="P122" s="12"/>
      <c r="Q122" s="12"/>
    </row>
    <row r="123" spans="1:17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5"/>
      <c r="N123" s="26"/>
      <c r="O123" s="26"/>
      <c r="P123" s="12"/>
      <c r="Q123" s="12"/>
    </row>
    <row r="124" spans="1:17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5"/>
      <c r="N124" s="26"/>
      <c r="O124" s="26"/>
      <c r="P124" s="12"/>
      <c r="Q124" s="12"/>
    </row>
    <row r="125" spans="1:17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5"/>
      <c r="N125" s="26"/>
      <c r="O125" s="26"/>
      <c r="P125" s="12"/>
      <c r="Q125" s="12"/>
    </row>
    <row r="126" spans="1:17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5"/>
      <c r="N126" s="26"/>
      <c r="O126" s="26"/>
      <c r="P126" s="12"/>
      <c r="Q126" s="12"/>
    </row>
    <row r="127" spans="1:17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5"/>
      <c r="N127" s="26"/>
      <c r="O127" s="26"/>
      <c r="P127" s="12"/>
      <c r="Q127" s="12"/>
    </row>
    <row r="128" spans="1:17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5"/>
      <c r="N128" s="26"/>
      <c r="O128" s="26"/>
      <c r="P128" s="12"/>
      <c r="Q128" s="12"/>
    </row>
    <row r="129" spans="1:17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5"/>
      <c r="N129" s="26"/>
      <c r="O129" s="26"/>
      <c r="P129" s="12"/>
      <c r="Q129" s="12"/>
    </row>
    <row r="130" spans="1:17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5"/>
      <c r="N130" s="26"/>
      <c r="O130" s="26"/>
      <c r="P130" s="12"/>
      <c r="Q130" s="12"/>
    </row>
    <row r="131" spans="1:17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5"/>
      <c r="N131" s="26"/>
      <c r="O131" s="26"/>
      <c r="P131" s="12"/>
      <c r="Q131" s="12"/>
    </row>
    <row r="132" spans="1:17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5"/>
      <c r="N132" s="26"/>
      <c r="O132" s="26"/>
      <c r="P132" s="12"/>
      <c r="Q132" s="12"/>
    </row>
    <row r="133" spans="1:17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5"/>
      <c r="N133" s="26"/>
      <c r="O133" s="26"/>
      <c r="P133" s="12"/>
      <c r="Q133" s="12"/>
    </row>
    <row r="134" spans="1:17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5"/>
      <c r="N134" s="26"/>
      <c r="O134" s="26"/>
      <c r="P134" s="12"/>
      <c r="Q134" s="12"/>
    </row>
    <row r="135" spans="1:17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5"/>
      <c r="N135" s="26"/>
      <c r="O135" s="26"/>
      <c r="P135" s="12"/>
      <c r="Q135" s="12"/>
    </row>
    <row r="136" spans="1:17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5"/>
      <c r="N136" s="26"/>
      <c r="O136" s="26"/>
      <c r="P136" s="12"/>
      <c r="Q136" s="12"/>
    </row>
    <row r="137" spans="1:17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5"/>
      <c r="N137" s="26"/>
      <c r="O137" s="26"/>
      <c r="P137" s="12"/>
      <c r="Q137" s="12"/>
    </row>
    <row r="138" spans="1:17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5"/>
      <c r="N138" s="26"/>
      <c r="O138" s="26"/>
      <c r="P138" s="12"/>
      <c r="Q138" s="12"/>
    </row>
    <row r="139" spans="1:17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5"/>
      <c r="N139" s="26"/>
      <c r="O139" s="26"/>
      <c r="P139" s="12"/>
      <c r="Q139" s="12"/>
    </row>
    <row r="140" spans="1:17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5"/>
      <c r="N140" s="26"/>
      <c r="O140" s="26"/>
      <c r="P140" s="12"/>
      <c r="Q140" s="12"/>
    </row>
    <row r="141" spans="1:17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5"/>
      <c r="N141" s="26"/>
      <c r="O141" s="26"/>
      <c r="P141" s="12"/>
      <c r="Q141" s="12"/>
    </row>
    <row r="142" spans="1:17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5"/>
      <c r="N142" s="26"/>
      <c r="O142" s="26"/>
      <c r="P142" s="12"/>
      <c r="Q142" s="12"/>
    </row>
    <row r="143" spans="1:17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5"/>
      <c r="N143" s="26"/>
      <c r="O143" s="26"/>
      <c r="P143" s="12"/>
      <c r="Q143" s="12"/>
    </row>
    <row r="144" spans="1:17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5"/>
      <c r="N144" s="26"/>
      <c r="O144" s="26"/>
      <c r="P144" s="12"/>
      <c r="Q144" s="12"/>
    </row>
    <row r="145" spans="1:17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5"/>
      <c r="N145" s="26"/>
      <c r="O145" s="26"/>
      <c r="P145" s="12"/>
      <c r="Q145" s="12"/>
    </row>
    <row r="146" spans="1:17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5"/>
      <c r="N146" s="26"/>
      <c r="O146" s="26"/>
      <c r="P146" s="12"/>
      <c r="Q146" s="12"/>
    </row>
    <row r="147" spans="1:17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5"/>
      <c r="N147" s="26"/>
      <c r="O147" s="26"/>
      <c r="P147" s="12"/>
      <c r="Q147" s="12"/>
    </row>
    <row r="148" spans="1:17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5"/>
      <c r="N148" s="26"/>
      <c r="O148" s="26"/>
      <c r="P148" s="12"/>
      <c r="Q148" s="12"/>
    </row>
    <row r="149" spans="1:17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5"/>
      <c r="N149" s="26"/>
      <c r="O149" s="26"/>
      <c r="P149" s="12"/>
      <c r="Q149" s="12"/>
    </row>
    <row r="150" spans="1:17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5"/>
      <c r="N150" s="26"/>
      <c r="O150" s="26"/>
      <c r="P150" s="12"/>
      <c r="Q150" s="12"/>
    </row>
    <row r="151" spans="1:17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5"/>
      <c r="N151" s="26"/>
      <c r="O151" s="26"/>
      <c r="P151" s="12"/>
      <c r="Q151" s="12"/>
    </row>
    <row r="152" spans="1:17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5"/>
      <c r="N152" s="26"/>
      <c r="O152" s="26"/>
      <c r="P152" s="12"/>
      <c r="Q152" s="12"/>
    </row>
    <row r="153" spans="1:17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5"/>
      <c r="N153" s="26"/>
      <c r="O153" s="26"/>
      <c r="P153" s="12"/>
      <c r="Q153" s="12"/>
    </row>
    <row r="154" spans="1:17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5"/>
      <c r="N154" s="26"/>
      <c r="O154" s="26"/>
      <c r="P154" s="12"/>
      <c r="Q154" s="12"/>
    </row>
    <row r="155" spans="1:17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5"/>
      <c r="N155" s="26"/>
      <c r="O155" s="26"/>
      <c r="P155" s="12"/>
      <c r="Q155" s="12"/>
    </row>
    <row r="156" spans="1:17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5"/>
      <c r="N156" s="26"/>
      <c r="O156" s="26"/>
      <c r="P156" s="12"/>
      <c r="Q156" s="12"/>
    </row>
    <row r="157" spans="1:17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5"/>
      <c r="N157" s="26"/>
      <c r="O157" s="26"/>
      <c r="P157" s="12"/>
      <c r="Q157" s="12"/>
    </row>
    <row r="158" spans="1:17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5"/>
      <c r="N158" s="26"/>
      <c r="O158" s="26"/>
      <c r="P158" s="12"/>
      <c r="Q158" s="12"/>
    </row>
    <row r="159" spans="1:17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5"/>
      <c r="N159" s="26"/>
      <c r="O159" s="26"/>
      <c r="P159" s="12"/>
      <c r="Q159" s="12"/>
    </row>
    <row r="160" spans="1:17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5"/>
      <c r="N160" s="26"/>
      <c r="O160" s="26"/>
      <c r="P160" s="12"/>
      <c r="Q160" s="12"/>
    </row>
    <row r="161" spans="1:17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5"/>
      <c r="N161" s="26"/>
      <c r="O161" s="26"/>
      <c r="P161" s="12"/>
      <c r="Q161" s="12"/>
    </row>
    <row r="162" spans="1:17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5"/>
      <c r="N162" s="26"/>
      <c r="O162" s="26"/>
      <c r="P162" s="12"/>
      <c r="Q162" s="12"/>
    </row>
    <row r="163" spans="1:17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5"/>
      <c r="N163" s="26"/>
      <c r="O163" s="26"/>
      <c r="P163" s="12"/>
      <c r="Q163" s="12"/>
    </row>
    <row r="164" spans="1:17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5"/>
      <c r="N164" s="26"/>
      <c r="O164" s="26"/>
      <c r="P164" s="12"/>
      <c r="Q164" s="12"/>
    </row>
    <row r="165" spans="1:17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5"/>
      <c r="N165" s="26"/>
      <c r="O165" s="26"/>
      <c r="P165" s="12"/>
      <c r="Q165" s="12"/>
    </row>
    <row r="166" spans="1:17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5"/>
      <c r="N166" s="26"/>
      <c r="O166" s="26"/>
      <c r="P166" s="12"/>
      <c r="Q166" s="12"/>
    </row>
    <row r="167" spans="1:17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5"/>
      <c r="N167" s="26"/>
      <c r="O167" s="26"/>
      <c r="P167" s="12"/>
      <c r="Q167" s="12"/>
    </row>
    <row r="168" spans="1:17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5"/>
      <c r="N168" s="26"/>
      <c r="O168" s="26"/>
      <c r="P168" s="12"/>
      <c r="Q168" s="12"/>
    </row>
    <row r="169" spans="1:17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5"/>
      <c r="N169" s="26"/>
      <c r="O169" s="26"/>
      <c r="P169" s="12"/>
      <c r="Q169" s="12"/>
    </row>
    <row r="170" spans="1:17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5"/>
      <c r="N170" s="26"/>
      <c r="O170" s="26"/>
      <c r="P170" s="12"/>
      <c r="Q170" s="12"/>
    </row>
    <row r="171" spans="1:17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5"/>
      <c r="N171" s="26"/>
      <c r="O171" s="26"/>
      <c r="P171" s="12"/>
      <c r="Q171" s="12"/>
    </row>
    <row r="172" spans="1:17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5"/>
      <c r="N172" s="26"/>
      <c r="O172" s="26"/>
      <c r="P172" s="12"/>
      <c r="Q172" s="12"/>
    </row>
    <row r="173" spans="1:17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5"/>
      <c r="N173" s="26"/>
      <c r="O173" s="26"/>
      <c r="P173" s="12"/>
      <c r="Q173" s="12"/>
    </row>
    <row r="174" spans="1:17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5"/>
      <c r="N174" s="26"/>
      <c r="O174" s="26"/>
      <c r="P174" s="12"/>
      <c r="Q174" s="12"/>
    </row>
    <row r="175" spans="1:17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5"/>
      <c r="N175" s="26"/>
      <c r="O175" s="26"/>
      <c r="P175" s="12"/>
      <c r="Q175" s="12"/>
    </row>
    <row r="176" spans="1:17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5"/>
      <c r="N176" s="26"/>
      <c r="O176" s="26"/>
      <c r="P176" s="12"/>
      <c r="Q176" s="12"/>
    </row>
    <row r="177" spans="1:17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5"/>
      <c r="N177" s="26"/>
      <c r="O177" s="26"/>
      <c r="P177" s="12"/>
      <c r="Q177" s="12"/>
    </row>
    <row r="178" spans="1:17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5"/>
      <c r="N178" s="26"/>
      <c r="O178" s="26"/>
      <c r="P178" s="12"/>
      <c r="Q178" s="12"/>
    </row>
    <row r="179" spans="1:17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5"/>
      <c r="N179" s="26"/>
      <c r="O179" s="26"/>
      <c r="P179" s="12"/>
      <c r="Q179" s="12"/>
    </row>
    <row r="180" spans="1:17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5"/>
      <c r="N180" s="26"/>
      <c r="O180" s="26"/>
      <c r="P180" s="12"/>
      <c r="Q180" s="12"/>
    </row>
    <row r="181" spans="1:17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5"/>
      <c r="N181" s="26"/>
      <c r="O181" s="26"/>
      <c r="P181" s="12"/>
      <c r="Q181" s="12"/>
    </row>
    <row r="182" spans="1:17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5"/>
      <c r="N182" s="26"/>
      <c r="O182" s="26"/>
      <c r="P182" s="12"/>
      <c r="Q182" s="12"/>
    </row>
    <row r="183" spans="1:17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5"/>
      <c r="N183" s="26"/>
      <c r="O183" s="26"/>
      <c r="P183" s="12"/>
      <c r="Q183" s="12"/>
    </row>
    <row r="184" spans="1:17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5"/>
      <c r="N184" s="26"/>
      <c r="O184" s="26"/>
      <c r="P184" s="12"/>
      <c r="Q184" s="12"/>
    </row>
    <row r="185" spans="1:17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5"/>
      <c r="N185" s="26"/>
      <c r="O185" s="26"/>
      <c r="P185" s="12"/>
      <c r="Q185" s="12"/>
    </row>
    <row r="186" spans="1:17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5"/>
      <c r="N186" s="26"/>
      <c r="O186" s="26"/>
      <c r="P186" s="12"/>
      <c r="Q186" s="12"/>
    </row>
    <row r="187" spans="1:17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5"/>
      <c r="N187" s="26"/>
      <c r="O187" s="26"/>
      <c r="P187" s="12"/>
      <c r="Q187" s="12"/>
    </row>
    <row r="188" spans="1:17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5"/>
      <c r="N188" s="26"/>
      <c r="O188" s="26"/>
      <c r="P188" s="12"/>
      <c r="Q188" s="12"/>
    </row>
    <row r="189" spans="1:17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5"/>
      <c r="N189" s="26"/>
      <c r="O189" s="26"/>
      <c r="P189" s="12"/>
      <c r="Q189" s="12"/>
    </row>
    <row r="190" spans="1:17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5"/>
      <c r="N190" s="26"/>
      <c r="O190" s="26"/>
      <c r="P190" s="12"/>
      <c r="Q190" s="12"/>
    </row>
    <row r="191" spans="1:17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5"/>
      <c r="N191" s="26"/>
      <c r="O191" s="26"/>
      <c r="P191" s="12"/>
      <c r="Q191" s="12"/>
    </row>
    <row r="192" spans="1:17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5"/>
      <c r="N192" s="26"/>
      <c r="O192" s="26"/>
      <c r="P192" s="12"/>
      <c r="Q192" s="12"/>
    </row>
    <row r="193" spans="1:17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5"/>
      <c r="N193" s="26"/>
      <c r="O193" s="26"/>
      <c r="P193" s="12"/>
      <c r="Q193" s="12"/>
    </row>
    <row r="194" spans="1:17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5"/>
      <c r="N194" s="26"/>
      <c r="O194" s="26"/>
      <c r="P194" s="12"/>
      <c r="Q194" s="12"/>
    </row>
    <row r="195" spans="1:17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5"/>
      <c r="N195" s="26"/>
      <c r="O195" s="26"/>
      <c r="P195" s="12"/>
      <c r="Q195" s="12"/>
    </row>
    <row r="196" spans="1:17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5"/>
      <c r="N196" s="26"/>
      <c r="O196" s="26"/>
      <c r="P196" s="12"/>
      <c r="Q196" s="12"/>
    </row>
    <row r="197" spans="1:17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5"/>
      <c r="N197" s="26"/>
      <c r="O197" s="26"/>
      <c r="P197" s="12"/>
      <c r="Q197" s="12"/>
    </row>
    <row r="198" spans="1:17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5"/>
      <c r="N198" s="26"/>
      <c r="O198" s="26"/>
      <c r="P198" s="12"/>
      <c r="Q198" s="12"/>
    </row>
    <row r="199" spans="1:17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5"/>
      <c r="N199" s="26"/>
      <c r="O199" s="26"/>
      <c r="P199" s="12"/>
      <c r="Q199" s="12"/>
    </row>
    <row r="200" spans="1:17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5"/>
      <c r="N200" s="26"/>
      <c r="O200" s="26"/>
      <c r="P200" s="12"/>
      <c r="Q200" s="12"/>
    </row>
    <row r="201" spans="1:17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5"/>
      <c r="N201" s="26"/>
      <c r="O201" s="26"/>
      <c r="P201" s="12"/>
      <c r="Q201" s="12"/>
    </row>
    <row r="202" spans="1:17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5"/>
      <c r="N202" s="26"/>
      <c r="O202" s="26"/>
      <c r="P202" s="12"/>
      <c r="Q202" s="12"/>
    </row>
    <row r="203" spans="1:17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5"/>
      <c r="N203" s="26"/>
      <c r="O203" s="26"/>
      <c r="P203" s="12"/>
      <c r="Q203" s="12"/>
    </row>
    <row r="204" spans="1:17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5"/>
      <c r="N204" s="26"/>
      <c r="O204" s="26"/>
      <c r="P204" s="12"/>
      <c r="Q204" s="12"/>
    </row>
    <row r="205" spans="1:17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5"/>
      <c r="N205" s="26"/>
      <c r="O205" s="26"/>
      <c r="P205" s="12"/>
      <c r="Q205" s="12"/>
    </row>
    <row r="206" spans="1:17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5"/>
      <c r="N206" s="26"/>
      <c r="O206" s="26"/>
      <c r="P206" s="12"/>
      <c r="Q206" s="12"/>
    </row>
    <row r="207" spans="1:17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5"/>
      <c r="N207" s="26"/>
      <c r="O207" s="26"/>
      <c r="P207" s="12"/>
      <c r="Q207" s="12"/>
    </row>
    <row r="208" spans="1:17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5"/>
      <c r="N208" s="26"/>
      <c r="O208" s="26"/>
      <c r="P208" s="12"/>
      <c r="Q208" s="12"/>
    </row>
    <row r="209" spans="1:17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5"/>
      <c r="N209" s="26"/>
      <c r="O209" s="26"/>
      <c r="P209" s="12"/>
      <c r="Q209" s="12"/>
    </row>
    <row r="210" spans="1:17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5"/>
      <c r="N210" s="26"/>
      <c r="O210" s="26"/>
      <c r="P210" s="12"/>
      <c r="Q210" s="12"/>
    </row>
    <row r="211" spans="1:17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5"/>
      <c r="N211" s="26"/>
      <c r="O211" s="26"/>
      <c r="P211" s="12"/>
      <c r="Q211" s="12"/>
    </row>
    <row r="212" spans="1:17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5"/>
      <c r="N212" s="26"/>
      <c r="O212" s="26"/>
      <c r="P212" s="12"/>
      <c r="Q212" s="12"/>
    </row>
    <row r="213" spans="1:17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5"/>
      <c r="N213" s="26"/>
      <c r="O213" s="26"/>
      <c r="P213" s="12"/>
      <c r="Q213" s="12"/>
    </row>
    <row r="214" spans="1:17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5"/>
      <c r="N214" s="26"/>
      <c r="O214" s="26"/>
      <c r="P214" s="12"/>
      <c r="Q214" s="12"/>
    </row>
    <row r="215" spans="1:17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5"/>
      <c r="N215" s="26"/>
      <c r="O215" s="26"/>
      <c r="P215" s="12"/>
      <c r="Q215" s="12"/>
    </row>
    <row r="216" spans="1:17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5"/>
      <c r="N216" s="26"/>
      <c r="O216" s="26"/>
      <c r="P216" s="12"/>
      <c r="Q216" s="12"/>
    </row>
    <row r="217" spans="1:17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5"/>
      <c r="N217" s="26"/>
      <c r="O217" s="26"/>
      <c r="P217" s="12"/>
      <c r="Q217" s="12"/>
    </row>
    <row r="218" spans="1:17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5"/>
      <c r="N218" s="26"/>
      <c r="O218" s="26"/>
      <c r="P218" s="12"/>
      <c r="Q218" s="12"/>
    </row>
    <row r="219" spans="1:17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5"/>
      <c r="N219" s="26"/>
      <c r="O219" s="26"/>
      <c r="P219" s="12"/>
      <c r="Q219" s="12"/>
    </row>
    <row r="220" spans="1:17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5"/>
      <c r="N220" s="26"/>
      <c r="O220" s="26"/>
      <c r="P220" s="12"/>
      <c r="Q220" s="12"/>
    </row>
    <row r="221" spans="1:17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5"/>
      <c r="N221" s="26"/>
      <c r="O221" s="26"/>
      <c r="P221" s="12"/>
      <c r="Q221" s="12"/>
    </row>
    <row r="222" spans="1:17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5"/>
      <c r="N222" s="26"/>
      <c r="O222" s="26"/>
      <c r="P222" s="12"/>
      <c r="Q222" s="12"/>
    </row>
    <row r="223" spans="1:17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5"/>
      <c r="N223" s="26"/>
      <c r="O223" s="26"/>
      <c r="P223" s="12"/>
      <c r="Q223" s="12"/>
    </row>
    <row r="224" spans="1:17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5"/>
      <c r="N224" s="26"/>
      <c r="O224" s="26"/>
      <c r="P224" s="12"/>
      <c r="Q224" s="12"/>
    </row>
    <row r="225" spans="1:17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5"/>
      <c r="N225" s="26"/>
      <c r="O225" s="26"/>
      <c r="P225" s="12"/>
      <c r="Q225" s="12"/>
    </row>
    <row r="226" spans="1:17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5"/>
      <c r="N226" s="26"/>
      <c r="O226" s="26"/>
      <c r="P226" s="12"/>
      <c r="Q226" s="12"/>
    </row>
    <row r="227" spans="1:17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5"/>
      <c r="N227" s="26"/>
      <c r="O227" s="26"/>
      <c r="P227" s="12"/>
      <c r="Q227" s="12"/>
    </row>
    <row r="228" spans="1:17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5"/>
      <c r="N228" s="26"/>
      <c r="O228" s="26"/>
      <c r="P228" s="12"/>
      <c r="Q228" s="12"/>
    </row>
    <row r="229" spans="1:17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5"/>
      <c r="N229" s="26"/>
      <c r="O229" s="26"/>
      <c r="P229" s="12"/>
      <c r="Q229" s="12"/>
    </row>
    <row r="230" spans="1:17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5"/>
      <c r="N230" s="26"/>
      <c r="O230" s="26"/>
      <c r="P230" s="12"/>
      <c r="Q230" s="12"/>
    </row>
    <row r="231" spans="1:17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5"/>
      <c r="N231" s="26"/>
      <c r="O231" s="26"/>
      <c r="P231" s="12"/>
      <c r="Q231" s="12"/>
    </row>
    <row r="232" spans="1:17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5"/>
      <c r="N232" s="26"/>
      <c r="O232" s="26"/>
      <c r="P232" s="12"/>
      <c r="Q232" s="12"/>
    </row>
    <row r="233" spans="1:17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5"/>
      <c r="N233" s="26"/>
      <c r="O233" s="26"/>
      <c r="P233" s="12"/>
      <c r="Q233" s="12"/>
    </row>
    <row r="234" spans="1:17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5"/>
      <c r="N234" s="26"/>
      <c r="O234" s="26"/>
      <c r="P234" s="12"/>
      <c r="Q234" s="12"/>
    </row>
    <row r="235" spans="1:17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5"/>
      <c r="N235" s="26"/>
      <c r="O235" s="26"/>
      <c r="P235" s="12"/>
      <c r="Q235" s="12"/>
    </row>
    <row r="236" spans="1:17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5"/>
      <c r="N236" s="26"/>
      <c r="O236" s="26"/>
      <c r="P236" s="12"/>
      <c r="Q236" s="12"/>
    </row>
    <row r="237" spans="1:17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5"/>
      <c r="N237" s="26"/>
      <c r="O237" s="26"/>
      <c r="P237" s="12"/>
      <c r="Q237" s="12"/>
    </row>
    <row r="238" spans="1:17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5"/>
      <c r="N238" s="26"/>
      <c r="O238" s="26"/>
      <c r="P238" s="12"/>
      <c r="Q238" s="12"/>
    </row>
    <row r="239" spans="1:17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5"/>
      <c r="N239" s="26"/>
      <c r="O239" s="26"/>
      <c r="P239" s="12"/>
      <c r="Q239" s="12"/>
    </row>
    <row r="240" spans="1:17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5"/>
      <c r="N240" s="26"/>
      <c r="O240" s="26"/>
      <c r="P240" s="12"/>
      <c r="Q240" s="12"/>
    </row>
    <row r="241" spans="1:17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5"/>
      <c r="N241" s="26"/>
      <c r="O241" s="26"/>
      <c r="P241" s="12"/>
      <c r="Q241" s="12"/>
    </row>
    <row r="242" spans="1:17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5"/>
      <c r="N242" s="26"/>
      <c r="O242" s="26"/>
      <c r="P242" s="12"/>
      <c r="Q242" s="12"/>
    </row>
    <row r="243" spans="1:17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5"/>
      <c r="N243" s="26"/>
      <c r="O243" s="26"/>
      <c r="P243" s="12"/>
      <c r="Q243" s="12"/>
    </row>
    <row r="244" spans="1:17" ht="15.75" customHeight="1" x14ac:dyDescent="0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5"/>
      <c r="N244" s="26"/>
      <c r="O244" s="26"/>
      <c r="P244" s="12"/>
      <c r="Q244" s="12"/>
    </row>
    <row r="245" spans="1:17" ht="15.75" customHeight="1" x14ac:dyDescent="0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5"/>
      <c r="N245" s="26"/>
      <c r="O245" s="26"/>
      <c r="P245" s="12"/>
      <c r="Q245" s="12"/>
    </row>
    <row r="246" spans="1:17" ht="15.75" customHeight="1" x14ac:dyDescent="0.45"/>
    <row r="247" spans="1:17" ht="15.75" customHeight="1" x14ac:dyDescent="0.45"/>
    <row r="248" spans="1:17" ht="15.75" customHeight="1" x14ac:dyDescent="0.45"/>
    <row r="249" spans="1:17" ht="15.75" customHeight="1" x14ac:dyDescent="0.45"/>
    <row r="250" spans="1:17" ht="15.75" customHeight="1" x14ac:dyDescent="0.45"/>
    <row r="251" spans="1:17" ht="15.75" customHeight="1" x14ac:dyDescent="0.45"/>
    <row r="252" spans="1:17" ht="15.75" customHeight="1" x14ac:dyDescent="0.45"/>
    <row r="253" spans="1:17" ht="15.75" customHeight="1" x14ac:dyDescent="0.45"/>
    <row r="254" spans="1:17" ht="15.75" customHeight="1" x14ac:dyDescent="0.45"/>
    <row r="255" spans="1:17" ht="15.75" customHeight="1" x14ac:dyDescent="0.45"/>
    <row r="256" spans="1:17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</sheetData>
  <mergeCells count="185">
    <mergeCell ref="Q31:U31"/>
    <mergeCell ref="V31:X31"/>
    <mergeCell ref="Y31:AA31"/>
    <mergeCell ref="G29:I29"/>
    <mergeCell ref="J29:L29"/>
    <mergeCell ref="N29:P29"/>
    <mergeCell ref="Q29:U29"/>
    <mergeCell ref="V29:X29"/>
    <mergeCell ref="Y29:AA29"/>
    <mergeCell ref="Q30:U30"/>
    <mergeCell ref="V30:X30"/>
    <mergeCell ref="Y30:AA30"/>
    <mergeCell ref="Q27:U27"/>
    <mergeCell ref="V27:X27"/>
    <mergeCell ref="Y27:AA27"/>
    <mergeCell ref="B27:F27"/>
    <mergeCell ref="G28:I28"/>
    <mergeCell ref="J28:L28"/>
    <mergeCell ref="N28:P28"/>
    <mergeCell ref="Q28:U28"/>
    <mergeCell ref="V28:X28"/>
    <mergeCell ref="Y28:AA28"/>
    <mergeCell ref="B28:F28"/>
    <mergeCell ref="V25:X25"/>
    <mergeCell ref="Y25:AA25"/>
    <mergeCell ref="B25:F25"/>
    <mergeCell ref="G26:I26"/>
    <mergeCell ref="J26:L26"/>
    <mergeCell ref="N26:P26"/>
    <mergeCell ref="Q26:U26"/>
    <mergeCell ref="V26:X26"/>
    <mergeCell ref="Y26:AA26"/>
    <mergeCell ref="B26:F26"/>
    <mergeCell ref="V23:X23"/>
    <mergeCell ref="Y23:AA23"/>
    <mergeCell ref="B23:F23"/>
    <mergeCell ref="G24:I24"/>
    <mergeCell ref="J24:L24"/>
    <mergeCell ref="N24:P24"/>
    <mergeCell ref="Q24:U24"/>
    <mergeCell ref="V24:X24"/>
    <mergeCell ref="Y24:AA24"/>
    <mergeCell ref="B24:F24"/>
    <mergeCell ref="V20:X20"/>
    <mergeCell ref="Y20:AA20"/>
    <mergeCell ref="B21:F21"/>
    <mergeCell ref="G21:I21"/>
    <mergeCell ref="J21:L21"/>
    <mergeCell ref="N21:P21"/>
    <mergeCell ref="G22:I22"/>
    <mergeCell ref="J22:L22"/>
    <mergeCell ref="N22:P22"/>
    <mergeCell ref="B22:F22"/>
    <mergeCell ref="V32:X32"/>
    <mergeCell ref="Y32:AA32"/>
    <mergeCell ref="B17:F17"/>
    <mergeCell ref="G17:I17"/>
    <mergeCell ref="J17:L17"/>
    <mergeCell ref="N17:P17"/>
    <mergeCell ref="Q17:U17"/>
    <mergeCell ref="V17:X17"/>
    <mergeCell ref="Y17:AA17"/>
    <mergeCell ref="B18:F18"/>
    <mergeCell ref="G18:I18"/>
    <mergeCell ref="J18:L18"/>
    <mergeCell ref="N18:P18"/>
    <mergeCell ref="Q18:U18"/>
    <mergeCell ref="V18:X18"/>
    <mergeCell ref="Y18:AA18"/>
    <mergeCell ref="B19:F19"/>
    <mergeCell ref="G19:I19"/>
    <mergeCell ref="J19:L19"/>
    <mergeCell ref="N19:P19"/>
    <mergeCell ref="Q19:U19"/>
    <mergeCell ref="V19:X19"/>
    <mergeCell ref="Y19:AA19"/>
    <mergeCell ref="B20:F20"/>
    <mergeCell ref="V15:X15"/>
    <mergeCell ref="Y15:AA15"/>
    <mergeCell ref="B16:F16"/>
    <mergeCell ref="G16:I16"/>
    <mergeCell ref="J16:L16"/>
    <mergeCell ref="N16:P16"/>
    <mergeCell ref="Q16:U16"/>
    <mergeCell ref="V16:X16"/>
    <mergeCell ref="Y16:AA16"/>
    <mergeCell ref="B15:F15"/>
    <mergeCell ref="G15:I15"/>
    <mergeCell ref="J15:L1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A10:F10"/>
    <mergeCell ref="A11:F11"/>
    <mergeCell ref="G11:J11"/>
    <mergeCell ref="K11:L11"/>
    <mergeCell ref="G12:J12"/>
    <mergeCell ref="K12:L12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45:E45"/>
    <mergeCell ref="G45:L45"/>
    <mergeCell ref="F46:L46"/>
    <mergeCell ref="A39:P40"/>
    <mergeCell ref="A41:E41"/>
    <mergeCell ref="G41:L41"/>
    <mergeCell ref="O41:P41"/>
    <mergeCell ref="A42:E42"/>
    <mergeCell ref="G42:L42"/>
    <mergeCell ref="G43:L43"/>
    <mergeCell ref="R35:T35"/>
    <mergeCell ref="R38:T38"/>
    <mergeCell ref="R39:T39"/>
    <mergeCell ref="R41:T41"/>
    <mergeCell ref="R42:T42"/>
    <mergeCell ref="R43:T43"/>
    <mergeCell ref="R44:T44"/>
    <mergeCell ref="A35:P35"/>
    <mergeCell ref="A36:P36"/>
    <mergeCell ref="R36:T36"/>
    <mergeCell ref="A37:P37"/>
    <mergeCell ref="R37:T37"/>
    <mergeCell ref="A38:P38"/>
    <mergeCell ref="R40:T40"/>
    <mergeCell ref="A43:E43"/>
    <mergeCell ref="A44:E44"/>
    <mergeCell ref="G44:L44"/>
    <mergeCell ref="R33:T33"/>
    <mergeCell ref="A34:P34"/>
    <mergeCell ref="R34:T34"/>
    <mergeCell ref="N15:P15"/>
    <mergeCell ref="Q15:U15"/>
    <mergeCell ref="B31:F31"/>
    <mergeCell ref="G32:I32"/>
    <mergeCell ref="J32:L32"/>
    <mergeCell ref="N32:P32"/>
    <mergeCell ref="Q32:U32"/>
    <mergeCell ref="G20:I20"/>
    <mergeCell ref="J20:L20"/>
    <mergeCell ref="N20:P20"/>
    <mergeCell ref="Q20:U20"/>
    <mergeCell ref="G23:I23"/>
    <mergeCell ref="J23:L23"/>
    <mergeCell ref="N23:P23"/>
    <mergeCell ref="Q23:U23"/>
    <mergeCell ref="G25:I25"/>
    <mergeCell ref="J25:L25"/>
    <mergeCell ref="N25:P25"/>
    <mergeCell ref="Q25:U25"/>
    <mergeCell ref="B29:F29"/>
    <mergeCell ref="G30:I30"/>
    <mergeCell ref="A13:P13"/>
    <mergeCell ref="A12:F12"/>
    <mergeCell ref="B14:F14"/>
    <mergeCell ref="G14:I14"/>
    <mergeCell ref="J14:L14"/>
    <mergeCell ref="N14:P14"/>
    <mergeCell ref="B32:F32"/>
    <mergeCell ref="A33:L33"/>
    <mergeCell ref="N33:P33"/>
    <mergeCell ref="J30:L30"/>
    <mergeCell ref="N30:P30"/>
    <mergeCell ref="G31:I31"/>
    <mergeCell ref="J31:L31"/>
    <mergeCell ref="N31:P31"/>
    <mergeCell ref="B30:F30"/>
    <mergeCell ref="G27:I27"/>
    <mergeCell ref="J27:L27"/>
    <mergeCell ref="N27:P27"/>
  </mergeCells>
  <pageMargins left="0.23622047244094491" right="0.23622047244094491" top="0.39370078740157483" bottom="0.74803149606299213" header="0" footer="0"/>
  <pageSetup fitToWidth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002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5.53125" customWidth="1"/>
    <col min="6" max="6" width="6.86328125" customWidth="1"/>
    <col min="7" max="7" width="22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32.53125" customWidth="1"/>
    <col min="18" max="21" width="44" customWidth="1"/>
  </cols>
  <sheetData>
    <row r="1" spans="1:21" ht="19.5" customHeight="1" x14ac:dyDescent="0.45">
      <c r="A1" s="263"/>
      <c r="B1" s="251"/>
      <c r="C1" s="303"/>
      <c r="D1" s="318" t="s">
        <v>0</v>
      </c>
      <c r="E1" s="251"/>
      <c r="F1" s="251"/>
      <c r="G1" s="251"/>
      <c r="H1" s="251"/>
      <c r="I1" s="251"/>
      <c r="J1" s="251"/>
      <c r="K1" s="251"/>
      <c r="L1" s="303"/>
      <c r="M1" s="297" t="s">
        <v>1</v>
      </c>
      <c r="N1" s="223"/>
      <c r="O1" s="297" t="s">
        <v>163</v>
      </c>
      <c r="P1" s="224"/>
      <c r="Q1" s="12"/>
      <c r="R1" s="12"/>
      <c r="S1" s="12"/>
      <c r="T1" s="12"/>
      <c r="U1" s="12"/>
    </row>
    <row r="2" spans="1:21" ht="21" customHeight="1" x14ac:dyDescent="0.45">
      <c r="A2" s="266"/>
      <c r="B2" s="237"/>
      <c r="C2" s="285"/>
      <c r="D2" s="286"/>
      <c r="E2" s="226"/>
      <c r="F2" s="226"/>
      <c r="G2" s="226"/>
      <c r="H2" s="226"/>
      <c r="I2" s="226"/>
      <c r="J2" s="226"/>
      <c r="K2" s="226"/>
      <c r="L2" s="227"/>
      <c r="M2" s="288" t="s">
        <v>3</v>
      </c>
      <c r="N2" s="227"/>
      <c r="O2" s="289">
        <v>1</v>
      </c>
      <c r="P2" s="244"/>
      <c r="Q2" s="12"/>
      <c r="R2" s="12"/>
      <c r="S2" s="12"/>
      <c r="T2" s="12"/>
      <c r="U2" s="12"/>
    </row>
    <row r="3" spans="1:21" ht="18.75" customHeight="1" x14ac:dyDescent="0.5">
      <c r="A3" s="266"/>
      <c r="B3" s="237"/>
      <c r="C3" s="285"/>
      <c r="D3" s="290" t="s">
        <v>164</v>
      </c>
      <c r="E3" s="243"/>
      <c r="F3" s="243"/>
      <c r="G3" s="243"/>
      <c r="H3" s="243"/>
      <c r="I3" s="243"/>
      <c r="J3" s="243"/>
      <c r="K3" s="243"/>
      <c r="L3" s="243"/>
      <c r="M3" s="288" t="s">
        <v>5</v>
      </c>
      <c r="N3" s="227"/>
      <c r="O3" s="287" t="s">
        <v>6</v>
      </c>
      <c r="P3" s="235"/>
      <c r="Q3" s="60"/>
      <c r="R3" s="60"/>
      <c r="S3" s="60"/>
      <c r="T3" s="60"/>
      <c r="U3" s="60"/>
    </row>
    <row r="4" spans="1:21" ht="15.75" customHeight="1" x14ac:dyDescent="0.45">
      <c r="A4" s="266"/>
      <c r="B4" s="237"/>
      <c r="C4" s="285"/>
      <c r="D4" s="284"/>
      <c r="E4" s="237"/>
      <c r="F4" s="237"/>
      <c r="G4" s="237"/>
      <c r="H4" s="237"/>
      <c r="I4" s="237"/>
      <c r="J4" s="237"/>
      <c r="K4" s="237"/>
      <c r="L4" s="237"/>
      <c r="M4" s="280" t="s">
        <v>7</v>
      </c>
      <c r="N4" s="281"/>
      <c r="O4" s="264" t="s">
        <v>8</v>
      </c>
      <c r="P4" s="235"/>
      <c r="Q4" s="12"/>
      <c r="R4" s="12"/>
      <c r="S4" s="12"/>
      <c r="T4" s="12"/>
      <c r="U4" s="12"/>
    </row>
    <row r="5" spans="1:21" ht="15.75" customHeight="1" x14ac:dyDescent="0.45">
      <c r="A5" s="314"/>
      <c r="B5" s="226"/>
      <c r="C5" s="227"/>
      <c r="D5" s="286"/>
      <c r="E5" s="226"/>
      <c r="F5" s="226"/>
      <c r="G5" s="226"/>
      <c r="H5" s="226"/>
      <c r="I5" s="226"/>
      <c r="J5" s="226"/>
      <c r="K5" s="226"/>
      <c r="L5" s="226"/>
      <c r="M5" s="286"/>
      <c r="N5" s="227"/>
      <c r="O5" s="265" t="s">
        <v>9</v>
      </c>
      <c r="P5" s="235"/>
      <c r="Q5" s="12"/>
      <c r="R5" s="12"/>
      <c r="S5" s="12"/>
      <c r="T5" s="12"/>
      <c r="U5" s="12"/>
    </row>
    <row r="6" spans="1:21" ht="12" customHeight="1" x14ac:dyDescent="0.45">
      <c r="A6" s="325"/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310"/>
      <c r="Q6" s="12"/>
      <c r="R6" s="12"/>
      <c r="S6" s="12"/>
      <c r="T6" s="12"/>
      <c r="U6" s="12"/>
    </row>
    <row r="7" spans="1:21" ht="36" customHeight="1" x14ac:dyDescent="0.45">
      <c r="A7" s="321" t="s">
        <v>10</v>
      </c>
      <c r="B7" s="226"/>
      <c r="C7" s="226"/>
      <c r="D7" s="226"/>
      <c r="E7" s="227"/>
      <c r="F7" s="274" t="str">
        <f>OP!G9</f>
        <v>SUERO DE NIACINAMIDA 5% FORMULA NUEVA</v>
      </c>
      <c r="G7" s="232"/>
      <c r="H7" s="232"/>
      <c r="I7" s="232"/>
      <c r="J7" s="232"/>
      <c r="K7" s="232"/>
      <c r="L7" s="232"/>
      <c r="M7" s="232"/>
      <c r="N7" s="232"/>
      <c r="O7" s="232"/>
      <c r="P7" s="235"/>
      <c r="Q7" s="12"/>
      <c r="R7" s="12"/>
      <c r="S7" s="12"/>
      <c r="T7" s="12"/>
      <c r="U7" s="12"/>
    </row>
    <row r="8" spans="1:21" ht="36" customHeight="1" x14ac:dyDescent="0.45">
      <c r="A8" s="307" t="s">
        <v>55</v>
      </c>
      <c r="B8" s="232"/>
      <c r="C8" s="232"/>
      <c r="D8" s="232"/>
      <c r="E8" s="233"/>
      <c r="F8" s="292" t="str">
        <f>OP!M10</f>
        <v>252111</v>
      </c>
      <c r="G8" s="233"/>
      <c r="H8" s="288" t="s">
        <v>165</v>
      </c>
      <c r="I8" s="226"/>
      <c r="J8" s="226"/>
      <c r="K8" s="226"/>
      <c r="L8" s="295"/>
      <c r="M8" s="230"/>
      <c r="N8" s="276" t="s">
        <v>166</v>
      </c>
      <c r="O8" s="233"/>
      <c r="P8" s="61"/>
      <c r="Q8" s="12"/>
      <c r="R8" s="12"/>
      <c r="S8" s="12"/>
      <c r="T8" s="12"/>
      <c r="U8" s="12"/>
    </row>
    <row r="9" spans="1:21" ht="36" customHeight="1" x14ac:dyDescent="0.45">
      <c r="A9" s="326" t="s">
        <v>167</v>
      </c>
      <c r="B9" s="219"/>
      <c r="C9" s="219"/>
      <c r="D9" s="219"/>
      <c r="E9" s="220"/>
      <c r="F9" s="274" t="str">
        <f>OP!M11</f>
        <v>OP-L-099</v>
      </c>
      <c r="G9" s="235"/>
      <c r="H9" s="291" t="s">
        <v>168</v>
      </c>
      <c r="I9" s="219"/>
      <c r="J9" s="219"/>
      <c r="K9" s="220"/>
      <c r="L9" s="291"/>
      <c r="M9" s="220"/>
      <c r="N9" s="327" t="s">
        <v>169</v>
      </c>
      <c r="O9" s="254"/>
      <c r="P9" s="62"/>
      <c r="Q9" s="12"/>
      <c r="R9" s="12"/>
      <c r="S9" s="12"/>
      <c r="T9" s="12"/>
      <c r="U9" s="12"/>
    </row>
    <row r="10" spans="1:21" ht="12" customHeight="1" x14ac:dyDescent="0.5">
      <c r="A10" s="328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7"/>
      <c r="P10" s="261"/>
      <c r="Q10" s="60"/>
      <c r="R10" s="60"/>
      <c r="S10" s="60"/>
      <c r="T10" s="60"/>
      <c r="U10" s="60"/>
    </row>
    <row r="11" spans="1:21" ht="21" customHeight="1" x14ac:dyDescent="0.45">
      <c r="A11" s="329" t="s">
        <v>170</v>
      </c>
      <c r="B11" s="232"/>
      <c r="C11" s="232"/>
      <c r="D11" s="232"/>
      <c r="E11" s="232"/>
      <c r="F11" s="232"/>
      <c r="G11" s="232"/>
      <c r="H11" s="232"/>
      <c r="I11" s="232"/>
      <c r="J11" s="232"/>
      <c r="K11" s="232"/>
      <c r="L11" s="232"/>
      <c r="M11" s="233"/>
      <c r="N11" s="304" t="s">
        <v>171</v>
      </c>
      <c r="O11" s="233"/>
      <c r="P11" s="17" t="s">
        <v>172</v>
      </c>
      <c r="Q11" s="12"/>
      <c r="R11" s="12"/>
      <c r="S11" s="12"/>
      <c r="T11" s="12"/>
      <c r="U11" s="12"/>
    </row>
    <row r="12" spans="1:21" ht="36.75" customHeight="1" x14ac:dyDescent="0.45">
      <c r="A12" s="241" t="s">
        <v>173</v>
      </c>
      <c r="B12" s="232"/>
      <c r="C12" s="232"/>
      <c r="D12" s="232"/>
      <c r="E12" s="232"/>
      <c r="F12" s="232"/>
      <c r="G12" s="232"/>
      <c r="H12" s="232"/>
      <c r="I12" s="232"/>
      <c r="J12" s="232"/>
      <c r="K12" s="232"/>
      <c r="L12" s="232"/>
      <c r="M12" s="233"/>
      <c r="N12" s="300"/>
      <c r="O12" s="233"/>
      <c r="P12" s="63"/>
      <c r="Q12" s="12"/>
      <c r="R12" s="12"/>
      <c r="S12" s="12"/>
      <c r="T12" s="12"/>
      <c r="U12" s="12"/>
    </row>
    <row r="13" spans="1:21" ht="12" customHeight="1" x14ac:dyDescent="0.45">
      <c r="A13" s="45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5"/>
      <c r="O13" s="65"/>
      <c r="P13" s="66"/>
      <c r="Q13" s="12"/>
      <c r="R13" s="12"/>
      <c r="S13" s="12"/>
      <c r="T13" s="12"/>
      <c r="U13" s="12"/>
    </row>
    <row r="14" spans="1:21" ht="18.75" customHeight="1" x14ac:dyDescent="0.45">
      <c r="A14" s="330" t="s">
        <v>174</v>
      </c>
      <c r="B14" s="219"/>
      <c r="C14" s="219"/>
      <c r="D14" s="219"/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30"/>
      <c r="Q14" s="12"/>
      <c r="R14" s="12"/>
      <c r="S14" s="12"/>
      <c r="T14" s="12"/>
      <c r="U14" s="12"/>
    </row>
    <row r="15" spans="1:21" ht="24.75" customHeight="1" x14ac:dyDescent="0.45">
      <c r="A15" s="331" t="s">
        <v>175</v>
      </c>
      <c r="B15" s="222"/>
      <c r="C15" s="222"/>
      <c r="D15" s="222"/>
      <c r="E15" s="222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4"/>
      <c r="Q15" s="67"/>
      <c r="R15" s="67"/>
      <c r="S15" s="67"/>
      <c r="T15" s="67"/>
      <c r="U15" s="67"/>
    </row>
    <row r="16" spans="1:21" ht="27" customHeight="1" x14ac:dyDescent="0.45">
      <c r="A16" s="307" t="s">
        <v>176</v>
      </c>
      <c r="B16" s="233"/>
      <c r="C16" s="276" t="s">
        <v>177</v>
      </c>
      <c r="D16" s="232"/>
      <c r="E16" s="232"/>
      <c r="F16" s="232"/>
      <c r="G16" s="233"/>
      <c r="H16" s="276" t="s">
        <v>101</v>
      </c>
      <c r="I16" s="232"/>
      <c r="J16" s="233"/>
      <c r="K16" s="276" t="s">
        <v>102</v>
      </c>
      <c r="L16" s="233"/>
      <c r="M16" s="276" t="s">
        <v>12</v>
      </c>
      <c r="N16" s="233"/>
      <c r="O16" s="276" t="s">
        <v>178</v>
      </c>
      <c r="P16" s="235"/>
      <c r="Q16" s="67"/>
      <c r="R16" s="67"/>
      <c r="S16" s="67"/>
      <c r="T16" s="67"/>
      <c r="U16" s="67"/>
    </row>
    <row r="17" spans="1:21" ht="20.25" customHeight="1" x14ac:dyDescent="0.45">
      <c r="A17" s="332" t="str">
        <f>OP!G15</f>
        <v>MPAGUALI01</v>
      </c>
      <c r="B17" s="233"/>
      <c r="C17" s="333" t="str">
        <f>OP!B15</f>
        <v>AGUA DESIONIZADA</v>
      </c>
      <c r="D17" s="226"/>
      <c r="E17" s="226"/>
      <c r="F17" s="226"/>
      <c r="G17" s="227"/>
      <c r="H17" s="334">
        <f>OP!M15</f>
        <v>91.43</v>
      </c>
      <c r="I17" s="226"/>
      <c r="J17" s="227"/>
      <c r="K17" s="335">
        <f>OP!N15</f>
        <v>109716.00000000001</v>
      </c>
      <c r="L17" s="233"/>
      <c r="M17" s="300">
        <f>OP!J15</f>
        <v>0</v>
      </c>
      <c r="N17" s="233"/>
      <c r="O17" s="300"/>
      <c r="P17" s="235"/>
      <c r="Q17" s="67"/>
      <c r="R17" s="44"/>
      <c r="S17" s="44"/>
      <c r="T17" s="44"/>
      <c r="U17" s="68"/>
    </row>
    <row r="18" spans="1:21" ht="20.25" customHeight="1" x14ac:dyDescent="0.45">
      <c r="A18" s="332" t="str">
        <f>OP!G16</f>
        <v>MPNIACSO01</v>
      </c>
      <c r="B18" s="233"/>
      <c r="C18" s="333" t="str">
        <f>OP!B16</f>
        <v>NIACINAMIDA</v>
      </c>
      <c r="D18" s="226"/>
      <c r="E18" s="226"/>
      <c r="F18" s="226"/>
      <c r="G18" s="227"/>
      <c r="H18" s="334">
        <f>OP!M16</f>
        <v>5</v>
      </c>
      <c r="I18" s="226"/>
      <c r="J18" s="227"/>
      <c r="K18" s="335">
        <f>OP!N16</f>
        <v>6000</v>
      </c>
      <c r="L18" s="233"/>
      <c r="M18" s="300" t="str">
        <f>OP!J16</f>
        <v>YT-NC20250428</v>
      </c>
      <c r="N18" s="233"/>
      <c r="O18" s="300"/>
      <c r="P18" s="235"/>
      <c r="Q18" s="67"/>
      <c r="R18" s="44"/>
      <c r="S18" s="44"/>
      <c r="T18" s="44"/>
      <c r="U18" s="44"/>
    </row>
    <row r="19" spans="1:21" ht="20.25" customHeight="1" x14ac:dyDescent="0.45">
      <c r="A19" s="332" t="str">
        <f>OP!G17</f>
        <v>MPBIOFELI01</v>
      </c>
      <c r="B19" s="233"/>
      <c r="C19" s="333" t="str">
        <f>OP!B17</f>
        <v>BIOSURE FE</v>
      </c>
      <c r="D19" s="226"/>
      <c r="E19" s="226"/>
      <c r="F19" s="226"/>
      <c r="G19" s="227"/>
      <c r="H19" s="334">
        <f>OP!M17</f>
        <v>1</v>
      </c>
      <c r="I19" s="226"/>
      <c r="J19" s="227"/>
      <c r="K19" s="335">
        <f>OP!N17</f>
        <v>1200</v>
      </c>
      <c r="L19" s="233"/>
      <c r="M19" s="300">
        <f>OP!J17</f>
        <v>250127005</v>
      </c>
      <c r="N19" s="233"/>
      <c r="O19" s="300"/>
      <c r="P19" s="235"/>
      <c r="Q19" s="67"/>
      <c r="R19" s="44"/>
      <c r="S19" s="44"/>
      <c r="T19" s="44"/>
      <c r="U19" s="44"/>
    </row>
    <row r="20" spans="1:21" ht="20.25" customHeight="1" x14ac:dyDescent="0.45">
      <c r="A20" s="332" t="str">
        <f>OP!G18</f>
        <v>MPGLUCSO01</v>
      </c>
      <c r="B20" s="233"/>
      <c r="C20" s="333" t="str">
        <f>OP!B18</f>
        <v xml:space="preserve">N-ACETIL GLUCOSAMINA </v>
      </c>
      <c r="D20" s="226"/>
      <c r="E20" s="226"/>
      <c r="F20" s="226"/>
      <c r="G20" s="227"/>
      <c r="H20" s="334">
        <f>OP!M18</f>
        <v>0.5</v>
      </c>
      <c r="I20" s="226"/>
      <c r="J20" s="227"/>
      <c r="K20" s="335">
        <f>OP!N18</f>
        <v>600</v>
      </c>
      <c r="L20" s="233"/>
      <c r="M20" s="300" t="str">
        <f>OP!J18</f>
        <v>YT-20251213</v>
      </c>
      <c r="N20" s="233"/>
      <c r="O20" s="300"/>
      <c r="P20" s="235"/>
      <c r="Q20" s="67"/>
      <c r="R20" s="44"/>
      <c r="S20" s="44"/>
      <c r="T20" s="44"/>
      <c r="U20" s="44"/>
    </row>
    <row r="21" spans="1:21" ht="20.25" customHeight="1" x14ac:dyDescent="0.45">
      <c r="A21" s="332" t="str">
        <f>OP!G19</f>
        <v>MPGLUCSO02</v>
      </c>
      <c r="B21" s="233"/>
      <c r="C21" s="333" t="str">
        <f>OP!B19</f>
        <v>GLUCONOLACTONA</v>
      </c>
      <c r="D21" s="226"/>
      <c r="E21" s="226"/>
      <c r="F21" s="226"/>
      <c r="G21" s="227"/>
      <c r="H21" s="334">
        <f>OP!M19</f>
        <v>0.3</v>
      </c>
      <c r="I21" s="226"/>
      <c r="J21" s="227"/>
      <c r="K21" s="335">
        <f>OP!N19</f>
        <v>360</v>
      </c>
      <c r="L21" s="233"/>
      <c r="M21" s="300" t="str">
        <f>OP!J19</f>
        <v>YT-G20250419</v>
      </c>
      <c r="N21" s="233"/>
      <c r="O21" s="300"/>
      <c r="P21" s="235"/>
      <c r="Q21" s="67"/>
      <c r="R21" s="44"/>
      <c r="S21" s="44"/>
      <c r="T21" s="44"/>
      <c r="U21" s="44"/>
    </row>
    <row r="22" spans="1:21" ht="20.25" customHeight="1" x14ac:dyDescent="0.45">
      <c r="A22" s="332" t="str">
        <f>OP!G20</f>
        <v>MPACHISO03</v>
      </c>
      <c r="B22" s="233"/>
      <c r="C22" s="333" t="str">
        <f>OP!B20</f>
        <v xml:space="preserve">ÁCIDO HIALURÓNICO 50 KD </v>
      </c>
      <c r="D22" s="226"/>
      <c r="E22" s="226"/>
      <c r="F22" s="226"/>
      <c r="G22" s="227"/>
      <c r="H22" s="334">
        <f>OP!M20</f>
        <v>0.35</v>
      </c>
      <c r="I22" s="226"/>
      <c r="J22" s="227"/>
      <c r="K22" s="335">
        <f>OP!N20</f>
        <v>420</v>
      </c>
      <c r="L22" s="233"/>
      <c r="M22" s="300" t="str">
        <f>OP!J20</f>
        <v>LYPH250219</v>
      </c>
      <c r="N22" s="233"/>
      <c r="O22" s="300"/>
      <c r="P22" s="235"/>
      <c r="Q22" s="67"/>
      <c r="R22" s="44"/>
      <c r="S22" s="44"/>
      <c r="T22" s="44"/>
      <c r="U22" s="44"/>
    </row>
    <row r="23" spans="1:21" ht="20.25" customHeight="1" x14ac:dyDescent="0.45">
      <c r="A23" s="332" t="str">
        <f>OP!G21</f>
        <v>MPACHISO01</v>
      </c>
      <c r="B23" s="233"/>
      <c r="C23" s="333" t="str">
        <f>OP!B21</f>
        <v xml:space="preserve">ÁCIDO HIALURÓNICO 1500 KD </v>
      </c>
      <c r="D23" s="226"/>
      <c r="E23" s="226"/>
      <c r="F23" s="226"/>
      <c r="G23" s="227"/>
      <c r="H23" s="334">
        <f>OP!M21</f>
        <v>0.05</v>
      </c>
      <c r="I23" s="226"/>
      <c r="J23" s="227"/>
      <c r="K23" s="335">
        <f>OP!N21</f>
        <v>60</v>
      </c>
      <c r="L23" s="233"/>
      <c r="M23" s="300" t="str">
        <f>OP!J21</f>
        <v>LYPH250219</v>
      </c>
      <c r="N23" s="233"/>
      <c r="O23" s="300"/>
      <c r="P23" s="235"/>
      <c r="Q23" s="67"/>
      <c r="R23" s="44"/>
      <c r="S23" s="44"/>
      <c r="T23" s="44"/>
      <c r="U23" s="44"/>
    </row>
    <row r="24" spans="1:21" ht="20.25" customHeight="1" x14ac:dyDescent="0.45">
      <c r="A24" s="332" t="str">
        <f>OP!G22</f>
        <v>MPACHISO02</v>
      </c>
      <c r="B24" s="233"/>
      <c r="C24" s="333" t="str">
        <f>OP!B22</f>
        <v xml:space="preserve">ÁCIDO HIALURÓNICO 300 KD </v>
      </c>
      <c r="D24" s="226"/>
      <c r="E24" s="226"/>
      <c r="F24" s="226"/>
      <c r="G24" s="227"/>
      <c r="H24" s="334">
        <f>OP!M22</f>
        <v>0.05</v>
      </c>
      <c r="I24" s="226"/>
      <c r="J24" s="227"/>
      <c r="K24" s="335">
        <f>OP!N22</f>
        <v>60</v>
      </c>
      <c r="L24" s="233"/>
      <c r="M24" s="300" t="str">
        <f>OP!J22</f>
        <v>LYPH250602</v>
      </c>
      <c r="N24" s="233"/>
      <c r="O24" s="300"/>
      <c r="P24" s="235"/>
      <c r="Q24" s="67"/>
      <c r="R24" s="44"/>
      <c r="S24" s="44"/>
      <c r="T24" s="44"/>
      <c r="U24" s="44"/>
    </row>
    <row r="25" spans="1:21" ht="20.25" customHeight="1" x14ac:dyDescent="0.45">
      <c r="A25" s="332" t="str">
        <f>OP!G23</f>
        <v>MPBETASO02</v>
      </c>
      <c r="B25" s="233"/>
      <c r="C25" s="333" t="str">
        <f>OP!B23</f>
        <v>BETAINA</v>
      </c>
      <c r="D25" s="226"/>
      <c r="E25" s="226"/>
      <c r="F25" s="226"/>
      <c r="G25" s="227"/>
      <c r="H25" s="334">
        <f>OP!M23</f>
        <v>0.05</v>
      </c>
      <c r="I25" s="226"/>
      <c r="J25" s="227"/>
      <c r="K25" s="335">
        <f>OP!N23</f>
        <v>60</v>
      </c>
      <c r="L25" s="233"/>
      <c r="M25" s="300" t="str">
        <f>OP!J23</f>
        <v>YT-20240405</v>
      </c>
      <c r="N25" s="233"/>
      <c r="O25" s="300"/>
      <c r="P25" s="235"/>
      <c r="Q25" s="67"/>
      <c r="R25" s="44"/>
      <c r="S25" s="44"/>
      <c r="T25" s="44"/>
      <c r="U25" s="44"/>
    </row>
    <row r="26" spans="1:21" ht="20.25" customHeight="1" x14ac:dyDescent="0.45">
      <c r="A26" s="332" t="str">
        <f>OP!G24</f>
        <v>MPECTOSO01</v>
      </c>
      <c r="B26" s="233"/>
      <c r="C26" s="333" t="str">
        <f>OP!B24</f>
        <v>ECTOINA</v>
      </c>
      <c r="D26" s="226"/>
      <c r="E26" s="226"/>
      <c r="F26" s="226"/>
      <c r="G26" s="227"/>
      <c r="H26" s="334">
        <f>OP!M24</f>
        <v>0.1</v>
      </c>
      <c r="I26" s="226"/>
      <c r="J26" s="227"/>
      <c r="K26" s="335">
        <f>OP!N24</f>
        <v>120</v>
      </c>
      <c r="L26" s="233"/>
      <c r="M26" s="300" t="str">
        <f>OP!J24</f>
        <v>YT-20250123</v>
      </c>
      <c r="N26" s="233"/>
      <c r="O26" s="300"/>
      <c r="P26" s="235"/>
      <c r="Q26" s="67"/>
      <c r="R26" s="44"/>
      <c r="S26" s="44"/>
      <c r="T26" s="44"/>
      <c r="U26" s="44"/>
    </row>
    <row r="27" spans="1:21" ht="20.25" customHeight="1" x14ac:dyDescent="0.45">
      <c r="A27" s="332" t="str">
        <f>OP!G25</f>
        <v>MPPANTSO01</v>
      </c>
      <c r="B27" s="233"/>
      <c r="C27" s="333" t="str">
        <f>OP!B25</f>
        <v>PANTENOL POLVO</v>
      </c>
      <c r="D27" s="226"/>
      <c r="E27" s="226"/>
      <c r="F27" s="226"/>
      <c r="G27" s="227"/>
      <c r="H27" s="334">
        <f>OP!M25</f>
        <v>0.05</v>
      </c>
      <c r="I27" s="226"/>
      <c r="J27" s="227"/>
      <c r="K27" s="335">
        <f>OP!N25</f>
        <v>60</v>
      </c>
      <c r="L27" s="233"/>
      <c r="M27" s="300" t="str">
        <f>OP!J25</f>
        <v>YT-20250402</v>
      </c>
      <c r="N27" s="233"/>
      <c r="O27" s="300"/>
      <c r="P27" s="235"/>
      <c r="Q27" s="67"/>
      <c r="R27" s="44"/>
      <c r="S27" s="44"/>
      <c r="T27" s="44"/>
      <c r="U27" s="44"/>
    </row>
    <row r="28" spans="1:21" ht="20.25" customHeight="1" x14ac:dyDescent="0.45">
      <c r="A28" s="332" t="str">
        <f>OP!G26</f>
        <v>MPVITESO01</v>
      </c>
      <c r="B28" s="233"/>
      <c r="C28" s="333" t="str">
        <f>OP!B26</f>
        <v>VITAMINA E POLVO</v>
      </c>
      <c r="D28" s="226"/>
      <c r="E28" s="226"/>
      <c r="F28" s="226"/>
      <c r="G28" s="227"/>
      <c r="H28" s="334">
        <f>OP!M26</f>
        <v>0.15</v>
      </c>
      <c r="I28" s="226"/>
      <c r="J28" s="227"/>
      <c r="K28" s="335">
        <f>OP!N26</f>
        <v>180</v>
      </c>
      <c r="L28" s="233"/>
      <c r="M28" s="300">
        <f>OP!J26</f>
        <v>20240217</v>
      </c>
      <c r="N28" s="233"/>
      <c r="O28" s="300"/>
      <c r="P28" s="235"/>
      <c r="Q28" s="67"/>
      <c r="R28" s="44"/>
      <c r="S28" s="44"/>
      <c r="T28" s="44"/>
      <c r="U28" s="44"/>
    </row>
    <row r="29" spans="1:21" ht="20.25" customHeight="1" x14ac:dyDescent="0.45">
      <c r="A29" s="332" t="str">
        <f>OP!G27</f>
        <v>MPTERSSO01</v>
      </c>
      <c r="B29" s="233"/>
      <c r="C29" s="333" t="str">
        <f>OP!B27</f>
        <v>TERPENOS SOLUBLES 98%</v>
      </c>
      <c r="D29" s="226"/>
      <c r="E29" s="226"/>
      <c r="F29" s="226"/>
      <c r="G29" s="227"/>
      <c r="H29" s="334">
        <f>OP!M27</f>
        <v>0.01</v>
      </c>
      <c r="I29" s="226"/>
      <c r="J29" s="227"/>
      <c r="K29" s="335">
        <f>OP!N27</f>
        <v>12</v>
      </c>
      <c r="L29" s="233"/>
      <c r="M29" s="300" t="str">
        <f>OP!J27</f>
        <v>YT-20250123</v>
      </c>
      <c r="N29" s="233"/>
      <c r="O29" s="300"/>
      <c r="P29" s="235"/>
      <c r="Q29" s="67"/>
      <c r="R29" s="44"/>
      <c r="S29" s="44"/>
      <c r="T29" s="44"/>
      <c r="U29" s="44"/>
    </row>
    <row r="30" spans="1:21" ht="20.25" customHeight="1" x14ac:dyDescent="0.45">
      <c r="A30" s="332" t="str">
        <f>OP!G28</f>
        <v>MPASIASO01</v>
      </c>
      <c r="B30" s="233"/>
      <c r="C30" s="333" t="str">
        <f>OP!B28</f>
        <v>ASIATICOSIDO</v>
      </c>
      <c r="D30" s="226"/>
      <c r="E30" s="226"/>
      <c r="F30" s="226"/>
      <c r="G30" s="227"/>
      <c r="H30" s="334">
        <f>OP!M28</f>
        <v>0.01</v>
      </c>
      <c r="I30" s="226"/>
      <c r="J30" s="227"/>
      <c r="K30" s="335">
        <f>OP!N28</f>
        <v>12</v>
      </c>
      <c r="L30" s="233"/>
      <c r="M30" s="300" t="str">
        <f>OP!J28</f>
        <v>YT-20250115</v>
      </c>
      <c r="N30" s="233"/>
      <c r="O30" s="300"/>
      <c r="P30" s="235"/>
      <c r="Q30" s="67"/>
      <c r="R30" s="44"/>
      <c r="S30" s="44"/>
      <c r="T30" s="44"/>
      <c r="U30" s="44"/>
    </row>
    <row r="31" spans="1:21" ht="20.25" customHeight="1" x14ac:dyDescent="0.45">
      <c r="A31" s="332" t="str">
        <f>OP!G29</f>
        <v>MPHEXDILI01</v>
      </c>
      <c r="B31" s="233"/>
      <c r="C31" s="333" t="str">
        <f>OP!B29</f>
        <v>1,2 HEXANEDIOL</v>
      </c>
      <c r="D31" s="226"/>
      <c r="E31" s="226"/>
      <c r="F31" s="226"/>
      <c r="G31" s="227"/>
      <c r="H31" s="334">
        <f>OP!M29</f>
        <v>0.5</v>
      </c>
      <c r="I31" s="226"/>
      <c r="J31" s="227"/>
      <c r="K31" s="335">
        <f>OP!N29</f>
        <v>600</v>
      </c>
      <c r="L31" s="233"/>
      <c r="M31" s="300" t="str">
        <f>OP!J29</f>
        <v>YT-20250504</v>
      </c>
      <c r="N31" s="233"/>
      <c r="O31" s="300"/>
      <c r="P31" s="235"/>
      <c r="Q31" s="67"/>
      <c r="R31" s="44"/>
      <c r="S31" s="44"/>
      <c r="T31" s="44"/>
      <c r="U31" s="44"/>
    </row>
    <row r="32" spans="1:21" ht="20.25" customHeight="1" x14ac:dyDescent="0.45">
      <c r="A32" s="332" t="str">
        <f>OP!G30</f>
        <v>MPGRANLI01</v>
      </c>
      <c r="B32" s="233"/>
      <c r="C32" s="333" t="str">
        <f>OP!B30</f>
        <v>GRANSIL VX419</v>
      </c>
      <c r="D32" s="226"/>
      <c r="E32" s="226"/>
      <c r="F32" s="226"/>
      <c r="G32" s="227"/>
      <c r="H32" s="334">
        <f>OP!M30</f>
        <v>0.3</v>
      </c>
      <c r="I32" s="226"/>
      <c r="J32" s="227"/>
      <c r="K32" s="335">
        <f>OP!N30</f>
        <v>360</v>
      </c>
      <c r="L32" s="233"/>
      <c r="M32" s="300" t="str">
        <f>OP!J30</f>
        <v>980305S1125</v>
      </c>
      <c r="N32" s="233"/>
      <c r="O32" s="300"/>
      <c r="P32" s="235"/>
      <c r="Q32" s="67"/>
      <c r="R32" s="44"/>
      <c r="S32" s="44"/>
      <c r="T32" s="44"/>
      <c r="U32" s="44"/>
    </row>
    <row r="33" spans="1:21" ht="20.25" customHeight="1" x14ac:dyDescent="0.45">
      <c r="A33" s="332" t="str">
        <f>OP!G31</f>
        <v>MPEDDISO01</v>
      </c>
      <c r="B33" s="233"/>
      <c r="C33" s="333" t="str">
        <f>OP!B31</f>
        <v>EDTA DISODICO</v>
      </c>
      <c r="D33" s="226"/>
      <c r="E33" s="226"/>
      <c r="F33" s="226"/>
      <c r="G33" s="227"/>
      <c r="H33" s="334">
        <f>OP!M31</f>
        <v>0.05</v>
      </c>
      <c r="I33" s="226"/>
      <c r="J33" s="227"/>
      <c r="K33" s="335">
        <f>OP!N31</f>
        <v>60</v>
      </c>
      <c r="L33" s="233"/>
      <c r="M33" s="300">
        <f>OP!J31</f>
        <v>20240815</v>
      </c>
      <c r="N33" s="233"/>
      <c r="O33" s="300"/>
      <c r="P33" s="235"/>
      <c r="Q33" s="67"/>
      <c r="R33" s="44"/>
      <c r="S33" s="44"/>
      <c r="T33" s="44"/>
      <c r="U33" s="44"/>
    </row>
    <row r="34" spans="1:21" ht="20.25" customHeight="1" x14ac:dyDescent="0.45">
      <c r="A34" s="332" t="str">
        <f>OP!G32</f>
        <v>MPGLICLI01</v>
      </c>
      <c r="B34" s="233"/>
      <c r="C34" s="333" t="str">
        <f>OP!B32</f>
        <v>GLICERINA</v>
      </c>
      <c r="D34" s="226"/>
      <c r="E34" s="226"/>
      <c r="F34" s="226"/>
      <c r="G34" s="227"/>
      <c r="H34" s="334">
        <f>OP!M32</f>
        <v>0.1</v>
      </c>
      <c r="I34" s="226"/>
      <c r="J34" s="227"/>
      <c r="K34" s="335">
        <f>OP!N32</f>
        <v>120</v>
      </c>
      <c r="L34" s="233"/>
      <c r="M34" s="300" t="str">
        <f>OP!J32</f>
        <v>021067-25</v>
      </c>
      <c r="N34" s="233"/>
      <c r="O34" s="300"/>
      <c r="P34" s="235"/>
      <c r="Q34" s="67"/>
      <c r="R34" s="44"/>
      <c r="S34" s="44"/>
      <c r="T34" s="44"/>
      <c r="U34" s="44"/>
    </row>
    <row r="35" spans="1:21" ht="42.75" customHeight="1" x14ac:dyDescent="0.45">
      <c r="A35" s="336" t="s">
        <v>179</v>
      </c>
      <c r="B35" s="237"/>
      <c r="C35" s="237"/>
      <c r="D35" s="237"/>
      <c r="E35" s="237"/>
      <c r="F35" s="237"/>
      <c r="G35" s="237"/>
      <c r="H35" s="237"/>
      <c r="I35" s="237"/>
      <c r="J35" s="237"/>
      <c r="K35" s="237"/>
      <c r="L35" s="237"/>
      <c r="M35" s="237"/>
      <c r="N35" s="237"/>
      <c r="O35" s="237"/>
      <c r="P35" s="261"/>
      <c r="Q35" s="69"/>
      <c r="R35" s="44"/>
      <c r="S35" s="44"/>
      <c r="T35" s="44"/>
      <c r="U35" s="44"/>
    </row>
    <row r="36" spans="1:21" ht="38.25" customHeight="1" x14ac:dyDescent="0.45">
      <c r="A36" s="253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  <c r="N36" s="254"/>
      <c r="O36" s="254"/>
      <c r="P36" s="255"/>
      <c r="Q36" s="12"/>
      <c r="R36" s="12"/>
      <c r="S36" s="12"/>
      <c r="T36" s="12"/>
      <c r="U36" s="12"/>
    </row>
    <row r="37" spans="1:21" ht="12" customHeight="1" x14ac:dyDescent="0.45">
      <c r="A37" s="328"/>
      <c r="B37" s="237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61"/>
      <c r="Q37" s="12"/>
      <c r="R37" s="12"/>
      <c r="S37" s="12"/>
      <c r="T37" s="12"/>
      <c r="U37" s="12"/>
    </row>
    <row r="38" spans="1:21" ht="36" customHeight="1" x14ac:dyDescent="0.45">
      <c r="A38" s="341" t="s">
        <v>180</v>
      </c>
      <c r="B38" s="222"/>
      <c r="C38" s="223"/>
      <c r="D38" s="342"/>
      <c r="E38" s="222"/>
      <c r="F38" s="222"/>
      <c r="G38" s="222"/>
      <c r="H38" s="70"/>
      <c r="I38" s="70"/>
      <c r="J38" s="70"/>
      <c r="K38" s="343" t="s">
        <v>181</v>
      </c>
      <c r="L38" s="223"/>
      <c r="M38" s="344"/>
      <c r="N38" s="222"/>
      <c r="O38" s="222"/>
      <c r="P38" s="224"/>
      <c r="Q38" s="12"/>
      <c r="R38" s="12"/>
      <c r="S38" s="12"/>
      <c r="T38" s="12"/>
      <c r="U38" s="12"/>
    </row>
    <row r="39" spans="1:21" ht="36" customHeight="1" x14ac:dyDescent="0.45">
      <c r="A39" s="329" t="s">
        <v>182</v>
      </c>
      <c r="B39" s="232"/>
      <c r="C39" s="233"/>
      <c r="D39" s="71"/>
      <c r="E39" s="71"/>
      <c r="F39" s="71"/>
      <c r="G39" s="71"/>
      <c r="H39" s="64"/>
      <c r="I39" s="64"/>
      <c r="J39" s="64"/>
      <c r="K39" s="345" t="s">
        <v>182</v>
      </c>
      <c r="L39" s="233"/>
      <c r="M39" s="300"/>
      <c r="N39" s="232"/>
      <c r="O39" s="232"/>
      <c r="P39" s="235"/>
      <c r="Q39" s="12"/>
      <c r="R39" s="12"/>
      <c r="S39" s="12"/>
      <c r="T39" s="12"/>
      <c r="U39" s="12"/>
    </row>
    <row r="40" spans="1:21" ht="36" customHeight="1" x14ac:dyDescent="0.45">
      <c r="A40" s="337" t="s">
        <v>183</v>
      </c>
      <c r="B40" s="219"/>
      <c r="C40" s="220"/>
      <c r="D40" s="338"/>
      <c r="E40" s="219"/>
      <c r="F40" s="219"/>
      <c r="G40" s="219"/>
      <c r="H40" s="219"/>
      <c r="I40" s="219"/>
      <c r="J40" s="220"/>
      <c r="K40" s="339" t="s">
        <v>183</v>
      </c>
      <c r="L40" s="220"/>
      <c r="M40" s="340"/>
      <c r="N40" s="219"/>
      <c r="O40" s="219"/>
      <c r="P40" s="230"/>
      <c r="Q40" s="12"/>
      <c r="R40" s="12"/>
      <c r="S40" s="12"/>
      <c r="T40" s="12"/>
      <c r="U40" s="12"/>
    </row>
    <row r="41" spans="1:21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72"/>
      <c r="L41" s="72"/>
      <c r="M41" s="25"/>
      <c r="N41" s="26"/>
      <c r="O41" s="26"/>
      <c r="P41" s="12"/>
      <c r="Q41" s="12"/>
      <c r="R41" s="12"/>
      <c r="S41" s="12"/>
      <c r="T41" s="12"/>
      <c r="U41" s="12"/>
    </row>
    <row r="42" spans="1:21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5"/>
      <c r="N42" s="26"/>
      <c r="O42" s="26"/>
      <c r="P42" s="12"/>
      <c r="Q42" s="12"/>
      <c r="R42" s="12"/>
      <c r="S42" s="12"/>
      <c r="T42" s="12"/>
      <c r="U42" s="12"/>
    </row>
    <row r="43" spans="1:21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5"/>
      <c r="N43" s="26"/>
      <c r="O43" s="26"/>
      <c r="P43" s="12"/>
      <c r="Q43" s="12"/>
      <c r="R43" s="12"/>
      <c r="S43" s="12"/>
      <c r="T43" s="12"/>
      <c r="U43" s="12"/>
    </row>
    <row r="44" spans="1:21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5"/>
      <c r="N44" s="26"/>
      <c r="O44" s="26"/>
      <c r="P44" s="12"/>
      <c r="Q44" s="12"/>
      <c r="R44" s="12"/>
      <c r="S44" s="12"/>
      <c r="T44" s="12"/>
      <c r="U44" s="12"/>
    </row>
    <row r="45" spans="1:21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5"/>
      <c r="N45" s="26"/>
      <c r="O45" s="26"/>
      <c r="P45" s="12"/>
      <c r="Q45" s="12"/>
      <c r="R45" s="12"/>
      <c r="S45" s="12"/>
      <c r="T45" s="12"/>
      <c r="U45" s="12"/>
    </row>
    <row r="46" spans="1:21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5"/>
      <c r="N46" s="26"/>
      <c r="O46" s="26"/>
      <c r="P46" s="12"/>
      <c r="Q46" s="12"/>
      <c r="R46" s="12"/>
      <c r="S46" s="12"/>
      <c r="T46" s="12"/>
      <c r="U46" s="12"/>
    </row>
    <row r="47" spans="1:21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5"/>
      <c r="N47" s="26"/>
      <c r="O47" s="26"/>
      <c r="P47" s="12"/>
      <c r="Q47" s="12"/>
      <c r="R47" s="12"/>
      <c r="S47" s="12"/>
      <c r="T47" s="12"/>
      <c r="U47" s="12"/>
    </row>
    <row r="48" spans="1:21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5"/>
      <c r="N48" s="26"/>
      <c r="O48" s="26"/>
      <c r="P48" s="12"/>
      <c r="Q48" s="12"/>
      <c r="R48" s="12"/>
      <c r="S48" s="12"/>
      <c r="T48" s="12"/>
      <c r="U48" s="12"/>
    </row>
    <row r="49" spans="1:21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5"/>
      <c r="N49" s="26"/>
      <c r="O49" s="26"/>
      <c r="P49" s="12"/>
      <c r="Q49" s="12"/>
      <c r="R49" s="12"/>
      <c r="S49" s="12"/>
      <c r="T49" s="12"/>
      <c r="U49" s="12"/>
    </row>
    <row r="50" spans="1:21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5"/>
      <c r="N50" s="26"/>
      <c r="O50" s="26"/>
      <c r="P50" s="12"/>
      <c r="Q50" s="12"/>
      <c r="R50" s="12"/>
      <c r="S50" s="12"/>
      <c r="T50" s="12"/>
      <c r="U50" s="12"/>
    </row>
    <row r="51" spans="1:21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5"/>
      <c r="N51" s="26"/>
      <c r="O51" s="26"/>
      <c r="P51" s="12"/>
      <c r="Q51" s="12"/>
      <c r="R51" s="12"/>
      <c r="S51" s="12"/>
      <c r="T51" s="12"/>
      <c r="U51" s="12"/>
    </row>
    <row r="52" spans="1:21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5"/>
      <c r="N52" s="26"/>
      <c r="O52" s="26"/>
      <c r="P52" s="12"/>
      <c r="Q52" s="12"/>
      <c r="R52" s="12"/>
      <c r="S52" s="12"/>
      <c r="T52" s="12"/>
      <c r="U52" s="12"/>
    </row>
    <row r="53" spans="1:21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5"/>
      <c r="N53" s="26"/>
      <c r="O53" s="26"/>
      <c r="P53" s="12"/>
      <c r="Q53" s="12"/>
      <c r="R53" s="12"/>
      <c r="S53" s="12"/>
      <c r="T53" s="12"/>
      <c r="U53" s="12"/>
    </row>
    <row r="54" spans="1:21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5"/>
      <c r="N54" s="26"/>
      <c r="O54" s="26"/>
      <c r="P54" s="12"/>
      <c r="Q54" s="12"/>
      <c r="R54" s="12"/>
      <c r="S54" s="12"/>
      <c r="T54" s="12"/>
      <c r="U54" s="12"/>
    </row>
    <row r="55" spans="1:21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5"/>
      <c r="N55" s="26"/>
      <c r="O55" s="26"/>
      <c r="P55" s="12"/>
      <c r="Q55" s="12"/>
      <c r="R55" s="12"/>
      <c r="S55" s="12"/>
      <c r="T55" s="12"/>
      <c r="U55" s="12"/>
    </row>
    <row r="56" spans="1:21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5"/>
      <c r="N56" s="26"/>
      <c r="O56" s="26"/>
      <c r="P56" s="12"/>
      <c r="Q56" s="12"/>
      <c r="R56" s="12"/>
      <c r="S56" s="12"/>
      <c r="T56" s="12"/>
      <c r="U56" s="12"/>
    </row>
    <row r="57" spans="1:21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5"/>
      <c r="N57" s="26"/>
      <c r="O57" s="26"/>
      <c r="P57" s="12"/>
      <c r="Q57" s="12"/>
      <c r="R57" s="12"/>
      <c r="S57" s="12"/>
      <c r="T57" s="12"/>
      <c r="U57" s="12"/>
    </row>
    <row r="58" spans="1:21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5"/>
      <c r="N58" s="26"/>
      <c r="O58" s="26"/>
      <c r="P58" s="12"/>
      <c r="Q58" s="12"/>
      <c r="R58" s="12"/>
      <c r="S58" s="12"/>
      <c r="T58" s="12"/>
      <c r="U58" s="12"/>
    </row>
    <row r="59" spans="1:21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5"/>
      <c r="N59" s="26"/>
      <c r="O59" s="26"/>
      <c r="P59" s="12"/>
      <c r="Q59" s="12"/>
      <c r="R59" s="12"/>
      <c r="S59" s="12"/>
      <c r="T59" s="12"/>
      <c r="U59" s="12"/>
    </row>
    <row r="60" spans="1:21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5"/>
      <c r="N60" s="26"/>
      <c r="O60" s="26"/>
      <c r="P60" s="12"/>
      <c r="Q60" s="12"/>
      <c r="R60" s="12"/>
      <c r="S60" s="12"/>
      <c r="T60" s="12"/>
      <c r="U60" s="12"/>
    </row>
    <row r="61" spans="1:21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5"/>
      <c r="N61" s="26"/>
      <c r="O61" s="26"/>
      <c r="P61" s="12"/>
      <c r="Q61" s="12"/>
      <c r="R61" s="12"/>
      <c r="S61" s="12"/>
      <c r="T61" s="12"/>
      <c r="U61" s="12"/>
    </row>
    <row r="62" spans="1:21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5"/>
      <c r="N62" s="26"/>
      <c r="O62" s="26"/>
      <c r="P62" s="12"/>
      <c r="Q62" s="12"/>
      <c r="R62" s="12"/>
      <c r="S62" s="12"/>
      <c r="T62" s="12"/>
      <c r="U62" s="12"/>
    </row>
    <row r="63" spans="1:21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5"/>
      <c r="N63" s="26"/>
      <c r="O63" s="26"/>
      <c r="P63" s="12"/>
      <c r="Q63" s="12"/>
      <c r="R63" s="12"/>
      <c r="S63" s="12"/>
      <c r="T63" s="12"/>
      <c r="U63" s="12"/>
    </row>
    <row r="64" spans="1:21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5"/>
      <c r="N64" s="26"/>
      <c r="O64" s="26"/>
      <c r="P64" s="12"/>
      <c r="Q64" s="12"/>
      <c r="R64" s="12"/>
      <c r="S64" s="12"/>
      <c r="T64" s="12"/>
      <c r="U64" s="12"/>
    </row>
    <row r="65" spans="1:21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5"/>
      <c r="N65" s="26"/>
      <c r="O65" s="26"/>
      <c r="P65" s="12"/>
      <c r="Q65" s="12"/>
      <c r="R65" s="12"/>
      <c r="S65" s="12"/>
      <c r="T65" s="12"/>
      <c r="U65" s="12"/>
    </row>
    <row r="66" spans="1:21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5"/>
      <c r="N66" s="26"/>
      <c r="O66" s="26"/>
      <c r="P66" s="12"/>
      <c r="Q66" s="12"/>
      <c r="R66" s="12"/>
      <c r="S66" s="12"/>
      <c r="T66" s="12"/>
      <c r="U66" s="12"/>
    </row>
    <row r="67" spans="1:21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5"/>
      <c r="N67" s="26"/>
      <c r="O67" s="26"/>
      <c r="P67" s="12"/>
      <c r="Q67" s="12"/>
      <c r="R67" s="12"/>
      <c r="S67" s="12"/>
      <c r="T67" s="12"/>
      <c r="U67" s="12"/>
    </row>
    <row r="68" spans="1:21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5"/>
      <c r="N68" s="26"/>
      <c r="O68" s="26"/>
      <c r="P68" s="12"/>
      <c r="Q68" s="12"/>
      <c r="R68" s="12"/>
      <c r="S68" s="12"/>
      <c r="T68" s="12"/>
      <c r="U68" s="12"/>
    </row>
    <row r="69" spans="1:21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5"/>
      <c r="N69" s="26"/>
      <c r="O69" s="26"/>
      <c r="P69" s="12"/>
      <c r="Q69" s="12"/>
      <c r="R69" s="12"/>
      <c r="S69" s="12"/>
      <c r="T69" s="12"/>
      <c r="U69" s="12"/>
    </row>
    <row r="70" spans="1:21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5"/>
      <c r="N70" s="26"/>
      <c r="O70" s="26"/>
      <c r="P70" s="12"/>
      <c r="Q70" s="12"/>
      <c r="R70" s="12"/>
      <c r="S70" s="12"/>
      <c r="T70" s="12"/>
      <c r="U70" s="12"/>
    </row>
    <row r="71" spans="1:21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5"/>
      <c r="N71" s="26"/>
      <c r="O71" s="26"/>
      <c r="P71" s="12"/>
      <c r="Q71" s="12"/>
      <c r="R71" s="12"/>
      <c r="S71" s="12"/>
      <c r="T71" s="12"/>
      <c r="U71" s="12"/>
    </row>
    <row r="72" spans="1:21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5"/>
      <c r="N72" s="26"/>
      <c r="O72" s="26"/>
      <c r="P72" s="12"/>
      <c r="Q72" s="12"/>
      <c r="R72" s="12"/>
      <c r="S72" s="12"/>
      <c r="T72" s="12"/>
      <c r="U72" s="12"/>
    </row>
    <row r="73" spans="1:21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5"/>
      <c r="N73" s="26"/>
      <c r="O73" s="26"/>
      <c r="P73" s="12"/>
      <c r="Q73" s="12"/>
      <c r="R73" s="12"/>
      <c r="S73" s="12"/>
      <c r="T73" s="12"/>
      <c r="U73" s="12"/>
    </row>
    <row r="74" spans="1:21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5"/>
      <c r="N74" s="26"/>
      <c r="O74" s="26"/>
      <c r="P74" s="12"/>
      <c r="Q74" s="12"/>
      <c r="R74" s="12"/>
      <c r="S74" s="12"/>
      <c r="T74" s="12"/>
      <c r="U74" s="12"/>
    </row>
    <row r="75" spans="1:21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5"/>
      <c r="N75" s="26"/>
      <c r="O75" s="26"/>
      <c r="P75" s="12"/>
      <c r="Q75" s="12"/>
      <c r="R75" s="12"/>
      <c r="S75" s="12"/>
      <c r="T75" s="12"/>
      <c r="U75" s="12"/>
    </row>
    <row r="76" spans="1:21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5"/>
      <c r="N76" s="26"/>
      <c r="O76" s="26"/>
      <c r="P76" s="12"/>
      <c r="Q76" s="12"/>
      <c r="R76" s="12"/>
      <c r="S76" s="12"/>
      <c r="T76" s="12"/>
      <c r="U76" s="12"/>
    </row>
    <row r="77" spans="1:21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5"/>
      <c r="N77" s="26"/>
      <c r="O77" s="26"/>
      <c r="P77" s="12"/>
      <c r="Q77" s="12"/>
      <c r="R77" s="12"/>
      <c r="S77" s="12"/>
      <c r="T77" s="12"/>
      <c r="U77" s="12"/>
    </row>
    <row r="78" spans="1:21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5"/>
      <c r="N78" s="26"/>
      <c r="O78" s="26"/>
      <c r="P78" s="12"/>
      <c r="Q78" s="12"/>
      <c r="R78" s="12"/>
      <c r="S78" s="12"/>
      <c r="T78" s="12"/>
      <c r="U78" s="12"/>
    </row>
    <row r="79" spans="1:21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5"/>
      <c r="N79" s="26"/>
      <c r="O79" s="26"/>
      <c r="P79" s="12"/>
      <c r="Q79" s="12"/>
      <c r="R79" s="12"/>
      <c r="S79" s="12"/>
      <c r="T79" s="12"/>
      <c r="U79" s="12"/>
    </row>
    <row r="80" spans="1:21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5"/>
      <c r="N80" s="26"/>
      <c r="O80" s="26"/>
      <c r="P80" s="12"/>
      <c r="Q80" s="12"/>
      <c r="R80" s="12"/>
      <c r="S80" s="12"/>
      <c r="T80" s="12"/>
      <c r="U80" s="12"/>
    </row>
    <row r="81" spans="1:21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5"/>
      <c r="N81" s="26"/>
      <c r="O81" s="26"/>
      <c r="P81" s="12"/>
      <c r="Q81" s="12"/>
      <c r="R81" s="12"/>
      <c r="S81" s="12"/>
      <c r="T81" s="12"/>
      <c r="U81" s="12"/>
    </row>
    <row r="82" spans="1:21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5"/>
      <c r="N82" s="26"/>
      <c r="O82" s="26"/>
      <c r="P82" s="12"/>
      <c r="Q82" s="12"/>
      <c r="R82" s="12"/>
      <c r="S82" s="12"/>
      <c r="T82" s="12"/>
      <c r="U82" s="12"/>
    </row>
    <row r="83" spans="1:21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5"/>
      <c r="N83" s="26"/>
      <c r="O83" s="26"/>
      <c r="P83" s="12"/>
      <c r="Q83" s="12"/>
      <c r="R83" s="12"/>
      <c r="S83" s="12"/>
      <c r="T83" s="12"/>
      <c r="U83" s="12"/>
    </row>
    <row r="84" spans="1:21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5"/>
      <c r="N84" s="26"/>
      <c r="O84" s="26"/>
      <c r="P84" s="12"/>
      <c r="Q84" s="12"/>
      <c r="R84" s="12"/>
      <c r="S84" s="12"/>
      <c r="T84" s="12"/>
      <c r="U84" s="12"/>
    </row>
    <row r="85" spans="1:21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5"/>
      <c r="N85" s="26"/>
      <c r="O85" s="26"/>
      <c r="P85" s="12"/>
      <c r="Q85" s="12"/>
      <c r="R85" s="12"/>
      <c r="S85" s="12"/>
      <c r="T85" s="12"/>
      <c r="U85" s="12"/>
    </row>
    <row r="86" spans="1:21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5"/>
      <c r="N86" s="26"/>
      <c r="O86" s="26"/>
      <c r="P86" s="12"/>
      <c r="Q86" s="12"/>
      <c r="R86" s="12"/>
      <c r="S86" s="12"/>
      <c r="T86" s="12"/>
      <c r="U86" s="12"/>
    </row>
    <row r="87" spans="1:21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5"/>
      <c r="N87" s="26"/>
      <c r="O87" s="26"/>
      <c r="P87" s="12"/>
      <c r="Q87" s="12"/>
      <c r="R87" s="12"/>
      <c r="S87" s="12"/>
      <c r="T87" s="12"/>
      <c r="U87" s="12"/>
    </row>
    <row r="88" spans="1:21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5"/>
      <c r="N88" s="26"/>
      <c r="O88" s="26"/>
      <c r="P88" s="12"/>
      <c r="Q88" s="12"/>
      <c r="R88" s="12"/>
      <c r="S88" s="12"/>
      <c r="T88" s="12"/>
      <c r="U88" s="12"/>
    </row>
    <row r="89" spans="1:21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5"/>
      <c r="N89" s="26"/>
      <c r="O89" s="26"/>
      <c r="P89" s="12"/>
      <c r="Q89" s="12"/>
      <c r="R89" s="12"/>
      <c r="S89" s="12"/>
      <c r="T89" s="12"/>
      <c r="U89" s="12"/>
    </row>
    <row r="90" spans="1:21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5"/>
      <c r="N90" s="26"/>
      <c r="O90" s="26"/>
      <c r="P90" s="12"/>
      <c r="Q90" s="12"/>
      <c r="R90" s="12"/>
      <c r="S90" s="12"/>
      <c r="T90" s="12"/>
      <c r="U90" s="12"/>
    </row>
    <row r="91" spans="1:21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5"/>
      <c r="N91" s="26"/>
      <c r="O91" s="26"/>
      <c r="P91" s="12"/>
      <c r="Q91" s="12"/>
      <c r="R91" s="12"/>
      <c r="S91" s="12"/>
      <c r="T91" s="12"/>
      <c r="U91" s="12"/>
    </row>
    <row r="92" spans="1:21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5"/>
      <c r="N92" s="26"/>
      <c r="O92" s="26"/>
      <c r="P92" s="12"/>
      <c r="Q92" s="12"/>
      <c r="R92" s="12"/>
      <c r="S92" s="12"/>
      <c r="T92" s="12"/>
      <c r="U92" s="12"/>
    </row>
    <row r="93" spans="1:21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5"/>
      <c r="N93" s="26"/>
      <c r="O93" s="26"/>
      <c r="P93" s="12"/>
      <c r="Q93" s="12"/>
      <c r="R93" s="12"/>
      <c r="S93" s="12"/>
      <c r="T93" s="12"/>
      <c r="U93" s="12"/>
    </row>
    <row r="94" spans="1:21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5"/>
      <c r="N94" s="26"/>
      <c r="O94" s="26"/>
      <c r="P94" s="12"/>
      <c r="Q94" s="12"/>
      <c r="R94" s="12"/>
      <c r="S94" s="12"/>
      <c r="T94" s="12"/>
      <c r="U94" s="12"/>
    </row>
    <row r="95" spans="1:21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5"/>
      <c r="N95" s="26"/>
      <c r="O95" s="26"/>
      <c r="P95" s="12"/>
      <c r="Q95" s="12"/>
      <c r="R95" s="12"/>
      <c r="S95" s="12"/>
      <c r="T95" s="12"/>
      <c r="U95" s="12"/>
    </row>
    <row r="96" spans="1:21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5"/>
      <c r="N96" s="26"/>
      <c r="O96" s="26"/>
      <c r="P96" s="12"/>
      <c r="Q96" s="12"/>
      <c r="R96" s="12"/>
      <c r="S96" s="12"/>
      <c r="T96" s="12"/>
      <c r="U96" s="12"/>
    </row>
    <row r="97" spans="1:21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5"/>
      <c r="N97" s="26"/>
      <c r="O97" s="26"/>
      <c r="P97" s="12"/>
      <c r="Q97" s="12"/>
      <c r="R97" s="12"/>
      <c r="S97" s="12"/>
      <c r="T97" s="12"/>
      <c r="U97" s="12"/>
    </row>
    <row r="98" spans="1:21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5"/>
      <c r="N98" s="26"/>
      <c r="O98" s="26"/>
      <c r="P98" s="12"/>
      <c r="Q98" s="12"/>
      <c r="R98" s="12"/>
      <c r="S98" s="12"/>
      <c r="T98" s="12"/>
      <c r="U98" s="12"/>
    </row>
    <row r="99" spans="1:21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5"/>
      <c r="N99" s="26"/>
      <c r="O99" s="26"/>
      <c r="P99" s="12"/>
      <c r="Q99" s="12"/>
      <c r="R99" s="12"/>
      <c r="S99" s="12"/>
      <c r="T99" s="12"/>
      <c r="U99" s="12"/>
    </row>
    <row r="100" spans="1:21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5"/>
      <c r="N100" s="26"/>
      <c r="O100" s="26"/>
      <c r="P100" s="12"/>
      <c r="Q100" s="12"/>
      <c r="R100" s="12"/>
      <c r="S100" s="12"/>
      <c r="T100" s="12"/>
      <c r="U100" s="12"/>
    </row>
    <row r="101" spans="1:21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5"/>
      <c r="N101" s="26"/>
      <c r="O101" s="26"/>
      <c r="P101" s="12"/>
      <c r="Q101" s="12"/>
      <c r="R101" s="12"/>
      <c r="S101" s="12"/>
      <c r="T101" s="12"/>
      <c r="U101" s="12"/>
    </row>
    <row r="102" spans="1:21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5"/>
      <c r="N102" s="26"/>
      <c r="O102" s="26"/>
      <c r="P102" s="12"/>
      <c r="Q102" s="12"/>
      <c r="R102" s="12"/>
      <c r="S102" s="12"/>
      <c r="T102" s="12"/>
      <c r="U102" s="12"/>
    </row>
    <row r="103" spans="1:21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5"/>
      <c r="N103" s="26"/>
      <c r="O103" s="26"/>
      <c r="P103" s="12"/>
      <c r="Q103" s="12"/>
      <c r="R103" s="12"/>
      <c r="S103" s="12"/>
      <c r="T103" s="12"/>
      <c r="U103" s="12"/>
    </row>
    <row r="104" spans="1:21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5"/>
      <c r="N104" s="26"/>
      <c r="O104" s="26"/>
      <c r="P104" s="12"/>
      <c r="Q104" s="12"/>
      <c r="R104" s="12"/>
      <c r="S104" s="12"/>
      <c r="T104" s="12"/>
      <c r="U104" s="12"/>
    </row>
    <row r="105" spans="1:21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5"/>
      <c r="N105" s="26"/>
      <c r="O105" s="26"/>
      <c r="P105" s="12"/>
      <c r="Q105" s="12"/>
      <c r="R105" s="12"/>
      <c r="S105" s="12"/>
      <c r="T105" s="12"/>
      <c r="U105" s="12"/>
    </row>
    <row r="106" spans="1:21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5"/>
      <c r="N106" s="26"/>
      <c r="O106" s="26"/>
      <c r="P106" s="12"/>
      <c r="Q106" s="12"/>
      <c r="R106" s="12"/>
      <c r="S106" s="12"/>
      <c r="T106" s="12"/>
      <c r="U106" s="12"/>
    </row>
    <row r="107" spans="1:21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5"/>
      <c r="N107" s="26"/>
      <c r="O107" s="26"/>
      <c r="P107" s="12"/>
      <c r="Q107" s="12"/>
      <c r="R107" s="12"/>
      <c r="S107" s="12"/>
      <c r="T107" s="12"/>
      <c r="U107" s="12"/>
    </row>
    <row r="108" spans="1:21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5"/>
      <c r="N108" s="26"/>
      <c r="O108" s="26"/>
      <c r="P108" s="12"/>
      <c r="Q108" s="12"/>
      <c r="R108" s="12"/>
      <c r="S108" s="12"/>
      <c r="T108" s="12"/>
      <c r="U108" s="12"/>
    </row>
    <row r="109" spans="1:21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5"/>
      <c r="N109" s="26"/>
      <c r="O109" s="26"/>
      <c r="P109" s="12"/>
      <c r="Q109" s="12"/>
      <c r="R109" s="12"/>
      <c r="S109" s="12"/>
      <c r="T109" s="12"/>
      <c r="U109" s="12"/>
    </row>
    <row r="110" spans="1:21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5"/>
      <c r="N110" s="26"/>
      <c r="O110" s="26"/>
      <c r="P110" s="12"/>
      <c r="Q110" s="12"/>
      <c r="R110" s="12"/>
      <c r="S110" s="12"/>
      <c r="T110" s="12"/>
      <c r="U110" s="12"/>
    </row>
    <row r="111" spans="1:21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5"/>
      <c r="N111" s="26"/>
      <c r="O111" s="26"/>
      <c r="P111" s="12"/>
      <c r="Q111" s="12"/>
      <c r="R111" s="12"/>
      <c r="S111" s="12"/>
      <c r="T111" s="12"/>
      <c r="U111" s="12"/>
    </row>
    <row r="112" spans="1:21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5"/>
      <c r="N112" s="26"/>
      <c r="O112" s="26"/>
      <c r="P112" s="12"/>
      <c r="Q112" s="12"/>
      <c r="R112" s="12"/>
      <c r="S112" s="12"/>
      <c r="T112" s="12"/>
      <c r="U112" s="12"/>
    </row>
    <row r="113" spans="1:21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5"/>
      <c r="N113" s="26"/>
      <c r="O113" s="26"/>
      <c r="P113" s="12"/>
      <c r="Q113" s="12"/>
      <c r="R113" s="12"/>
      <c r="S113" s="12"/>
      <c r="T113" s="12"/>
      <c r="U113" s="12"/>
    </row>
    <row r="114" spans="1:21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5"/>
      <c r="N114" s="26"/>
      <c r="O114" s="26"/>
      <c r="P114" s="12"/>
      <c r="Q114" s="12"/>
      <c r="R114" s="12"/>
      <c r="S114" s="12"/>
      <c r="T114" s="12"/>
      <c r="U114" s="12"/>
    </row>
    <row r="115" spans="1:21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5"/>
      <c r="N115" s="26"/>
      <c r="O115" s="26"/>
      <c r="P115" s="12"/>
      <c r="Q115" s="12"/>
      <c r="R115" s="12"/>
      <c r="S115" s="12"/>
      <c r="T115" s="12"/>
      <c r="U115" s="12"/>
    </row>
    <row r="116" spans="1:21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5"/>
      <c r="N116" s="26"/>
      <c r="O116" s="26"/>
      <c r="P116" s="12"/>
      <c r="Q116" s="12"/>
      <c r="R116" s="12"/>
      <c r="S116" s="12"/>
      <c r="T116" s="12"/>
      <c r="U116" s="12"/>
    </row>
    <row r="117" spans="1:21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5"/>
      <c r="N117" s="26"/>
      <c r="O117" s="26"/>
      <c r="P117" s="12"/>
      <c r="Q117" s="12"/>
      <c r="R117" s="12"/>
      <c r="S117" s="12"/>
      <c r="T117" s="12"/>
      <c r="U117" s="12"/>
    </row>
    <row r="118" spans="1:21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5"/>
      <c r="N118" s="26"/>
      <c r="O118" s="26"/>
      <c r="P118" s="12"/>
      <c r="Q118" s="12"/>
      <c r="R118" s="12"/>
      <c r="S118" s="12"/>
      <c r="T118" s="12"/>
      <c r="U118" s="12"/>
    </row>
    <row r="119" spans="1:21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5"/>
      <c r="N119" s="26"/>
      <c r="O119" s="26"/>
      <c r="P119" s="12"/>
      <c r="Q119" s="12"/>
      <c r="R119" s="12"/>
      <c r="S119" s="12"/>
      <c r="T119" s="12"/>
      <c r="U119" s="12"/>
    </row>
    <row r="120" spans="1:21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5"/>
      <c r="N120" s="26"/>
      <c r="O120" s="26"/>
      <c r="P120" s="12"/>
      <c r="Q120" s="12"/>
      <c r="R120" s="12"/>
      <c r="S120" s="12"/>
      <c r="T120" s="12"/>
      <c r="U120" s="12"/>
    </row>
    <row r="121" spans="1:21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5"/>
      <c r="N121" s="26"/>
      <c r="O121" s="26"/>
      <c r="P121" s="12"/>
      <c r="Q121" s="12"/>
      <c r="R121" s="12"/>
      <c r="S121" s="12"/>
      <c r="T121" s="12"/>
      <c r="U121" s="12"/>
    </row>
    <row r="122" spans="1:21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5"/>
      <c r="N122" s="26"/>
      <c r="O122" s="26"/>
      <c r="P122" s="12"/>
      <c r="Q122" s="12"/>
      <c r="R122" s="12"/>
      <c r="S122" s="12"/>
      <c r="T122" s="12"/>
      <c r="U122" s="12"/>
    </row>
    <row r="123" spans="1:21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5"/>
      <c r="N123" s="26"/>
      <c r="O123" s="26"/>
      <c r="P123" s="12"/>
      <c r="Q123" s="12"/>
      <c r="R123" s="12"/>
      <c r="S123" s="12"/>
      <c r="T123" s="12"/>
      <c r="U123" s="12"/>
    </row>
    <row r="124" spans="1:21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5"/>
      <c r="N124" s="26"/>
      <c r="O124" s="26"/>
      <c r="P124" s="12"/>
      <c r="Q124" s="12"/>
      <c r="R124" s="12"/>
      <c r="S124" s="12"/>
      <c r="T124" s="12"/>
      <c r="U124" s="12"/>
    </row>
    <row r="125" spans="1:21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5"/>
      <c r="N125" s="26"/>
      <c r="O125" s="26"/>
      <c r="P125" s="12"/>
      <c r="Q125" s="12"/>
      <c r="R125" s="12"/>
      <c r="S125" s="12"/>
      <c r="T125" s="12"/>
      <c r="U125" s="12"/>
    </row>
    <row r="126" spans="1:21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5"/>
      <c r="N126" s="26"/>
      <c r="O126" s="26"/>
      <c r="P126" s="12"/>
      <c r="Q126" s="12"/>
      <c r="R126" s="12"/>
      <c r="S126" s="12"/>
      <c r="T126" s="12"/>
      <c r="U126" s="12"/>
    </row>
    <row r="127" spans="1:21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5"/>
      <c r="N127" s="26"/>
      <c r="O127" s="26"/>
      <c r="P127" s="12"/>
      <c r="Q127" s="12"/>
      <c r="R127" s="12"/>
      <c r="S127" s="12"/>
      <c r="T127" s="12"/>
      <c r="U127" s="12"/>
    </row>
    <row r="128" spans="1:21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5"/>
      <c r="N128" s="26"/>
      <c r="O128" s="26"/>
      <c r="P128" s="12"/>
      <c r="Q128" s="12"/>
      <c r="R128" s="12"/>
      <c r="S128" s="12"/>
      <c r="T128" s="12"/>
      <c r="U128" s="12"/>
    </row>
    <row r="129" spans="1:21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5"/>
      <c r="N129" s="26"/>
      <c r="O129" s="26"/>
      <c r="P129" s="12"/>
      <c r="Q129" s="12"/>
      <c r="R129" s="12"/>
      <c r="S129" s="12"/>
      <c r="T129" s="12"/>
      <c r="U129" s="12"/>
    </row>
    <row r="130" spans="1:21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5"/>
      <c r="N130" s="26"/>
      <c r="O130" s="26"/>
      <c r="P130" s="12"/>
      <c r="Q130" s="12"/>
      <c r="R130" s="12"/>
      <c r="S130" s="12"/>
      <c r="T130" s="12"/>
      <c r="U130" s="12"/>
    </row>
    <row r="131" spans="1:21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5"/>
      <c r="N131" s="26"/>
      <c r="O131" s="26"/>
      <c r="P131" s="12"/>
      <c r="Q131" s="12"/>
      <c r="R131" s="12"/>
      <c r="S131" s="12"/>
      <c r="T131" s="12"/>
      <c r="U131" s="12"/>
    </row>
    <row r="132" spans="1:21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5"/>
      <c r="N132" s="26"/>
      <c r="O132" s="26"/>
      <c r="P132" s="12"/>
      <c r="Q132" s="12"/>
      <c r="R132" s="12"/>
      <c r="S132" s="12"/>
      <c r="T132" s="12"/>
      <c r="U132" s="12"/>
    </row>
    <row r="133" spans="1:21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5"/>
      <c r="N133" s="26"/>
      <c r="O133" s="26"/>
      <c r="P133" s="12"/>
      <c r="Q133" s="12"/>
      <c r="R133" s="12"/>
      <c r="S133" s="12"/>
      <c r="T133" s="12"/>
      <c r="U133" s="12"/>
    </row>
    <row r="134" spans="1:21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5"/>
      <c r="N134" s="26"/>
      <c r="O134" s="26"/>
      <c r="P134" s="12"/>
      <c r="Q134" s="12"/>
      <c r="R134" s="12"/>
      <c r="S134" s="12"/>
      <c r="T134" s="12"/>
      <c r="U134" s="12"/>
    </row>
    <row r="135" spans="1:21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5"/>
      <c r="N135" s="26"/>
      <c r="O135" s="26"/>
      <c r="P135" s="12"/>
      <c r="Q135" s="12"/>
      <c r="R135" s="12"/>
      <c r="S135" s="12"/>
      <c r="T135" s="12"/>
      <c r="U135" s="12"/>
    </row>
    <row r="136" spans="1:21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5"/>
      <c r="N136" s="26"/>
      <c r="O136" s="26"/>
      <c r="P136" s="12"/>
      <c r="Q136" s="12"/>
      <c r="R136" s="12"/>
      <c r="S136" s="12"/>
      <c r="T136" s="12"/>
      <c r="U136" s="12"/>
    </row>
    <row r="137" spans="1:21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5"/>
      <c r="N137" s="26"/>
      <c r="O137" s="26"/>
      <c r="P137" s="12"/>
      <c r="Q137" s="12"/>
      <c r="R137" s="12"/>
      <c r="S137" s="12"/>
      <c r="T137" s="12"/>
      <c r="U137" s="12"/>
    </row>
    <row r="138" spans="1:21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5"/>
      <c r="N138" s="26"/>
      <c r="O138" s="26"/>
      <c r="P138" s="12"/>
      <c r="Q138" s="12"/>
      <c r="R138" s="12"/>
      <c r="S138" s="12"/>
      <c r="T138" s="12"/>
      <c r="U138" s="12"/>
    </row>
    <row r="139" spans="1:21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5"/>
      <c r="N139" s="26"/>
      <c r="O139" s="26"/>
      <c r="P139" s="12"/>
      <c r="Q139" s="12"/>
      <c r="R139" s="12"/>
      <c r="S139" s="12"/>
      <c r="T139" s="12"/>
      <c r="U139" s="12"/>
    </row>
    <row r="140" spans="1:21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5"/>
      <c r="N140" s="26"/>
      <c r="O140" s="26"/>
      <c r="P140" s="12"/>
      <c r="Q140" s="12"/>
      <c r="R140" s="12"/>
      <c r="S140" s="12"/>
      <c r="T140" s="12"/>
      <c r="U140" s="12"/>
    </row>
    <row r="141" spans="1:21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5"/>
      <c r="N141" s="26"/>
      <c r="O141" s="26"/>
      <c r="P141" s="12"/>
      <c r="Q141" s="12"/>
      <c r="R141" s="12"/>
      <c r="S141" s="12"/>
      <c r="T141" s="12"/>
      <c r="U141" s="12"/>
    </row>
    <row r="142" spans="1:21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5"/>
      <c r="N142" s="26"/>
      <c r="O142" s="26"/>
      <c r="P142" s="12"/>
      <c r="Q142" s="12"/>
      <c r="R142" s="12"/>
      <c r="S142" s="12"/>
      <c r="T142" s="12"/>
      <c r="U142" s="12"/>
    </row>
    <row r="143" spans="1:21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5"/>
      <c r="N143" s="26"/>
      <c r="O143" s="26"/>
      <c r="P143" s="12"/>
      <c r="Q143" s="12"/>
      <c r="R143" s="12"/>
      <c r="S143" s="12"/>
      <c r="T143" s="12"/>
      <c r="U143" s="12"/>
    </row>
    <row r="144" spans="1:21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5"/>
      <c r="N144" s="26"/>
      <c r="O144" s="26"/>
      <c r="P144" s="12"/>
      <c r="Q144" s="12"/>
      <c r="R144" s="12"/>
      <c r="S144" s="12"/>
      <c r="T144" s="12"/>
      <c r="U144" s="12"/>
    </row>
    <row r="145" spans="1:21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5"/>
      <c r="N145" s="26"/>
      <c r="O145" s="26"/>
      <c r="P145" s="12"/>
      <c r="Q145" s="12"/>
      <c r="R145" s="12"/>
      <c r="S145" s="12"/>
      <c r="T145" s="12"/>
      <c r="U145" s="12"/>
    </row>
    <row r="146" spans="1:21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5"/>
      <c r="N146" s="26"/>
      <c r="O146" s="26"/>
      <c r="P146" s="12"/>
      <c r="Q146" s="12"/>
      <c r="R146" s="12"/>
      <c r="S146" s="12"/>
      <c r="T146" s="12"/>
      <c r="U146" s="12"/>
    </row>
    <row r="147" spans="1:21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5"/>
      <c r="N147" s="26"/>
      <c r="O147" s="26"/>
      <c r="P147" s="12"/>
      <c r="Q147" s="12"/>
      <c r="R147" s="12"/>
      <c r="S147" s="12"/>
      <c r="T147" s="12"/>
      <c r="U147" s="12"/>
    </row>
    <row r="148" spans="1:21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5"/>
      <c r="N148" s="26"/>
      <c r="O148" s="26"/>
      <c r="P148" s="12"/>
      <c r="Q148" s="12"/>
      <c r="R148" s="12"/>
      <c r="S148" s="12"/>
      <c r="T148" s="12"/>
      <c r="U148" s="12"/>
    </row>
    <row r="149" spans="1:21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5"/>
      <c r="N149" s="26"/>
      <c r="O149" s="26"/>
      <c r="P149" s="12"/>
      <c r="Q149" s="12"/>
      <c r="R149" s="12"/>
      <c r="S149" s="12"/>
      <c r="T149" s="12"/>
      <c r="U149" s="12"/>
    </row>
    <row r="150" spans="1:21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5"/>
      <c r="N150" s="26"/>
      <c r="O150" s="26"/>
      <c r="P150" s="12"/>
      <c r="Q150" s="12"/>
      <c r="R150" s="12"/>
      <c r="S150" s="12"/>
      <c r="T150" s="12"/>
      <c r="U150" s="12"/>
    </row>
    <row r="151" spans="1:21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5"/>
      <c r="N151" s="26"/>
      <c r="O151" s="26"/>
      <c r="P151" s="12"/>
      <c r="Q151" s="12"/>
      <c r="R151" s="12"/>
      <c r="S151" s="12"/>
      <c r="T151" s="12"/>
      <c r="U151" s="12"/>
    </row>
    <row r="152" spans="1:21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5"/>
      <c r="N152" s="26"/>
      <c r="O152" s="26"/>
      <c r="P152" s="12"/>
      <c r="Q152" s="12"/>
      <c r="R152" s="12"/>
      <c r="S152" s="12"/>
      <c r="T152" s="12"/>
      <c r="U152" s="12"/>
    </row>
    <row r="153" spans="1:21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5"/>
      <c r="N153" s="26"/>
      <c r="O153" s="26"/>
      <c r="P153" s="12"/>
      <c r="Q153" s="12"/>
      <c r="R153" s="12"/>
      <c r="S153" s="12"/>
      <c r="T153" s="12"/>
      <c r="U153" s="12"/>
    </row>
    <row r="154" spans="1:21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5"/>
      <c r="N154" s="26"/>
      <c r="O154" s="26"/>
      <c r="P154" s="12"/>
      <c r="Q154" s="12"/>
      <c r="R154" s="12"/>
      <c r="S154" s="12"/>
      <c r="T154" s="12"/>
      <c r="U154" s="12"/>
    </row>
    <row r="155" spans="1:21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5"/>
      <c r="N155" s="26"/>
      <c r="O155" s="26"/>
      <c r="P155" s="12"/>
      <c r="Q155" s="12"/>
      <c r="R155" s="12"/>
      <c r="S155" s="12"/>
      <c r="T155" s="12"/>
      <c r="U155" s="12"/>
    </row>
    <row r="156" spans="1:21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5"/>
      <c r="N156" s="26"/>
      <c r="O156" s="26"/>
      <c r="P156" s="12"/>
      <c r="Q156" s="12"/>
      <c r="R156" s="12"/>
      <c r="S156" s="12"/>
      <c r="T156" s="12"/>
      <c r="U156" s="12"/>
    </row>
    <row r="157" spans="1:21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5"/>
      <c r="N157" s="26"/>
      <c r="O157" s="26"/>
      <c r="P157" s="12"/>
      <c r="Q157" s="12"/>
      <c r="R157" s="12"/>
      <c r="S157" s="12"/>
      <c r="T157" s="12"/>
      <c r="U157" s="12"/>
    </row>
    <row r="158" spans="1:21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5"/>
      <c r="N158" s="26"/>
      <c r="O158" s="26"/>
      <c r="P158" s="12"/>
      <c r="Q158" s="12"/>
      <c r="R158" s="12"/>
      <c r="S158" s="12"/>
      <c r="T158" s="12"/>
      <c r="U158" s="12"/>
    </row>
    <row r="159" spans="1:21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5"/>
      <c r="N159" s="26"/>
      <c r="O159" s="26"/>
      <c r="P159" s="12"/>
      <c r="Q159" s="12"/>
      <c r="R159" s="12"/>
      <c r="S159" s="12"/>
      <c r="T159" s="12"/>
      <c r="U159" s="12"/>
    </row>
    <row r="160" spans="1:21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5"/>
      <c r="N160" s="26"/>
      <c r="O160" s="26"/>
      <c r="P160" s="12"/>
      <c r="Q160" s="12"/>
      <c r="R160" s="12"/>
      <c r="S160" s="12"/>
      <c r="T160" s="12"/>
      <c r="U160" s="12"/>
    </row>
    <row r="161" spans="1:21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5"/>
      <c r="N161" s="26"/>
      <c r="O161" s="26"/>
      <c r="P161" s="12"/>
      <c r="Q161" s="12"/>
      <c r="R161" s="12"/>
      <c r="S161" s="12"/>
      <c r="T161" s="12"/>
      <c r="U161" s="12"/>
    </row>
    <row r="162" spans="1:21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5"/>
      <c r="N162" s="26"/>
      <c r="O162" s="26"/>
      <c r="P162" s="12"/>
      <c r="Q162" s="12"/>
      <c r="R162" s="12"/>
      <c r="S162" s="12"/>
      <c r="T162" s="12"/>
      <c r="U162" s="12"/>
    </row>
    <row r="163" spans="1:21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5"/>
      <c r="N163" s="26"/>
      <c r="O163" s="26"/>
      <c r="P163" s="12"/>
      <c r="Q163" s="12"/>
      <c r="R163" s="12"/>
      <c r="S163" s="12"/>
      <c r="T163" s="12"/>
      <c r="U163" s="12"/>
    </row>
    <row r="164" spans="1:21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5"/>
      <c r="N164" s="26"/>
      <c r="O164" s="26"/>
      <c r="P164" s="12"/>
      <c r="Q164" s="12"/>
      <c r="R164" s="12"/>
      <c r="S164" s="12"/>
      <c r="T164" s="12"/>
      <c r="U164" s="12"/>
    </row>
    <row r="165" spans="1:21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5"/>
      <c r="N165" s="26"/>
      <c r="O165" s="26"/>
      <c r="P165" s="12"/>
      <c r="Q165" s="12"/>
      <c r="R165" s="12"/>
      <c r="S165" s="12"/>
      <c r="T165" s="12"/>
      <c r="U165" s="12"/>
    </row>
    <row r="166" spans="1:21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5"/>
      <c r="N166" s="26"/>
      <c r="O166" s="26"/>
      <c r="P166" s="12"/>
      <c r="Q166" s="12"/>
      <c r="R166" s="12"/>
      <c r="S166" s="12"/>
      <c r="T166" s="12"/>
      <c r="U166" s="12"/>
    </row>
    <row r="167" spans="1:21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5"/>
      <c r="N167" s="26"/>
      <c r="O167" s="26"/>
      <c r="P167" s="12"/>
      <c r="Q167" s="12"/>
      <c r="R167" s="12"/>
      <c r="S167" s="12"/>
      <c r="T167" s="12"/>
      <c r="U167" s="12"/>
    </row>
    <row r="168" spans="1:21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5"/>
      <c r="N168" s="26"/>
      <c r="O168" s="26"/>
      <c r="P168" s="12"/>
      <c r="Q168" s="12"/>
      <c r="R168" s="12"/>
      <c r="S168" s="12"/>
      <c r="T168" s="12"/>
      <c r="U168" s="12"/>
    </row>
    <row r="169" spans="1:21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5"/>
      <c r="N169" s="26"/>
      <c r="O169" s="26"/>
      <c r="P169" s="12"/>
      <c r="Q169" s="12"/>
      <c r="R169" s="12"/>
      <c r="S169" s="12"/>
      <c r="T169" s="12"/>
      <c r="U169" s="12"/>
    </row>
    <row r="170" spans="1:21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5"/>
      <c r="N170" s="26"/>
      <c r="O170" s="26"/>
      <c r="P170" s="12"/>
      <c r="Q170" s="12"/>
      <c r="R170" s="12"/>
      <c r="S170" s="12"/>
      <c r="T170" s="12"/>
      <c r="U170" s="12"/>
    </row>
    <row r="171" spans="1:21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5"/>
      <c r="N171" s="26"/>
      <c r="O171" s="26"/>
      <c r="P171" s="12"/>
      <c r="Q171" s="12"/>
      <c r="R171" s="12"/>
      <c r="S171" s="12"/>
      <c r="T171" s="12"/>
      <c r="U171" s="12"/>
    </row>
    <row r="172" spans="1:21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5"/>
      <c r="N172" s="26"/>
      <c r="O172" s="26"/>
      <c r="P172" s="12"/>
      <c r="Q172" s="12"/>
      <c r="R172" s="12"/>
      <c r="S172" s="12"/>
      <c r="T172" s="12"/>
      <c r="U172" s="12"/>
    </row>
    <row r="173" spans="1:21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5"/>
      <c r="N173" s="26"/>
      <c r="O173" s="26"/>
      <c r="P173" s="12"/>
      <c r="Q173" s="12"/>
      <c r="R173" s="12"/>
      <c r="S173" s="12"/>
      <c r="T173" s="12"/>
      <c r="U173" s="12"/>
    </row>
    <row r="174" spans="1:21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5"/>
      <c r="N174" s="26"/>
      <c r="O174" s="26"/>
      <c r="P174" s="12"/>
      <c r="Q174" s="12"/>
      <c r="R174" s="12"/>
      <c r="S174" s="12"/>
      <c r="T174" s="12"/>
      <c r="U174" s="12"/>
    </row>
    <row r="175" spans="1:21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5"/>
      <c r="N175" s="26"/>
      <c r="O175" s="26"/>
      <c r="P175" s="12"/>
      <c r="Q175" s="12"/>
      <c r="R175" s="12"/>
      <c r="S175" s="12"/>
      <c r="T175" s="12"/>
      <c r="U175" s="12"/>
    </row>
    <row r="176" spans="1:21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5"/>
      <c r="N176" s="26"/>
      <c r="O176" s="26"/>
      <c r="P176" s="12"/>
      <c r="Q176" s="12"/>
      <c r="R176" s="12"/>
      <c r="S176" s="12"/>
      <c r="T176" s="12"/>
      <c r="U176" s="12"/>
    </row>
    <row r="177" spans="1:21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5"/>
      <c r="N177" s="26"/>
      <c r="O177" s="26"/>
      <c r="P177" s="12"/>
      <c r="Q177" s="12"/>
      <c r="R177" s="12"/>
      <c r="S177" s="12"/>
      <c r="T177" s="12"/>
      <c r="U177" s="12"/>
    </row>
    <row r="178" spans="1:21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5"/>
      <c r="N178" s="26"/>
      <c r="O178" s="26"/>
      <c r="P178" s="12"/>
      <c r="Q178" s="12"/>
      <c r="R178" s="12"/>
      <c r="S178" s="12"/>
      <c r="T178" s="12"/>
      <c r="U178" s="12"/>
    </row>
    <row r="179" spans="1:21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5"/>
      <c r="N179" s="26"/>
      <c r="O179" s="26"/>
      <c r="P179" s="12"/>
      <c r="Q179" s="12"/>
      <c r="R179" s="12"/>
      <c r="S179" s="12"/>
      <c r="T179" s="12"/>
      <c r="U179" s="12"/>
    </row>
    <row r="180" spans="1:21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5"/>
      <c r="N180" s="26"/>
      <c r="O180" s="26"/>
      <c r="P180" s="12"/>
      <c r="Q180" s="12"/>
      <c r="R180" s="12"/>
      <c r="S180" s="12"/>
      <c r="T180" s="12"/>
      <c r="U180" s="12"/>
    </row>
    <row r="181" spans="1:21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5"/>
      <c r="N181" s="26"/>
      <c r="O181" s="26"/>
      <c r="P181" s="12"/>
      <c r="Q181" s="12"/>
      <c r="R181" s="12"/>
      <c r="S181" s="12"/>
      <c r="T181" s="12"/>
      <c r="U181" s="12"/>
    </row>
    <row r="182" spans="1:21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5"/>
      <c r="N182" s="26"/>
      <c r="O182" s="26"/>
      <c r="P182" s="12"/>
      <c r="Q182" s="12"/>
      <c r="R182" s="12"/>
      <c r="S182" s="12"/>
      <c r="T182" s="12"/>
      <c r="U182" s="12"/>
    </row>
    <row r="183" spans="1:21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5"/>
      <c r="N183" s="26"/>
      <c r="O183" s="26"/>
      <c r="P183" s="12"/>
      <c r="Q183" s="12"/>
      <c r="R183" s="12"/>
      <c r="S183" s="12"/>
      <c r="T183" s="12"/>
      <c r="U183" s="12"/>
    </row>
    <row r="184" spans="1:21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5"/>
      <c r="N184" s="26"/>
      <c r="O184" s="26"/>
      <c r="P184" s="12"/>
      <c r="Q184" s="12"/>
      <c r="R184" s="12"/>
      <c r="S184" s="12"/>
      <c r="T184" s="12"/>
      <c r="U184" s="12"/>
    </row>
    <row r="185" spans="1:21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5"/>
      <c r="N185" s="26"/>
      <c r="O185" s="26"/>
      <c r="P185" s="12"/>
      <c r="Q185" s="12"/>
      <c r="R185" s="12"/>
      <c r="S185" s="12"/>
      <c r="T185" s="12"/>
      <c r="U185" s="12"/>
    </row>
    <row r="186" spans="1:21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5"/>
      <c r="N186" s="26"/>
      <c r="O186" s="26"/>
      <c r="P186" s="12"/>
      <c r="Q186" s="12"/>
      <c r="R186" s="12"/>
      <c r="S186" s="12"/>
      <c r="T186" s="12"/>
      <c r="U186" s="12"/>
    </row>
    <row r="187" spans="1:21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5"/>
      <c r="N187" s="26"/>
      <c r="O187" s="26"/>
      <c r="P187" s="12"/>
      <c r="Q187" s="12"/>
      <c r="R187" s="12"/>
      <c r="S187" s="12"/>
      <c r="T187" s="12"/>
      <c r="U187" s="12"/>
    </row>
    <row r="188" spans="1:21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5"/>
      <c r="N188" s="26"/>
      <c r="O188" s="26"/>
      <c r="P188" s="12"/>
      <c r="Q188" s="12"/>
      <c r="R188" s="12"/>
      <c r="S188" s="12"/>
      <c r="T188" s="12"/>
      <c r="U188" s="12"/>
    </row>
    <row r="189" spans="1:21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5"/>
      <c r="N189" s="26"/>
      <c r="O189" s="26"/>
      <c r="P189" s="12"/>
      <c r="Q189" s="12"/>
      <c r="R189" s="12"/>
      <c r="S189" s="12"/>
      <c r="T189" s="12"/>
      <c r="U189" s="12"/>
    </row>
    <row r="190" spans="1:21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5"/>
      <c r="N190" s="26"/>
      <c r="O190" s="26"/>
      <c r="P190" s="12"/>
      <c r="Q190" s="12"/>
      <c r="R190" s="12"/>
      <c r="S190" s="12"/>
      <c r="T190" s="12"/>
      <c r="U190" s="12"/>
    </row>
    <row r="191" spans="1:21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5"/>
      <c r="N191" s="26"/>
      <c r="O191" s="26"/>
      <c r="P191" s="12"/>
      <c r="Q191" s="12"/>
      <c r="R191" s="12"/>
      <c r="S191" s="12"/>
      <c r="T191" s="12"/>
      <c r="U191" s="12"/>
    </row>
    <row r="192" spans="1:21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5"/>
      <c r="N192" s="26"/>
      <c r="O192" s="26"/>
      <c r="P192" s="12"/>
      <c r="Q192" s="12"/>
      <c r="R192" s="12"/>
      <c r="S192" s="12"/>
      <c r="T192" s="12"/>
      <c r="U192" s="12"/>
    </row>
    <row r="193" spans="1:21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5"/>
      <c r="N193" s="26"/>
      <c r="O193" s="26"/>
      <c r="P193" s="12"/>
      <c r="Q193" s="12"/>
      <c r="R193" s="12"/>
      <c r="S193" s="12"/>
      <c r="T193" s="12"/>
      <c r="U193" s="12"/>
    </row>
    <row r="194" spans="1:21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5"/>
      <c r="N194" s="26"/>
      <c r="O194" s="26"/>
      <c r="P194" s="12"/>
      <c r="Q194" s="12"/>
      <c r="R194" s="12"/>
      <c r="S194" s="12"/>
      <c r="T194" s="12"/>
      <c r="U194" s="12"/>
    </row>
    <row r="195" spans="1:21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5"/>
      <c r="N195" s="26"/>
      <c r="O195" s="26"/>
      <c r="P195" s="12"/>
      <c r="Q195" s="12"/>
      <c r="R195" s="12"/>
      <c r="S195" s="12"/>
      <c r="T195" s="12"/>
      <c r="U195" s="12"/>
    </row>
    <row r="196" spans="1:21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5"/>
      <c r="N196" s="26"/>
      <c r="O196" s="26"/>
      <c r="P196" s="12"/>
      <c r="Q196" s="12"/>
      <c r="R196" s="12"/>
      <c r="S196" s="12"/>
      <c r="T196" s="12"/>
      <c r="U196" s="12"/>
    </row>
    <row r="197" spans="1:21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5"/>
      <c r="N197" s="26"/>
      <c r="O197" s="26"/>
      <c r="P197" s="12"/>
      <c r="Q197" s="12"/>
      <c r="R197" s="12"/>
      <c r="S197" s="12"/>
      <c r="T197" s="12"/>
      <c r="U197" s="12"/>
    </row>
    <row r="198" spans="1:21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5"/>
      <c r="N198" s="26"/>
      <c r="O198" s="26"/>
      <c r="P198" s="12"/>
      <c r="Q198" s="12"/>
      <c r="R198" s="12"/>
      <c r="S198" s="12"/>
      <c r="T198" s="12"/>
      <c r="U198" s="12"/>
    </row>
    <row r="199" spans="1:21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5"/>
      <c r="N199" s="26"/>
      <c r="O199" s="26"/>
      <c r="P199" s="12"/>
      <c r="Q199" s="12"/>
      <c r="R199" s="12"/>
      <c r="S199" s="12"/>
      <c r="T199" s="12"/>
      <c r="U199" s="12"/>
    </row>
    <row r="200" spans="1:21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5"/>
      <c r="N200" s="26"/>
      <c r="O200" s="26"/>
      <c r="P200" s="12"/>
      <c r="Q200" s="12"/>
      <c r="R200" s="12"/>
      <c r="S200" s="12"/>
      <c r="T200" s="12"/>
      <c r="U200" s="12"/>
    </row>
    <row r="201" spans="1:21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5"/>
      <c r="N201" s="26"/>
      <c r="O201" s="26"/>
      <c r="P201" s="12"/>
      <c r="Q201" s="12"/>
      <c r="R201" s="12"/>
      <c r="S201" s="12"/>
      <c r="T201" s="12"/>
      <c r="U201" s="12"/>
    </row>
    <row r="202" spans="1:21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5"/>
      <c r="N202" s="26"/>
      <c r="O202" s="26"/>
      <c r="P202" s="12"/>
      <c r="Q202" s="12"/>
      <c r="R202" s="12"/>
      <c r="S202" s="12"/>
      <c r="T202" s="12"/>
      <c r="U202" s="12"/>
    </row>
    <row r="203" spans="1:21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5"/>
      <c r="N203" s="26"/>
      <c r="O203" s="26"/>
      <c r="P203" s="12"/>
      <c r="Q203" s="12"/>
      <c r="R203" s="12"/>
      <c r="S203" s="12"/>
      <c r="T203" s="12"/>
      <c r="U203" s="12"/>
    </row>
    <row r="204" spans="1:21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5"/>
      <c r="N204" s="26"/>
      <c r="O204" s="26"/>
      <c r="P204" s="12"/>
      <c r="Q204" s="12"/>
      <c r="R204" s="12"/>
      <c r="S204" s="12"/>
      <c r="T204" s="12"/>
      <c r="U204" s="12"/>
    </row>
    <row r="205" spans="1:21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5"/>
      <c r="N205" s="26"/>
      <c r="O205" s="26"/>
      <c r="P205" s="12"/>
      <c r="Q205" s="12"/>
      <c r="R205" s="12"/>
      <c r="S205" s="12"/>
      <c r="T205" s="12"/>
      <c r="U205" s="12"/>
    </row>
    <row r="206" spans="1:21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5"/>
      <c r="N206" s="26"/>
      <c r="O206" s="26"/>
      <c r="P206" s="12"/>
      <c r="Q206" s="12"/>
      <c r="R206" s="12"/>
      <c r="S206" s="12"/>
      <c r="T206" s="12"/>
      <c r="U206" s="12"/>
    </row>
    <row r="207" spans="1:21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5"/>
      <c r="N207" s="26"/>
      <c r="O207" s="26"/>
      <c r="P207" s="12"/>
      <c r="Q207" s="12"/>
      <c r="R207" s="12"/>
      <c r="S207" s="12"/>
      <c r="T207" s="12"/>
      <c r="U207" s="12"/>
    </row>
    <row r="208" spans="1:21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5"/>
      <c r="N208" s="26"/>
      <c r="O208" s="26"/>
      <c r="P208" s="12"/>
      <c r="Q208" s="12"/>
      <c r="R208" s="12"/>
      <c r="S208" s="12"/>
      <c r="T208" s="12"/>
      <c r="U208" s="12"/>
    </row>
    <row r="209" spans="1:21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5"/>
      <c r="N209" s="26"/>
      <c r="O209" s="26"/>
      <c r="P209" s="12"/>
      <c r="Q209" s="12"/>
      <c r="R209" s="12"/>
      <c r="S209" s="12"/>
      <c r="T209" s="12"/>
      <c r="U209" s="12"/>
    </row>
    <row r="210" spans="1:21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5"/>
      <c r="N210" s="26"/>
      <c r="O210" s="26"/>
      <c r="P210" s="12"/>
      <c r="Q210" s="12"/>
      <c r="R210" s="12"/>
      <c r="S210" s="12"/>
      <c r="T210" s="12"/>
      <c r="U210" s="12"/>
    </row>
    <row r="211" spans="1:21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5"/>
      <c r="N211" s="26"/>
      <c r="O211" s="26"/>
      <c r="P211" s="12"/>
      <c r="Q211" s="12"/>
      <c r="R211" s="12"/>
      <c r="S211" s="12"/>
      <c r="T211" s="12"/>
      <c r="U211" s="12"/>
    </row>
    <row r="212" spans="1:21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5"/>
      <c r="N212" s="26"/>
      <c r="O212" s="26"/>
      <c r="P212" s="12"/>
      <c r="Q212" s="12"/>
      <c r="R212" s="12"/>
      <c r="S212" s="12"/>
      <c r="T212" s="12"/>
      <c r="U212" s="12"/>
    </row>
    <row r="213" spans="1:21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5"/>
      <c r="N213" s="26"/>
      <c r="O213" s="26"/>
      <c r="P213" s="12"/>
      <c r="Q213" s="12"/>
      <c r="R213" s="12"/>
      <c r="S213" s="12"/>
      <c r="T213" s="12"/>
      <c r="U213" s="12"/>
    </row>
    <row r="214" spans="1:21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5"/>
      <c r="N214" s="26"/>
      <c r="O214" s="26"/>
      <c r="P214" s="12"/>
      <c r="Q214" s="12"/>
      <c r="R214" s="12"/>
      <c r="S214" s="12"/>
      <c r="T214" s="12"/>
      <c r="U214" s="12"/>
    </row>
    <row r="215" spans="1:21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5"/>
      <c r="N215" s="26"/>
      <c r="O215" s="26"/>
      <c r="P215" s="12"/>
      <c r="Q215" s="12"/>
      <c r="R215" s="12"/>
      <c r="S215" s="12"/>
      <c r="T215" s="12"/>
      <c r="U215" s="12"/>
    </row>
    <row r="216" spans="1:21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5"/>
      <c r="N216" s="26"/>
      <c r="O216" s="26"/>
      <c r="P216" s="12"/>
      <c r="Q216" s="12"/>
      <c r="R216" s="12"/>
      <c r="S216" s="12"/>
      <c r="T216" s="12"/>
      <c r="U216" s="12"/>
    </row>
    <row r="217" spans="1:21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5"/>
      <c r="N217" s="26"/>
      <c r="O217" s="26"/>
      <c r="P217" s="12"/>
      <c r="Q217" s="12"/>
      <c r="R217" s="12"/>
      <c r="S217" s="12"/>
      <c r="T217" s="12"/>
      <c r="U217" s="12"/>
    </row>
    <row r="218" spans="1:21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5"/>
      <c r="N218" s="26"/>
      <c r="O218" s="26"/>
      <c r="P218" s="12"/>
      <c r="Q218" s="12"/>
      <c r="R218" s="12"/>
      <c r="S218" s="12"/>
      <c r="T218" s="12"/>
      <c r="U218" s="12"/>
    </row>
    <row r="219" spans="1:21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5"/>
      <c r="N219" s="26"/>
      <c r="O219" s="26"/>
      <c r="P219" s="12"/>
      <c r="Q219" s="12"/>
      <c r="R219" s="12"/>
      <c r="S219" s="12"/>
      <c r="T219" s="12"/>
      <c r="U219" s="12"/>
    </row>
    <row r="220" spans="1:21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5"/>
      <c r="N220" s="26"/>
      <c r="O220" s="26"/>
      <c r="P220" s="12"/>
      <c r="Q220" s="12"/>
      <c r="R220" s="12"/>
      <c r="S220" s="12"/>
      <c r="T220" s="12"/>
      <c r="U220" s="12"/>
    </row>
    <row r="221" spans="1:21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5"/>
      <c r="N221" s="26"/>
      <c r="O221" s="26"/>
      <c r="P221" s="12"/>
      <c r="Q221" s="12"/>
      <c r="R221" s="12"/>
      <c r="S221" s="12"/>
      <c r="T221" s="12"/>
      <c r="U221" s="12"/>
    </row>
    <row r="222" spans="1:21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5"/>
      <c r="N222" s="26"/>
      <c r="O222" s="26"/>
      <c r="P222" s="12"/>
      <c r="Q222" s="12"/>
      <c r="R222" s="12"/>
      <c r="S222" s="12"/>
      <c r="T222" s="12"/>
      <c r="U222" s="12"/>
    </row>
    <row r="223" spans="1:21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5"/>
      <c r="N223" s="26"/>
      <c r="O223" s="26"/>
      <c r="P223" s="12"/>
      <c r="Q223" s="12"/>
      <c r="R223" s="12"/>
      <c r="S223" s="12"/>
      <c r="T223" s="12"/>
      <c r="U223" s="12"/>
    </row>
    <row r="224" spans="1:21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5"/>
      <c r="N224" s="26"/>
      <c r="O224" s="26"/>
      <c r="P224" s="12"/>
      <c r="Q224" s="12"/>
      <c r="R224" s="12"/>
      <c r="S224" s="12"/>
      <c r="T224" s="12"/>
      <c r="U224" s="12"/>
    </row>
    <row r="225" spans="1:21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5"/>
      <c r="N225" s="26"/>
      <c r="O225" s="26"/>
      <c r="P225" s="12"/>
      <c r="Q225" s="12"/>
      <c r="R225" s="12"/>
      <c r="S225" s="12"/>
      <c r="T225" s="12"/>
      <c r="U225" s="12"/>
    </row>
    <row r="226" spans="1:21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5"/>
      <c r="N226" s="26"/>
      <c r="O226" s="26"/>
      <c r="P226" s="12"/>
      <c r="Q226" s="12"/>
      <c r="R226" s="12"/>
      <c r="S226" s="12"/>
      <c r="T226" s="12"/>
      <c r="U226" s="12"/>
    </row>
    <row r="227" spans="1:21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5"/>
      <c r="N227" s="26"/>
      <c r="O227" s="26"/>
      <c r="P227" s="12"/>
      <c r="Q227" s="12"/>
      <c r="R227" s="12"/>
      <c r="S227" s="12"/>
      <c r="T227" s="12"/>
      <c r="U227" s="12"/>
    </row>
    <row r="228" spans="1:21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5"/>
      <c r="N228" s="26"/>
      <c r="O228" s="26"/>
      <c r="P228" s="12"/>
      <c r="Q228" s="12"/>
      <c r="R228" s="12"/>
      <c r="S228" s="12"/>
      <c r="T228" s="12"/>
      <c r="U228" s="12"/>
    </row>
    <row r="229" spans="1:21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5"/>
      <c r="N229" s="26"/>
      <c r="O229" s="26"/>
      <c r="P229" s="12"/>
      <c r="Q229" s="12"/>
      <c r="R229" s="12"/>
      <c r="S229" s="12"/>
      <c r="T229" s="12"/>
      <c r="U229" s="12"/>
    </row>
    <row r="230" spans="1:21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5"/>
      <c r="N230" s="26"/>
      <c r="O230" s="26"/>
      <c r="P230" s="12"/>
      <c r="Q230" s="12"/>
      <c r="R230" s="12"/>
      <c r="S230" s="12"/>
      <c r="T230" s="12"/>
      <c r="U230" s="12"/>
    </row>
    <row r="231" spans="1:21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5"/>
      <c r="N231" s="26"/>
      <c r="O231" s="26"/>
      <c r="P231" s="12"/>
      <c r="Q231" s="12"/>
      <c r="R231" s="12"/>
      <c r="S231" s="12"/>
      <c r="T231" s="12"/>
      <c r="U231" s="12"/>
    </row>
    <row r="232" spans="1:21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5"/>
      <c r="N232" s="26"/>
      <c r="O232" s="26"/>
      <c r="P232" s="12"/>
      <c r="Q232" s="12"/>
      <c r="R232" s="12"/>
      <c r="S232" s="12"/>
      <c r="T232" s="12"/>
      <c r="U232" s="12"/>
    </row>
    <row r="233" spans="1:21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5"/>
      <c r="N233" s="26"/>
      <c r="O233" s="26"/>
      <c r="P233" s="12"/>
      <c r="Q233" s="12"/>
      <c r="R233" s="12"/>
      <c r="S233" s="12"/>
      <c r="T233" s="12"/>
      <c r="U233" s="12"/>
    </row>
    <row r="234" spans="1:21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5"/>
      <c r="N234" s="26"/>
      <c r="O234" s="26"/>
      <c r="P234" s="12"/>
      <c r="Q234" s="12"/>
      <c r="R234" s="12"/>
      <c r="S234" s="12"/>
      <c r="T234" s="12"/>
      <c r="U234" s="12"/>
    </row>
    <row r="235" spans="1:21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5"/>
      <c r="N235" s="26"/>
      <c r="O235" s="26"/>
      <c r="P235" s="12"/>
      <c r="Q235" s="12"/>
      <c r="R235" s="12"/>
      <c r="S235" s="12"/>
      <c r="T235" s="12"/>
      <c r="U235" s="12"/>
    </row>
    <row r="236" spans="1:21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5"/>
      <c r="N236" s="26"/>
      <c r="O236" s="26"/>
      <c r="P236" s="12"/>
      <c r="Q236" s="12"/>
      <c r="R236" s="12"/>
      <c r="S236" s="12"/>
      <c r="T236" s="12"/>
      <c r="U236" s="12"/>
    </row>
    <row r="237" spans="1:21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5"/>
      <c r="N237" s="26"/>
      <c r="O237" s="26"/>
      <c r="P237" s="12"/>
      <c r="Q237" s="12"/>
      <c r="R237" s="12"/>
      <c r="S237" s="12"/>
      <c r="T237" s="12"/>
      <c r="U237" s="12"/>
    </row>
    <row r="238" spans="1:21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5"/>
      <c r="N238" s="26"/>
      <c r="O238" s="26"/>
      <c r="P238" s="12"/>
      <c r="Q238" s="12"/>
      <c r="R238" s="12"/>
      <c r="S238" s="12"/>
      <c r="T238" s="12"/>
      <c r="U238" s="12"/>
    </row>
    <row r="239" spans="1:21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5"/>
      <c r="N239" s="26"/>
      <c r="O239" s="26"/>
      <c r="P239" s="12"/>
      <c r="Q239" s="12"/>
      <c r="R239" s="12"/>
      <c r="S239" s="12"/>
      <c r="T239" s="12"/>
      <c r="U239" s="12"/>
    </row>
    <row r="240" spans="1:21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5"/>
      <c r="N240" s="26"/>
      <c r="O240" s="26"/>
      <c r="P240" s="12"/>
      <c r="Q240" s="12"/>
      <c r="R240" s="12"/>
      <c r="S240" s="12"/>
      <c r="T240" s="12"/>
      <c r="U240" s="12"/>
    </row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</sheetData>
  <mergeCells count="159">
    <mergeCell ref="M27:N27"/>
    <mergeCell ref="O27:P27"/>
    <mergeCell ref="M28:N28"/>
    <mergeCell ref="O28:P28"/>
    <mergeCell ref="M29:N29"/>
    <mergeCell ref="O29:P29"/>
    <mergeCell ref="H27:J27"/>
    <mergeCell ref="K27:L27"/>
    <mergeCell ref="C28:G28"/>
    <mergeCell ref="H28:J28"/>
    <mergeCell ref="K28:L28"/>
    <mergeCell ref="H29:J29"/>
    <mergeCell ref="K29:L29"/>
    <mergeCell ref="C27:G27"/>
    <mergeCell ref="K21:L21"/>
    <mergeCell ref="M21:N21"/>
    <mergeCell ref="K22:L22"/>
    <mergeCell ref="M22:N22"/>
    <mergeCell ref="O22:P22"/>
    <mergeCell ref="K23:L23"/>
    <mergeCell ref="M23:N23"/>
    <mergeCell ref="O23:P23"/>
    <mergeCell ref="A20:B20"/>
    <mergeCell ref="C20:G20"/>
    <mergeCell ref="H20:J20"/>
    <mergeCell ref="K20:L20"/>
    <mergeCell ref="M20:N20"/>
    <mergeCell ref="O20:P20"/>
    <mergeCell ref="A21:B21"/>
    <mergeCell ref="O21:P21"/>
    <mergeCell ref="C21:G21"/>
    <mergeCell ref="H21:J21"/>
    <mergeCell ref="A22:B22"/>
    <mergeCell ref="C22:G22"/>
    <mergeCell ref="H22:J22"/>
    <mergeCell ref="C23:G23"/>
    <mergeCell ref="H23:J23"/>
    <mergeCell ref="H34:J34"/>
    <mergeCell ref="K34:L34"/>
    <mergeCell ref="M34:N34"/>
    <mergeCell ref="O34:P34"/>
    <mergeCell ref="A35:P36"/>
    <mergeCell ref="A39:C39"/>
    <mergeCell ref="A40:C40"/>
    <mergeCell ref="D40:J40"/>
    <mergeCell ref="K40:L40"/>
    <mergeCell ref="M40:P40"/>
    <mergeCell ref="A37:P37"/>
    <mergeCell ref="A38:C38"/>
    <mergeCell ref="D38:G38"/>
    <mergeCell ref="K38:L38"/>
    <mergeCell ref="M38:P38"/>
    <mergeCell ref="K39:L39"/>
    <mergeCell ref="M39:P39"/>
    <mergeCell ref="C34:G34"/>
    <mergeCell ref="K33:L33"/>
    <mergeCell ref="M33:N33"/>
    <mergeCell ref="C32:G32"/>
    <mergeCell ref="H32:J32"/>
    <mergeCell ref="K32:L32"/>
    <mergeCell ref="M32:N32"/>
    <mergeCell ref="O32:P32"/>
    <mergeCell ref="H33:J33"/>
    <mergeCell ref="O33:P33"/>
    <mergeCell ref="C33:G33"/>
    <mergeCell ref="H31:J31"/>
    <mergeCell ref="K31:L31"/>
    <mergeCell ref="C29:G29"/>
    <mergeCell ref="C30:G30"/>
    <mergeCell ref="H30:J30"/>
    <mergeCell ref="K30:L30"/>
    <mergeCell ref="M30:N30"/>
    <mergeCell ref="O30:P30"/>
    <mergeCell ref="C31:G31"/>
    <mergeCell ref="M31:N31"/>
    <mergeCell ref="O31:P31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29:B29"/>
    <mergeCell ref="C24:G24"/>
    <mergeCell ref="H24:J24"/>
    <mergeCell ref="K24:L24"/>
    <mergeCell ref="M24:N24"/>
    <mergeCell ref="O24:P24"/>
    <mergeCell ref="H25:J25"/>
    <mergeCell ref="O25:P25"/>
    <mergeCell ref="C25:G25"/>
    <mergeCell ref="C26:G26"/>
    <mergeCell ref="H26:J26"/>
    <mergeCell ref="K26:L26"/>
    <mergeCell ref="M26:N26"/>
    <mergeCell ref="O26:P26"/>
    <mergeCell ref="K25:L25"/>
    <mergeCell ref="M25:N25"/>
    <mergeCell ref="A16:B16"/>
    <mergeCell ref="O16:P16"/>
    <mergeCell ref="A18:B18"/>
    <mergeCell ref="A19:B19"/>
    <mergeCell ref="C19:G19"/>
    <mergeCell ref="H19:J19"/>
    <mergeCell ref="K19:L19"/>
    <mergeCell ref="M19:N19"/>
    <mergeCell ref="O19:P19"/>
    <mergeCell ref="A17:B17"/>
    <mergeCell ref="C17:G17"/>
    <mergeCell ref="H17:J17"/>
    <mergeCell ref="C18:G18"/>
    <mergeCell ref="H18:J18"/>
    <mergeCell ref="K17:L17"/>
    <mergeCell ref="M17:N17"/>
    <mergeCell ref="O17:P17"/>
    <mergeCell ref="K18:L18"/>
    <mergeCell ref="M18:N18"/>
    <mergeCell ref="O18:P1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K16:L16"/>
    <mergeCell ref="M16:N16"/>
    <mergeCell ref="C16:G16"/>
    <mergeCell ref="H16:J16"/>
    <mergeCell ref="A8:E8"/>
    <mergeCell ref="A9:E9"/>
    <mergeCell ref="F9:G9"/>
    <mergeCell ref="H9:K9"/>
    <mergeCell ref="L9:M9"/>
    <mergeCell ref="N9:O9"/>
    <mergeCell ref="A10:P10"/>
    <mergeCell ref="A11:M11"/>
    <mergeCell ref="N11:O11"/>
    <mergeCell ref="A12:M12"/>
    <mergeCell ref="N12:O12"/>
    <mergeCell ref="A14:P14"/>
    <mergeCell ref="A15:P1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5" customHeight="1" x14ac:dyDescent="0.45">
      <c r="A1" s="263"/>
      <c r="B1" s="251"/>
      <c r="C1" s="303"/>
      <c r="D1" s="318" t="s">
        <v>0</v>
      </c>
      <c r="E1" s="251"/>
      <c r="F1" s="251"/>
      <c r="G1" s="251"/>
      <c r="H1" s="251"/>
      <c r="I1" s="251"/>
      <c r="J1" s="251"/>
      <c r="K1" s="251"/>
      <c r="L1" s="303"/>
      <c r="M1" s="297" t="s">
        <v>1</v>
      </c>
      <c r="N1" s="223"/>
      <c r="O1" s="297" t="s">
        <v>184</v>
      </c>
      <c r="P1" s="224"/>
    </row>
    <row r="2" spans="1:19" ht="15" customHeight="1" x14ac:dyDescent="0.45">
      <c r="A2" s="266"/>
      <c r="B2" s="237"/>
      <c r="C2" s="285"/>
      <c r="D2" s="286"/>
      <c r="E2" s="226"/>
      <c r="F2" s="226"/>
      <c r="G2" s="226"/>
      <c r="H2" s="226"/>
      <c r="I2" s="226"/>
      <c r="J2" s="226"/>
      <c r="K2" s="226"/>
      <c r="L2" s="227"/>
      <c r="M2" s="288" t="s">
        <v>3</v>
      </c>
      <c r="N2" s="227"/>
      <c r="O2" s="289">
        <v>1</v>
      </c>
      <c r="P2" s="244"/>
    </row>
    <row r="3" spans="1:19" ht="15" customHeight="1" x14ac:dyDescent="0.45">
      <c r="A3" s="266"/>
      <c r="B3" s="237"/>
      <c r="C3" s="285"/>
      <c r="D3" s="357" t="s">
        <v>185</v>
      </c>
      <c r="E3" s="243"/>
      <c r="F3" s="243"/>
      <c r="G3" s="243"/>
      <c r="H3" s="243"/>
      <c r="I3" s="243"/>
      <c r="J3" s="243"/>
      <c r="K3" s="243"/>
      <c r="L3" s="244"/>
      <c r="M3" s="288" t="s">
        <v>5</v>
      </c>
      <c r="N3" s="227"/>
      <c r="O3" s="287" t="s">
        <v>6</v>
      </c>
      <c r="P3" s="235"/>
    </row>
    <row r="4" spans="1:19" ht="15" customHeight="1" x14ac:dyDescent="0.45">
      <c r="A4" s="266"/>
      <c r="B4" s="237"/>
      <c r="C4" s="285"/>
      <c r="D4" s="284"/>
      <c r="E4" s="237"/>
      <c r="F4" s="237"/>
      <c r="G4" s="237"/>
      <c r="H4" s="237"/>
      <c r="I4" s="237"/>
      <c r="J4" s="237"/>
      <c r="K4" s="237"/>
      <c r="L4" s="261"/>
      <c r="M4" s="280" t="s">
        <v>7</v>
      </c>
      <c r="N4" s="281"/>
      <c r="O4" s="264" t="s">
        <v>8</v>
      </c>
      <c r="P4" s="235"/>
    </row>
    <row r="5" spans="1:19" ht="15.75" customHeight="1" x14ac:dyDescent="0.45">
      <c r="A5" s="314"/>
      <c r="B5" s="226"/>
      <c r="C5" s="227"/>
      <c r="D5" s="286"/>
      <c r="E5" s="226"/>
      <c r="F5" s="226"/>
      <c r="G5" s="226"/>
      <c r="H5" s="226"/>
      <c r="I5" s="226"/>
      <c r="J5" s="226"/>
      <c r="K5" s="226"/>
      <c r="L5" s="310"/>
      <c r="M5" s="286"/>
      <c r="N5" s="227"/>
      <c r="O5" s="265" t="s">
        <v>9</v>
      </c>
      <c r="P5" s="235"/>
      <c r="Q5" s="12"/>
      <c r="R5" s="12"/>
      <c r="S5" s="12"/>
    </row>
    <row r="6" spans="1:19" ht="12" customHeight="1" x14ac:dyDescent="0.5">
      <c r="A6" s="350"/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60"/>
      <c r="R6" s="60"/>
      <c r="S6" s="60"/>
    </row>
    <row r="7" spans="1:19" ht="36" customHeight="1" x14ac:dyDescent="0.45">
      <c r="A7" s="351" t="s">
        <v>10</v>
      </c>
      <c r="B7" s="222"/>
      <c r="C7" s="222"/>
      <c r="D7" s="222"/>
      <c r="E7" s="223"/>
      <c r="F7" s="274" t="str">
        <f>DISPENSACIÓN!F7</f>
        <v>SUERO DE NIACINAMIDA 5% FORMULA NUEVA</v>
      </c>
      <c r="G7" s="232"/>
      <c r="H7" s="232"/>
      <c r="I7" s="232"/>
      <c r="J7" s="232"/>
      <c r="K7" s="232"/>
      <c r="L7" s="232"/>
      <c r="M7" s="232"/>
      <c r="N7" s="232"/>
      <c r="O7" s="232"/>
      <c r="P7" s="235"/>
      <c r="Q7" s="12"/>
      <c r="R7" s="12"/>
      <c r="S7" s="12"/>
    </row>
    <row r="8" spans="1:19" ht="36" customHeight="1" x14ac:dyDescent="0.45">
      <c r="A8" s="356" t="s">
        <v>186</v>
      </c>
      <c r="B8" s="243"/>
      <c r="C8" s="243"/>
      <c r="D8" s="243"/>
      <c r="E8" s="281"/>
      <c r="F8" s="352" t="str">
        <f>DISPENSACIÓN!F8</f>
        <v>252111</v>
      </c>
      <c r="G8" s="233"/>
      <c r="H8" s="353" t="s">
        <v>187</v>
      </c>
      <c r="I8" s="232"/>
      <c r="J8" s="232"/>
      <c r="K8" s="233"/>
      <c r="L8" s="73"/>
      <c r="M8" s="354" t="s">
        <v>188</v>
      </c>
      <c r="N8" s="233"/>
      <c r="O8" s="355"/>
      <c r="P8" s="233"/>
      <c r="Q8" s="12"/>
      <c r="R8" s="12"/>
      <c r="S8" s="12"/>
    </row>
    <row r="9" spans="1:19" ht="36" customHeight="1" x14ac:dyDescent="0.45">
      <c r="A9" s="363" t="s">
        <v>189</v>
      </c>
      <c r="B9" s="254"/>
      <c r="C9" s="254"/>
      <c r="D9" s="254"/>
      <c r="E9" s="349"/>
      <c r="F9" s="358" t="str">
        <f>DISPENSACIÓN!F9</f>
        <v>OP-L-099</v>
      </c>
      <c r="G9" s="281"/>
      <c r="H9" s="359" t="s">
        <v>190</v>
      </c>
      <c r="I9" s="219"/>
      <c r="J9" s="219"/>
      <c r="K9" s="220"/>
      <c r="L9" s="74"/>
      <c r="M9" s="360" t="s">
        <v>191</v>
      </c>
      <c r="N9" s="220"/>
      <c r="O9" s="361"/>
      <c r="P9" s="220"/>
      <c r="Q9" s="12"/>
      <c r="R9" s="12"/>
      <c r="S9" s="12"/>
    </row>
    <row r="10" spans="1:19" ht="12" customHeight="1" x14ac:dyDescent="0.45">
      <c r="A10" s="362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68"/>
      <c r="Q10" s="12"/>
      <c r="R10" s="12"/>
      <c r="S10" s="12"/>
    </row>
    <row r="11" spans="1:19" ht="39" customHeight="1" x14ac:dyDescent="0.45">
      <c r="A11" s="364" t="s">
        <v>192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7"/>
      <c r="N11" s="309" t="s">
        <v>171</v>
      </c>
      <c r="O11" s="227"/>
      <c r="P11" s="75" t="s">
        <v>172</v>
      </c>
      <c r="Q11" s="12"/>
      <c r="R11" s="12"/>
      <c r="S11" s="12"/>
    </row>
    <row r="12" spans="1:19" ht="45" customHeight="1" x14ac:dyDescent="0.45">
      <c r="A12" s="365" t="s">
        <v>193</v>
      </c>
      <c r="B12" s="232"/>
      <c r="C12" s="232"/>
      <c r="D12" s="232"/>
      <c r="E12" s="232"/>
      <c r="F12" s="232"/>
      <c r="G12" s="232"/>
      <c r="H12" s="232"/>
      <c r="I12" s="232"/>
      <c r="J12" s="232"/>
      <c r="K12" s="232"/>
      <c r="L12" s="232"/>
      <c r="M12" s="233"/>
      <c r="N12" s="300"/>
      <c r="O12" s="233"/>
      <c r="P12" s="76"/>
      <c r="Q12" s="12"/>
      <c r="R12" s="12"/>
      <c r="S12" s="12"/>
    </row>
    <row r="13" spans="1:19" ht="12" customHeight="1" x14ac:dyDescent="0.45">
      <c r="A13" s="366"/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349"/>
      <c r="Q13" s="12"/>
      <c r="R13" s="12"/>
      <c r="S13" s="12"/>
    </row>
    <row r="14" spans="1:19" ht="36" customHeight="1" x14ac:dyDescent="0.45">
      <c r="A14" s="367" t="s">
        <v>194</v>
      </c>
      <c r="B14" s="222"/>
      <c r="C14" s="222"/>
      <c r="D14" s="222"/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3"/>
      <c r="Q14" s="12"/>
      <c r="R14" s="12"/>
      <c r="S14" s="12"/>
    </row>
    <row r="15" spans="1:19" ht="15.4" x14ac:dyDescent="0.45">
      <c r="A15" s="368"/>
      <c r="B15" s="243"/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43"/>
      <c r="O15" s="243"/>
      <c r="P15" s="281"/>
      <c r="Q15" s="12"/>
      <c r="R15" s="12"/>
      <c r="S15" s="12"/>
    </row>
    <row r="16" spans="1:19" ht="133.5" customHeight="1" x14ac:dyDescent="0.45">
      <c r="A16" s="346" t="s">
        <v>195</v>
      </c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68"/>
      <c r="Q16" s="12"/>
      <c r="R16" s="12"/>
      <c r="S16" s="12"/>
    </row>
    <row r="17" spans="1:19" ht="148.5" customHeight="1" x14ac:dyDescent="0.45">
      <c r="A17" s="347" t="s">
        <v>196</v>
      </c>
      <c r="B17" s="216"/>
      <c r="C17" s="216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68"/>
      <c r="Q17" s="12"/>
      <c r="R17" s="12"/>
      <c r="S17" s="12"/>
    </row>
    <row r="18" spans="1:19" ht="203.25" customHeight="1" x14ac:dyDescent="0.45">
      <c r="A18" s="347" t="s">
        <v>197</v>
      </c>
      <c r="B18" s="216"/>
      <c r="C18" s="216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68"/>
      <c r="Q18" s="12"/>
      <c r="R18" s="12"/>
      <c r="S18" s="12"/>
    </row>
    <row r="19" spans="1:19" ht="45.75" customHeight="1" x14ac:dyDescent="0.45">
      <c r="A19" s="346" t="s">
        <v>198</v>
      </c>
      <c r="B19" s="216"/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68"/>
      <c r="Q19" s="12"/>
      <c r="R19" s="12"/>
      <c r="S19" s="12"/>
    </row>
    <row r="20" spans="1:19" ht="60.75" customHeight="1" x14ac:dyDescent="0.45">
      <c r="A20" s="348" t="s">
        <v>199</v>
      </c>
      <c r="B20" s="254"/>
      <c r="C20" s="254"/>
      <c r="D20" s="254"/>
      <c r="E20" s="254"/>
      <c r="F20" s="254"/>
      <c r="G20" s="254"/>
      <c r="H20" s="254"/>
      <c r="I20" s="254"/>
      <c r="J20" s="254"/>
      <c r="K20" s="254"/>
      <c r="L20" s="254"/>
      <c r="M20" s="254"/>
      <c r="N20" s="254"/>
      <c r="O20" s="254"/>
      <c r="P20" s="349"/>
      <c r="Q20" s="12"/>
      <c r="R20" s="12"/>
      <c r="S20" s="12"/>
    </row>
    <row r="21" spans="1:19" ht="30.75" customHeight="1" x14ac:dyDescent="0.45">
      <c r="A21" s="371"/>
      <c r="B21" s="216"/>
      <c r="C21" s="216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68"/>
      <c r="Q21" s="12"/>
      <c r="R21" s="12"/>
      <c r="S21" s="12"/>
    </row>
    <row r="22" spans="1:19" ht="27.75" customHeight="1" x14ac:dyDescent="0.45">
      <c r="A22" s="372" t="s">
        <v>200</v>
      </c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303"/>
      <c r="Q22" s="12"/>
      <c r="R22" s="12"/>
      <c r="S22" s="12"/>
    </row>
    <row r="23" spans="1:19" ht="27.75" customHeight="1" x14ac:dyDescent="0.45">
      <c r="A23" s="373"/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349"/>
      <c r="Q23" s="12"/>
      <c r="R23" s="12"/>
      <c r="S23" s="12"/>
    </row>
    <row r="24" spans="1:19" ht="12" customHeight="1" x14ac:dyDescent="0.5">
      <c r="A24" s="362"/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68"/>
      <c r="Q24" s="60"/>
      <c r="R24" s="60"/>
      <c r="S24" s="60"/>
    </row>
    <row r="25" spans="1:19" ht="36" customHeight="1" x14ac:dyDescent="0.45">
      <c r="A25" s="374" t="s">
        <v>201</v>
      </c>
      <c r="B25" s="222"/>
      <c r="C25" s="223"/>
      <c r="D25" s="375"/>
      <c r="E25" s="222"/>
      <c r="F25" s="222"/>
      <c r="G25" s="222"/>
      <c r="H25" s="77"/>
      <c r="I25" s="77"/>
      <c r="J25" s="77"/>
      <c r="K25" s="374" t="s">
        <v>181</v>
      </c>
      <c r="L25" s="223"/>
      <c r="M25" s="375"/>
      <c r="N25" s="222"/>
      <c r="O25" s="222"/>
      <c r="P25" s="223"/>
      <c r="Q25" s="12"/>
      <c r="R25" s="12"/>
      <c r="S25" s="12"/>
    </row>
    <row r="26" spans="1:19" ht="36" customHeight="1" x14ac:dyDescent="0.45">
      <c r="A26" s="369" t="s">
        <v>182</v>
      </c>
      <c r="B26" s="232"/>
      <c r="C26" s="233"/>
      <c r="D26" s="78"/>
      <c r="E26" s="78"/>
      <c r="F26" s="78"/>
      <c r="G26" s="78"/>
      <c r="H26" s="79"/>
      <c r="I26" s="79"/>
      <c r="J26" s="79"/>
      <c r="K26" s="369" t="s">
        <v>182</v>
      </c>
      <c r="L26" s="233"/>
      <c r="M26" s="370"/>
      <c r="N26" s="232"/>
      <c r="O26" s="232"/>
      <c r="P26" s="233"/>
      <c r="Q26" s="12"/>
      <c r="R26" s="12"/>
      <c r="S26" s="12"/>
    </row>
    <row r="27" spans="1:19" ht="36" customHeight="1" x14ac:dyDescent="0.45">
      <c r="A27" s="369" t="s">
        <v>183</v>
      </c>
      <c r="B27" s="232"/>
      <c r="C27" s="233"/>
      <c r="D27" s="370"/>
      <c r="E27" s="232"/>
      <c r="F27" s="232"/>
      <c r="G27" s="232"/>
      <c r="H27" s="232"/>
      <c r="I27" s="232"/>
      <c r="J27" s="233"/>
      <c r="K27" s="369" t="s">
        <v>183</v>
      </c>
      <c r="L27" s="233"/>
      <c r="M27" s="370"/>
      <c r="N27" s="232"/>
      <c r="O27" s="232"/>
      <c r="P27" s="233"/>
      <c r="Q27" s="12"/>
      <c r="R27" s="12"/>
      <c r="S27" s="12"/>
    </row>
    <row r="28" spans="1:19" ht="18.75" customHeight="1" x14ac:dyDescent="0.45">
      <c r="A28" s="80"/>
      <c r="B28" s="80"/>
      <c r="C28" s="80"/>
      <c r="D28" s="81"/>
      <c r="E28" s="81"/>
      <c r="F28" s="81"/>
      <c r="G28" s="81"/>
      <c r="H28" s="81"/>
      <c r="I28" s="81"/>
      <c r="J28" s="81"/>
      <c r="K28" s="80"/>
      <c r="L28" s="80"/>
      <c r="M28" s="81"/>
      <c r="N28" s="81"/>
      <c r="O28" s="81"/>
      <c r="P28" s="81"/>
      <c r="Q28" s="12"/>
      <c r="R28" s="12"/>
      <c r="S28" s="12"/>
    </row>
    <row r="29" spans="1:19" ht="15.75" customHeight="1" x14ac:dyDescent="0.4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25"/>
      <c r="N29" s="26"/>
      <c r="O29" s="26"/>
      <c r="P29" s="12"/>
      <c r="Q29" s="12"/>
      <c r="R29" s="12"/>
      <c r="S29" s="12"/>
    </row>
    <row r="30" spans="1:19" ht="15.75" customHeight="1" x14ac:dyDescent="0.4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25"/>
      <c r="N30" s="26"/>
      <c r="O30" s="26"/>
      <c r="P30" s="12"/>
      <c r="Q30" s="12"/>
      <c r="R30" s="12"/>
      <c r="S30" s="12"/>
    </row>
    <row r="31" spans="1:19" ht="15.75" customHeight="1" x14ac:dyDescent="0.4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25"/>
      <c r="N31" s="26"/>
      <c r="O31" s="26"/>
      <c r="P31" s="12"/>
      <c r="Q31" s="12"/>
      <c r="R31" s="12"/>
      <c r="S31" s="12"/>
    </row>
    <row r="32" spans="1:19" ht="15.75" customHeight="1" x14ac:dyDescent="0.4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25"/>
      <c r="N32" s="26"/>
      <c r="O32" s="26"/>
      <c r="P32" s="12"/>
      <c r="Q32" s="12"/>
      <c r="R32" s="12"/>
      <c r="S32" s="12"/>
    </row>
    <row r="33" spans="1:19" ht="15.75" customHeight="1" x14ac:dyDescent="0.4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25"/>
      <c r="N33" s="26"/>
      <c r="O33" s="26"/>
      <c r="P33" s="12"/>
      <c r="Q33" s="12"/>
      <c r="R33" s="12"/>
      <c r="S33" s="12"/>
    </row>
    <row r="34" spans="1:19" ht="15.75" customHeight="1" x14ac:dyDescent="0.4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25"/>
      <c r="N34" s="26"/>
      <c r="O34" s="26"/>
      <c r="P34" s="12"/>
      <c r="Q34" s="12"/>
      <c r="R34" s="12"/>
      <c r="S34" s="12"/>
    </row>
    <row r="35" spans="1:19" ht="15.75" customHeight="1" x14ac:dyDescent="0.4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5"/>
      <c r="N35" s="26"/>
      <c r="O35" s="26"/>
      <c r="P35" s="12"/>
      <c r="Q35" s="12"/>
      <c r="R35" s="12"/>
      <c r="S35" s="12"/>
    </row>
    <row r="36" spans="1:19" ht="15.75" customHeight="1" x14ac:dyDescent="0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25"/>
      <c r="N36" s="26"/>
      <c r="O36" s="26"/>
      <c r="P36" s="12"/>
      <c r="Q36" s="12"/>
      <c r="R36" s="12"/>
      <c r="S36" s="12"/>
    </row>
    <row r="37" spans="1:19" ht="15.75" customHeight="1" x14ac:dyDescent="0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25"/>
      <c r="N37" s="26"/>
      <c r="O37" s="26"/>
      <c r="P37" s="12"/>
      <c r="Q37" s="12"/>
      <c r="R37" s="12"/>
      <c r="S37" s="12"/>
    </row>
    <row r="38" spans="1:19" ht="15.75" customHeight="1" x14ac:dyDescent="0.4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25"/>
      <c r="N38" s="26"/>
      <c r="O38" s="26"/>
      <c r="P38" s="12"/>
      <c r="Q38" s="12"/>
      <c r="R38" s="12"/>
      <c r="S38" s="12"/>
    </row>
    <row r="39" spans="1:19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5"/>
      <c r="N39" s="26"/>
      <c r="O39" s="26"/>
      <c r="P39" s="12"/>
      <c r="Q39" s="12"/>
      <c r="R39" s="12"/>
      <c r="S39" s="12"/>
    </row>
    <row r="40" spans="1:19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5"/>
      <c r="N40" s="26"/>
      <c r="O40" s="26"/>
      <c r="P40" s="12"/>
      <c r="Q40" s="12"/>
      <c r="R40" s="12"/>
      <c r="S40" s="12"/>
    </row>
    <row r="41" spans="1:19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5"/>
      <c r="N41" s="26"/>
      <c r="O41" s="26"/>
      <c r="P41" s="12"/>
      <c r="Q41" s="12"/>
      <c r="R41" s="12"/>
      <c r="S41" s="12"/>
    </row>
    <row r="42" spans="1:19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5"/>
      <c r="N42" s="26"/>
      <c r="O42" s="26"/>
      <c r="P42" s="12"/>
      <c r="Q42" s="12"/>
      <c r="R42" s="12"/>
      <c r="S42" s="12"/>
    </row>
    <row r="43" spans="1:19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5"/>
      <c r="N43" s="26"/>
      <c r="O43" s="26"/>
      <c r="P43" s="12"/>
      <c r="Q43" s="12"/>
      <c r="R43" s="12"/>
      <c r="S43" s="12"/>
    </row>
    <row r="44" spans="1:19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5"/>
      <c r="N44" s="26"/>
      <c r="O44" s="26"/>
      <c r="P44" s="12"/>
      <c r="Q44" s="12"/>
      <c r="R44" s="12"/>
      <c r="S44" s="12"/>
    </row>
    <row r="45" spans="1:19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5"/>
      <c r="N45" s="26"/>
      <c r="O45" s="26"/>
      <c r="P45" s="12"/>
      <c r="Q45" s="12"/>
      <c r="R45" s="12"/>
      <c r="S45" s="12"/>
    </row>
    <row r="46" spans="1:19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5"/>
      <c r="N46" s="26"/>
      <c r="O46" s="26"/>
      <c r="P46" s="12"/>
      <c r="Q46" s="12"/>
      <c r="R46" s="12"/>
      <c r="S46" s="12"/>
    </row>
    <row r="47" spans="1:19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5"/>
      <c r="N47" s="26"/>
      <c r="O47" s="26"/>
      <c r="P47" s="12"/>
      <c r="Q47" s="12"/>
      <c r="R47" s="12"/>
      <c r="S47" s="1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5"/>
      <c r="N48" s="26"/>
      <c r="O48" s="26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5"/>
      <c r="N49" s="26"/>
      <c r="O49" s="26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5"/>
      <c r="N50" s="26"/>
      <c r="O50" s="26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5"/>
      <c r="N51" s="26"/>
      <c r="O51" s="26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5"/>
      <c r="N52" s="26"/>
      <c r="O52" s="26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5"/>
      <c r="N53" s="26"/>
      <c r="O53" s="26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5"/>
      <c r="N54" s="26"/>
      <c r="O54" s="26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5"/>
      <c r="N55" s="26"/>
      <c r="O55" s="26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5"/>
      <c r="N56" s="26"/>
      <c r="O56" s="26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5"/>
      <c r="N57" s="26"/>
      <c r="O57" s="26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5"/>
      <c r="N58" s="26"/>
      <c r="O58" s="26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5"/>
      <c r="N59" s="26"/>
      <c r="O59" s="26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5"/>
      <c r="N60" s="26"/>
      <c r="O60" s="26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5"/>
      <c r="N61" s="26"/>
      <c r="O61" s="26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5"/>
      <c r="N62" s="26"/>
      <c r="O62" s="26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5"/>
      <c r="N63" s="26"/>
      <c r="O63" s="26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5"/>
      <c r="N64" s="26"/>
      <c r="O64" s="26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5"/>
      <c r="N65" s="26"/>
      <c r="O65" s="26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5"/>
      <c r="N66" s="26"/>
      <c r="O66" s="26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5"/>
      <c r="N67" s="26"/>
      <c r="O67" s="26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5"/>
      <c r="N68" s="26"/>
      <c r="O68" s="26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5"/>
      <c r="N69" s="26"/>
      <c r="O69" s="26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5"/>
      <c r="N70" s="26"/>
      <c r="O70" s="26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5"/>
      <c r="N71" s="26"/>
      <c r="O71" s="26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5"/>
      <c r="N72" s="26"/>
      <c r="O72" s="26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5"/>
      <c r="N73" s="26"/>
      <c r="O73" s="26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5"/>
      <c r="N74" s="26"/>
      <c r="O74" s="26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5"/>
      <c r="N75" s="26"/>
      <c r="O75" s="26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5"/>
      <c r="N76" s="26"/>
      <c r="O76" s="26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5"/>
      <c r="N77" s="26"/>
      <c r="O77" s="26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5"/>
      <c r="N78" s="26"/>
      <c r="O78" s="26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5"/>
      <c r="N79" s="26"/>
      <c r="O79" s="26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5"/>
      <c r="N80" s="26"/>
      <c r="O80" s="26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5"/>
      <c r="N81" s="26"/>
      <c r="O81" s="26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5"/>
      <c r="N82" s="26"/>
      <c r="O82" s="26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5"/>
      <c r="N83" s="26"/>
      <c r="O83" s="26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5"/>
      <c r="N84" s="26"/>
      <c r="O84" s="26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5"/>
      <c r="N85" s="26"/>
      <c r="O85" s="26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5"/>
      <c r="N86" s="26"/>
      <c r="O86" s="26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5"/>
      <c r="N87" s="26"/>
      <c r="O87" s="26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5"/>
      <c r="N88" s="26"/>
      <c r="O88" s="26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5"/>
      <c r="N89" s="26"/>
      <c r="O89" s="26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5"/>
      <c r="N90" s="26"/>
      <c r="O90" s="26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5"/>
      <c r="N91" s="26"/>
      <c r="O91" s="26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5"/>
      <c r="N92" s="26"/>
      <c r="O92" s="26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5"/>
      <c r="N93" s="26"/>
      <c r="O93" s="26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5"/>
      <c r="N94" s="26"/>
      <c r="O94" s="26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5"/>
      <c r="N95" s="26"/>
      <c r="O95" s="26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5"/>
      <c r="N96" s="26"/>
      <c r="O96" s="26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5"/>
      <c r="N97" s="26"/>
      <c r="O97" s="26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5"/>
      <c r="N98" s="26"/>
      <c r="O98" s="26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5"/>
      <c r="N99" s="26"/>
      <c r="O99" s="26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5"/>
      <c r="N100" s="26"/>
      <c r="O100" s="26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5"/>
      <c r="N101" s="26"/>
      <c r="O101" s="26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5"/>
      <c r="N102" s="26"/>
      <c r="O102" s="26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5"/>
      <c r="N103" s="26"/>
      <c r="O103" s="26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5"/>
      <c r="N104" s="26"/>
      <c r="O104" s="26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5"/>
      <c r="N105" s="26"/>
      <c r="O105" s="26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5"/>
      <c r="N106" s="26"/>
      <c r="O106" s="26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5"/>
      <c r="N107" s="26"/>
      <c r="O107" s="26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5"/>
      <c r="N108" s="26"/>
      <c r="O108" s="26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5"/>
      <c r="N109" s="26"/>
      <c r="O109" s="26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5"/>
      <c r="N110" s="26"/>
      <c r="O110" s="26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5"/>
      <c r="N111" s="26"/>
      <c r="O111" s="26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5"/>
      <c r="N112" s="26"/>
      <c r="O112" s="26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5"/>
      <c r="N113" s="26"/>
      <c r="O113" s="26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5"/>
      <c r="N114" s="26"/>
      <c r="O114" s="26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5"/>
      <c r="N115" s="26"/>
      <c r="O115" s="26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5"/>
      <c r="N116" s="26"/>
      <c r="O116" s="26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5"/>
      <c r="N117" s="26"/>
      <c r="O117" s="26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5"/>
      <c r="N118" s="26"/>
      <c r="O118" s="26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5"/>
      <c r="N119" s="26"/>
      <c r="O119" s="26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5"/>
      <c r="N120" s="26"/>
      <c r="O120" s="26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5"/>
      <c r="N121" s="26"/>
      <c r="O121" s="26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5"/>
      <c r="N122" s="26"/>
      <c r="O122" s="26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5"/>
      <c r="N123" s="26"/>
      <c r="O123" s="26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5"/>
      <c r="N124" s="26"/>
      <c r="O124" s="26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5"/>
      <c r="N125" s="26"/>
      <c r="O125" s="26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5"/>
      <c r="N126" s="26"/>
      <c r="O126" s="26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5"/>
      <c r="N127" s="26"/>
      <c r="O127" s="26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5"/>
      <c r="N128" s="26"/>
      <c r="O128" s="26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5"/>
      <c r="N129" s="26"/>
      <c r="O129" s="26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5"/>
      <c r="N130" s="26"/>
      <c r="O130" s="26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5"/>
      <c r="N131" s="26"/>
      <c r="O131" s="26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5"/>
      <c r="N132" s="26"/>
      <c r="O132" s="26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5"/>
      <c r="N133" s="26"/>
      <c r="O133" s="26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5"/>
      <c r="N134" s="26"/>
      <c r="O134" s="26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5"/>
      <c r="N135" s="26"/>
      <c r="O135" s="26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5"/>
      <c r="N136" s="26"/>
      <c r="O136" s="26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5"/>
      <c r="N137" s="26"/>
      <c r="O137" s="26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5"/>
      <c r="N138" s="26"/>
      <c r="O138" s="26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5"/>
      <c r="N139" s="26"/>
      <c r="O139" s="26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5"/>
      <c r="N140" s="26"/>
      <c r="O140" s="26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5"/>
      <c r="N141" s="26"/>
      <c r="O141" s="26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5"/>
      <c r="N142" s="26"/>
      <c r="O142" s="26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5"/>
      <c r="N143" s="26"/>
      <c r="O143" s="26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5"/>
      <c r="N144" s="26"/>
      <c r="O144" s="26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5"/>
      <c r="N145" s="26"/>
      <c r="O145" s="26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5"/>
      <c r="N146" s="26"/>
      <c r="O146" s="26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5"/>
      <c r="N147" s="26"/>
      <c r="O147" s="26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5"/>
      <c r="N148" s="26"/>
      <c r="O148" s="26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5"/>
      <c r="N149" s="26"/>
      <c r="O149" s="26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5"/>
      <c r="N150" s="26"/>
      <c r="O150" s="26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5"/>
      <c r="N151" s="26"/>
      <c r="O151" s="26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5"/>
      <c r="N152" s="26"/>
      <c r="O152" s="26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5"/>
      <c r="N153" s="26"/>
      <c r="O153" s="26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5"/>
      <c r="N154" s="26"/>
      <c r="O154" s="26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5"/>
      <c r="N155" s="26"/>
      <c r="O155" s="26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5"/>
      <c r="N156" s="26"/>
      <c r="O156" s="26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5"/>
      <c r="N157" s="26"/>
      <c r="O157" s="26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5"/>
      <c r="N158" s="26"/>
      <c r="O158" s="26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5"/>
      <c r="N159" s="26"/>
      <c r="O159" s="26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5"/>
      <c r="N160" s="26"/>
      <c r="O160" s="26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5"/>
      <c r="N161" s="26"/>
      <c r="O161" s="26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5"/>
      <c r="N162" s="26"/>
      <c r="O162" s="26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5"/>
      <c r="N163" s="26"/>
      <c r="O163" s="26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5"/>
      <c r="N164" s="26"/>
      <c r="O164" s="26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5"/>
      <c r="N165" s="26"/>
      <c r="O165" s="26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5"/>
      <c r="N166" s="26"/>
      <c r="O166" s="26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5"/>
      <c r="N167" s="26"/>
      <c r="O167" s="26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5"/>
      <c r="N168" s="26"/>
      <c r="O168" s="26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5"/>
      <c r="N169" s="26"/>
      <c r="O169" s="26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5"/>
      <c r="N170" s="26"/>
      <c r="O170" s="26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5"/>
      <c r="N171" s="26"/>
      <c r="O171" s="26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5"/>
      <c r="N172" s="26"/>
      <c r="O172" s="26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5"/>
      <c r="N173" s="26"/>
      <c r="O173" s="26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5"/>
      <c r="N174" s="26"/>
      <c r="O174" s="26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5"/>
      <c r="N175" s="26"/>
      <c r="O175" s="26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5"/>
      <c r="N176" s="26"/>
      <c r="O176" s="26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5"/>
      <c r="N177" s="26"/>
      <c r="O177" s="26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5"/>
      <c r="N178" s="26"/>
      <c r="O178" s="26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5"/>
      <c r="N179" s="26"/>
      <c r="O179" s="26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5"/>
      <c r="N180" s="26"/>
      <c r="O180" s="26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5"/>
      <c r="N181" s="26"/>
      <c r="O181" s="26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5"/>
      <c r="N182" s="26"/>
      <c r="O182" s="26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5"/>
      <c r="N183" s="26"/>
      <c r="O183" s="26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5"/>
      <c r="N184" s="26"/>
      <c r="O184" s="26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5"/>
      <c r="N185" s="26"/>
      <c r="O185" s="26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5"/>
      <c r="N186" s="26"/>
      <c r="O186" s="26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5"/>
      <c r="N187" s="26"/>
      <c r="O187" s="26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5"/>
      <c r="N188" s="26"/>
      <c r="O188" s="26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5"/>
      <c r="N189" s="26"/>
      <c r="O189" s="26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5"/>
      <c r="N190" s="26"/>
      <c r="O190" s="26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5"/>
      <c r="N191" s="26"/>
      <c r="O191" s="26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5"/>
      <c r="N192" s="26"/>
      <c r="O192" s="26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5"/>
      <c r="N193" s="26"/>
      <c r="O193" s="26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5"/>
      <c r="N194" s="26"/>
      <c r="O194" s="26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5"/>
      <c r="N195" s="26"/>
      <c r="O195" s="26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5"/>
      <c r="N196" s="26"/>
      <c r="O196" s="26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5"/>
      <c r="N197" s="26"/>
      <c r="O197" s="26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5"/>
      <c r="N198" s="26"/>
      <c r="O198" s="26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5"/>
      <c r="N199" s="26"/>
      <c r="O199" s="26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5"/>
      <c r="N200" s="26"/>
      <c r="O200" s="26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5"/>
      <c r="N201" s="26"/>
      <c r="O201" s="26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5"/>
      <c r="N202" s="26"/>
      <c r="O202" s="26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5"/>
      <c r="N203" s="26"/>
      <c r="O203" s="26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5"/>
      <c r="N204" s="26"/>
      <c r="O204" s="26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5"/>
      <c r="N205" s="26"/>
      <c r="O205" s="26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5"/>
      <c r="N206" s="26"/>
      <c r="O206" s="26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5"/>
      <c r="N207" s="26"/>
      <c r="O207" s="26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5"/>
      <c r="N208" s="26"/>
      <c r="O208" s="26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5"/>
      <c r="N209" s="26"/>
      <c r="O209" s="26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5"/>
      <c r="N210" s="26"/>
      <c r="O210" s="26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5"/>
      <c r="N211" s="26"/>
      <c r="O211" s="26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5"/>
      <c r="N212" s="26"/>
      <c r="O212" s="26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5"/>
      <c r="N213" s="26"/>
      <c r="O213" s="26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5"/>
      <c r="N214" s="26"/>
      <c r="O214" s="26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5"/>
      <c r="N215" s="26"/>
      <c r="O215" s="26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5"/>
      <c r="N216" s="26"/>
      <c r="O216" s="26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5"/>
      <c r="N217" s="26"/>
      <c r="O217" s="26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5"/>
      <c r="N218" s="26"/>
      <c r="O218" s="26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5"/>
      <c r="N219" s="26"/>
      <c r="O219" s="26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5"/>
      <c r="N220" s="26"/>
      <c r="O220" s="26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5"/>
      <c r="N221" s="26"/>
      <c r="O221" s="26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5"/>
      <c r="N222" s="26"/>
      <c r="O222" s="26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5"/>
      <c r="N223" s="26"/>
      <c r="O223" s="26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5"/>
      <c r="N224" s="26"/>
      <c r="O224" s="26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5"/>
      <c r="N225" s="26"/>
      <c r="O225" s="26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5"/>
      <c r="N226" s="26"/>
      <c r="O226" s="26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5"/>
      <c r="N227" s="26"/>
      <c r="O227" s="26"/>
      <c r="P227" s="12"/>
      <c r="Q227" s="12"/>
      <c r="R227" s="12"/>
      <c r="S227" s="12"/>
    </row>
    <row r="228" spans="1:19" ht="15.75" customHeight="1" x14ac:dyDescent="0.45"/>
    <row r="229" spans="1:19" ht="15.75" customHeight="1" x14ac:dyDescent="0.45"/>
    <row r="230" spans="1:19" ht="15.75" customHeight="1" x14ac:dyDescent="0.45"/>
    <row r="231" spans="1:19" ht="15.75" customHeight="1" x14ac:dyDescent="0.45"/>
    <row r="232" spans="1:19" ht="15.75" customHeight="1" x14ac:dyDescent="0.45"/>
    <row r="233" spans="1:19" ht="15.75" customHeight="1" x14ac:dyDescent="0.45"/>
    <row r="234" spans="1:19" ht="15.75" customHeight="1" x14ac:dyDescent="0.45"/>
    <row r="235" spans="1:19" ht="15.75" customHeight="1" x14ac:dyDescent="0.45"/>
    <row r="236" spans="1:19" ht="15.75" customHeight="1" x14ac:dyDescent="0.45"/>
    <row r="237" spans="1:19" ht="15.75" customHeight="1" x14ac:dyDescent="0.45"/>
    <row r="238" spans="1:19" ht="15.75" customHeight="1" x14ac:dyDescent="0.45"/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52">
    <mergeCell ref="A14:P14"/>
    <mergeCell ref="A15:P15"/>
    <mergeCell ref="A26:C26"/>
    <mergeCell ref="A27:C27"/>
    <mergeCell ref="D27:J27"/>
    <mergeCell ref="K27:L27"/>
    <mergeCell ref="M27:P27"/>
    <mergeCell ref="K26:L26"/>
    <mergeCell ref="M26:P26"/>
    <mergeCell ref="A21:P21"/>
    <mergeCell ref="A22:P23"/>
    <mergeCell ref="A24:P24"/>
    <mergeCell ref="A25:C25"/>
    <mergeCell ref="D25:G25"/>
    <mergeCell ref="K25:L25"/>
    <mergeCell ref="M25:P25"/>
    <mergeCell ref="A11:M11"/>
    <mergeCell ref="N11:O11"/>
    <mergeCell ref="A12:M12"/>
    <mergeCell ref="N12:O12"/>
    <mergeCell ref="A13:P13"/>
    <mergeCell ref="F9:G9"/>
    <mergeCell ref="H9:K9"/>
    <mergeCell ref="M9:N9"/>
    <mergeCell ref="O9:P9"/>
    <mergeCell ref="A10:P10"/>
    <mergeCell ref="A9:E9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E7"/>
    <mergeCell ref="F7:P7"/>
    <mergeCell ref="F8:G8"/>
    <mergeCell ref="H8:K8"/>
    <mergeCell ref="M8:N8"/>
    <mergeCell ref="O8:P8"/>
    <mergeCell ref="A8:E8"/>
    <mergeCell ref="A16:P16"/>
    <mergeCell ref="A17:P17"/>
    <mergeCell ref="A18:P18"/>
    <mergeCell ref="A19:P19"/>
    <mergeCell ref="A20:P20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2.1328125" customWidth="1"/>
    <col min="3" max="3" width="15.73046875" customWidth="1"/>
    <col min="4" max="4" width="9.73046875" customWidth="1"/>
    <col min="5" max="5" width="11.73046875" customWidth="1"/>
    <col min="6" max="6" width="10.86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 x14ac:dyDescent="0.45">
      <c r="A1" s="82"/>
      <c r="B1" s="379"/>
      <c r="C1" s="281"/>
      <c r="D1" s="280" t="s">
        <v>0</v>
      </c>
      <c r="E1" s="243"/>
      <c r="F1" s="243"/>
      <c r="G1" s="243"/>
      <c r="H1" s="281"/>
      <c r="I1" s="9" t="s">
        <v>1</v>
      </c>
      <c r="J1" s="287" t="s">
        <v>202</v>
      </c>
      <c r="K1" s="233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17.25" customHeight="1" x14ac:dyDescent="0.45">
      <c r="A2" s="82"/>
      <c r="B2" s="284"/>
      <c r="C2" s="285"/>
      <c r="D2" s="284"/>
      <c r="E2" s="237"/>
      <c r="F2" s="237"/>
      <c r="G2" s="237"/>
      <c r="H2" s="285"/>
      <c r="I2" s="9" t="s">
        <v>3</v>
      </c>
      <c r="J2" s="319">
        <v>1</v>
      </c>
      <c r="K2" s="233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18" customHeight="1" x14ac:dyDescent="0.45">
      <c r="A3" s="82"/>
      <c r="B3" s="284"/>
      <c r="C3" s="285"/>
      <c r="D3" s="286"/>
      <c r="E3" s="226"/>
      <c r="F3" s="226"/>
      <c r="G3" s="226"/>
      <c r="H3" s="227"/>
      <c r="I3" s="9" t="s">
        <v>5</v>
      </c>
      <c r="J3" s="287" t="s">
        <v>6</v>
      </c>
      <c r="K3" s="233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8.75" customHeight="1" x14ac:dyDescent="0.45">
      <c r="A4" s="83" t="s">
        <v>97</v>
      </c>
      <c r="B4" s="284"/>
      <c r="C4" s="285"/>
      <c r="D4" s="280" t="s">
        <v>203</v>
      </c>
      <c r="E4" s="243"/>
      <c r="F4" s="243"/>
      <c r="G4" s="243"/>
      <c r="H4" s="281"/>
      <c r="I4" s="380" t="s">
        <v>7</v>
      </c>
      <c r="J4" s="287" t="s">
        <v>204</v>
      </c>
      <c r="K4" s="23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21" customHeight="1" x14ac:dyDescent="0.45">
      <c r="A5" s="83"/>
      <c r="B5" s="286"/>
      <c r="C5" s="227"/>
      <c r="D5" s="286"/>
      <c r="E5" s="226"/>
      <c r="F5" s="226"/>
      <c r="G5" s="226"/>
      <c r="H5" s="227"/>
      <c r="I5" s="381"/>
      <c r="J5" s="265" t="s">
        <v>205</v>
      </c>
      <c r="K5" s="23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45.75" customHeight="1" x14ac:dyDescent="0.45">
      <c r="A6" s="82"/>
      <c r="B6" s="287" t="s">
        <v>206</v>
      </c>
      <c r="C6" s="233"/>
      <c r="D6" s="300" t="str">
        <f>'INSTRUCTIVO FAB'!F7</f>
        <v>SUERO DE NIACINAMIDA 5% FORMULA NUEVA</v>
      </c>
      <c r="E6" s="232"/>
      <c r="F6" s="235"/>
      <c r="G6" s="287" t="s">
        <v>207</v>
      </c>
      <c r="H6" s="233"/>
      <c r="I6" s="382"/>
      <c r="J6" s="232"/>
      <c r="K6" s="233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27.75" customHeight="1" x14ac:dyDescent="0.45">
      <c r="A7" s="82"/>
      <c r="B7" s="287" t="s">
        <v>208</v>
      </c>
      <c r="C7" s="233"/>
      <c r="D7" s="274" t="str">
        <f>'INSTRUCTIVO FAB'!F9</f>
        <v>OP-L-099</v>
      </c>
      <c r="E7" s="232"/>
      <c r="F7" s="233"/>
      <c r="G7" s="287" t="s">
        <v>209</v>
      </c>
      <c r="H7" s="233"/>
      <c r="I7" s="274"/>
      <c r="J7" s="232"/>
      <c r="K7" s="233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27.75" customHeight="1" x14ac:dyDescent="0.45">
      <c r="A8" s="82"/>
      <c r="B8" s="287" t="s">
        <v>210</v>
      </c>
      <c r="C8" s="233"/>
      <c r="D8" s="292" t="str">
        <f>'INSTRUCTIVO FAB'!F8</f>
        <v>252111</v>
      </c>
      <c r="E8" s="232"/>
      <c r="F8" s="233"/>
      <c r="G8" s="287" t="s">
        <v>211</v>
      </c>
      <c r="H8" s="233"/>
      <c r="I8" s="274" t="str">
        <f>OP!G11</f>
        <v>SOLUCION</v>
      </c>
      <c r="J8" s="232"/>
      <c r="K8" s="233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33.75" customHeight="1" x14ac:dyDescent="0.45">
      <c r="A9" s="82"/>
      <c r="B9" s="287" t="s">
        <v>212</v>
      </c>
      <c r="C9" s="233"/>
      <c r="D9" s="293">
        <f>OP!P12</f>
        <v>120</v>
      </c>
      <c r="E9" s="232"/>
      <c r="F9" s="233"/>
      <c r="G9" s="287" t="s">
        <v>213</v>
      </c>
      <c r="H9" s="233"/>
      <c r="I9" s="383"/>
      <c r="J9" s="232"/>
      <c r="K9" s="233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27.75" customHeight="1" x14ac:dyDescent="0.45">
      <c r="A10" s="82"/>
      <c r="B10" s="376" t="s">
        <v>214</v>
      </c>
      <c r="C10" s="232"/>
      <c r="D10" s="232"/>
      <c r="E10" s="232"/>
      <c r="F10" s="232"/>
      <c r="G10" s="232"/>
      <c r="H10" s="232"/>
      <c r="I10" s="232"/>
      <c r="J10" s="232"/>
      <c r="K10" s="233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29.25" customHeight="1" x14ac:dyDescent="0.45">
      <c r="A11" s="82"/>
      <c r="B11" s="280" t="s">
        <v>215</v>
      </c>
      <c r="C11" s="281"/>
      <c r="D11" s="280" t="s">
        <v>216</v>
      </c>
      <c r="E11" s="243"/>
      <c r="F11" s="243"/>
      <c r="G11" s="243"/>
      <c r="H11" s="281"/>
      <c r="I11" s="376" t="s">
        <v>217</v>
      </c>
      <c r="J11" s="232"/>
      <c r="K11" s="233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24.75" customHeight="1" x14ac:dyDescent="0.45">
      <c r="A12" s="82"/>
      <c r="B12" s="286"/>
      <c r="C12" s="227"/>
      <c r="D12" s="286"/>
      <c r="E12" s="226"/>
      <c r="F12" s="226"/>
      <c r="G12" s="226"/>
      <c r="H12" s="227"/>
      <c r="I12" s="9" t="s">
        <v>218</v>
      </c>
      <c r="J12" s="9" t="s">
        <v>72</v>
      </c>
      <c r="K12" s="9" t="s">
        <v>73</v>
      </c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95.25" customHeight="1" x14ac:dyDescent="0.45">
      <c r="A13" s="82"/>
      <c r="B13" s="287" t="s">
        <v>219</v>
      </c>
      <c r="C13" s="233"/>
      <c r="D13" s="377" t="s">
        <v>220</v>
      </c>
      <c r="E13" s="232"/>
      <c r="F13" s="232"/>
      <c r="G13" s="232"/>
      <c r="H13" s="233"/>
      <c r="I13" s="10"/>
      <c r="J13" s="21"/>
      <c r="K13" s="21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80.25" customHeight="1" x14ac:dyDescent="0.45">
      <c r="A14" s="82"/>
      <c r="B14" s="287" t="s">
        <v>221</v>
      </c>
      <c r="C14" s="233"/>
      <c r="D14" s="287" t="s">
        <v>222</v>
      </c>
      <c r="E14" s="232"/>
      <c r="F14" s="232"/>
      <c r="G14" s="232"/>
      <c r="H14" s="233"/>
      <c r="I14" s="10"/>
      <c r="J14" s="21"/>
      <c r="K14" s="21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75.75" customHeight="1" x14ac:dyDescent="0.45">
      <c r="A15" s="82"/>
      <c r="B15" s="384" t="s">
        <v>223</v>
      </c>
      <c r="C15" s="233"/>
      <c r="D15" s="274" t="s">
        <v>224</v>
      </c>
      <c r="E15" s="232"/>
      <c r="F15" s="232"/>
      <c r="G15" s="232"/>
      <c r="H15" s="233"/>
      <c r="I15" s="10"/>
      <c r="J15" s="21"/>
      <c r="K15" s="21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84" customHeight="1" x14ac:dyDescent="0.45">
      <c r="A16" s="82"/>
      <c r="B16" s="287" t="s">
        <v>225</v>
      </c>
      <c r="C16" s="233"/>
      <c r="D16" s="274" t="s">
        <v>226</v>
      </c>
      <c r="E16" s="232"/>
      <c r="F16" s="232"/>
      <c r="G16" s="232"/>
      <c r="H16" s="233"/>
      <c r="I16" s="10"/>
      <c r="J16" s="21"/>
      <c r="K16" s="21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26.25" customHeight="1" x14ac:dyDescent="0.45">
      <c r="A17" s="82"/>
      <c r="B17" s="274" t="s">
        <v>227</v>
      </c>
      <c r="C17" s="232"/>
      <c r="D17" s="232"/>
      <c r="E17" s="232"/>
      <c r="F17" s="232"/>
      <c r="G17" s="232"/>
      <c r="H17" s="232"/>
      <c r="I17" s="232"/>
      <c r="J17" s="232"/>
      <c r="K17" s="233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22.5" customHeight="1" x14ac:dyDescent="0.45">
      <c r="A18" s="82"/>
      <c r="B18" s="385" t="s">
        <v>31</v>
      </c>
      <c r="C18" s="378"/>
      <c r="D18" s="243"/>
      <c r="E18" s="243"/>
      <c r="F18" s="243"/>
      <c r="G18" s="243"/>
      <c r="H18" s="243"/>
      <c r="I18" s="243"/>
      <c r="J18" s="243"/>
      <c r="K18" s="281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22.5" customHeight="1" x14ac:dyDescent="0.45">
      <c r="A19" s="82"/>
      <c r="B19" s="386"/>
      <c r="C19" s="284"/>
      <c r="D19" s="237"/>
      <c r="E19" s="237"/>
      <c r="F19" s="237"/>
      <c r="G19" s="237"/>
      <c r="H19" s="237"/>
      <c r="I19" s="237"/>
      <c r="J19" s="237"/>
      <c r="K19" s="285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60" customHeight="1" x14ac:dyDescent="0.45">
      <c r="A20" s="82"/>
      <c r="B20" s="386"/>
      <c r="C20" s="284"/>
      <c r="D20" s="237"/>
      <c r="E20" s="237"/>
      <c r="F20" s="237"/>
      <c r="G20" s="237"/>
      <c r="H20" s="237"/>
      <c r="I20" s="237"/>
      <c r="J20" s="237"/>
      <c r="K20" s="285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63" customHeight="1" x14ac:dyDescent="0.45">
      <c r="A21" s="82"/>
      <c r="B21" s="386"/>
      <c r="C21" s="284"/>
      <c r="D21" s="237"/>
      <c r="E21" s="237"/>
      <c r="F21" s="237"/>
      <c r="G21" s="237"/>
      <c r="H21" s="237"/>
      <c r="I21" s="237"/>
      <c r="J21" s="237"/>
      <c r="K21" s="285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33" customHeight="1" x14ac:dyDescent="0.45">
      <c r="A22" s="82"/>
      <c r="B22" s="381"/>
      <c r="C22" s="286"/>
      <c r="D22" s="226"/>
      <c r="E22" s="226"/>
      <c r="F22" s="226"/>
      <c r="G22" s="226"/>
      <c r="H22" s="226"/>
      <c r="I22" s="226"/>
      <c r="J22" s="226"/>
      <c r="K22" s="227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30" customHeight="1" x14ac:dyDescent="0.45">
      <c r="A23" s="82"/>
      <c r="B23" s="376" t="s">
        <v>228</v>
      </c>
      <c r="C23" s="232"/>
      <c r="D23" s="232"/>
      <c r="E23" s="232"/>
      <c r="F23" s="232"/>
      <c r="G23" s="232"/>
      <c r="H23" s="232"/>
      <c r="I23" s="232"/>
      <c r="J23" s="232"/>
      <c r="K23" s="233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30" customHeight="1" x14ac:dyDescent="0.45">
      <c r="A24" s="82"/>
      <c r="B24" s="9"/>
      <c r="C24" s="376" t="s">
        <v>229</v>
      </c>
      <c r="D24" s="233"/>
      <c r="E24" s="9"/>
      <c r="F24" s="376" t="s">
        <v>230</v>
      </c>
      <c r="G24" s="233"/>
      <c r="H24" s="287"/>
      <c r="I24" s="233"/>
      <c r="J24" s="376" t="s">
        <v>231</v>
      </c>
      <c r="K24" s="233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33" customHeight="1" x14ac:dyDescent="0.45">
      <c r="A25" s="82"/>
      <c r="B25" s="376"/>
      <c r="C25" s="232"/>
      <c r="D25" s="232"/>
      <c r="E25" s="232"/>
      <c r="F25" s="232"/>
      <c r="G25" s="232"/>
      <c r="H25" s="232"/>
      <c r="I25" s="232"/>
      <c r="J25" s="232"/>
      <c r="K25" s="233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30.75" customHeight="1" x14ac:dyDescent="0.45">
      <c r="A26" s="82"/>
      <c r="B26" s="376" t="s">
        <v>86</v>
      </c>
      <c r="C26" s="233"/>
      <c r="D26" s="287"/>
      <c r="E26" s="232"/>
      <c r="F26" s="233"/>
      <c r="G26" s="16" t="s">
        <v>232</v>
      </c>
      <c r="H26" s="287"/>
      <c r="I26" s="232"/>
      <c r="J26" s="232"/>
      <c r="K26" s="233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30" customHeight="1" x14ac:dyDescent="0.45">
      <c r="A27" s="82"/>
      <c r="B27" s="376" t="s">
        <v>233</v>
      </c>
      <c r="C27" s="233"/>
      <c r="D27" s="287"/>
      <c r="E27" s="232"/>
      <c r="F27" s="233"/>
      <c r="G27" s="9" t="s">
        <v>233</v>
      </c>
      <c r="H27" s="287"/>
      <c r="I27" s="232"/>
      <c r="J27" s="232"/>
      <c r="K27" s="233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24.75" customHeight="1" x14ac:dyDescent="0.45">
      <c r="A28" s="82"/>
      <c r="B28" s="376" t="s">
        <v>67</v>
      </c>
      <c r="C28" s="233"/>
      <c r="D28" s="287"/>
      <c r="E28" s="232"/>
      <c r="F28" s="233"/>
      <c r="G28" s="9" t="s">
        <v>67</v>
      </c>
      <c r="H28" s="287"/>
      <c r="I28" s="232"/>
      <c r="J28" s="232"/>
      <c r="K28" s="233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5.75" customHeight="1" x14ac:dyDescent="0.45">
      <c r="A29" s="82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5.75" customHeight="1" x14ac:dyDescent="0.45">
      <c r="A30" s="8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15.75" customHeight="1" x14ac:dyDescent="0.45">
      <c r="A31" s="8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 x14ac:dyDescent="0.45">
      <c r="A32" s="8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/>
    <row r="230" spans="1:26" ht="15.75" customHeight="1" x14ac:dyDescent="0.45"/>
    <row r="231" spans="1:26" ht="15.75" customHeight="1" x14ac:dyDescent="0.45"/>
    <row r="232" spans="1:26" ht="15.75" customHeight="1" x14ac:dyDescent="0.45"/>
    <row r="233" spans="1:26" ht="15.75" customHeight="1" x14ac:dyDescent="0.45"/>
    <row r="234" spans="1:26" ht="15.75" customHeight="1" x14ac:dyDescent="0.45"/>
    <row r="235" spans="1:26" ht="15.75" customHeight="1" x14ac:dyDescent="0.45"/>
    <row r="236" spans="1:26" ht="15.75" customHeight="1" x14ac:dyDescent="0.45"/>
    <row r="237" spans="1:26" ht="15.75" customHeight="1" x14ac:dyDescent="0.45"/>
    <row r="238" spans="1:26" ht="15.75" customHeight="1" x14ac:dyDescent="0.45"/>
    <row r="239" spans="1:26" ht="15.75" customHeight="1" x14ac:dyDescent="0.45"/>
    <row r="240" spans="1:26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55"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D16:H16"/>
    <mergeCell ref="B17:K17"/>
    <mergeCell ref="C18:K22"/>
    <mergeCell ref="B23:K23"/>
    <mergeCell ref="C24:D24"/>
    <mergeCell ref="F24:G24"/>
    <mergeCell ref="H24:I24"/>
    <mergeCell ref="J24:K24"/>
    <mergeCell ref="D11:H12"/>
    <mergeCell ref="I11:K11"/>
    <mergeCell ref="D13:H13"/>
    <mergeCell ref="D14:H14"/>
    <mergeCell ref="D15:H15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63"/>
      <c r="B1" s="251"/>
      <c r="C1" s="303"/>
      <c r="D1" s="318" t="s">
        <v>0</v>
      </c>
      <c r="E1" s="251"/>
      <c r="F1" s="251"/>
      <c r="G1" s="251"/>
      <c r="H1" s="251"/>
      <c r="I1" s="251"/>
      <c r="J1" s="251"/>
      <c r="K1" s="251"/>
      <c r="L1" s="303"/>
      <c r="M1" s="297" t="s">
        <v>1</v>
      </c>
      <c r="N1" s="223"/>
      <c r="O1" s="297" t="s">
        <v>234</v>
      </c>
      <c r="P1" s="224"/>
      <c r="Q1" s="12"/>
      <c r="R1" s="12"/>
      <c r="S1" s="12"/>
    </row>
    <row r="2" spans="1:19" ht="18.75" customHeight="1" x14ac:dyDescent="0.45">
      <c r="A2" s="266"/>
      <c r="B2" s="237"/>
      <c r="C2" s="285"/>
      <c r="D2" s="286"/>
      <c r="E2" s="226"/>
      <c r="F2" s="226"/>
      <c r="G2" s="226"/>
      <c r="H2" s="226"/>
      <c r="I2" s="226"/>
      <c r="J2" s="226"/>
      <c r="K2" s="226"/>
      <c r="L2" s="227"/>
      <c r="M2" s="288" t="s">
        <v>3</v>
      </c>
      <c r="N2" s="227"/>
      <c r="O2" s="289">
        <v>1</v>
      </c>
      <c r="P2" s="244"/>
      <c r="Q2" s="12"/>
      <c r="R2" s="12"/>
      <c r="S2" s="12"/>
    </row>
    <row r="3" spans="1:19" ht="17.25" customHeight="1" x14ac:dyDescent="0.45">
      <c r="A3" s="266"/>
      <c r="B3" s="237"/>
      <c r="C3" s="285"/>
      <c r="D3" s="290" t="s">
        <v>235</v>
      </c>
      <c r="E3" s="243"/>
      <c r="F3" s="243"/>
      <c r="G3" s="243"/>
      <c r="H3" s="243"/>
      <c r="I3" s="243"/>
      <c r="J3" s="243"/>
      <c r="K3" s="243"/>
      <c r="L3" s="243"/>
      <c r="M3" s="288" t="s">
        <v>5</v>
      </c>
      <c r="N3" s="227"/>
      <c r="O3" s="287" t="s">
        <v>6</v>
      </c>
      <c r="P3" s="235"/>
      <c r="Q3" s="12"/>
      <c r="R3" s="12"/>
      <c r="S3" s="12"/>
    </row>
    <row r="4" spans="1:19" ht="17.25" customHeight="1" x14ac:dyDescent="0.45">
      <c r="A4" s="266"/>
      <c r="B4" s="237"/>
      <c r="C4" s="285"/>
      <c r="D4" s="284"/>
      <c r="E4" s="237"/>
      <c r="F4" s="237"/>
      <c r="G4" s="237"/>
      <c r="H4" s="237"/>
      <c r="I4" s="237"/>
      <c r="J4" s="237"/>
      <c r="K4" s="237"/>
      <c r="L4" s="237"/>
      <c r="M4" s="280" t="s">
        <v>7</v>
      </c>
      <c r="N4" s="281"/>
      <c r="O4" s="264" t="s">
        <v>8</v>
      </c>
      <c r="P4" s="235"/>
      <c r="Q4" s="12"/>
      <c r="R4" s="12"/>
      <c r="S4" s="12"/>
    </row>
    <row r="5" spans="1:19" ht="17.25" customHeight="1" x14ac:dyDescent="0.45">
      <c r="A5" s="266"/>
      <c r="B5" s="237"/>
      <c r="C5" s="285"/>
      <c r="D5" s="284"/>
      <c r="E5" s="237"/>
      <c r="F5" s="237"/>
      <c r="G5" s="237"/>
      <c r="H5" s="237"/>
      <c r="I5" s="237"/>
      <c r="J5" s="237"/>
      <c r="K5" s="237"/>
      <c r="L5" s="237"/>
      <c r="M5" s="286"/>
      <c r="N5" s="227"/>
      <c r="O5" s="265" t="s">
        <v>9</v>
      </c>
      <c r="P5" s="235"/>
      <c r="Q5" s="12"/>
      <c r="R5" s="12"/>
      <c r="S5" s="12"/>
    </row>
    <row r="6" spans="1:19" ht="27.75" customHeight="1" x14ac:dyDescent="0.45">
      <c r="A6" s="394" t="s">
        <v>10</v>
      </c>
      <c r="B6" s="232"/>
      <c r="C6" s="232"/>
      <c r="D6" s="232"/>
      <c r="E6" s="233"/>
      <c r="F6" s="274" t="str">
        <f>'COC GRANEL'!D6</f>
        <v>SUERO DE NIACINAMIDA 5% FORMULA NUEVA</v>
      </c>
      <c r="G6" s="232"/>
      <c r="H6" s="232"/>
      <c r="I6" s="232"/>
      <c r="J6" s="232"/>
      <c r="K6" s="232"/>
      <c r="L6" s="232"/>
      <c r="M6" s="232"/>
      <c r="N6" s="232"/>
      <c r="O6" s="232"/>
      <c r="P6" s="235"/>
      <c r="Q6" s="12"/>
      <c r="R6" s="12"/>
      <c r="S6" s="12"/>
    </row>
    <row r="7" spans="1:19" ht="24" customHeight="1" x14ac:dyDescent="0.45">
      <c r="A7" s="399" t="s">
        <v>55</v>
      </c>
      <c r="B7" s="243"/>
      <c r="C7" s="243"/>
      <c r="D7" s="243"/>
      <c r="E7" s="281"/>
      <c r="F7" s="395" t="str">
        <f>'LISTA CHEQUEO'!F8</f>
        <v>252111</v>
      </c>
      <c r="G7" s="281"/>
      <c r="H7" s="396" t="s">
        <v>236</v>
      </c>
      <c r="I7" s="281"/>
      <c r="J7" s="357" t="str">
        <f>'COC GRANEL'!D7</f>
        <v>OP-L-099</v>
      </c>
      <c r="K7" s="243"/>
      <c r="L7" s="281"/>
      <c r="M7" s="397" t="s">
        <v>16</v>
      </c>
      <c r="N7" s="281"/>
      <c r="O7" s="398" t="s">
        <v>237</v>
      </c>
      <c r="P7" s="244"/>
      <c r="Q7" s="12"/>
      <c r="R7" s="12"/>
      <c r="S7" s="12"/>
    </row>
    <row r="8" spans="1:19" ht="28.5" customHeight="1" x14ac:dyDescent="0.45">
      <c r="A8" s="329" t="s">
        <v>238</v>
      </c>
      <c r="B8" s="232"/>
      <c r="C8" s="232"/>
      <c r="D8" s="232"/>
      <c r="E8" s="233"/>
      <c r="F8" s="387">
        <v>1233</v>
      </c>
      <c r="G8" s="233"/>
      <c r="H8" s="345" t="s">
        <v>239</v>
      </c>
      <c r="I8" s="232"/>
      <c r="J8" s="382"/>
      <c r="K8" s="232"/>
      <c r="L8" s="232"/>
      <c r="M8" s="345" t="s">
        <v>240</v>
      </c>
      <c r="N8" s="232"/>
      <c r="O8" s="276"/>
      <c r="P8" s="235"/>
      <c r="Q8" s="12"/>
      <c r="R8" s="12"/>
      <c r="S8" s="12"/>
    </row>
    <row r="9" spans="1:19" ht="36.75" customHeight="1" x14ac:dyDescent="0.45">
      <c r="A9" s="329" t="s">
        <v>241</v>
      </c>
      <c r="B9" s="232"/>
      <c r="C9" s="232"/>
      <c r="D9" s="232"/>
      <c r="E9" s="233"/>
      <c r="F9" s="387"/>
      <c r="G9" s="233"/>
      <c r="H9" s="345" t="s">
        <v>242</v>
      </c>
      <c r="I9" s="233"/>
      <c r="J9" s="287"/>
      <c r="K9" s="232"/>
      <c r="L9" s="233"/>
      <c r="M9" s="345" t="s">
        <v>169</v>
      </c>
      <c r="N9" s="233"/>
      <c r="O9" s="276"/>
      <c r="P9" s="235"/>
      <c r="Q9" s="12"/>
      <c r="R9" s="12"/>
      <c r="S9" s="12"/>
    </row>
    <row r="10" spans="1:19" ht="19.5" customHeight="1" x14ac:dyDescent="0.45">
      <c r="A10" s="329" t="s">
        <v>170</v>
      </c>
      <c r="B10" s="232"/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3"/>
      <c r="N10" s="304" t="s">
        <v>171</v>
      </c>
      <c r="O10" s="233"/>
      <c r="P10" s="17" t="s">
        <v>172</v>
      </c>
      <c r="Q10" s="12"/>
      <c r="R10" s="12"/>
      <c r="S10" s="12"/>
    </row>
    <row r="11" spans="1:19" ht="29.25" customHeight="1" x14ac:dyDescent="0.45">
      <c r="A11" s="241" t="s">
        <v>173</v>
      </c>
      <c r="B11" s="232"/>
      <c r="C11" s="232"/>
      <c r="D11" s="232"/>
      <c r="E11" s="232"/>
      <c r="F11" s="232"/>
      <c r="G11" s="232"/>
      <c r="H11" s="232"/>
      <c r="I11" s="232"/>
      <c r="J11" s="232"/>
      <c r="K11" s="232"/>
      <c r="L11" s="232"/>
      <c r="M11" s="233"/>
      <c r="N11" s="300"/>
      <c r="O11" s="233"/>
      <c r="P11" s="63"/>
      <c r="Q11" s="12"/>
      <c r="R11" s="12"/>
      <c r="S11" s="12"/>
    </row>
    <row r="12" spans="1:19" ht="19.5" customHeight="1" x14ac:dyDescent="0.45">
      <c r="A12" s="388" t="s">
        <v>243</v>
      </c>
      <c r="B12" s="226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310"/>
      <c r="Q12" s="85"/>
      <c r="R12" s="85"/>
      <c r="S12" s="85"/>
    </row>
    <row r="13" spans="1:19" ht="29.25" customHeight="1" x14ac:dyDescent="0.45">
      <c r="A13" s="388" t="s">
        <v>244</v>
      </c>
      <c r="B13" s="226"/>
      <c r="C13" s="389" t="s">
        <v>12</v>
      </c>
      <c r="D13" s="232"/>
      <c r="E13" s="233"/>
      <c r="F13" s="389" t="s">
        <v>245</v>
      </c>
      <c r="G13" s="232"/>
      <c r="H13" s="232"/>
      <c r="I13" s="232"/>
      <c r="J13" s="232"/>
      <c r="K13" s="232"/>
      <c r="L13" s="232"/>
      <c r="M13" s="389" t="s">
        <v>246</v>
      </c>
      <c r="N13" s="233"/>
      <c r="O13" s="393" t="s">
        <v>247</v>
      </c>
      <c r="P13" s="310"/>
      <c r="Q13" s="85"/>
      <c r="R13" s="85"/>
      <c r="S13" s="85"/>
    </row>
    <row r="14" spans="1:19" ht="29.25" customHeight="1" x14ac:dyDescent="0.45">
      <c r="A14" s="392" t="s">
        <v>248</v>
      </c>
      <c r="B14" s="232"/>
      <c r="C14" s="390" t="s">
        <v>249</v>
      </c>
      <c r="D14" s="232"/>
      <c r="E14" s="232"/>
      <c r="F14" s="390" t="s">
        <v>250</v>
      </c>
      <c r="G14" s="232"/>
      <c r="H14" s="232"/>
      <c r="I14" s="232"/>
      <c r="J14" s="232"/>
      <c r="K14" s="232"/>
      <c r="L14" s="233"/>
      <c r="M14" s="391">
        <f>F8</f>
        <v>1233</v>
      </c>
      <c r="N14" s="233"/>
      <c r="O14" s="389"/>
      <c r="P14" s="235"/>
      <c r="Q14" s="85"/>
      <c r="R14" s="85"/>
      <c r="S14" s="85"/>
    </row>
    <row r="15" spans="1:19" ht="29.25" customHeight="1" x14ac:dyDescent="0.45">
      <c r="A15" s="392" t="s">
        <v>251</v>
      </c>
      <c r="B15" s="232"/>
      <c r="C15" s="390" t="s">
        <v>249</v>
      </c>
      <c r="D15" s="232"/>
      <c r="E15" s="232"/>
      <c r="F15" s="390" t="s">
        <v>252</v>
      </c>
      <c r="G15" s="232"/>
      <c r="H15" s="232"/>
      <c r="I15" s="232"/>
      <c r="J15" s="232"/>
      <c r="K15" s="232"/>
      <c r="L15" s="233"/>
      <c r="M15" s="391">
        <f>F8</f>
        <v>1233</v>
      </c>
      <c r="N15" s="233"/>
      <c r="O15" s="389"/>
      <c r="P15" s="235"/>
      <c r="Q15" s="85"/>
      <c r="R15" s="85"/>
      <c r="S15" s="85"/>
    </row>
    <row r="16" spans="1:19" ht="29.25" customHeight="1" x14ac:dyDescent="0.45">
      <c r="A16" s="392" t="s">
        <v>253</v>
      </c>
      <c r="B16" s="232"/>
      <c r="C16" s="390" t="s">
        <v>249</v>
      </c>
      <c r="D16" s="232"/>
      <c r="E16" s="232"/>
      <c r="F16" s="390" t="s">
        <v>254</v>
      </c>
      <c r="G16" s="232"/>
      <c r="H16" s="232"/>
      <c r="I16" s="232"/>
      <c r="J16" s="232"/>
      <c r="K16" s="232"/>
      <c r="L16" s="233"/>
      <c r="M16" s="391">
        <f>F8</f>
        <v>1233</v>
      </c>
      <c r="N16" s="233"/>
      <c r="O16" s="389"/>
      <c r="P16" s="235"/>
      <c r="Q16" s="85"/>
      <c r="R16" s="85"/>
      <c r="S16" s="85"/>
    </row>
    <row r="17" spans="1:19" ht="29.25" customHeight="1" x14ac:dyDescent="0.45">
      <c r="A17" s="392" t="s">
        <v>249</v>
      </c>
      <c r="B17" s="232"/>
      <c r="C17" s="390" t="s">
        <v>249</v>
      </c>
      <c r="D17" s="232"/>
      <c r="E17" s="232"/>
      <c r="F17" s="390" t="s">
        <v>255</v>
      </c>
      <c r="G17" s="232"/>
      <c r="H17" s="232"/>
      <c r="I17" s="232"/>
      <c r="J17" s="232"/>
      <c r="K17" s="232"/>
      <c r="L17" s="233"/>
      <c r="M17" s="391">
        <f>F8</f>
        <v>1233</v>
      </c>
      <c r="N17" s="233"/>
      <c r="O17" s="389"/>
      <c r="P17" s="235"/>
      <c r="Q17" s="85"/>
      <c r="R17" s="85"/>
      <c r="S17" s="85"/>
    </row>
    <row r="18" spans="1:19" ht="29.25" customHeight="1" x14ac:dyDescent="0.45">
      <c r="A18" s="400"/>
      <c r="B18" s="233"/>
      <c r="C18" s="393"/>
      <c r="D18" s="226"/>
      <c r="E18" s="227"/>
      <c r="F18" s="401"/>
      <c r="G18" s="226"/>
      <c r="H18" s="226"/>
      <c r="I18" s="226"/>
      <c r="J18" s="226"/>
      <c r="K18" s="226"/>
      <c r="L18" s="227"/>
      <c r="M18" s="389"/>
      <c r="N18" s="233"/>
      <c r="O18" s="389"/>
      <c r="P18" s="235"/>
      <c r="Q18" s="85"/>
      <c r="R18" s="85"/>
      <c r="S18" s="85"/>
    </row>
    <row r="19" spans="1:19" ht="21" customHeight="1" x14ac:dyDescent="0.45">
      <c r="A19" s="400" t="s">
        <v>256</v>
      </c>
      <c r="B19" s="232"/>
      <c r="C19" s="232"/>
      <c r="D19" s="232"/>
      <c r="E19" s="232"/>
      <c r="F19" s="233"/>
      <c r="G19" s="86" t="s">
        <v>171</v>
      </c>
      <c r="H19" s="421"/>
      <c r="I19" s="232"/>
      <c r="J19" s="233"/>
      <c r="K19" s="87" t="s">
        <v>172</v>
      </c>
      <c r="L19" s="88"/>
      <c r="M19" s="88" t="s">
        <v>257</v>
      </c>
      <c r="N19" s="421"/>
      <c r="O19" s="232"/>
      <c r="P19" s="235"/>
      <c r="Q19" s="85"/>
      <c r="R19" s="85"/>
      <c r="S19" s="85"/>
    </row>
    <row r="20" spans="1:19" ht="21" customHeight="1" x14ac:dyDescent="0.45">
      <c r="A20" s="400" t="s">
        <v>258</v>
      </c>
      <c r="B20" s="233"/>
      <c r="C20" s="422"/>
      <c r="D20" s="232"/>
      <c r="E20" s="232"/>
      <c r="F20" s="232"/>
      <c r="G20" s="233"/>
      <c r="H20" s="421" t="s">
        <v>259</v>
      </c>
      <c r="I20" s="233"/>
      <c r="J20" s="422"/>
      <c r="K20" s="232"/>
      <c r="L20" s="232"/>
      <c r="M20" s="233"/>
      <c r="N20" s="87" t="s">
        <v>260</v>
      </c>
      <c r="O20" s="421"/>
      <c r="P20" s="235"/>
      <c r="Q20" s="85"/>
      <c r="R20" s="85"/>
      <c r="S20" s="85"/>
    </row>
    <row r="21" spans="1:19" ht="16.5" customHeight="1" x14ac:dyDescent="0.45">
      <c r="A21" s="400" t="s">
        <v>261</v>
      </c>
      <c r="B21" s="232"/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5"/>
      <c r="Q21" s="85"/>
      <c r="R21" s="85"/>
      <c r="S21" s="85"/>
    </row>
    <row r="22" spans="1:19" ht="24.75" customHeight="1" x14ac:dyDescent="0.45">
      <c r="A22" s="308" t="s">
        <v>262</v>
      </c>
      <c r="B22" s="226"/>
      <c r="C22" s="226"/>
      <c r="D22" s="226"/>
      <c r="E22" s="227"/>
      <c r="F22" s="424"/>
      <c r="G22" s="226"/>
      <c r="H22" s="226"/>
      <c r="I22" s="226"/>
      <c r="J22" s="226"/>
      <c r="K22" s="226"/>
      <c r="L22" s="309" t="s">
        <v>263</v>
      </c>
      <c r="M22" s="227"/>
      <c r="N22" s="425"/>
      <c r="O22" s="226"/>
      <c r="P22" s="310"/>
      <c r="Q22" s="85"/>
      <c r="R22" s="85"/>
      <c r="S22" s="85"/>
    </row>
    <row r="23" spans="1:19" ht="24.75" customHeight="1" x14ac:dyDescent="0.45">
      <c r="A23" s="307" t="s">
        <v>264</v>
      </c>
      <c r="B23" s="232"/>
      <c r="C23" s="232"/>
      <c r="D23" s="232"/>
      <c r="E23" s="233"/>
      <c r="F23" s="423"/>
      <c r="G23" s="232"/>
      <c r="H23" s="232"/>
      <c r="I23" s="232"/>
      <c r="J23" s="232"/>
      <c r="K23" s="232"/>
      <c r="L23" s="276" t="s">
        <v>265</v>
      </c>
      <c r="M23" s="233"/>
      <c r="N23" s="426"/>
      <c r="O23" s="232"/>
      <c r="P23" s="235"/>
      <c r="Q23" s="85"/>
      <c r="R23" s="85"/>
      <c r="S23" s="85"/>
    </row>
    <row r="24" spans="1:19" ht="24.75" customHeight="1" x14ac:dyDescent="0.45">
      <c r="A24" s="400" t="s">
        <v>266</v>
      </c>
      <c r="B24" s="232"/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5"/>
      <c r="Q24" s="85"/>
      <c r="R24" s="85"/>
      <c r="S24" s="85"/>
    </row>
    <row r="25" spans="1:19" ht="24.75" customHeight="1" x14ac:dyDescent="0.45">
      <c r="A25" s="419" t="s">
        <v>267</v>
      </c>
      <c r="B25" s="281"/>
      <c r="C25" s="402" t="s">
        <v>268</v>
      </c>
      <c r="D25" s="285"/>
      <c r="E25" s="403" t="s">
        <v>86</v>
      </c>
      <c r="F25" s="237"/>
      <c r="G25" s="285"/>
      <c r="H25" s="403" t="s">
        <v>269</v>
      </c>
      <c r="I25" s="237"/>
      <c r="J25" s="285"/>
      <c r="K25" s="89" t="s">
        <v>270</v>
      </c>
      <c r="L25" s="90" t="s">
        <v>271</v>
      </c>
      <c r="M25" s="90" t="s">
        <v>272</v>
      </c>
      <c r="N25" s="393" t="s">
        <v>273</v>
      </c>
      <c r="O25" s="227"/>
      <c r="P25" s="91" t="s">
        <v>274</v>
      </c>
      <c r="Q25" s="85"/>
      <c r="R25" s="85"/>
      <c r="S25" s="85"/>
    </row>
    <row r="26" spans="1:19" ht="24.75" customHeight="1" x14ac:dyDescent="0.45">
      <c r="A26" s="314"/>
      <c r="B26" s="227"/>
      <c r="C26" s="389"/>
      <c r="D26" s="233"/>
      <c r="E26" s="389"/>
      <c r="F26" s="232"/>
      <c r="G26" s="233"/>
      <c r="H26" s="389"/>
      <c r="I26" s="232"/>
      <c r="J26" s="233"/>
      <c r="K26" s="86"/>
      <c r="L26" s="92"/>
      <c r="M26" s="93"/>
      <c r="N26" s="404"/>
      <c r="O26" s="220"/>
      <c r="P26" s="94"/>
      <c r="Q26" s="85"/>
      <c r="R26" s="85"/>
      <c r="S26" s="85"/>
    </row>
    <row r="27" spans="1:19" ht="24.75" customHeight="1" x14ac:dyDescent="0.45">
      <c r="A27" s="405" t="s">
        <v>275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4"/>
      <c r="Q27" s="85"/>
      <c r="R27" s="85"/>
      <c r="S27" s="85"/>
    </row>
    <row r="28" spans="1:19" ht="24.75" customHeight="1" x14ac:dyDescent="0.45">
      <c r="A28" s="400" t="s">
        <v>67</v>
      </c>
      <c r="B28" s="233"/>
      <c r="C28" s="389" t="s">
        <v>268</v>
      </c>
      <c r="D28" s="233"/>
      <c r="E28" s="389" t="s">
        <v>86</v>
      </c>
      <c r="F28" s="232"/>
      <c r="G28" s="233"/>
      <c r="H28" s="389" t="s">
        <v>276</v>
      </c>
      <c r="I28" s="232"/>
      <c r="J28" s="233"/>
      <c r="K28" s="86" t="s">
        <v>277</v>
      </c>
      <c r="L28" s="86" t="s">
        <v>278</v>
      </c>
      <c r="M28" s="86" t="s">
        <v>279</v>
      </c>
      <c r="N28" s="389" t="s">
        <v>280</v>
      </c>
      <c r="O28" s="233"/>
      <c r="P28" s="95" t="s">
        <v>281</v>
      </c>
      <c r="Q28" s="85"/>
      <c r="R28" s="85"/>
      <c r="S28" s="85"/>
    </row>
    <row r="29" spans="1:19" ht="24.75" customHeight="1" x14ac:dyDescent="0.45">
      <c r="A29" s="406"/>
      <c r="B29" s="233"/>
      <c r="C29" s="389"/>
      <c r="D29" s="233"/>
      <c r="E29" s="389"/>
      <c r="F29" s="232"/>
      <c r="G29" s="233"/>
      <c r="H29" s="389"/>
      <c r="I29" s="232"/>
      <c r="J29" s="233"/>
      <c r="K29" s="86"/>
      <c r="L29" s="86"/>
      <c r="M29" s="86"/>
      <c r="N29" s="389"/>
      <c r="O29" s="233"/>
      <c r="P29" s="95"/>
      <c r="Q29" s="85"/>
      <c r="R29" s="85"/>
      <c r="S29" s="85"/>
    </row>
    <row r="30" spans="1:19" ht="24.75" customHeight="1" x14ac:dyDescent="0.45">
      <c r="A30" s="406"/>
      <c r="B30" s="233"/>
      <c r="C30" s="389"/>
      <c r="D30" s="233"/>
      <c r="E30" s="389"/>
      <c r="F30" s="232"/>
      <c r="G30" s="233"/>
      <c r="H30" s="389"/>
      <c r="I30" s="232"/>
      <c r="J30" s="233"/>
      <c r="K30" s="86"/>
      <c r="L30" s="86"/>
      <c r="M30" s="86"/>
      <c r="N30" s="389"/>
      <c r="O30" s="233"/>
      <c r="P30" s="95"/>
      <c r="Q30" s="85"/>
      <c r="R30" s="85"/>
      <c r="S30" s="85"/>
    </row>
    <row r="31" spans="1:19" ht="24.75" customHeight="1" x14ac:dyDescent="0.45">
      <c r="A31" s="406"/>
      <c r="B31" s="233"/>
      <c r="C31" s="389"/>
      <c r="D31" s="233"/>
      <c r="E31" s="389"/>
      <c r="F31" s="232"/>
      <c r="G31" s="233"/>
      <c r="H31" s="389"/>
      <c r="I31" s="232"/>
      <c r="J31" s="233"/>
      <c r="K31" s="86"/>
      <c r="L31" s="86"/>
      <c r="M31" s="86"/>
      <c r="N31" s="389"/>
      <c r="O31" s="233"/>
      <c r="P31" s="95"/>
      <c r="Q31" s="85"/>
      <c r="R31" s="85"/>
      <c r="S31" s="85"/>
    </row>
    <row r="32" spans="1:19" ht="24.75" customHeight="1" x14ac:dyDescent="0.45">
      <c r="A32" s="406"/>
      <c r="B32" s="233"/>
      <c r="C32" s="389"/>
      <c r="D32" s="233"/>
      <c r="E32" s="389"/>
      <c r="F32" s="232"/>
      <c r="G32" s="233"/>
      <c r="H32" s="389"/>
      <c r="I32" s="232"/>
      <c r="J32" s="233"/>
      <c r="K32" s="86"/>
      <c r="L32" s="86"/>
      <c r="M32" s="86"/>
      <c r="N32" s="389"/>
      <c r="O32" s="233"/>
      <c r="P32" s="95"/>
      <c r="Q32" s="85"/>
      <c r="R32" s="85"/>
      <c r="S32" s="85"/>
    </row>
    <row r="33" spans="1:19" ht="24.75" customHeight="1" x14ac:dyDescent="0.45">
      <c r="A33" s="406"/>
      <c r="B33" s="233"/>
      <c r="C33" s="389"/>
      <c r="D33" s="233"/>
      <c r="E33" s="389"/>
      <c r="F33" s="232"/>
      <c r="G33" s="233"/>
      <c r="H33" s="389"/>
      <c r="I33" s="232"/>
      <c r="J33" s="233"/>
      <c r="K33" s="86"/>
      <c r="L33" s="86"/>
      <c r="M33" s="86"/>
      <c r="N33" s="389"/>
      <c r="O33" s="233"/>
      <c r="P33" s="95"/>
      <c r="Q33" s="85"/>
      <c r="R33" s="85"/>
      <c r="S33" s="85"/>
    </row>
    <row r="34" spans="1:19" ht="24.75" customHeight="1" x14ac:dyDescent="0.45">
      <c r="A34" s="406"/>
      <c r="B34" s="233"/>
      <c r="C34" s="389"/>
      <c r="D34" s="233"/>
      <c r="E34" s="389"/>
      <c r="F34" s="232"/>
      <c r="G34" s="233"/>
      <c r="H34" s="389"/>
      <c r="I34" s="232"/>
      <c r="J34" s="233"/>
      <c r="K34" s="86"/>
      <c r="L34" s="86"/>
      <c r="M34" s="86"/>
      <c r="N34" s="389"/>
      <c r="O34" s="233"/>
      <c r="P34" s="95"/>
      <c r="Q34" s="85"/>
      <c r="R34" s="85"/>
      <c r="S34" s="85"/>
    </row>
    <row r="35" spans="1:19" ht="24.75" customHeight="1" x14ac:dyDescent="0.45">
      <c r="A35" s="400" t="s">
        <v>282</v>
      </c>
      <c r="B35" s="232"/>
      <c r="C35" s="232"/>
      <c r="D35" s="232"/>
      <c r="E35" s="232"/>
      <c r="F35" s="232"/>
      <c r="G35" s="232"/>
      <c r="H35" s="232"/>
      <c r="I35" s="232"/>
      <c r="J35" s="232"/>
      <c r="K35" s="232"/>
      <c r="L35" s="232"/>
      <c r="M35" s="232"/>
      <c r="N35" s="232"/>
      <c r="O35" s="233"/>
      <c r="P35" s="95"/>
      <c r="Q35" s="85"/>
      <c r="R35" s="85"/>
      <c r="S35" s="85"/>
    </row>
    <row r="36" spans="1:19" ht="24.75" customHeight="1" x14ac:dyDescent="0.45">
      <c r="A36" s="400" t="s">
        <v>283</v>
      </c>
      <c r="B36" s="232"/>
      <c r="C36" s="232"/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3"/>
      <c r="P36" s="95"/>
      <c r="Q36" s="85"/>
      <c r="R36" s="85"/>
      <c r="S36" s="85"/>
    </row>
    <row r="37" spans="1:19" ht="24.75" customHeight="1" x14ac:dyDescent="0.45">
      <c r="A37" s="407" t="s">
        <v>284</v>
      </c>
      <c r="B37" s="219"/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20"/>
      <c r="P37" s="94"/>
      <c r="Q37" s="85"/>
      <c r="R37" s="85"/>
      <c r="S37" s="85"/>
    </row>
    <row r="38" spans="1:19" ht="24.75" customHeight="1" x14ac:dyDescent="0.45">
      <c r="A38" s="408" t="s">
        <v>285</v>
      </c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7"/>
      <c r="Q38" s="85"/>
      <c r="R38" s="85"/>
      <c r="S38" s="85"/>
    </row>
    <row r="39" spans="1:19" ht="24.75" customHeight="1" x14ac:dyDescent="0.45">
      <c r="A39" s="409" t="s">
        <v>286</v>
      </c>
      <c r="B39" s="251"/>
      <c r="C39" s="251"/>
      <c r="D39" s="251"/>
      <c r="E39" s="410"/>
      <c r="F39" s="251"/>
      <c r="G39" s="251"/>
      <c r="H39" s="251"/>
      <c r="I39" s="251"/>
      <c r="J39" s="251"/>
      <c r="K39" s="251"/>
      <c r="L39" s="411" t="s">
        <v>287</v>
      </c>
      <c r="M39" s="251"/>
      <c r="N39" s="412"/>
      <c r="O39" s="222"/>
      <c r="P39" s="224"/>
      <c r="Q39" s="85"/>
      <c r="R39" s="85"/>
      <c r="S39" s="85"/>
    </row>
    <row r="40" spans="1:19" ht="24.75" customHeight="1" x14ac:dyDescent="0.45">
      <c r="A40" s="417" t="s">
        <v>288</v>
      </c>
      <c r="B40" s="237"/>
      <c r="C40" s="237"/>
      <c r="D40" s="237"/>
      <c r="E40" s="413"/>
      <c r="F40" s="232"/>
      <c r="G40" s="232"/>
      <c r="H40" s="232"/>
      <c r="I40" s="232"/>
      <c r="J40" s="232"/>
      <c r="K40" s="232"/>
      <c r="L40" s="414" t="s">
        <v>289</v>
      </c>
      <c r="M40" s="237"/>
      <c r="N40" s="413"/>
      <c r="O40" s="232"/>
      <c r="P40" s="235"/>
      <c r="Q40" s="85"/>
      <c r="R40" s="85"/>
      <c r="S40" s="85"/>
    </row>
    <row r="41" spans="1:19" ht="24.75" customHeight="1" x14ac:dyDescent="0.45">
      <c r="A41" s="418" t="s">
        <v>290</v>
      </c>
      <c r="B41" s="254"/>
      <c r="C41" s="254"/>
      <c r="D41" s="254"/>
      <c r="E41" s="415"/>
      <c r="F41" s="254"/>
      <c r="G41" s="254"/>
      <c r="H41" s="254"/>
      <c r="I41" s="254"/>
      <c r="J41" s="254"/>
      <c r="K41" s="254"/>
      <c r="L41" s="416" t="s">
        <v>291</v>
      </c>
      <c r="M41" s="254"/>
      <c r="N41" s="415"/>
      <c r="O41" s="254"/>
      <c r="P41" s="255"/>
      <c r="Q41" s="85"/>
      <c r="R41" s="85"/>
      <c r="S41" s="85"/>
    </row>
    <row r="42" spans="1:19" ht="24.75" customHeight="1" x14ac:dyDescent="0.45">
      <c r="A42" s="420" t="s">
        <v>179</v>
      </c>
      <c r="B42" s="251"/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2"/>
      <c r="Q42" s="85"/>
      <c r="R42" s="85"/>
      <c r="S42" s="85"/>
    </row>
    <row r="43" spans="1:19" ht="17.25" customHeight="1" x14ac:dyDescent="0.45">
      <c r="A43" s="253"/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5"/>
      <c r="Q43" s="85"/>
      <c r="R43" s="85"/>
      <c r="S43" s="85"/>
    </row>
    <row r="44" spans="1:19" ht="27.75" customHeight="1" x14ac:dyDescent="0.45">
      <c r="A44" s="341" t="s">
        <v>292</v>
      </c>
      <c r="B44" s="222"/>
      <c r="C44" s="223"/>
      <c r="D44" s="342"/>
      <c r="E44" s="222"/>
      <c r="F44" s="222"/>
      <c r="G44" s="222"/>
      <c r="H44" s="70"/>
      <c r="I44" s="70"/>
      <c r="J44" s="70"/>
      <c r="K44" s="343" t="s">
        <v>293</v>
      </c>
      <c r="L44" s="223"/>
      <c r="M44" s="344"/>
      <c r="N44" s="222"/>
      <c r="O44" s="222"/>
      <c r="P44" s="224"/>
      <c r="Q44" s="85"/>
      <c r="R44" s="85"/>
      <c r="S44" s="85"/>
    </row>
    <row r="45" spans="1:19" ht="24.75" customHeight="1" x14ac:dyDescent="0.45">
      <c r="A45" s="329" t="s">
        <v>182</v>
      </c>
      <c r="B45" s="232"/>
      <c r="C45" s="233"/>
      <c r="D45" s="71"/>
      <c r="E45" s="71"/>
      <c r="F45" s="71"/>
      <c r="G45" s="71"/>
      <c r="H45" s="64"/>
      <c r="I45" s="64"/>
      <c r="J45" s="64"/>
      <c r="K45" s="345" t="s">
        <v>182</v>
      </c>
      <c r="L45" s="233"/>
      <c r="M45" s="300"/>
      <c r="N45" s="232"/>
      <c r="O45" s="232"/>
      <c r="P45" s="235"/>
      <c r="Q45" s="85"/>
      <c r="R45" s="85"/>
      <c r="S45" s="85"/>
    </row>
    <row r="46" spans="1:19" ht="24.75" customHeight="1" x14ac:dyDescent="0.45">
      <c r="A46" s="337" t="s">
        <v>183</v>
      </c>
      <c r="B46" s="219"/>
      <c r="C46" s="220"/>
      <c r="D46" s="338"/>
      <c r="E46" s="219"/>
      <c r="F46" s="219"/>
      <c r="G46" s="219"/>
      <c r="H46" s="219"/>
      <c r="I46" s="219"/>
      <c r="J46" s="220"/>
      <c r="K46" s="339" t="s">
        <v>183</v>
      </c>
      <c r="L46" s="220"/>
      <c r="M46" s="338"/>
      <c r="N46" s="219"/>
      <c r="O46" s="219"/>
      <c r="P46" s="230"/>
      <c r="Q46" s="85"/>
      <c r="R46" s="85"/>
      <c r="S46" s="85"/>
    </row>
    <row r="47" spans="1:19" ht="24.75" customHeight="1" x14ac:dyDescent="0.45">
      <c r="A47" s="80"/>
      <c r="B47" s="80"/>
      <c r="C47" s="80"/>
      <c r="D47" s="81"/>
      <c r="E47" s="81"/>
      <c r="F47" s="81"/>
      <c r="G47" s="81"/>
      <c r="H47" s="81"/>
      <c r="I47" s="81"/>
      <c r="J47" s="81"/>
      <c r="K47" s="80"/>
      <c r="L47" s="80"/>
      <c r="M47" s="81"/>
      <c r="N47" s="81"/>
      <c r="O47" s="81"/>
      <c r="P47" s="81"/>
      <c r="Q47" s="85"/>
      <c r="R47" s="85"/>
      <c r="S47" s="85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5"/>
      <c r="N48" s="26"/>
      <c r="O48" s="26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5"/>
      <c r="N49" s="26"/>
      <c r="O49" s="26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5"/>
      <c r="N50" s="26"/>
      <c r="O50" s="26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5"/>
      <c r="N51" s="26"/>
      <c r="O51" s="26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5"/>
      <c r="N52" s="26"/>
      <c r="O52" s="26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5"/>
      <c r="N53" s="26"/>
      <c r="O53" s="26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5"/>
      <c r="N54" s="26"/>
      <c r="O54" s="26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5"/>
      <c r="N55" s="26"/>
      <c r="O55" s="26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5"/>
      <c r="N56" s="26"/>
      <c r="O56" s="26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5"/>
      <c r="N57" s="26"/>
      <c r="O57" s="26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5"/>
      <c r="N58" s="26"/>
      <c r="O58" s="26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5"/>
      <c r="N59" s="26"/>
      <c r="O59" s="26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5"/>
      <c r="N60" s="26"/>
      <c r="O60" s="26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5"/>
      <c r="N61" s="26"/>
      <c r="O61" s="26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5"/>
      <c r="N62" s="26"/>
      <c r="O62" s="26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5"/>
      <c r="N63" s="26"/>
      <c r="O63" s="26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5"/>
      <c r="N64" s="26"/>
      <c r="O64" s="26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5"/>
      <c r="N65" s="26"/>
      <c r="O65" s="26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5"/>
      <c r="N66" s="26"/>
      <c r="O66" s="26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5"/>
      <c r="N67" s="26"/>
      <c r="O67" s="26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5"/>
      <c r="N68" s="26"/>
      <c r="O68" s="26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5"/>
      <c r="N69" s="26"/>
      <c r="O69" s="26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5"/>
      <c r="N70" s="26"/>
      <c r="O70" s="26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5"/>
      <c r="N71" s="26"/>
      <c r="O71" s="26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5"/>
      <c r="N72" s="26"/>
      <c r="O72" s="26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5"/>
      <c r="N73" s="26"/>
      <c r="O73" s="26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5"/>
      <c r="N74" s="26"/>
      <c r="O74" s="26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5"/>
      <c r="N75" s="26"/>
      <c r="O75" s="26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5"/>
      <c r="N76" s="26"/>
      <c r="O76" s="26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5"/>
      <c r="N77" s="26"/>
      <c r="O77" s="26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5"/>
      <c r="N78" s="26"/>
      <c r="O78" s="26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5"/>
      <c r="N79" s="26"/>
      <c r="O79" s="26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5"/>
      <c r="N80" s="26"/>
      <c r="O80" s="26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5"/>
      <c r="N81" s="26"/>
      <c r="O81" s="26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5"/>
      <c r="N82" s="26"/>
      <c r="O82" s="26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5"/>
      <c r="N83" s="26"/>
      <c r="O83" s="26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5"/>
      <c r="N84" s="26"/>
      <c r="O84" s="26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5"/>
      <c r="N85" s="26"/>
      <c r="O85" s="26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5"/>
      <c r="N86" s="26"/>
      <c r="O86" s="26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5"/>
      <c r="N87" s="26"/>
      <c r="O87" s="26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5"/>
      <c r="N88" s="26"/>
      <c r="O88" s="26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5"/>
      <c r="N89" s="26"/>
      <c r="O89" s="26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5"/>
      <c r="N90" s="26"/>
      <c r="O90" s="26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5"/>
      <c r="N91" s="26"/>
      <c r="O91" s="26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5"/>
      <c r="N92" s="26"/>
      <c r="O92" s="26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5"/>
      <c r="N93" s="26"/>
      <c r="O93" s="26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5"/>
      <c r="N94" s="26"/>
      <c r="O94" s="26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5"/>
      <c r="N95" s="26"/>
      <c r="O95" s="26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5"/>
      <c r="N96" s="26"/>
      <c r="O96" s="26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5"/>
      <c r="N97" s="26"/>
      <c r="O97" s="26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5"/>
      <c r="N98" s="26"/>
      <c r="O98" s="26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5"/>
      <c r="N99" s="26"/>
      <c r="O99" s="26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5"/>
      <c r="N100" s="26"/>
      <c r="O100" s="26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5"/>
      <c r="N101" s="26"/>
      <c r="O101" s="26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5"/>
      <c r="N102" s="26"/>
      <c r="O102" s="26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5"/>
      <c r="N103" s="26"/>
      <c r="O103" s="26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5"/>
      <c r="N104" s="26"/>
      <c r="O104" s="26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5"/>
      <c r="N105" s="26"/>
      <c r="O105" s="26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5"/>
      <c r="N106" s="26"/>
      <c r="O106" s="26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5"/>
      <c r="N107" s="26"/>
      <c r="O107" s="26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5"/>
      <c r="N108" s="26"/>
      <c r="O108" s="26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5"/>
      <c r="N109" s="26"/>
      <c r="O109" s="26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5"/>
      <c r="N110" s="26"/>
      <c r="O110" s="26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5"/>
      <c r="N111" s="26"/>
      <c r="O111" s="26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5"/>
      <c r="N112" s="26"/>
      <c r="O112" s="26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5"/>
      <c r="N113" s="26"/>
      <c r="O113" s="26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5"/>
      <c r="N114" s="26"/>
      <c r="O114" s="26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5"/>
      <c r="N115" s="26"/>
      <c r="O115" s="26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5"/>
      <c r="N116" s="26"/>
      <c r="O116" s="26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5"/>
      <c r="N117" s="26"/>
      <c r="O117" s="26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5"/>
      <c r="N118" s="26"/>
      <c r="O118" s="26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5"/>
      <c r="N119" s="26"/>
      <c r="O119" s="26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5"/>
      <c r="N120" s="26"/>
      <c r="O120" s="26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5"/>
      <c r="N121" s="26"/>
      <c r="O121" s="26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5"/>
      <c r="N122" s="26"/>
      <c r="O122" s="26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5"/>
      <c r="N123" s="26"/>
      <c r="O123" s="26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5"/>
      <c r="N124" s="26"/>
      <c r="O124" s="26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5"/>
      <c r="N125" s="26"/>
      <c r="O125" s="26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5"/>
      <c r="N126" s="26"/>
      <c r="O126" s="26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5"/>
      <c r="N127" s="26"/>
      <c r="O127" s="26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5"/>
      <c r="N128" s="26"/>
      <c r="O128" s="26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5"/>
      <c r="N129" s="26"/>
      <c r="O129" s="26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5"/>
      <c r="N130" s="26"/>
      <c r="O130" s="26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5"/>
      <c r="N131" s="26"/>
      <c r="O131" s="26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5"/>
      <c r="N132" s="26"/>
      <c r="O132" s="26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5"/>
      <c r="N133" s="26"/>
      <c r="O133" s="26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5"/>
      <c r="N134" s="26"/>
      <c r="O134" s="26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5"/>
      <c r="N135" s="26"/>
      <c r="O135" s="26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5"/>
      <c r="N136" s="26"/>
      <c r="O136" s="26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5"/>
      <c r="N137" s="26"/>
      <c r="O137" s="26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5"/>
      <c r="N138" s="26"/>
      <c r="O138" s="26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5"/>
      <c r="N139" s="26"/>
      <c r="O139" s="26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5"/>
      <c r="N140" s="26"/>
      <c r="O140" s="26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5"/>
      <c r="N141" s="26"/>
      <c r="O141" s="26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5"/>
      <c r="N142" s="26"/>
      <c r="O142" s="26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5"/>
      <c r="N143" s="26"/>
      <c r="O143" s="26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5"/>
      <c r="N144" s="26"/>
      <c r="O144" s="26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5"/>
      <c r="N145" s="26"/>
      <c r="O145" s="26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5"/>
      <c r="N146" s="26"/>
      <c r="O146" s="26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5"/>
      <c r="N147" s="26"/>
      <c r="O147" s="26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5"/>
      <c r="N148" s="26"/>
      <c r="O148" s="26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5"/>
      <c r="N149" s="26"/>
      <c r="O149" s="26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5"/>
      <c r="N150" s="26"/>
      <c r="O150" s="26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5"/>
      <c r="N151" s="26"/>
      <c r="O151" s="26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5"/>
      <c r="N152" s="26"/>
      <c r="O152" s="26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5"/>
      <c r="N153" s="26"/>
      <c r="O153" s="26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5"/>
      <c r="N154" s="26"/>
      <c r="O154" s="26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5"/>
      <c r="N155" s="26"/>
      <c r="O155" s="26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5"/>
      <c r="N156" s="26"/>
      <c r="O156" s="26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5"/>
      <c r="N157" s="26"/>
      <c r="O157" s="26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5"/>
      <c r="N158" s="26"/>
      <c r="O158" s="26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5"/>
      <c r="N159" s="26"/>
      <c r="O159" s="26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5"/>
      <c r="N160" s="26"/>
      <c r="O160" s="26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5"/>
      <c r="N161" s="26"/>
      <c r="O161" s="26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5"/>
      <c r="N162" s="26"/>
      <c r="O162" s="26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5"/>
      <c r="N163" s="26"/>
      <c r="O163" s="26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5"/>
      <c r="N164" s="26"/>
      <c r="O164" s="26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5"/>
      <c r="N165" s="26"/>
      <c r="O165" s="26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5"/>
      <c r="N166" s="26"/>
      <c r="O166" s="26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5"/>
      <c r="N167" s="26"/>
      <c r="O167" s="26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5"/>
      <c r="N168" s="26"/>
      <c r="O168" s="26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5"/>
      <c r="N169" s="26"/>
      <c r="O169" s="26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5"/>
      <c r="N170" s="26"/>
      <c r="O170" s="26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5"/>
      <c r="N171" s="26"/>
      <c r="O171" s="26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5"/>
      <c r="N172" s="26"/>
      <c r="O172" s="26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5"/>
      <c r="N173" s="26"/>
      <c r="O173" s="26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5"/>
      <c r="N174" s="26"/>
      <c r="O174" s="26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5"/>
      <c r="N175" s="26"/>
      <c r="O175" s="26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5"/>
      <c r="N176" s="26"/>
      <c r="O176" s="26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5"/>
      <c r="N177" s="26"/>
      <c r="O177" s="26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5"/>
      <c r="N178" s="26"/>
      <c r="O178" s="26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5"/>
      <c r="N179" s="26"/>
      <c r="O179" s="26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5"/>
      <c r="N180" s="26"/>
      <c r="O180" s="26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5"/>
      <c r="N181" s="26"/>
      <c r="O181" s="26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5"/>
      <c r="N182" s="26"/>
      <c r="O182" s="26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5"/>
      <c r="N183" s="26"/>
      <c r="O183" s="26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5"/>
      <c r="N184" s="26"/>
      <c r="O184" s="26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5"/>
      <c r="N185" s="26"/>
      <c r="O185" s="26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5"/>
      <c r="N186" s="26"/>
      <c r="O186" s="26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5"/>
      <c r="N187" s="26"/>
      <c r="O187" s="26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5"/>
      <c r="N188" s="26"/>
      <c r="O188" s="26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5"/>
      <c r="N189" s="26"/>
      <c r="O189" s="26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5"/>
      <c r="N190" s="26"/>
      <c r="O190" s="26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5"/>
      <c r="N191" s="26"/>
      <c r="O191" s="26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5"/>
      <c r="N192" s="26"/>
      <c r="O192" s="26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5"/>
      <c r="N193" s="26"/>
      <c r="O193" s="26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5"/>
      <c r="N194" s="26"/>
      <c r="O194" s="26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5"/>
      <c r="N195" s="26"/>
      <c r="O195" s="26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5"/>
      <c r="N196" s="26"/>
      <c r="O196" s="26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5"/>
      <c r="N197" s="26"/>
      <c r="O197" s="26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5"/>
      <c r="N198" s="26"/>
      <c r="O198" s="26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5"/>
      <c r="N199" s="26"/>
      <c r="O199" s="26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5"/>
      <c r="N200" s="26"/>
      <c r="O200" s="26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5"/>
      <c r="N201" s="26"/>
      <c r="O201" s="26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5"/>
      <c r="N202" s="26"/>
      <c r="O202" s="26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5"/>
      <c r="N203" s="26"/>
      <c r="O203" s="26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5"/>
      <c r="N204" s="26"/>
      <c r="O204" s="26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5"/>
      <c r="N205" s="26"/>
      <c r="O205" s="26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5"/>
      <c r="N206" s="26"/>
      <c r="O206" s="26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5"/>
      <c r="N207" s="26"/>
      <c r="O207" s="26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5"/>
      <c r="N208" s="26"/>
      <c r="O208" s="26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5"/>
      <c r="N209" s="26"/>
      <c r="O209" s="26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5"/>
      <c r="N210" s="26"/>
      <c r="O210" s="26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5"/>
      <c r="N211" s="26"/>
      <c r="O211" s="26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5"/>
      <c r="N212" s="26"/>
      <c r="O212" s="26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5"/>
      <c r="N213" s="26"/>
      <c r="O213" s="26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5"/>
      <c r="N214" s="26"/>
      <c r="O214" s="26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5"/>
      <c r="N215" s="26"/>
      <c r="O215" s="26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5"/>
      <c r="N216" s="26"/>
      <c r="O216" s="26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5"/>
      <c r="N217" s="26"/>
      <c r="O217" s="26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5"/>
      <c r="N218" s="26"/>
      <c r="O218" s="26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5"/>
      <c r="N219" s="26"/>
      <c r="O219" s="26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5"/>
      <c r="N220" s="26"/>
      <c r="O220" s="26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5"/>
      <c r="N221" s="26"/>
      <c r="O221" s="26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5"/>
      <c r="N222" s="26"/>
      <c r="O222" s="26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5"/>
      <c r="N223" s="26"/>
      <c r="O223" s="26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5"/>
      <c r="N224" s="26"/>
      <c r="O224" s="26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5"/>
      <c r="N225" s="26"/>
      <c r="O225" s="26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5"/>
      <c r="N226" s="26"/>
      <c r="O226" s="26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5"/>
      <c r="N227" s="26"/>
      <c r="O227" s="26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5"/>
      <c r="N228" s="26"/>
      <c r="O228" s="26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5"/>
      <c r="N229" s="26"/>
      <c r="O229" s="26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5"/>
      <c r="N230" s="26"/>
      <c r="O230" s="26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5"/>
      <c r="N231" s="26"/>
      <c r="O231" s="26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5"/>
      <c r="N232" s="26"/>
      <c r="O232" s="26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5"/>
      <c r="N233" s="26"/>
      <c r="O233" s="26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5"/>
      <c r="N234" s="26"/>
      <c r="O234" s="26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5"/>
      <c r="N235" s="26"/>
      <c r="O235" s="26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5"/>
      <c r="N236" s="26"/>
      <c r="O236" s="26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5"/>
      <c r="N237" s="26"/>
      <c r="O237" s="26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5"/>
      <c r="N238" s="26"/>
      <c r="O238" s="26"/>
      <c r="P238" s="12"/>
      <c r="Q238" s="12"/>
      <c r="R238" s="12"/>
      <c r="S238" s="12"/>
    </row>
    <row r="239" spans="1:19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5"/>
      <c r="N239" s="26"/>
      <c r="O239" s="26"/>
      <c r="P239" s="12"/>
      <c r="Q239" s="12"/>
      <c r="R239" s="12"/>
      <c r="S239" s="12"/>
    </row>
    <row r="240" spans="1:19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5"/>
      <c r="N240" s="26"/>
      <c r="O240" s="26"/>
      <c r="P240" s="12"/>
      <c r="Q240" s="12"/>
      <c r="R240" s="12"/>
      <c r="S240" s="12"/>
    </row>
    <row r="241" spans="1:19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5"/>
      <c r="N241" s="26"/>
      <c r="O241" s="26"/>
      <c r="P241" s="12"/>
      <c r="Q241" s="12"/>
      <c r="R241" s="12"/>
      <c r="S241" s="12"/>
    </row>
    <row r="242" spans="1:19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5"/>
      <c r="N242" s="26"/>
      <c r="O242" s="26"/>
      <c r="P242" s="12"/>
      <c r="Q242" s="12"/>
      <c r="R242" s="12"/>
      <c r="S242" s="12"/>
    </row>
    <row r="243" spans="1:19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5"/>
      <c r="N243" s="26"/>
      <c r="O243" s="26"/>
      <c r="P243" s="12"/>
      <c r="Q243" s="12"/>
      <c r="R243" s="12"/>
      <c r="S243" s="12"/>
    </row>
    <row r="244" spans="1:19" ht="15.75" customHeight="1" x14ac:dyDescent="0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5"/>
      <c r="N244" s="26"/>
      <c r="O244" s="26"/>
      <c r="P244" s="12"/>
      <c r="Q244" s="12"/>
      <c r="R244" s="12"/>
      <c r="S244" s="12"/>
    </row>
    <row r="245" spans="1:19" ht="15.75" customHeight="1" x14ac:dyDescent="0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5"/>
      <c r="N245" s="26"/>
      <c r="O245" s="26"/>
      <c r="P245" s="12"/>
      <c r="Q245" s="12"/>
      <c r="R245" s="12"/>
      <c r="S245" s="12"/>
    </row>
    <row r="246" spans="1:19" ht="15.75" customHeight="1" x14ac:dyDescent="0.4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5"/>
      <c r="N246" s="26"/>
      <c r="O246" s="26"/>
      <c r="P246" s="12"/>
      <c r="Q246" s="12"/>
      <c r="R246" s="12"/>
      <c r="S246" s="12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0:D40"/>
    <mergeCell ref="A41:D41"/>
    <mergeCell ref="A44:C44"/>
    <mergeCell ref="D44:G44"/>
    <mergeCell ref="A45:C45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C25:D25"/>
    <mergeCell ref="E25:G25"/>
    <mergeCell ref="H25:J25"/>
    <mergeCell ref="H26:J26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999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80"/>
      <c r="B1" s="243"/>
      <c r="C1" s="281"/>
      <c r="D1" s="280" t="s">
        <v>0</v>
      </c>
      <c r="E1" s="243"/>
      <c r="F1" s="243"/>
      <c r="G1" s="243"/>
      <c r="H1" s="243"/>
      <c r="I1" s="243"/>
      <c r="J1" s="243"/>
      <c r="K1" s="243"/>
      <c r="L1" s="281"/>
      <c r="M1" s="287" t="s">
        <v>1</v>
      </c>
      <c r="N1" s="233"/>
      <c r="O1" s="297" t="s">
        <v>234</v>
      </c>
      <c r="P1" s="224"/>
      <c r="Q1" s="12"/>
      <c r="R1" s="12"/>
      <c r="S1" s="12"/>
    </row>
    <row r="2" spans="1:19" ht="18.75" customHeight="1" x14ac:dyDescent="0.45">
      <c r="A2" s="284"/>
      <c r="B2" s="237"/>
      <c r="C2" s="285"/>
      <c r="D2" s="286"/>
      <c r="E2" s="226"/>
      <c r="F2" s="226"/>
      <c r="G2" s="226"/>
      <c r="H2" s="226"/>
      <c r="I2" s="226"/>
      <c r="J2" s="226"/>
      <c r="K2" s="226"/>
      <c r="L2" s="227"/>
      <c r="M2" s="288" t="s">
        <v>3</v>
      </c>
      <c r="N2" s="227"/>
      <c r="O2" s="289">
        <v>1</v>
      </c>
      <c r="P2" s="244"/>
      <c r="Q2" s="12"/>
      <c r="R2" s="12"/>
      <c r="S2" s="12"/>
    </row>
    <row r="3" spans="1:19" ht="17.25" customHeight="1" x14ac:dyDescent="0.45">
      <c r="A3" s="284"/>
      <c r="B3" s="237"/>
      <c r="C3" s="285"/>
      <c r="D3" s="290" t="s">
        <v>235</v>
      </c>
      <c r="E3" s="243"/>
      <c r="F3" s="243"/>
      <c r="G3" s="243"/>
      <c r="H3" s="243"/>
      <c r="I3" s="243"/>
      <c r="J3" s="243"/>
      <c r="K3" s="243"/>
      <c r="L3" s="243"/>
      <c r="M3" s="288" t="s">
        <v>5</v>
      </c>
      <c r="N3" s="227"/>
      <c r="O3" s="287" t="s">
        <v>6</v>
      </c>
      <c r="P3" s="235"/>
      <c r="Q3" s="12"/>
      <c r="R3" s="12"/>
      <c r="S3" s="12"/>
    </row>
    <row r="4" spans="1:19" ht="17.25" customHeight="1" x14ac:dyDescent="0.45">
      <c r="A4" s="284"/>
      <c r="B4" s="237"/>
      <c r="C4" s="285"/>
      <c r="D4" s="284"/>
      <c r="E4" s="237"/>
      <c r="F4" s="237"/>
      <c r="G4" s="237"/>
      <c r="H4" s="237"/>
      <c r="I4" s="237"/>
      <c r="J4" s="237"/>
      <c r="K4" s="237"/>
      <c r="L4" s="237"/>
      <c r="M4" s="280" t="s">
        <v>7</v>
      </c>
      <c r="N4" s="281"/>
      <c r="O4" s="264" t="s">
        <v>8</v>
      </c>
      <c r="P4" s="235"/>
      <c r="Q4" s="12"/>
      <c r="R4" s="12"/>
      <c r="S4" s="12"/>
    </row>
    <row r="5" spans="1:19" ht="17.25" customHeight="1" x14ac:dyDescent="0.45">
      <c r="A5" s="284"/>
      <c r="B5" s="237"/>
      <c r="C5" s="285"/>
      <c r="D5" s="284"/>
      <c r="E5" s="237"/>
      <c r="F5" s="237"/>
      <c r="G5" s="237"/>
      <c r="H5" s="237"/>
      <c r="I5" s="237"/>
      <c r="J5" s="237"/>
      <c r="K5" s="237"/>
      <c r="L5" s="237"/>
      <c r="M5" s="286"/>
      <c r="N5" s="227"/>
      <c r="O5" s="265" t="s">
        <v>9</v>
      </c>
      <c r="P5" s="235"/>
      <c r="Q5" s="12"/>
      <c r="R5" s="12"/>
      <c r="S5" s="12"/>
    </row>
    <row r="6" spans="1:19" ht="27.75" customHeight="1" x14ac:dyDescent="0.45">
      <c r="A6" s="394" t="s">
        <v>10</v>
      </c>
      <c r="B6" s="232"/>
      <c r="C6" s="232"/>
      <c r="D6" s="232"/>
      <c r="E6" s="233"/>
      <c r="F6" s="274" t="str">
        <f>'COC GRANEL'!D6</f>
        <v>SUERO DE NIACINAMIDA 5% FORMULA NUEVA</v>
      </c>
      <c r="G6" s="232"/>
      <c r="H6" s="232"/>
      <c r="I6" s="232"/>
      <c r="J6" s="232"/>
      <c r="K6" s="232"/>
      <c r="L6" s="232"/>
      <c r="M6" s="232"/>
      <c r="N6" s="232"/>
      <c r="O6" s="232"/>
      <c r="P6" s="235"/>
      <c r="Q6" s="12"/>
      <c r="R6" s="12"/>
      <c r="S6" s="12"/>
    </row>
    <row r="7" spans="1:19" ht="24" customHeight="1" x14ac:dyDescent="0.45">
      <c r="A7" s="399" t="s">
        <v>55</v>
      </c>
      <c r="B7" s="243"/>
      <c r="C7" s="243"/>
      <c r="D7" s="243"/>
      <c r="E7" s="281"/>
      <c r="F7" s="395" t="str">
        <f>'LISTA CHEQUEO'!F8</f>
        <v>252111</v>
      </c>
      <c r="G7" s="281"/>
      <c r="H7" s="396" t="s">
        <v>236</v>
      </c>
      <c r="I7" s="281"/>
      <c r="J7" s="357" t="str">
        <f>'COC GRANEL'!D7</f>
        <v>OP-L-099</v>
      </c>
      <c r="K7" s="243"/>
      <c r="L7" s="281"/>
      <c r="M7" s="397" t="s">
        <v>16</v>
      </c>
      <c r="N7" s="281"/>
      <c r="O7" s="398" t="s">
        <v>294</v>
      </c>
      <c r="P7" s="244"/>
      <c r="Q7" s="12"/>
      <c r="R7" s="12"/>
      <c r="S7" s="12"/>
    </row>
    <row r="8" spans="1:19" ht="28.5" customHeight="1" x14ac:dyDescent="0.45">
      <c r="A8" s="345" t="s">
        <v>238</v>
      </c>
      <c r="B8" s="232"/>
      <c r="C8" s="232"/>
      <c r="D8" s="232"/>
      <c r="E8" s="233"/>
      <c r="F8" s="387">
        <v>500</v>
      </c>
      <c r="G8" s="233"/>
      <c r="H8" s="345" t="s">
        <v>239</v>
      </c>
      <c r="I8" s="232"/>
      <c r="J8" s="382"/>
      <c r="K8" s="232"/>
      <c r="L8" s="232"/>
      <c r="M8" s="345" t="s">
        <v>240</v>
      </c>
      <c r="N8" s="232"/>
      <c r="O8" s="276"/>
      <c r="P8" s="235"/>
      <c r="Q8" s="12"/>
      <c r="R8" s="12"/>
      <c r="S8" s="12"/>
    </row>
    <row r="9" spans="1:19" ht="36.75" customHeight="1" x14ac:dyDescent="0.45">
      <c r="A9" s="329" t="s">
        <v>241</v>
      </c>
      <c r="B9" s="232"/>
      <c r="C9" s="232"/>
      <c r="D9" s="232"/>
      <c r="E9" s="233"/>
      <c r="F9" s="387"/>
      <c r="G9" s="233"/>
      <c r="H9" s="345" t="s">
        <v>242</v>
      </c>
      <c r="I9" s="233"/>
      <c r="J9" s="287"/>
      <c r="K9" s="232"/>
      <c r="L9" s="233"/>
      <c r="M9" s="345" t="s">
        <v>169</v>
      </c>
      <c r="N9" s="233"/>
      <c r="O9" s="276"/>
      <c r="P9" s="235"/>
      <c r="Q9" s="12"/>
      <c r="R9" s="12"/>
      <c r="S9" s="12"/>
    </row>
    <row r="10" spans="1:19" ht="19.5" customHeight="1" x14ac:dyDescent="0.45">
      <c r="A10" s="329" t="s">
        <v>170</v>
      </c>
      <c r="B10" s="232"/>
      <c r="C10" s="232"/>
      <c r="D10" s="232"/>
      <c r="E10" s="232"/>
      <c r="F10" s="232"/>
      <c r="G10" s="232"/>
      <c r="H10" s="232"/>
      <c r="I10" s="232"/>
      <c r="J10" s="232"/>
      <c r="K10" s="232"/>
      <c r="L10" s="232"/>
      <c r="M10" s="233"/>
      <c r="N10" s="304" t="s">
        <v>171</v>
      </c>
      <c r="O10" s="233"/>
      <c r="P10" s="17" t="s">
        <v>172</v>
      </c>
      <c r="Q10" s="12"/>
      <c r="R10" s="12"/>
      <c r="S10" s="12"/>
    </row>
    <row r="11" spans="1:19" ht="29.25" customHeight="1" x14ac:dyDescent="0.45">
      <c r="A11" s="241" t="s">
        <v>173</v>
      </c>
      <c r="B11" s="232"/>
      <c r="C11" s="232"/>
      <c r="D11" s="232"/>
      <c r="E11" s="232"/>
      <c r="F11" s="232"/>
      <c r="G11" s="232"/>
      <c r="H11" s="232"/>
      <c r="I11" s="232"/>
      <c r="J11" s="232"/>
      <c r="K11" s="232"/>
      <c r="L11" s="232"/>
      <c r="M11" s="233"/>
      <c r="N11" s="300"/>
      <c r="O11" s="233"/>
      <c r="P11" s="63"/>
      <c r="Q11" s="12"/>
      <c r="R11" s="12"/>
      <c r="S11" s="12"/>
    </row>
    <row r="12" spans="1:19" ht="19.5" customHeight="1" x14ac:dyDescent="0.45">
      <c r="A12" s="388" t="s">
        <v>243</v>
      </c>
      <c r="B12" s="226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310"/>
      <c r="Q12" s="85"/>
      <c r="R12" s="85"/>
      <c r="S12" s="85"/>
    </row>
    <row r="13" spans="1:19" ht="29.25" customHeight="1" x14ac:dyDescent="0.45">
      <c r="A13" s="388" t="s">
        <v>244</v>
      </c>
      <c r="B13" s="226"/>
      <c r="C13" s="389" t="s">
        <v>12</v>
      </c>
      <c r="D13" s="232"/>
      <c r="E13" s="233"/>
      <c r="F13" s="389" t="s">
        <v>245</v>
      </c>
      <c r="G13" s="232"/>
      <c r="H13" s="232"/>
      <c r="I13" s="232"/>
      <c r="J13" s="232"/>
      <c r="K13" s="232"/>
      <c r="L13" s="232"/>
      <c r="M13" s="389" t="s">
        <v>246</v>
      </c>
      <c r="N13" s="233"/>
      <c r="O13" s="393" t="s">
        <v>247</v>
      </c>
      <c r="P13" s="310"/>
      <c r="Q13" s="85"/>
      <c r="R13" s="85"/>
      <c r="S13" s="85"/>
    </row>
    <row r="14" spans="1:19" ht="29.25" customHeight="1" x14ac:dyDescent="0.45">
      <c r="A14" s="392" t="s">
        <v>295</v>
      </c>
      <c r="B14" s="232"/>
      <c r="C14" s="390" t="s">
        <v>249</v>
      </c>
      <c r="D14" s="232"/>
      <c r="E14" s="232"/>
      <c r="F14" s="390" t="s">
        <v>296</v>
      </c>
      <c r="G14" s="232"/>
      <c r="H14" s="232"/>
      <c r="I14" s="232"/>
      <c r="J14" s="232"/>
      <c r="K14" s="232"/>
      <c r="L14" s="233"/>
      <c r="M14" s="391">
        <f>F8</f>
        <v>500</v>
      </c>
      <c r="N14" s="233"/>
      <c r="O14" s="389"/>
      <c r="P14" s="235"/>
      <c r="Q14" s="85"/>
      <c r="R14" s="85"/>
      <c r="S14" s="85"/>
    </row>
    <row r="15" spans="1:19" ht="29.25" customHeight="1" x14ac:dyDescent="0.45">
      <c r="A15" s="392" t="s">
        <v>297</v>
      </c>
      <c r="B15" s="232"/>
      <c r="C15" s="390" t="s">
        <v>249</v>
      </c>
      <c r="D15" s="232"/>
      <c r="E15" s="232"/>
      <c r="F15" s="390" t="s">
        <v>298</v>
      </c>
      <c r="G15" s="232"/>
      <c r="H15" s="232"/>
      <c r="I15" s="232"/>
      <c r="J15" s="232"/>
      <c r="K15" s="232"/>
      <c r="L15" s="233"/>
      <c r="M15" s="391">
        <f>F8</f>
        <v>500</v>
      </c>
      <c r="N15" s="233"/>
      <c r="O15" s="389"/>
      <c r="P15" s="235"/>
      <c r="Q15" s="85"/>
      <c r="R15" s="85"/>
      <c r="S15" s="85"/>
    </row>
    <row r="16" spans="1:19" ht="29.25" customHeight="1" x14ac:dyDescent="0.45">
      <c r="A16" s="392" t="s">
        <v>249</v>
      </c>
      <c r="B16" s="232"/>
      <c r="C16" s="390" t="s">
        <v>249</v>
      </c>
      <c r="D16" s="232"/>
      <c r="E16" s="232"/>
      <c r="F16" s="390" t="s">
        <v>299</v>
      </c>
      <c r="G16" s="232"/>
      <c r="H16" s="232"/>
      <c r="I16" s="232"/>
      <c r="J16" s="232"/>
      <c r="K16" s="232"/>
      <c r="L16" s="233"/>
      <c r="M16" s="391">
        <f>F8</f>
        <v>500</v>
      </c>
      <c r="N16" s="233"/>
      <c r="O16" s="389"/>
      <c r="P16" s="235"/>
      <c r="Q16" s="85"/>
      <c r="R16" s="85"/>
      <c r="S16" s="85"/>
    </row>
    <row r="17" spans="1:19" ht="29.25" customHeight="1" x14ac:dyDescent="0.45">
      <c r="A17" s="400"/>
      <c r="B17" s="233"/>
      <c r="C17" s="393"/>
      <c r="D17" s="226"/>
      <c r="E17" s="227"/>
      <c r="F17" s="401"/>
      <c r="G17" s="226"/>
      <c r="H17" s="226"/>
      <c r="I17" s="226"/>
      <c r="J17" s="226"/>
      <c r="K17" s="226"/>
      <c r="L17" s="227"/>
      <c r="M17" s="389"/>
      <c r="N17" s="233"/>
      <c r="O17" s="389"/>
      <c r="P17" s="235"/>
      <c r="Q17" s="85"/>
      <c r="R17" s="85"/>
      <c r="S17" s="85"/>
    </row>
    <row r="18" spans="1:19" ht="21" customHeight="1" x14ac:dyDescent="0.45">
      <c r="A18" s="389" t="s">
        <v>256</v>
      </c>
      <c r="B18" s="232"/>
      <c r="C18" s="232"/>
      <c r="D18" s="232"/>
      <c r="E18" s="232"/>
      <c r="F18" s="233"/>
      <c r="G18" s="86" t="s">
        <v>171</v>
      </c>
      <c r="H18" s="421"/>
      <c r="I18" s="232"/>
      <c r="J18" s="233"/>
      <c r="K18" s="87" t="s">
        <v>172</v>
      </c>
      <c r="L18" s="88"/>
      <c r="M18" s="88" t="s">
        <v>257</v>
      </c>
      <c r="N18" s="421"/>
      <c r="O18" s="232"/>
      <c r="P18" s="235"/>
      <c r="Q18" s="96"/>
      <c r="R18" s="85"/>
      <c r="S18" s="85"/>
    </row>
    <row r="19" spans="1:19" ht="21" customHeight="1" x14ac:dyDescent="0.45">
      <c r="A19" s="389" t="s">
        <v>258</v>
      </c>
      <c r="B19" s="233"/>
      <c r="C19" s="422"/>
      <c r="D19" s="232"/>
      <c r="E19" s="232"/>
      <c r="F19" s="232"/>
      <c r="G19" s="233"/>
      <c r="H19" s="421" t="s">
        <v>259</v>
      </c>
      <c r="I19" s="233"/>
      <c r="J19" s="422"/>
      <c r="K19" s="232"/>
      <c r="L19" s="232"/>
      <c r="M19" s="233"/>
      <c r="N19" s="87" t="s">
        <v>260</v>
      </c>
      <c r="O19" s="421"/>
      <c r="P19" s="235"/>
      <c r="Q19" s="85"/>
      <c r="R19" s="85"/>
      <c r="S19" s="85"/>
    </row>
    <row r="20" spans="1:19" ht="16.5" customHeight="1" x14ac:dyDescent="0.45">
      <c r="A20" s="389" t="s">
        <v>261</v>
      </c>
      <c r="B20" s="232"/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5"/>
      <c r="Q20" s="85"/>
      <c r="R20" s="85"/>
      <c r="S20" s="85"/>
    </row>
    <row r="21" spans="1:19" ht="24.75" customHeight="1" x14ac:dyDescent="0.45">
      <c r="A21" s="309" t="s">
        <v>262</v>
      </c>
      <c r="B21" s="226"/>
      <c r="C21" s="226"/>
      <c r="D21" s="226"/>
      <c r="E21" s="227"/>
      <c r="F21" s="424"/>
      <c r="G21" s="226"/>
      <c r="H21" s="226"/>
      <c r="I21" s="226"/>
      <c r="J21" s="226"/>
      <c r="K21" s="226"/>
      <c r="L21" s="309" t="s">
        <v>263</v>
      </c>
      <c r="M21" s="227"/>
      <c r="N21" s="425"/>
      <c r="O21" s="226"/>
      <c r="P21" s="310"/>
      <c r="Q21" s="85"/>
      <c r="R21" s="85"/>
      <c r="S21" s="85"/>
    </row>
    <row r="22" spans="1:19" ht="24.75" customHeight="1" x14ac:dyDescent="0.45">
      <c r="A22" s="276" t="s">
        <v>264</v>
      </c>
      <c r="B22" s="232"/>
      <c r="C22" s="232"/>
      <c r="D22" s="232"/>
      <c r="E22" s="233"/>
      <c r="F22" s="423"/>
      <c r="G22" s="232"/>
      <c r="H22" s="232"/>
      <c r="I22" s="232"/>
      <c r="J22" s="232"/>
      <c r="K22" s="232"/>
      <c r="L22" s="276" t="s">
        <v>265</v>
      </c>
      <c r="M22" s="233"/>
      <c r="N22" s="426"/>
      <c r="O22" s="232"/>
      <c r="P22" s="235"/>
      <c r="Q22" s="85"/>
      <c r="R22" s="85"/>
      <c r="S22" s="85"/>
    </row>
    <row r="23" spans="1:19" ht="24.75" customHeight="1" x14ac:dyDescent="0.45">
      <c r="A23" s="389" t="s">
        <v>266</v>
      </c>
      <c r="B23" s="232"/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3"/>
      <c r="Q23" s="85"/>
      <c r="R23" s="85"/>
      <c r="S23" s="85"/>
    </row>
    <row r="24" spans="1:19" ht="24.75" customHeight="1" x14ac:dyDescent="0.45">
      <c r="A24" s="427" t="s">
        <v>267</v>
      </c>
      <c r="B24" s="281"/>
      <c r="C24" s="402" t="s">
        <v>268</v>
      </c>
      <c r="D24" s="285"/>
      <c r="E24" s="403" t="s">
        <v>86</v>
      </c>
      <c r="F24" s="237"/>
      <c r="G24" s="285"/>
      <c r="H24" s="403" t="s">
        <v>269</v>
      </c>
      <c r="I24" s="237"/>
      <c r="J24" s="285"/>
      <c r="K24" s="89" t="s">
        <v>270</v>
      </c>
      <c r="L24" s="90" t="s">
        <v>271</v>
      </c>
      <c r="M24" s="90" t="s">
        <v>272</v>
      </c>
      <c r="N24" s="393" t="s">
        <v>273</v>
      </c>
      <c r="O24" s="227"/>
      <c r="P24" s="91" t="s">
        <v>274</v>
      </c>
      <c r="Q24" s="85"/>
      <c r="R24" s="85"/>
      <c r="S24" s="85"/>
    </row>
    <row r="25" spans="1:19" ht="24.75" customHeight="1" x14ac:dyDescent="0.45">
      <c r="A25" s="286"/>
      <c r="B25" s="227"/>
      <c r="C25" s="389"/>
      <c r="D25" s="233"/>
      <c r="E25" s="389"/>
      <c r="F25" s="232"/>
      <c r="G25" s="233"/>
      <c r="H25" s="389"/>
      <c r="I25" s="232"/>
      <c r="J25" s="233"/>
      <c r="K25" s="86"/>
      <c r="L25" s="92"/>
      <c r="M25" s="93"/>
      <c r="N25" s="404"/>
      <c r="O25" s="220"/>
      <c r="P25" s="94"/>
      <c r="Q25" s="85"/>
      <c r="R25" s="85"/>
      <c r="S25" s="85"/>
    </row>
    <row r="26" spans="1:19" ht="24.75" customHeight="1" x14ac:dyDescent="0.45">
      <c r="A26" s="405" t="s">
        <v>275</v>
      </c>
      <c r="B26" s="222"/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4"/>
      <c r="Q26" s="85"/>
      <c r="R26" s="85"/>
      <c r="S26" s="85"/>
    </row>
    <row r="27" spans="1:19" ht="24.75" customHeight="1" x14ac:dyDescent="0.45">
      <c r="A27" s="400" t="s">
        <v>67</v>
      </c>
      <c r="B27" s="233"/>
      <c r="C27" s="389" t="s">
        <v>268</v>
      </c>
      <c r="D27" s="233"/>
      <c r="E27" s="389" t="s">
        <v>86</v>
      </c>
      <c r="F27" s="232"/>
      <c r="G27" s="233"/>
      <c r="H27" s="389" t="s">
        <v>276</v>
      </c>
      <c r="I27" s="232"/>
      <c r="J27" s="233"/>
      <c r="K27" s="86" t="s">
        <v>277</v>
      </c>
      <c r="L27" s="86" t="s">
        <v>278</v>
      </c>
      <c r="M27" s="86" t="s">
        <v>279</v>
      </c>
      <c r="N27" s="389" t="s">
        <v>280</v>
      </c>
      <c r="O27" s="233"/>
      <c r="P27" s="95" t="s">
        <v>281</v>
      </c>
      <c r="Q27" s="85"/>
      <c r="R27" s="85"/>
      <c r="S27" s="85"/>
    </row>
    <row r="28" spans="1:19" ht="24.75" customHeight="1" x14ac:dyDescent="0.45">
      <c r="A28" s="406"/>
      <c r="B28" s="233"/>
      <c r="C28" s="389"/>
      <c r="D28" s="233"/>
      <c r="E28" s="389"/>
      <c r="F28" s="232"/>
      <c r="G28" s="233"/>
      <c r="H28" s="389"/>
      <c r="I28" s="232"/>
      <c r="J28" s="233"/>
      <c r="K28" s="86"/>
      <c r="L28" s="86"/>
      <c r="M28" s="86"/>
      <c r="N28" s="389"/>
      <c r="O28" s="233"/>
      <c r="P28" s="95"/>
      <c r="Q28" s="85"/>
      <c r="R28" s="85"/>
      <c r="S28" s="85"/>
    </row>
    <row r="29" spans="1:19" ht="24.75" customHeight="1" x14ac:dyDescent="0.45">
      <c r="A29" s="406"/>
      <c r="B29" s="233"/>
      <c r="C29" s="389"/>
      <c r="D29" s="233"/>
      <c r="E29" s="389"/>
      <c r="F29" s="232"/>
      <c r="G29" s="233"/>
      <c r="H29" s="389"/>
      <c r="I29" s="232"/>
      <c r="J29" s="233"/>
      <c r="K29" s="86"/>
      <c r="L29" s="86"/>
      <c r="M29" s="86"/>
      <c r="N29" s="389"/>
      <c r="O29" s="233"/>
      <c r="P29" s="95"/>
      <c r="Q29" s="85"/>
      <c r="R29" s="85"/>
      <c r="S29" s="85"/>
    </row>
    <row r="30" spans="1:19" ht="24.75" customHeight="1" x14ac:dyDescent="0.45">
      <c r="A30" s="406"/>
      <c r="B30" s="233"/>
      <c r="C30" s="389"/>
      <c r="D30" s="233"/>
      <c r="E30" s="389"/>
      <c r="F30" s="232"/>
      <c r="G30" s="233"/>
      <c r="H30" s="389"/>
      <c r="I30" s="232"/>
      <c r="J30" s="233"/>
      <c r="K30" s="86"/>
      <c r="L30" s="86"/>
      <c r="M30" s="86"/>
      <c r="N30" s="389"/>
      <c r="O30" s="233"/>
      <c r="P30" s="95"/>
      <c r="Q30" s="85"/>
      <c r="R30" s="85"/>
      <c r="S30" s="85"/>
    </row>
    <row r="31" spans="1:19" ht="24.75" customHeight="1" x14ac:dyDescent="0.45">
      <c r="A31" s="406"/>
      <c r="B31" s="233"/>
      <c r="C31" s="389"/>
      <c r="D31" s="233"/>
      <c r="E31" s="389"/>
      <c r="F31" s="232"/>
      <c r="G31" s="233"/>
      <c r="H31" s="389"/>
      <c r="I31" s="232"/>
      <c r="J31" s="233"/>
      <c r="K31" s="86"/>
      <c r="L31" s="86"/>
      <c r="M31" s="86"/>
      <c r="N31" s="389"/>
      <c r="O31" s="233"/>
      <c r="P31" s="95"/>
      <c r="Q31" s="85"/>
      <c r="R31" s="85"/>
      <c r="S31" s="85"/>
    </row>
    <row r="32" spans="1:19" ht="24.75" customHeight="1" x14ac:dyDescent="0.45">
      <c r="A32" s="406"/>
      <c r="B32" s="233"/>
      <c r="C32" s="389"/>
      <c r="D32" s="233"/>
      <c r="E32" s="389"/>
      <c r="F32" s="232"/>
      <c r="G32" s="233"/>
      <c r="H32" s="389"/>
      <c r="I32" s="232"/>
      <c r="J32" s="233"/>
      <c r="K32" s="86"/>
      <c r="L32" s="86"/>
      <c r="M32" s="86"/>
      <c r="N32" s="389"/>
      <c r="O32" s="233"/>
      <c r="P32" s="95"/>
      <c r="Q32" s="85"/>
      <c r="R32" s="85"/>
      <c r="S32" s="85"/>
    </row>
    <row r="33" spans="1:19" ht="24.75" customHeight="1" x14ac:dyDescent="0.45">
      <c r="A33" s="406"/>
      <c r="B33" s="233"/>
      <c r="C33" s="389"/>
      <c r="D33" s="233"/>
      <c r="E33" s="389"/>
      <c r="F33" s="232"/>
      <c r="G33" s="233"/>
      <c r="H33" s="389"/>
      <c r="I33" s="232"/>
      <c r="J33" s="233"/>
      <c r="K33" s="86"/>
      <c r="L33" s="86"/>
      <c r="M33" s="86"/>
      <c r="N33" s="389"/>
      <c r="O33" s="233"/>
      <c r="P33" s="95"/>
      <c r="Q33" s="85"/>
      <c r="R33" s="85"/>
      <c r="S33" s="85"/>
    </row>
    <row r="34" spans="1:19" ht="24.75" customHeight="1" x14ac:dyDescent="0.45">
      <c r="A34" s="400" t="s">
        <v>282</v>
      </c>
      <c r="B34" s="232"/>
      <c r="C34" s="232"/>
      <c r="D34" s="232"/>
      <c r="E34" s="232"/>
      <c r="F34" s="232"/>
      <c r="G34" s="232"/>
      <c r="H34" s="232"/>
      <c r="I34" s="232"/>
      <c r="J34" s="232"/>
      <c r="K34" s="232"/>
      <c r="L34" s="232"/>
      <c r="M34" s="232"/>
      <c r="N34" s="232"/>
      <c r="O34" s="233"/>
      <c r="P34" s="95"/>
      <c r="Q34" s="85"/>
      <c r="R34" s="85"/>
      <c r="S34" s="85"/>
    </row>
    <row r="35" spans="1:19" ht="24.75" customHeight="1" x14ac:dyDescent="0.45">
      <c r="A35" s="400" t="s">
        <v>283</v>
      </c>
      <c r="B35" s="232"/>
      <c r="C35" s="232"/>
      <c r="D35" s="232"/>
      <c r="E35" s="232"/>
      <c r="F35" s="232"/>
      <c r="G35" s="232"/>
      <c r="H35" s="232"/>
      <c r="I35" s="232"/>
      <c r="J35" s="232"/>
      <c r="K35" s="232"/>
      <c r="L35" s="232"/>
      <c r="M35" s="232"/>
      <c r="N35" s="232"/>
      <c r="O35" s="233"/>
      <c r="P35" s="95"/>
      <c r="Q35" s="85"/>
      <c r="R35" s="85"/>
      <c r="S35" s="85"/>
    </row>
    <row r="36" spans="1:19" ht="24.75" customHeight="1" x14ac:dyDescent="0.45">
      <c r="A36" s="407" t="s">
        <v>284</v>
      </c>
      <c r="B36" s="219"/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20"/>
      <c r="P36" s="94"/>
      <c r="Q36" s="85"/>
      <c r="R36" s="85"/>
      <c r="S36" s="85"/>
    </row>
    <row r="37" spans="1:19" ht="24.75" customHeight="1" x14ac:dyDescent="0.45">
      <c r="A37" s="408" t="s">
        <v>285</v>
      </c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7"/>
      <c r="Q37" s="85"/>
      <c r="R37" s="85"/>
      <c r="S37" s="85"/>
    </row>
    <row r="38" spans="1:19" ht="24.75" customHeight="1" x14ac:dyDescent="0.45">
      <c r="A38" s="409" t="s">
        <v>286</v>
      </c>
      <c r="B38" s="251"/>
      <c r="C38" s="251"/>
      <c r="D38" s="251"/>
      <c r="E38" s="410"/>
      <c r="F38" s="251"/>
      <c r="G38" s="251"/>
      <c r="H38" s="251"/>
      <c r="I38" s="251"/>
      <c r="J38" s="251"/>
      <c r="K38" s="251"/>
      <c r="L38" s="411" t="s">
        <v>287</v>
      </c>
      <c r="M38" s="251"/>
      <c r="N38" s="412"/>
      <c r="O38" s="222"/>
      <c r="P38" s="224"/>
      <c r="Q38" s="85"/>
      <c r="R38" s="85"/>
      <c r="S38" s="85"/>
    </row>
    <row r="39" spans="1:19" ht="24.75" customHeight="1" x14ac:dyDescent="0.45">
      <c r="A39" s="417" t="s">
        <v>288</v>
      </c>
      <c r="B39" s="237"/>
      <c r="C39" s="237"/>
      <c r="D39" s="237"/>
      <c r="E39" s="413"/>
      <c r="F39" s="232"/>
      <c r="G39" s="232"/>
      <c r="H39" s="232"/>
      <c r="I39" s="232"/>
      <c r="J39" s="232"/>
      <c r="K39" s="232"/>
      <c r="L39" s="414" t="s">
        <v>289</v>
      </c>
      <c r="M39" s="237"/>
      <c r="N39" s="413"/>
      <c r="O39" s="232"/>
      <c r="P39" s="235"/>
      <c r="Q39" s="85"/>
      <c r="R39" s="85"/>
      <c r="S39" s="85"/>
    </row>
    <row r="40" spans="1:19" ht="24.75" customHeight="1" x14ac:dyDescent="0.45">
      <c r="A40" s="418" t="s">
        <v>290</v>
      </c>
      <c r="B40" s="254"/>
      <c r="C40" s="254"/>
      <c r="D40" s="254"/>
      <c r="E40" s="415"/>
      <c r="F40" s="254"/>
      <c r="G40" s="254"/>
      <c r="H40" s="254"/>
      <c r="I40" s="254"/>
      <c r="J40" s="254"/>
      <c r="K40" s="254"/>
      <c r="L40" s="416" t="s">
        <v>291</v>
      </c>
      <c r="M40" s="254"/>
      <c r="N40" s="415"/>
      <c r="O40" s="254"/>
      <c r="P40" s="255"/>
      <c r="Q40" s="85"/>
      <c r="R40" s="85"/>
      <c r="S40" s="85"/>
    </row>
    <row r="41" spans="1:19" ht="24.75" customHeight="1" x14ac:dyDescent="0.45">
      <c r="A41" s="420" t="s">
        <v>179</v>
      </c>
      <c r="B41" s="251"/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2"/>
      <c r="Q41" s="85"/>
      <c r="R41" s="85"/>
      <c r="S41" s="85"/>
    </row>
    <row r="42" spans="1:19" ht="17.25" customHeight="1" x14ac:dyDescent="0.45">
      <c r="A42" s="253"/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5"/>
      <c r="Q42" s="85"/>
      <c r="R42" s="85"/>
      <c r="S42" s="85"/>
    </row>
    <row r="43" spans="1:19" ht="27.75" customHeight="1" x14ac:dyDescent="0.45">
      <c r="A43" s="341" t="s">
        <v>292</v>
      </c>
      <c r="B43" s="222"/>
      <c r="C43" s="223"/>
      <c r="D43" s="342"/>
      <c r="E43" s="222"/>
      <c r="F43" s="222"/>
      <c r="G43" s="222"/>
      <c r="H43" s="70"/>
      <c r="I43" s="70"/>
      <c r="J43" s="70"/>
      <c r="K43" s="343" t="s">
        <v>293</v>
      </c>
      <c r="L43" s="223"/>
      <c r="M43" s="344"/>
      <c r="N43" s="222"/>
      <c r="O43" s="222"/>
      <c r="P43" s="224"/>
      <c r="Q43" s="85"/>
      <c r="R43" s="85"/>
      <c r="S43" s="85"/>
    </row>
    <row r="44" spans="1:19" ht="24.75" customHeight="1" x14ac:dyDescent="0.45">
      <c r="A44" s="329" t="s">
        <v>182</v>
      </c>
      <c r="B44" s="232"/>
      <c r="C44" s="233"/>
      <c r="D44" s="71"/>
      <c r="E44" s="71"/>
      <c r="F44" s="71"/>
      <c r="G44" s="71"/>
      <c r="H44" s="64"/>
      <c r="I44" s="64"/>
      <c r="J44" s="64"/>
      <c r="K44" s="345" t="s">
        <v>182</v>
      </c>
      <c r="L44" s="233"/>
      <c r="M44" s="300"/>
      <c r="N44" s="232"/>
      <c r="O44" s="232"/>
      <c r="P44" s="235"/>
      <c r="Q44" s="85"/>
      <c r="R44" s="85"/>
      <c r="S44" s="85"/>
    </row>
    <row r="45" spans="1:19" ht="24.75" customHeight="1" x14ac:dyDescent="0.45">
      <c r="A45" s="337" t="s">
        <v>183</v>
      </c>
      <c r="B45" s="219"/>
      <c r="C45" s="220"/>
      <c r="D45" s="338"/>
      <c r="E45" s="219"/>
      <c r="F45" s="219"/>
      <c r="G45" s="219"/>
      <c r="H45" s="219"/>
      <c r="I45" s="219"/>
      <c r="J45" s="220"/>
      <c r="K45" s="339" t="s">
        <v>183</v>
      </c>
      <c r="L45" s="220"/>
      <c r="M45" s="338"/>
      <c r="N45" s="219"/>
      <c r="O45" s="219"/>
      <c r="P45" s="230"/>
      <c r="Q45" s="85"/>
      <c r="R45" s="85"/>
      <c r="S45" s="85"/>
    </row>
    <row r="46" spans="1:19" ht="24.75" customHeight="1" x14ac:dyDescent="0.45">
      <c r="A46" s="80"/>
      <c r="B46" s="80"/>
      <c r="C46" s="80"/>
      <c r="D46" s="81"/>
      <c r="E46" s="81"/>
      <c r="F46" s="81"/>
      <c r="G46" s="81"/>
      <c r="H46" s="81"/>
      <c r="I46" s="81"/>
      <c r="J46" s="81"/>
      <c r="K46" s="80"/>
      <c r="L46" s="80"/>
      <c r="M46" s="81"/>
      <c r="N46" s="81"/>
      <c r="O46" s="81"/>
      <c r="P46" s="81"/>
      <c r="Q46" s="85"/>
      <c r="R46" s="85"/>
      <c r="S46" s="85"/>
    </row>
    <row r="47" spans="1:19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5"/>
      <c r="N47" s="26"/>
      <c r="O47" s="26"/>
      <c r="P47" s="12"/>
      <c r="Q47" s="12"/>
      <c r="R47" s="12"/>
      <c r="S47" s="1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5"/>
      <c r="N48" s="26"/>
      <c r="O48" s="26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5"/>
      <c r="N49" s="26"/>
      <c r="O49" s="26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5"/>
      <c r="N50" s="26"/>
      <c r="O50" s="26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5"/>
      <c r="N51" s="26"/>
      <c r="O51" s="26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5"/>
      <c r="N52" s="26"/>
      <c r="O52" s="26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5"/>
      <c r="N53" s="26"/>
      <c r="O53" s="26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5"/>
      <c r="N54" s="26"/>
      <c r="O54" s="26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5"/>
      <c r="N55" s="26"/>
      <c r="O55" s="26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5"/>
      <c r="N56" s="26"/>
      <c r="O56" s="26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5"/>
      <c r="N57" s="26"/>
      <c r="O57" s="26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5"/>
      <c r="N58" s="26"/>
      <c r="O58" s="26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5"/>
      <c r="N59" s="26"/>
      <c r="O59" s="26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5"/>
      <c r="N60" s="26"/>
      <c r="O60" s="26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5"/>
      <c r="N61" s="26"/>
      <c r="O61" s="26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5"/>
      <c r="N62" s="26"/>
      <c r="O62" s="26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5"/>
      <c r="N63" s="26"/>
      <c r="O63" s="26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5"/>
      <c r="N64" s="26"/>
      <c r="O64" s="26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5"/>
      <c r="N65" s="26"/>
      <c r="O65" s="26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5"/>
      <c r="N66" s="26"/>
      <c r="O66" s="26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5"/>
      <c r="N67" s="26"/>
      <c r="O67" s="26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5"/>
      <c r="N68" s="26"/>
      <c r="O68" s="26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5"/>
      <c r="N69" s="26"/>
      <c r="O69" s="26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5"/>
      <c r="N70" s="26"/>
      <c r="O70" s="26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5"/>
      <c r="N71" s="26"/>
      <c r="O71" s="26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5"/>
      <c r="N72" s="26"/>
      <c r="O72" s="26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5"/>
      <c r="N73" s="26"/>
      <c r="O73" s="26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5"/>
      <c r="N74" s="26"/>
      <c r="O74" s="26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5"/>
      <c r="N75" s="26"/>
      <c r="O75" s="26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5"/>
      <c r="N76" s="26"/>
      <c r="O76" s="26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5"/>
      <c r="N77" s="26"/>
      <c r="O77" s="26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5"/>
      <c r="N78" s="26"/>
      <c r="O78" s="26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5"/>
      <c r="N79" s="26"/>
      <c r="O79" s="26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5"/>
      <c r="N80" s="26"/>
      <c r="O80" s="26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5"/>
      <c r="N81" s="26"/>
      <c r="O81" s="26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5"/>
      <c r="N82" s="26"/>
      <c r="O82" s="26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5"/>
      <c r="N83" s="26"/>
      <c r="O83" s="26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5"/>
      <c r="N84" s="26"/>
      <c r="O84" s="26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5"/>
      <c r="N85" s="26"/>
      <c r="O85" s="26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5"/>
      <c r="N86" s="26"/>
      <c r="O86" s="26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5"/>
      <c r="N87" s="26"/>
      <c r="O87" s="26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5"/>
      <c r="N88" s="26"/>
      <c r="O88" s="26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5"/>
      <c r="N89" s="26"/>
      <c r="O89" s="26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5"/>
      <c r="N90" s="26"/>
      <c r="O90" s="26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5"/>
      <c r="N91" s="26"/>
      <c r="O91" s="26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5"/>
      <c r="N92" s="26"/>
      <c r="O92" s="26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5"/>
      <c r="N93" s="26"/>
      <c r="O93" s="26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5"/>
      <c r="N94" s="26"/>
      <c r="O94" s="26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5"/>
      <c r="N95" s="26"/>
      <c r="O95" s="26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5"/>
      <c r="N96" s="26"/>
      <c r="O96" s="26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5"/>
      <c r="N97" s="26"/>
      <c r="O97" s="26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5"/>
      <c r="N98" s="26"/>
      <c r="O98" s="26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5"/>
      <c r="N99" s="26"/>
      <c r="O99" s="26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5"/>
      <c r="N100" s="26"/>
      <c r="O100" s="26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5"/>
      <c r="N101" s="26"/>
      <c r="O101" s="26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5"/>
      <c r="N102" s="26"/>
      <c r="O102" s="26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5"/>
      <c r="N103" s="26"/>
      <c r="O103" s="26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5"/>
      <c r="N104" s="26"/>
      <c r="O104" s="26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5"/>
      <c r="N105" s="26"/>
      <c r="O105" s="26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5"/>
      <c r="N106" s="26"/>
      <c r="O106" s="26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5"/>
      <c r="N107" s="26"/>
      <c r="O107" s="26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5"/>
      <c r="N108" s="26"/>
      <c r="O108" s="26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5"/>
      <c r="N109" s="26"/>
      <c r="O109" s="26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5"/>
      <c r="N110" s="26"/>
      <c r="O110" s="26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5"/>
      <c r="N111" s="26"/>
      <c r="O111" s="26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5"/>
      <c r="N112" s="26"/>
      <c r="O112" s="26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5"/>
      <c r="N113" s="26"/>
      <c r="O113" s="26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5"/>
      <c r="N114" s="26"/>
      <c r="O114" s="26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5"/>
      <c r="N115" s="26"/>
      <c r="O115" s="26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5"/>
      <c r="N116" s="26"/>
      <c r="O116" s="26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5"/>
      <c r="N117" s="26"/>
      <c r="O117" s="26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5"/>
      <c r="N118" s="26"/>
      <c r="O118" s="26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5"/>
      <c r="N119" s="26"/>
      <c r="O119" s="26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5"/>
      <c r="N120" s="26"/>
      <c r="O120" s="26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5"/>
      <c r="N121" s="26"/>
      <c r="O121" s="26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5"/>
      <c r="N122" s="26"/>
      <c r="O122" s="26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5"/>
      <c r="N123" s="26"/>
      <c r="O123" s="26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5"/>
      <c r="N124" s="26"/>
      <c r="O124" s="26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5"/>
      <c r="N125" s="26"/>
      <c r="O125" s="26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5"/>
      <c r="N126" s="26"/>
      <c r="O126" s="26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5"/>
      <c r="N127" s="26"/>
      <c r="O127" s="26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5"/>
      <c r="N128" s="26"/>
      <c r="O128" s="26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5"/>
      <c r="N129" s="26"/>
      <c r="O129" s="26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5"/>
      <c r="N130" s="26"/>
      <c r="O130" s="26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5"/>
      <c r="N131" s="26"/>
      <c r="O131" s="26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5"/>
      <c r="N132" s="26"/>
      <c r="O132" s="26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5"/>
      <c r="N133" s="26"/>
      <c r="O133" s="26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5"/>
      <c r="N134" s="26"/>
      <c r="O134" s="26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5"/>
      <c r="N135" s="26"/>
      <c r="O135" s="26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5"/>
      <c r="N136" s="26"/>
      <c r="O136" s="26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5"/>
      <c r="N137" s="26"/>
      <c r="O137" s="26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5"/>
      <c r="N138" s="26"/>
      <c r="O138" s="26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5"/>
      <c r="N139" s="26"/>
      <c r="O139" s="26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5"/>
      <c r="N140" s="26"/>
      <c r="O140" s="26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5"/>
      <c r="N141" s="26"/>
      <c r="O141" s="26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5"/>
      <c r="N142" s="26"/>
      <c r="O142" s="26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5"/>
      <c r="N143" s="26"/>
      <c r="O143" s="26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5"/>
      <c r="N144" s="26"/>
      <c r="O144" s="26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5"/>
      <c r="N145" s="26"/>
      <c r="O145" s="26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5"/>
      <c r="N146" s="26"/>
      <c r="O146" s="26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5"/>
      <c r="N147" s="26"/>
      <c r="O147" s="26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5"/>
      <c r="N148" s="26"/>
      <c r="O148" s="26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5"/>
      <c r="N149" s="26"/>
      <c r="O149" s="26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5"/>
      <c r="N150" s="26"/>
      <c r="O150" s="26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5"/>
      <c r="N151" s="26"/>
      <c r="O151" s="26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5"/>
      <c r="N152" s="26"/>
      <c r="O152" s="26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5"/>
      <c r="N153" s="26"/>
      <c r="O153" s="26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5"/>
      <c r="N154" s="26"/>
      <c r="O154" s="26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5"/>
      <c r="N155" s="26"/>
      <c r="O155" s="26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5"/>
      <c r="N156" s="26"/>
      <c r="O156" s="26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5"/>
      <c r="N157" s="26"/>
      <c r="O157" s="26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5"/>
      <c r="N158" s="26"/>
      <c r="O158" s="26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5"/>
      <c r="N159" s="26"/>
      <c r="O159" s="26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5"/>
      <c r="N160" s="26"/>
      <c r="O160" s="26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5"/>
      <c r="N161" s="26"/>
      <c r="O161" s="26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5"/>
      <c r="N162" s="26"/>
      <c r="O162" s="26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5"/>
      <c r="N163" s="26"/>
      <c r="O163" s="26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5"/>
      <c r="N164" s="26"/>
      <c r="O164" s="26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5"/>
      <c r="N165" s="26"/>
      <c r="O165" s="26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5"/>
      <c r="N166" s="26"/>
      <c r="O166" s="26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5"/>
      <c r="N167" s="26"/>
      <c r="O167" s="26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5"/>
      <c r="N168" s="26"/>
      <c r="O168" s="26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5"/>
      <c r="N169" s="26"/>
      <c r="O169" s="26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5"/>
      <c r="N170" s="26"/>
      <c r="O170" s="26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5"/>
      <c r="N171" s="26"/>
      <c r="O171" s="26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5"/>
      <c r="N172" s="26"/>
      <c r="O172" s="26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5"/>
      <c r="N173" s="26"/>
      <c r="O173" s="26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5"/>
      <c r="N174" s="26"/>
      <c r="O174" s="26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5"/>
      <c r="N175" s="26"/>
      <c r="O175" s="26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5"/>
      <c r="N176" s="26"/>
      <c r="O176" s="26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5"/>
      <c r="N177" s="26"/>
      <c r="O177" s="26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5"/>
      <c r="N178" s="26"/>
      <c r="O178" s="26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5"/>
      <c r="N179" s="26"/>
      <c r="O179" s="26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5"/>
      <c r="N180" s="26"/>
      <c r="O180" s="26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5"/>
      <c r="N181" s="26"/>
      <c r="O181" s="26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5"/>
      <c r="N182" s="26"/>
      <c r="O182" s="26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5"/>
      <c r="N183" s="26"/>
      <c r="O183" s="26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5"/>
      <c r="N184" s="26"/>
      <c r="O184" s="26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5"/>
      <c r="N185" s="26"/>
      <c r="O185" s="26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5"/>
      <c r="N186" s="26"/>
      <c r="O186" s="26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5"/>
      <c r="N187" s="26"/>
      <c r="O187" s="26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5"/>
      <c r="N188" s="26"/>
      <c r="O188" s="26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5"/>
      <c r="N189" s="26"/>
      <c r="O189" s="26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5"/>
      <c r="N190" s="26"/>
      <c r="O190" s="26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5"/>
      <c r="N191" s="26"/>
      <c r="O191" s="26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5"/>
      <c r="N192" s="26"/>
      <c r="O192" s="26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5"/>
      <c r="N193" s="26"/>
      <c r="O193" s="26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5"/>
      <c r="N194" s="26"/>
      <c r="O194" s="26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5"/>
      <c r="N195" s="26"/>
      <c r="O195" s="26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5"/>
      <c r="N196" s="26"/>
      <c r="O196" s="26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5"/>
      <c r="N197" s="26"/>
      <c r="O197" s="26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5"/>
      <c r="N198" s="26"/>
      <c r="O198" s="26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5"/>
      <c r="N199" s="26"/>
      <c r="O199" s="26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5"/>
      <c r="N200" s="26"/>
      <c r="O200" s="26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5"/>
      <c r="N201" s="26"/>
      <c r="O201" s="26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5"/>
      <c r="N202" s="26"/>
      <c r="O202" s="26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5"/>
      <c r="N203" s="26"/>
      <c r="O203" s="26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5"/>
      <c r="N204" s="26"/>
      <c r="O204" s="26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5"/>
      <c r="N205" s="26"/>
      <c r="O205" s="26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5"/>
      <c r="N206" s="26"/>
      <c r="O206" s="26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5"/>
      <c r="N207" s="26"/>
      <c r="O207" s="26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5"/>
      <c r="N208" s="26"/>
      <c r="O208" s="26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5"/>
      <c r="N209" s="26"/>
      <c r="O209" s="26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5"/>
      <c r="N210" s="26"/>
      <c r="O210" s="26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5"/>
      <c r="N211" s="26"/>
      <c r="O211" s="26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5"/>
      <c r="N212" s="26"/>
      <c r="O212" s="26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5"/>
      <c r="N213" s="26"/>
      <c r="O213" s="26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5"/>
      <c r="N214" s="26"/>
      <c r="O214" s="26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5"/>
      <c r="N215" s="26"/>
      <c r="O215" s="26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5"/>
      <c r="N216" s="26"/>
      <c r="O216" s="26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5"/>
      <c r="N217" s="26"/>
      <c r="O217" s="26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5"/>
      <c r="N218" s="26"/>
      <c r="O218" s="26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5"/>
      <c r="N219" s="26"/>
      <c r="O219" s="26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5"/>
      <c r="N220" s="26"/>
      <c r="O220" s="26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5"/>
      <c r="N221" s="26"/>
      <c r="O221" s="26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5"/>
      <c r="N222" s="26"/>
      <c r="O222" s="26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5"/>
      <c r="N223" s="26"/>
      <c r="O223" s="26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5"/>
      <c r="N224" s="26"/>
      <c r="O224" s="26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5"/>
      <c r="N225" s="26"/>
      <c r="O225" s="26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5"/>
      <c r="N226" s="26"/>
      <c r="O226" s="26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5"/>
      <c r="N227" s="26"/>
      <c r="O227" s="26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5"/>
      <c r="N228" s="26"/>
      <c r="O228" s="26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5"/>
      <c r="N229" s="26"/>
      <c r="O229" s="26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5"/>
      <c r="N230" s="26"/>
      <c r="O230" s="26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5"/>
      <c r="N231" s="26"/>
      <c r="O231" s="26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5"/>
      <c r="N232" s="26"/>
      <c r="O232" s="26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5"/>
      <c r="N233" s="26"/>
      <c r="O233" s="26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5"/>
      <c r="N234" s="26"/>
      <c r="O234" s="26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5"/>
      <c r="N235" s="26"/>
      <c r="O235" s="26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5"/>
      <c r="N236" s="26"/>
      <c r="O236" s="26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5"/>
      <c r="N237" s="26"/>
      <c r="O237" s="26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5"/>
      <c r="N238" s="26"/>
      <c r="O238" s="26"/>
      <c r="P238" s="12"/>
      <c r="Q238" s="12"/>
      <c r="R238" s="12"/>
      <c r="S238" s="12"/>
    </row>
    <row r="239" spans="1:19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5"/>
      <c r="N239" s="26"/>
      <c r="O239" s="26"/>
      <c r="P239" s="12"/>
      <c r="Q239" s="12"/>
      <c r="R239" s="12"/>
      <c r="S239" s="12"/>
    </row>
    <row r="240" spans="1:19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5"/>
      <c r="N240" s="26"/>
      <c r="O240" s="26"/>
      <c r="P240" s="12"/>
      <c r="Q240" s="12"/>
      <c r="R240" s="12"/>
      <c r="S240" s="12"/>
    </row>
    <row r="241" spans="1:19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5"/>
      <c r="N241" s="26"/>
      <c r="O241" s="26"/>
      <c r="P241" s="12"/>
      <c r="Q241" s="12"/>
      <c r="R241" s="12"/>
      <c r="S241" s="12"/>
    </row>
    <row r="242" spans="1:19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5"/>
      <c r="N242" s="26"/>
      <c r="O242" s="26"/>
      <c r="P242" s="12"/>
      <c r="Q242" s="12"/>
      <c r="R242" s="12"/>
      <c r="S242" s="12"/>
    </row>
    <row r="243" spans="1:19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5"/>
      <c r="N243" s="26"/>
      <c r="O243" s="26"/>
      <c r="P243" s="12"/>
      <c r="Q243" s="12"/>
      <c r="R243" s="12"/>
      <c r="S243" s="12"/>
    </row>
    <row r="244" spans="1:19" ht="15.75" customHeight="1" x14ac:dyDescent="0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5"/>
      <c r="N244" s="26"/>
      <c r="O244" s="26"/>
      <c r="P244" s="12"/>
      <c r="Q244" s="12"/>
      <c r="R244" s="12"/>
      <c r="S244" s="12"/>
    </row>
    <row r="245" spans="1:19" ht="15.75" customHeight="1" x14ac:dyDescent="0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5"/>
      <c r="N245" s="26"/>
      <c r="O245" s="26"/>
      <c r="P245" s="12"/>
      <c r="Q245" s="12"/>
      <c r="R245" s="12"/>
      <c r="S245" s="12"/>
    </row>
    <row r="246" spans="1:19" ht="15.75" customHeight="1" x14ac:dyDescent="0.45"/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mergeCells count="153">
    <mergeCell ref="A34:O34"/>
    <mergeCell ref="A35:O35"/>
    <mergeCell ref="H31:J31"/>
    <mergeCell ref="C32:D32"/>
    <mergeCell ref="E32:G32"/>
    <mergeCell ref="H32:J32"/>
    <mergeCell ref="A32:B32"/>
    <mergeCell ref="A33:B33"/>
    <mergeCell ref="C33:D33"/>
    <mergeCell ref="E33:G33"/>
    <mergeCell ref="H33:J33"/>
    <mergeCell ref="A41:P42"/>
    <mergeCell ref="M43:P43"/>
    <mergeCell ref="M17:N17"/>
    <mergeCell ref="O17:P17"/>
    <mergeCell ref="A18:F18"/>
    <mergeCell ref="H18:J18"/>
    <mergeCell ref="N18:P18"/>
    <mergeCell ref="A19:B19"/>
    <mergeCell ref="O19:P19"/>
    <mergeCell ref="F22:K22"/>
    <mergeCell ref="L22:M22"/>
    <mergeCell ref="C19:G19"/>
    <mergeCell ref="A20:P20"/>
    <mergeCell ref="A21:E21"/>
    <mergeCell ref="F21:K21"/>
    <mergeCell ref="L21:M21"/>
    <mergeCell ref="N21:P21"/>
    <mergeCell ref="N22:P22"/>
    <mergeCell ref="A22:E22"/>
    <mergeCell ref="A23:P23"/>
    <mergeCell ref="C24:D24"/>
    <mergeCell ref="E24:G24"/>
    <mergeCell ref="H24:J24"/>
    <mergeCell ref="H25:J25"/>
    <mergeCell ref="A39:D39"/>
    <mergeCell ref="A40:D40"/>
    <mergeCell ref="A43:C43"/>
    <mergeCell ref="D43:G43"/>
    <mergeCell ref="A44:C44"/>
    <mergeCell ref="A45:C45"/>
    <mergeCell ref="D45:J45"/>
    <mergeCell ref="A36:O36"/>
    <mergeCell ref="A37:P37"/>
    <mergeCell ref="A38:D38"/>
    <mergeCell ref="E38:K38"/>
    <mergeCell ref="L38:M38"/>
    <mergeCell ref="N38:P38"/>
    <mergeCell ref="N39:P39"/>
    <mergeCell ref="K43:L43"/>
    <mergeCell ref="K44:L44"/>
    <mergeCell ref="M44:P44"/>
    <mergeCell ref="K45:L45"/>
    <mergeCell ref="M45:P45"/>
    <mergeCell ref="E39:K39"/>
    <mergeCell ref="L39:M39"/>
    <mergeCell ref="E40:K40"/>
    <mergeCell ref="L40:M40"/>
    <mergeCell ref="N40:P40"/>
    <mergeCell ref="A24:B25"/>
    <mergeCell ref="A27:B27"/>
    <mergeCell ref="C27:D27"/>
    <mergeCell ref="A28:B28"/>
    <mergeCell ref="C28:D28"/>
    <mergeCell ref="A29:B29"/>
    <mergeCell ref="C29:D29"/>
    <mergeCell ref="N32:O32"/>
    <mergeCell ref="N33:O33"/>
    <mergeCell ref="N24:O24"/>
    <mergeCell ref="N25:O25"/>
    <mergeCell ref="N27:O27"/>
    <mergeCell ref="N28:O28"/>
    <mergeCell ref="N29:O29"/>
    <mergeCell ref="N30:O30"/>
    <mergeCell ref="N31:O31"/>
    <mergeCell ref="A26:P26"/>
    <mergeCell ref="A30:B30"/>
    <mergeCell ref="C30:D30"/>
    <mergeCell ref="E30:G30"/>
    <mergeCell ref="H30:J30"/>
    <mergeCell ref="A31:B31"/>
    <mergeCell ref="C31:D31"/>
    <mergeCell ref="E31:G31"/>
    <mergeCell ref="H19:I19"/>
    <mergeCell ref="J19:M19"/>
    <mergeCell ref="C25:D25"/>
    <mergeCell ref="E25:G25"/>
    <mergeCell ref="E27:G27"/>
    <mergeCell ref="H27:J27"/>
    <mergeCell ref="E28:G28"/>
    <mergeCell ref="H28:J28"/>
    <mergeCell ref="E29:G29"/>
    <mergeCell ref="H29:J29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63"/>
      <c r="B1" s="251"/>
      <c r="C1" s="303"/>
      <c r="D1" s="318" t="s">
        <v>0</v>
      </c>
      <c r="E1" s="251"/>
      <c r="F1" s="251"/>
      <c r="G1" s="251"/>
      <c r="H1" s="251"/>
      <c r="I1" s="251"/>
      <c r="J1" s="251"/>
      <c r="K1" s="251"/>
      <c r="L1" s="303"/>
      <c r="M1" s="297" t="s">
        <v>1</v>
      </c>
      <c r="N1" s="223"/>
      <c r="O1" s="297" t="s">
        <v>300</v>
      </c>
      <c r="P1" s="224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66"/>
      <c r="B2" s="237"/>
      <c r="C2" s="285"/>
      <c r="D2" s="286"/>
      <c r="E2" s="226"/>
      <c r="F2" s="226"/>
      <c r="G2" s="226"/>
      <c r="H2" s="226"/>
      <c r="I2" s="226"/>
      <c r="J2" s="226"/>
      <c r="K2" s="226"/>
      <c r="L2" s="227"/>
      <c r="M2" s="288" t="s">
        <v>3</v>
      </c>
      <c r="N2" s="227"/>
      <c r="O2" s="289">
        <v>1</v>
      </c>
      <c r="P2" s="244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66"/>
      <c r="B3" s="237"/>
      <c r="C3" s="285"/>
      <c r="D3" s="290" t="s">
        <v>301</v>
      </c>
      <c r="E3" s="243"/>
      <c r="F3" s="243"/>
      <c r="G3" s="243"/>
      <c r="H3" s="243"/>
      <c r="I3" s="243"/>
      <c r="J3" s="243"/>
      <c r="K3" s="243"/>
      <c r="L3" s="281"/>
      <c r="M3" s="288" t="s">
        <v>5</v>
      </c>
      <c r="N3" s="227"/>
      <c r="O3" s="287" t="s">
        <v>6</v>
      </c>
      <c r="P3" s="235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66"/>
      <c r="B4" s="237"/>
      <c r="C4" s="285"/>
      <c r="D4" s="284"/>
      <c r="E4" s="237"/>
      <c r="F4" s="237"/>
      <c r="G4" s="237"/>
      <c r="H4" s="237"/>
      <c r="I4" s="237"/>
      <c r="J4" s="237"/>
      <c r="K4" s="237"/>
      <c r="L4" s="285"/>
      <c r="M4" s="280" t="s">
        <v>7</v>
      </c>
      <c r="N4" s="281"/>
      <c r="O4" s="264" t="s">
        <v>8</v>
      </c>
      <c r="P4" s="235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314"/>
      <c r="B5" s="226"/>
      <c r="C5" s="227"/>
      <c r="D5" s="286"/>
      <c r="E5" s="226"/>
      <c r="F5" s="226"/>
      <c r="G5" s="226"/>
      <c r="H5" s="226"/>
      <c r="I5" s="226"/>
      <c r="J5" s="226"/>
      <c r="K5" s="226"/>
      <c r="L5" s="227"/>
      <c r="M5" s="286"/>
      <c r="N5" s="227"/>
      <c r="O5" s="265" t="s">
        <v>9</v>
      </c>
      <c r="P5" s="235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28"/>
      <c r="B6" s="97"/>
      <c r="C6" s="97"/>
      <c r="D6" s="6"/>
      <c r="E6" s="6"/>
      <c r="F6" s="6"/>
      <c r="G6" s="6"/>
      <c r="H6" s="6"/>
      <c r="I6" s="6"/>
      <c r="J6" s="6"/>
      <c r="K6" s="6"/>
      <c r="L6" s="6"/>
      <c r="M6" s="49"/>
      <c r="N6" s="49"/>
      <c r="O6" s="98"/>
      <c r="P6" s="99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78" t="s">
        <v>10</v>
      </c>
      <c r="B7" s="232"/>
      <c r="C7" s="232"/>
      <c r="D7" s="232"/>
      <c r="E7" s="233"/>
      <c r="F7" s="274" t="str">
        <f>'ORDEN ENVASADO'!F6</f>
        <v>SUERO DE NIACINAMIDA 5% FORMULA NUEVA</v>
      </c>
      <c r="G7" s="232"/>
      <c r="H7" s="232"/>
      <c r="I7" s="232"/>
      <c r="J7" s="232"/>
      <c r="K7" s="232"/>
      <c r="L7" s="232"/>
      <c r="M7" s="232"/>
      <c r="N7" s="232"/>
      <c r="O7" s="232"/>
      <c r="P7" s="235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428" t="s">
        <v>55</v>
      </c>
      <c r="B8" s="243"/>
      <c r="C8" s="243"/>
      <c r="D8" s="243"/>
      <c r="E8" s="281"/>
      <c r="F8" s="395" t="str">
        <f>'ORDEN ENVASADO'!F7</f>
        <v>252111</v>
      </c>
      <c r="G8" s="281"/>
      <c r="H8" s="280" t="s">
        <v>236</v>
      </c>
      <c r="I8" s="281"/>
      <c r="J8" s="357" t="str">
        <f>'ORDEN ENVASADO'!J7</f>
        <v>OP-L-099</v>
      </c>
      <c r="K8" s="243"/>
      <c r="L8" s="281"/>
      <c r="M8" s="290" t="s">
        <v>16</v>
      </c>
      <c r="N8" s="281"/>
      <c r="O8" s="398" t="s">
        <v>294</v>
      </c>
      <c r="P8" s="244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307" t="s">
        <v>241</v>
      </c>
      <c r="B9" s="232"/>
      <c r="C9" s="232"/>
      <c r="D9" s="232"/>
      <c r="E9" s="233"/>
      <c r="F9" s="387"/>
      <c r="G9" s="233"/>
      <c r="H9" s="276" t="s">
        <v>239</v>
      </c>
      <c r="I9" s="232"/>
      <c r="J9" s="382"/>
      <c r="K9" s="232"/>
      <c r="L9" s="232"/>
      <c r="M9" s="276" t="s">
        <v>240</v>
      </c>
      <c r="N9" s="232"/>
      <c r="O9" s="276"/>
      <c r="P9" s="235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307" t="s">
        <v>302</v>
      </c>
      <c r="B10" s="232"/>
      <c r="C10" s="232"/>
      <c r="D10" s="232"/>
      <c r="E10" s="233"/>
      <c r="F10" s="387"/>
      <c r="G10" s="233"/>
      <c r="H10" s="276" t="s">
        <v>303</v>
      </c>
      <c r="I10" s="233"/>
      <c r="J10" s="287"/>
      <c r="K10" s="232"/>
      <c r="L10" s="233"/>
      <c r="M10" s="276" t="s">
        <v>169</v>
      </c>
      <c r="N10" s="233"/>
      <c r="O10" s="276"/>
      <c r="P10" s="235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329" t="s">
        <v>170</v>
      </c>
      <c r="B11" s="232"/>
      <c r="C11" s="232"/>
      <c r="D11" s="232"/>
      <c r="E11" s="232"/>
      <c r="F11" s="232"/>
      <c r="G11" s="232"/>
      <c r="H11" s="232"/>
      <c r="I11" s="232"/>
      <c r="J11" s="232"/>
      <c r="K11" s="232"/>
      <c r="L11" s="232"/>
      <c r="M11" s="233"/>
      <c r="N11" s="304" t="s">
        <v>171</v>
      </c>
      <c r="O11" s="233"/>
      <c r="P11" s="17" t="s">
        <v>172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242" t="s">
        <v>173</v>
      </c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81"/>
      <c r="N12" s="429"/>
      <c r="O12" s="281"/>
      <c r="P12" s="100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400" t="s">
        <v>304</v>
      </c>
      <c r="B13" s="232"/>
      <c r="C13" s="23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5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329" t="s">
        <v>305</v>
      </c>
      <c r="B14" s="232"/>
      <c r="C14" s="233"/>
      <c r="D14" s="345" t="s">
        <v>306</v>
      </c>
      <c r="E14" s="232"/>
      <c r="F14" s="233"/>
      <c r="G14" s="345" t="s">
        <v>307</v>
      </c>
      <c r="H14" s="233"/>
      <c r="I14" s="345" t="s">
        <v>308</v>
      </c>
      <c r="J14" s="232"/>
      <c r="K14" s="232"/>
      <c r="L14" s="233"/>
      <c r="M14" s="345" t="s">
        <v>309</v>
      </c>
      <c r="N14" s="233"/>
      <c r="O14" s="345" t="s">
        <v>310</v>
      </c>
      <c r="P14" s="235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307" t="s">
        <v>311</v>
      </c>
      <c r="B15" s="232"/>
      <c r="C15" s="232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/>
      <c r="P15" s="235"/>
      <c r="Q15" s="1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308" t="s">
        <v>312</v>
      </c>
      <c r="B16" s="226"/>
      <c r="C16" s="227"/>
      <c r="D16" s="276" t="s">
        <v>313</v>
      </c>
      <c r="E16" s="232"/>
      <c r="F16" s="232"/>
      <c r="G16" s="232"/>
      <c r="H16" s="232"/>
      <c r="I16" s="232"/>
      <c r="J16" s="232"/>
      <c r="K16" s="232"/>
      <c r="L16" s="233"/>
      <c r="M16" s="425" t="s">
        <v>86</v>
      </c>
      <c r="N16" s="227"/>
      <c r="O16" s="309" t="s">
        <v>87</v>
      </c>
      <c r="P16" s="310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433" t="s">
        <v>314</v>
      </c>
      <c r="B17" s="243"/>
      <c r="C17" s="281"/>
      <c r="D17" s="276"/>
      <c r="E17" s="232"/>
      <c r="F17" s="232"/>
      <c r="G17" s="232"/>
      <c r="H17" s="232"/>
      <c r="I17" s="232"/>
      <c r="J17" s="232"/>
      <c r="K17" s="232"/>
      <c r="L17" s="233"/>
      <c r="M17" s="434"/>
      <c r="N17" s="281"/>
      <c r="O17" s="365"/>
      <c r="P17" s="235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433" t="s">
        <v>315</v>
      </c>
      <c r="B18" s="243"/>
      <c r="C18" s="281"/>
      <c r="D18" s="276"/>
      <c r="E18" s="232"/>
      <c r="F18" s="232"/>
      <c r="G18" s="232"/>
      <c r="H18" s="232"/>
      <c r="I18" s="232"/>
      <c r="J18" s="232"/>
      <c r="K18" s="232"/>
      <c r="L18" s="233"/>
      <c r="M18" s="435"/>
      <c r="N18" s="281"/>
      <c r="O18" s="434"/>
      <c r="P18" s="244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307" t="s">
        <v>316</v>
      </c>
      <c r="B19" s="232"/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5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307" t="s">
        <v>317</v>
      </c>
      <c r="B20" s="233"/>
      <c r="C20" s="304" t="s">
        <v>67</v>
      </c>
      <c r="D20" s="232"/>
      <c r="E20" s="233"/>
      <c r="F20" s="304" t="s">
        <v>302</v>
      </c>
      <c r="G20" s="233"/>
      <c r="H20" s="304" t="s">
        <v>303</v>
      </c>
      <c r="I20" s="233"/>
      <c r="J20" s="304" t="s">
        <v>318</v>
      </c>
      <c r="K20" s="232"/>
      <c r="L20" s="233"/>
      <c r="M20" s="304" t="s">
        <v>319</v>
      </c>
      <c r="N20" s="233"/>
      <c r="O20" s="304" t="s">
        <v>320</v>
      </c>
      <c r="P20" s="235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307" t="s">
        <v>321</v>
      </c>
      <c r="B21" s="233"/>
      <c r="C21" s="276"/>
      <c r="D21" s="232"/>
      <c r="E21" s="233"/>
      <c r="F21" s="430" t="s">
        <v>322</v>
      </c>
      <c r="G21" s="233"/>
      <c r="H21" s="430" t="s">
        <v>322</v>
      </c>
      <c r="I21" s="233"/>
      <c r="J21" s="276"/>
      <c r="K21" s="232"/>
      <c r="L21" s="233"/>
      <c r="M21" s="276"/>
      <c r="N21" s="233"/>
      <c r="O21" s="276"/>
      <c r="P21" s="235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307" t="s">
        <v>323</v>
      </c>
      <c r="B22" s="233"/>
      <c r="C22" s="276"/>
      <c r="D22" s="232"/>
      <c r="E22" s="233"/>
      <c r="F22" s="430" t="s">
        <v>322</v>
      </c>
      <c r="G22" s="233"/>
      <c r="H22" s="430" t="s">
        <v>322</v>
      </c>
      <c r="I22" s="233"/>
      <c r="J22" s="276"/>
      <c r="K22" s="232"/>
      <c r="L22" s="233"/>
      <c r="M22" s="276"/>
      <c r="N22" s="233"/>
      <c r="O22" s="276"/>
      <c r="P22" s="235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307" t="s">
        <v>324</v>
      </c>
      <c r="B23" s="233"/>
      <c r="C23" s="276"/>
      <c r="D23" s="232"/>
      <c r="E23" s="233"/>
      <c r="F23" s="430" t="s">
        <v>322</v>
      </c>
      <c r="G23" s="233"/>
      <c r="H23" s="430" t="s">
        <v>322</v>
      </c>
      <c r="I23" s="233"/>
      <c r="J23" s="276"/>
      <c r="K23" s="232"/>
      <c r="L23" s="233"/>
      <c r="M23" s="276"/>
      <c r="N23" s="233"/>
      <c r="O23" s="276"/>
      <c r="P23" s="235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307" t="s">
        <v>325</v>
      </c>
      <c r="B24" s="233"/>
      <c r="C24" s="276"/>
      <c r="D24" s="232"/>
      <c r="E24" s="233"/>
      <c r="F24" s="430" t="s">
        <v>322</v>
      </c>
      <c r="G24" s="233"/>
      <c r="H24" s="430" t="s">
        <v>322</v>
      </c>
      <c r="I24" s="233"/>
      <c r="J24" s="276"/>
      <c r="K24" s="232"/>
      <c r="L24" s="233"/>
      <c r="M24" s="276"/>
      <c r="N24" s="233"/>
      <c r="O24" s="276"/>
      <c r="P24" s="235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307" t="s">
        <v>326</v>
      </c>
      <c r="B25" s="233"/>
      <c r="C25" s="276"/>
      <c r="D25" s="232"/>
      <c r="E25" s="233"/>
      <c r="F25" s="430" t="s">
        <v>322</v>
      </c>
      <c r="G25" s="233"/>
      <c r="H25" s="430" t="s">
        <v>322</v>
      </c>
      <c r="I25" s="233"/>
      <c r="J25" s="276"/>
      <c r="K25" s="232"/>
      <c r="L25" s="233"/>
      <c r="M25" s="276"/>
      <c r="N25" s="233"/>
      <c r="O25" s="276"/>
      <c r="P25" s="235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307" t="s">
        <v>327</v>
      </c>
      <c r="B26" s="233"/>
      <c r="C26" s="305"/>
      <c r="D26" s="232"/>
      <c r="E26" s="233"/>
      <c r="F26" s="426" t="s">
        <v>260</v>
      </c>
      <c r="G26" s="233"/>
      <c r="H26" s="276"/>
      <c r="I26" s="233"/>
      <c r="J26" s="304" t="s">
        <v>328</v>
      </c>
      <c r="K26" s="232"/>
      <c r="L26" s="233"/>
      <c r="M26" s="300"/>
      <c r="N26" s="233"/>
      <c r="O26" s="345" t="s">
        <v>260</v>
      </c>
      <c r="P26" s="235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428" t="s">
        <v>329</v>
      </c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4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307" t="s">
        <v>330</v>
      </c>
      <c r="B28" s="232"/>
      <c r="C28" s="232"/>
      <c r="D28" s="232"/>
      <c r="E28" s="232"/>
      <c r="F28" s="232"/>
      <c r="G28" s="233"/>
      <c r="H28" s="276"/>
      <c r="I28" s="232"/>
      <c r="J28" s="232"/>
      <c r="K28" s="232"/>
      <c r="L28" s="232"/>
      <c r="M28" s="232"/>
      <c r="N28" s="232"/>
      <c r="O28" s="232"/>
      <c r="P28" s="235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307" t="s">
        <v>331</v>
      </c>
      <c r="B29" s="232"/>
      <c r="C29" s="232"/>
      <c r="D29" s="232"/>
      <c r="E29" s="232"/>
      <c r="F29" s="232"/>
      <c r="G29" s="233"/>
      <c r="H29" s="276"/>
      <c r="I29" s="232"/>
      <c r="J29" s="232"/>
      <c r="K29" s="232"/>
      <c r="L29" s="232"/>
      <c r="M29" s="232"/>
      <c r="N29" s="232"/>
      <c r="O29" s="232"/>
      <c r="P29" s="235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307" t="s">
        <v>332</v>
      </c>
      <c r="B30" s="232"/>
      <c r="C30" s="232"/>
      <c r="D30" s="232"/>
      <c r="E30" s="232"/>
      <c r="F30" s="232"/>
      <c r="G30" s="233"/>
      <c r="H30" s="276"/>
      <c r="I30" s="232"/>
      <c r="J30" s="232"/>
      <c r="K30" s="232"/>
      <c r="L30" s="232"/>
      <c r="M30" s="232"/>
      <c r="N30" s="232"/>
      <c r="O30" s="232"/>
      <c r="P30" s="235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308" t="s">
        <v>240</v>
      </c>
      <c r="B31" s="226"/>
      <c r="C31" s="226"/>
      <c r="D31" s="226"/>
      <c r="E31" s="226"/>
      <c r="F31" s="226"/>
      <c r="G31" s="227"/>
      <c r="H31" s="276"/>
      <c r="I31" s="232"/>
      <c r="J31" s="232"/>
      <c r="K31" s="232"/>
      <c r="L31" s="232"/>
      <c r="M31" s="232"/>
      <c r="N31" s="232"/>
      <c r="O31" s="232"/>
      <c r="P31" s="235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307" t="s">
        <v>302</v>
      </c>
      <c r="B32" s="232"/>
      <c r="C32" s="232"/>
      <c r="D32" s="232"/>
      <c r="E32" s="232"/>
      <c r="F32" s="232"/>
      <c r="G32" s="233"/>
      <c r="H32" s="276"/>
      <c r="I32" s="232"/>
      <c r="J32" s="232"/>
      <c r="K32" s="232"/>
      <c r="L32" s="232"/>
      <c r="M32" s="232"/>
      <c r="N32" s="232"/>
      <c r="O32" s="232"/>
      <c r="P32" s="235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307" t="s">
        <v>303</v>
      </c>
      <c r="B33" s="232"/>
      <c r="C33" s="232"/>
      <c r="D33" s="232"/>
      <c r="E33" s="232"/>
      <c r="F33" s="232"/>
      <c r="G33" s="233"/>
      <c r="H33" s="276"/>
      <c r="I33" s="232"/>
      <c r="J33" s="232"/>
      <c r="K33" s="232"/>
      <c r="L33" s="232"/>
      <c r="M33" s="232"/>
      <c r="N33" s="232"/>
      <c r="O33" s="232"/>
      <c r="P33" s="235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307" t="s">
        <v>258</v>
      </c>
      <c r="B34" s="232"/>
      <c r="C34" s="232"/>
      <c r="D34" s="232"/>
      <c r="E34" s="232"/>
      <c r="F34" s="232"/>
      <c r="G34" s="233"/>
      <c r="H34" s="276"/>
      <c r="I34" s="232"/>
      <c r="J34" s="232"/>
      <c r="K34" s="232"/>
      <c r="L34" s="232"/>
      <c r="M34" s="232"/>
      <c r="N34" s="232"/>
      <c r="O34" s="232"/>
      <c r="P34" s="235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307" t="s">
        <v>259</v>
      </c>
      <c r="B35" s="232"/>
      <c r="C35" s="232"/>
      <c r="D35" s="232"/>
      <c r="E35" s="232"/>
      <c r="F35" s="232"/>
      <c r="G35" s="232"/>
      <c r="H35" s="276"/>
      <c r="I35" s="232"/>
      <c r="J35" s="232"/>
      <c r="K35" s="232"/>
      <c r="L35" s="233"/>
      <c r="M35" s="276" t="s">
        <v>67</v>
      </c>
      <c r="N35" s="233"/>
      <c r="O35" s="276"/>
      <c r="P35" s="235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432" t="s">
        <v>45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4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66"/>
      <c r="B37" s="237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61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314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310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329" t="s">
        <v>333</v>
      </c>
      <c r="B39" s="232"/>
      <c r="C39" s="232"/>
      <c r="D39" s="232"/>
      <c r="E39" s="232"/>
      <c r="F39" s="232"/>
      <c r="G39" s="232"/>
      <c r="H39" s="232"/>
      <c r="I39" s="232"/>
      <c r="J39" s="232"/>
      <c r="K39" s="232"/>
      <c r="L39" s="233"/>
      <c r="M39" s="16" t="s">
        <v>260</v>
      </c>
      <c r="N39" s="300"/>
      <c r="O39" s="232"/>
      <c r="P39" s="235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431" t="s">
        <v>334</v>
      </c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101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14"/>
      <c r="O238" s="1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14"/>
      <c r="O239" s="1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14"/>
      <c r="O240" s="1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29"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D14:F14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63"/>
      <c r="B1" s="251"/>
      <c r="C1" s="303"/>
      <c r="D1" s="318" t="s">
        <v>0</v>
      </c>
      <c r="E1" s="251"/>
      <c r="F1" s="251"/>
      <c r="G1" s="251"/>
      <c r="H1" s="251"/>
      <c r="I1" s="251"/>
      <c r="J1" s="251"/>
      <c r="K1" s="251"/>
      <c r="L1" s="303"/>
      <c r="M1" s="297" t="s">
        <v>1</v>
      </c>
      <c r="N1" s="223"/>
      <c r="O1" s="297" t="s">
        <v>300</v>
      </c>
      <c r="P1" s="224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66"/>
      <c r="B2" s="237"/>
      <c r="C2" s="285"/>
      <c r="D2" s="286"/>
      <c r="E2" s="226"/>
      <c r="F2" s="226"/>
      <c r="G2" s="226"/>
      <c r="H2" s="226"/>
      <c r="I2" s="226"/>
      <c r="J2" s="226"/>
      <c r="K2" s="226"/>
      <c r="L2" s="227"/>
      <c r="M2" s="288" t="s">
        <v>3</v>
      </c>
      <c r="N2" s="227"/>
      <c r="O2" s="289">
        <v>1</v>
      </c>
      <c r="P2" s="244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66"/>
      <c r="B3" s="237"/>
      <c r="C3" s="285"/>
      <c r="D3" s="290" t="s">
        <v>301</v>
      </c>
      <c r="E3" s="243"/>
      <c r="F3" s="243"/>
      <c r="G3" s="243"/>
      <c r="H3" s="243"/>
      <c r="I3" s="243"/>
      <c r="J3" s="243"/>
      <c r="K3" s="243"/>
      <c r="L3" s="281"/>
      <c r="M3" s="288" t="s">
        <v>5</v>
      </c>
      <c r="N3" s="227"/>
      <c r="O3" s="287" t="s">
        <v>6</v>
      </c>
      <c r="P3" s="235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66"/>
      <c r="B4" s="237"/>
      <c r="C4" s="285"/>
      <c r="D4" s="284"/>
      <c r="E4" s="237"/>
      <c r="F4" s="237"/>
      <c r="G4" s="237"/>
      <c r="H4" s="237"/>
      <c r="I4" s="237"/>
      <c r="J4" s="237"/>
      <c r="K4" s="237"/>
      <c r="L4" s="285"/>
      <c r="M4" s="280" t="s">
        <v>7</v>
      </c>
      <c r="N4" s="281"/>
      <c r="O4" s="264" t="s">
        <v>8</v>
      </c>
      <c r="P4" s="235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314"/>
      <c r="B5" s="226"/>
      <c r="C5" s="227"/>
      <c r="D5" s="286"/>
      <c r="E5" s="226"/>
      <c r="F5" s="226"/>
      <c r="G5" s="226"/>
      <c r="H5" s="226"/>
      <c r="I5" s="226"/>
      <c r="J5" s="226"/>
      <c r="K5" s="226"/>
      <c r="L5" s="227"/>
      <c r="M5" s="286"/>
      <c r="N5" s="227"/>
      <c r="O5" s="265" t="s">
        <v>9</v>
      </c>
      <c r="P5" s="235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28"/>
      <c r="B6" s="97"/>
      <c r="C6" s="97"/>
      <c r="D6" s="6"/>
      <c r="E6" s="6"/>
      <c r="F6" s="6"/>
      <c r="G6" s="6"/>
      <c r="H6" s="6"/>
      <c r="I6" s="6"/>
      <c r="J6" s="6"/>
      <c r="K6" s="6"/>
      <c r="L6" s="6"/>
      <c r="M6" s="49"/>
      <c r="N6" s="49"/>
      <c r="O6" s="98"/>
      <c r="P6" s="99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78" t="s">
        <v>10</v>
      </c>
      <c r="B7" s="232"/>
      <c r="C7" s="232"/>
      <c r="D7" s="232"/>
      <c r="E7" s="233"/>
      <c r="F7" s="274" t="str">
        <f>'ORDEN ENVASADO'!F6</f>
        <v>SUERO DE NIACINAMIDA 5% FORMULA NUEVA</v>
      </c>
      <c r="G7" s="232"/>
      <c r="H7" s="232"/>
      <c r="I7" s="232"/>
      <c r="J7" s="232"/>
      <c r="K7" s="232"/>
      <c r="L7" s="232"/>
      <c r="M7" s="232"/>
      <c r="N7" s="232"/>
      <c r="O7" s="232"/>
      <c r="P7" s="235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428" t="s">
        <v>55</v>
      </c>
      <c r="B8" s="243"/>
      <c r="C8" s="243"/>
      <c r="D8" s="243"/>
      <c r="E8" s="281"/>
      <c r="F8" s="395" t="str">
        <f>'ORDEN ENVASADO'!F7</f>
        <v>252111</v>
      </c>
      <c r="G8" s="281"/>
      <c r="H8" s="280" t="s">
        <v>236</v>
      </c>
      <c r="I8" s="281"/>
      <c r="J8" s="357" t="str">
        <f>'ORDEN ENVASADO'!J7</f>
        <v>OP-L-099</v>
      </c>
      <c r="K8" s="243"/>
      <c r="L8" s="281"/>
      <c r="M8" s="290" t="s">
        <v>16</v>
      </c>
      <c r="N8" s="281"/>
      <c r="O8" s="398" t="str">
        <f>'ORDEN ENVASADO'!O7</f>
        <v>30 mL</v>
      </c>
      <c r="P8" s="244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307" t="s">
        <v>241</v>
      </c>
      <c r="B9" s="232"/>
      <c r="C9" s="232"/>
      <c r="D9" s="232"/>
      <c r="E9" s="233"/>
      <c r="F9" s="387"/>
      <c r="G9" s="233"/>
      <c r="H9" s="276" t="s">
        <v>239</v>
      </c>
      <c r="I9" s="232"/>
      <c r="J9" s="382"/>
      <c r="K9" s="232"/>
      <c r="L9" s="232"/>
      <c r="M9" s="276" t="s">
        <v>240</v>
      </c>
      <c r="N9" s="232"/>
      <c r="O9" s="276"/>
      <c r="P9" s="235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307" t="s">
        <v>302</v>
      </c>
      <c r="B10" s="232"/>
      <c r="C10" s="232"/>
      <c r="D10" s="232"/>
      <c r="E10" s="233"/>
      <c r="F10" s="387"/>
      <c r="G10" s="233"/>
      <c r="H10" s="276" t="s">
        <v>303</v>
      </c>
      <c r="I10" s="233"/>
      <c r="J10" s="287"/>
      <c r="K10" s="232"/>
      <c r="L10" s="233"/>
      <c r="M10" s="276" t="s">
        <v>169</v>
      </c>
      <c r="N10" s="233"/>
      <c r="O10" s="276"/>
      <c r="P10" s="235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329" t="s">
        <v>170</v>
      </c>
      <c r="B11" s="232"/>
      <c r="C11" s="232"/>
      <c r="D11" s="232"/>
      <c r="E11" s="232"/>
      <c r="F11" s="232"/>
      <c r="G11" s="232"/>
      <c r="H11" s="232"/>
      <c r="I11" s="232"/>
      <c r="J11" s="232"/>
      <c r="K11" s="232"/>
      <c r="L11" s="232"/>
      <c r="M11" s="233"/>
      <c r="N11" s="304" t="s">
        <v>171</v>
      </c>
      <c r="O11" s="233"/>
      <c r="P11" s="17" t="s">
        <v>172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242" t="s">
        <v>173</v>
      </c>
      <c r="B12" s="243"/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81"/>
      <c r="N12" s="429"/>
      <c r="O12" s="281"/>
      <c r="P12" s="100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400" t="s">
        <v>335</v>
      </c>
      <c r="B13" s="232"/>
      <c r="C13" s="23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5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329" t="s">
        <v>305</v>
      </c>
      <c r="B14" s="232"/>
      <c r="C14" s="233"/>
      <c r="D14" s="345" t="s">
        <v>306</v>
      </c>
      <c r="E14" s="232"/>
      <c r="F14" s="233"/>
      <c r="G14" s="345" t="s">
        <v>307</v>
      </c>
      <c r="H14" s="233"/>
      <c r="I14" s="345" t="s">
        <v>308</v>
      </c>
      <c r="J14" s="232"/>
      <c r="K14" s="232"/>
      <c r="L14" s="233"/>
      <c r="M14" s="345" t="s">
        <v>309</v>
      </c>
      <c r="N14" s="233"/>
      <c r="O14" s="345" t="s">
        <v>310</v>
      </c>
      <c r="P14" s="235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307" t="s">
        <v>311</v>
      </c>
      <c r="B15" s="232"/>
      <c r="C15" s="232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/>
      <c r="P15" s="235"/>
      <c r="Q15" s="1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308" t="s">
        <v>312</v>
      </c>
      <c r="B16" s="226"/>
      <c r="C16" s="227"/>
      <c r="D16" s="276" t="s">
        <v>313</v>
      </c>
      <c r="E16" s="232"/>
      <c r="F16" s="232"/>
      <c r="G16" s="232"/>
      <c r="H16" s="232"/>
      <c r="I16" s="232"/>
      <c r="J16" s="232"/>
      <c r="K16" s="232"/>
      <c r="L16" s="233"/>
      <c r="M16" s="425" t="s">
        <v>86</v>
      </c>
      <c r="N16" s="227"/>
      <c r="O16" s="309" t="s">
        <v>87</v>
      </c>
      <c r="P16" s="310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433" t="s">
        <v>314</v>
      </c>
      <c r="B17" s="243"/>
      <c r="C17" s="281"/>
      <c r="D17" s="276"/>
      <c r="E17" s="232"/>
      <c r="F17" s="232"/>
      <c r="G17" s="232"/>
      <c r="H17" s="232"/>
      <c r="I17" s="232"/>
      <c r="J17" s="232"/>
      <c r="K17" s="232"/>
      <c r="L17" s="233"/>
      <c r="M17" s="434"/>
      <c r="N17" s="281"/>
      <c r="O17" s="365"/>
      <c r="P17" s="235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433" t="s">
        <v>315</v>
      </c>
      <c r="B18" s="243"/>
      <c r="C18" s="281"/>
      <c r="D18" s="276"/>
      <c r="E18" s="232"/>
      <c r="F18" s="232"/>
      <c r="G18" s="232"/>
      <c r="H18" s="232"/>
      <c r="I18" s="232"/>
      <c r="J18" s="232"/>
      <c r="K18" s="232"/>
      <c r="L18" s="233"/>
      <c r="M18" s="435"/>
      <c r="N18" s="281"/>
      <c r="O18" s="434"/>
      <c r="P18" s="244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307" t="s">
        <v>316</v>
      </c>
      <c r="B19" s="232"/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5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307" t="s">
        <v>317</v>
      </c>
      <c r="B20" s="233"/>
      <c r="C20" s="304" t="s">
        <v>67</v>
      </c>
      <c r="D20" s="232"/>
      <c r="E20" s="233"/>
      <c r="F20" s="304" t="s">
        <v>302</v>
      </c>
      <c r="G20" s="233"/>
      <c r="H20" s="304" t="s">
        <v>303</v>
      </c>
      <c r="I20" s="233"/>
      <c r="J20" s="304" t="s">
        <v>318</v>
      </c>
      <c r="K20" s="232"/>
      <c r="L20" s="233"/>
      <c r="M20" s="304" t="s">
        <v>319</v>
      </c>
      <c r="N20" s="233"/>
      <c r="O20" s="304" t="s">
        <v>320</v>
      </c>
      <c r="P20" s="235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307" t="s">
        <v>321</v>
      </c>
      <c r="B21" s="233"/>
      <c r="C21" s="276"/>
      <c r="D21" s="232"/>
      <c r="E21" s="233"/>
      <c r="F21" s="430" t="s">
        <v>322</v>
      </c>
      <c r="G21" s="233"/>
      <c r="H21" s="430" t="s">
        <v>322</v>
      </c>
      <c r="I21" s="233"/>
      <c r="J21" s="276"/>
      <c r="K21" s="232"/>
      <c r="L21" s="233"/>
      <c r="M21" s="276"/>
      <c r="N21" s="233"/>
      <c r="O21" s="276"/>
      <c r="P21" s="235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307" t="s">
        <v>323</v>
      </c>
      <c r="B22" s="233"/>
      <c r="C22" s="276"/>
      <c r="D22" s="232"/>
      <c r="E22" s="233"/>
      <c r="F22" s="430" t="s">
        <v>322</v>
      </c>
      <c r="G22" s="233"/>
      <c r="H22" s="430" t="s">
        <v>322</v>
      </c>
      <c r="I22" s="233"/>
      <c r="J22" s="276"/>
      <c r="K22" s="232"/>
      <c r="L22" s="233"/>
      <c r="M22" s="276"/>
      <c r="N22" s="233"/>
      <c r="O22" s="276"/>
      <c r="P22" s="235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307" t="s">
        <v>324</v>
      </c>
      <c r="B23" s="233"/>
      <c r="C23" s="276"/>
      <c r="D23" s="232"/>
      <c r="E23" s="233"/>
      <c r="F23" s="430" t="s">
        <v>322</v>
      </c>
      <c r="G23" s="233"/>
      <c r="H23" s="430" t="s">
        <v>322</v>
      </c>
      <c r="I23" s="233"/>
      <c r="J23" s="276"/>
      <c r="K23" s="232"/>
      <c r="L23" s="233"/>
      <c r="M23" s="276"/>
      <c r="N23" s="233"/>
      <c r="O23" s="276"/>
      <c r="P23" s="235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307" t="s">
        <v>325</v>
      </c>
      <c r="B24" s="233"/>
      <c r="C24" s="276"/>
      <c r="D24" s="232"/>
      <c r="E24" s="233"/>
      <c r="F24" s="430" t="s">
        <v>322</v>
      </c>
      <c r="G24" s="233"/>
      <c r="H24" s="430" t="s">
        <v>322</v>
      </c>
      <c r="I24" s="233"/>
      <c r="J24" s="276"/>
      <c r="K24" s="232"/>
      <c r="L24" s="233"/>
      <c r="M24" s="276"/>
      <c r="N24" s="233"/>
      <c r="O24" s="276"/>
      <c r="P24" s="235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307" t="s">
        <v>326</v>
      </c>
      <c r="B25" s="233"/>
      <c r="C25" s="276"/>
      <c r="D25" s="232"/>
      <c r="E25" s="233"/>
      <c r="F25" s="430" t="s">
        <v>322</v>
      </c>
      <c r="G25" s="233"/>
      <c r="H25" s="430" t="s">
        <v>322</v>
      </c>
      <c r="I25" s="233"/>
      <c r="J25" s="276"/>
      <c r="K25" s="232"/>
      <c r="L25" s="233"/>
      <c r="M25" s="276"/>
      <c r="N25" s="233"/>
      <c r="O25" s="276"/>
      <c r="P25" s="235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307" t="s">
        <v>327</v>
      </c>
      <c r="B26" s="233"/>
      <c r="C26" s="305"/>
      <c r="D26" s="232"/>
      <c r="E26" s="233"/>
      <c r="F26" s="426" t="s">
        <v>260</v>
      </c>
      <c r="G26" s="233"/>
      <c r="H26" s="276"/>
      <c r="I26" s="233"/>
      <c r="J26" s="304" t="s">
        <v>328</v>
      </c>
      <c r="K26" s="232"/>
      <c r="L26" s="233"/>
      <c r="M26" s="300"/>
      <c r="N26" s="233"/>
      <c r="O26" s="345" t="s">
        <v>260</v>
      </c>
      <c r="P26" s="235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428" t="s">
        <v>329</v>
      </c>
      <c r="B27" s="243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4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307" t="s">
        <v>330</v>
      </c>
      <c r="B28" s="232"/>
      <c r="C28" s="232"/>
      <c r="D28" s="232"/>
      <c r="E28" s="232"/>
      <c r="F28" s="232"/>
      <c r="G28" s="233"/>
      <c r="H28" s="276"/>
      <c r="I28" s="232"/>
      <c r="J28" s="232"/>
      <c r="K28" s="232"/>
      <c r="L28" s="232"/>
      <c r="M28" s="232"/>
      <c r="N28" s="232"/>
      <c r="O28" s="232"/>
      <c r="P28" s="235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307" t="s">
        <v>331</v>
      </c>
      <c r="B29" s="232"/>
      <c r="C29" s="232"/>
      <c r="D29" s="232"/>
      <c r="E29" s="232"/>
      <c r="F29" s="232"/>
      <c r="G29" s="233"/>
      <c r="H29" s="276"/>
      <c r="I29" s="232"/>
      <c r="J29" s="232"/>
      <c r="K29" s="232"/>
      <c r="L29" s="232"/>
      <c r="M29" s="232"/>
      <c r="N29" s="232"/>
      <c r="O29" s="232"/>
      <c r="P29" s="235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307" t="s">
        <v>332</v>
      </c>
      <c r="B30" s="232"/>
      <c r="C30" s="232"/>
      <c r="D30" s="232"/>
      <c r="E30" s="232"/>
      <c r="F30" s="232"/>
      <c r="G30" s="233"/>
      <c r="H30" s="276"/>
      <c r="I30" s="232"/>
      <c r="J30" s="232"/>
      <c r="K30" s="232"/>
      <c r="L30" s="232"/>
      <c r="M30" s="232"/>
      <c r="N30" s="232"/>
      <c r="O30" s="232"/>
      <c r="P30" s="235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308" t="s">
        <v>240</v>
      </c>
      <c r="B31" s="226"/>
      <c r="C31" s="226"/>
      <c r="D31" s="226"/>
      <c r="E31" s="226"/>
      <c r="F31" s="226"/>
      <c r="G31" s="227"/>
      <c r="H31" s="276"/>
      <c r="I31" s="232"/>
      <c r="J31" s="232"/>
      <c r="K31" s="232"/>
      <c r="L31" s="232"/>
      <c r="M31" s="232"/>
      <c r="N31" s="232"/>
      <c r="O31" s="232"/>
      <c r="P31" s="235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307" t="s">
        <v>302</v>
      </c>
      <c r="B32" s="232"/>
      <c r="C32" s="232"/>
      <c r="D32" s="232"/>
      <c r="E32" s="232"/>
      <c r="F32" s="232"/>
      <c r="G32" s="233"/>
      <c r="H32" s="276"/>
      <c r="I32" s="232"/>
      <c r="J32" s="232"/>
      <c r="K32" s="232"/>
      <c r="L32" s="232"/>
      <c r="M32" s="232"/>
      <c r="N32" s="232"/>
      <c r="O32" s="232"/>
      <c r="P32" s="235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307" t="s">
        <v>303</v>
      </c>
      <c r="B33" s="232"/>
      <c r="C33" s="232"/>
      <c r="D33" s="232"/>
      <c r="E33" s="232"/>
      <c r="F33" s="232"/>
      <c r="G33" s="233"/>
      <c r="H33" s="276"/>
      <c r="I33" s="232"/>
      <c r="J33" s="232"/>
      <c r="K33" s="232"/>
      <c r="L33" s="232"/>
      <c r="M33" s="232"/>
      <c r="N33" s="232"/>
      <c r="O33" s="232"/>
      <c r="P33" s="235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307" t="s">
        <v>258</v>
      </c>
      <c r="B34" s="232"/>
      <c r="C34" s="232"/>
      <c r="D34" s="232"/>
      <c r="E34" s="232"/>
      <c r="F34" s="232"/>
      <c r="G34" s="233"/>
      <c r="H34" s="276"/>
      <c r="I34" s="232"/>
      <c r="J34" s="232"/>
      <c r="K34" s="232"/>
      <c r="L34" s="232"/>
      <c r="M34" s="232"/>
      <c r="N34" s="232"/>
      <c r="O34" s="232"/>
      <c r="P34" s="235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307" t="s">
        <v>259</v>
      </c>
      <c r="B35" s="232"/>
      <c r="C35" s="232"/>
      <c r="D35" s="232"/>
      <c r="E35" s="232"/>
      <c r="F35" s="232"/>
      <c r="G35" s="232"/>
      <c r="H35" s="276"/>
      <c r="I35" s="232"/>
      <c r="J35" s="232"/>
      <c r="K35" s="232"/>
      <c r="L35" s="233"/>
      <c r="M35" s="276" t="s">
        <v>67</v>
      </c>
      <c r="N35" s="233"/>
      <c r="O35" s="276"/>
      <c r="P35" s="235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432" t="s">
        <v>45</v>
      </c>
      <c r="B36" s="243"/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4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66"/>
      <c r="B37" s="237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61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314"/>
      <c r="B38" s="226"/>
      <c r="C38" s="226"/>
      <c r="D38" s="226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310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329" t="s">
        <v>333</v>
      </c>
      <c r="B39" s="232"/>
      <c r="C39" s="232"/>
      <c r="D39" s="232"/>
      <c r="E39" s="232"/>
      <c r="F39" s="232"/>
      <c r="G39" s="232"/>
      <c r="H39" s="232"/>
      <c r="I39" s="232"/>
      <c r="J39" s="232"/>
      <c r="K39" s="232"/>
      <c r="L39" s="233"/>
      <c r="M39" s="16" t="s">
        <v>260</v>
      </c>
      <c r="N39" s="300"/>
      <c r="O39" s="232"/>
      <c r="P39" s="235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431" t="s">
        <v>334</v>
      </c>
      <c r="B40" s="254"/>
      <c r="C40" s="254"/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101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14"/>
      <c r="O238" s="1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14"/>
      <c r="O239" s="1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14"/>
      <c r="O240" s="1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29"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D14:F14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baseColWidth="10" defaultColWidth="14.3984375" defaultRowHeight="15" customHeight="1" x14ac:dyDescent="0.45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 x14ac:dyDescent="0.45">
      <c r="A1" s="441"/>
      <c r="B1" s="281"/>
      <c r="C1" s="441" t="s">
        <v>0</v>
      </c>
      <c r="D1" s="243"/>
      <c r="E1" s="243"/>
      <c r="F1" s="243"/>
      <c r="G1" s="281"/>
      <c r="H1" s="102" t="s">
        <v>1</v>
      </c>
      <c r="I1" s="102" t="s">
        <v>336</v>
      </c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24" customHeight="1" x14ac:dyDescent="0.45">
      <c r="A2" s="284"/>
      <c r="B2" s="285"/>
      <c r="C2" s="284"/>
      <c r="D2" s="237"/>
      <c r="E2" s="237"/>
      <c r="F2" s="237"/>
      <c r="G2" s="285"/>
      <c r="H2" s="102" t="s">
        <v>3</v>
      </c>
      <c r="I2" s="103">
        <v>1</v>
      </c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24" customHeight="1" x14ac:dyDescent="0.45">
      <c r="A3" s="284"/>
      <c r="B3" s="285"/>
      <c r="C3" s="286"/>
      <c r="D3" s="226"/>
      <c r="E3" s="226"/>
      <c r="F3" s="226"/>
      <c r="G3" s="227"/>
      <c r="H3" s="102" t="s">
        <v>5</v>
      </c>
      <c r="I3" s="102" t="s">
        <v>6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30" customHeight="1" x14ac:dyDescent="0.45">
      <c r="A4" s="284"/>
      <c r="B4" s="285"/>
      <c r="C4" s="441" t="s">
        <v>337</v>
      </c>
      <c r="D4" s="243"/>
      <c r="E4" s="243"/>
      <c r="F4" s="243"/>
      <c r="G4" s="281"/>
      <c r="H4" s="102" t="s">
        <v>7</v>
      </c>
      <c r="I4" s="102" t="s">
        <v>338</v>
      </c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2.5" customHeight="1" x14ac:dyDescent="0.45">
      <c r="A5" s="286"/>
      <c r="B5" s="227"/>
      <c r="C5" s="286"/>
      <c r="D5" s="226"/>
      <c r="E5" s="226"/>
      <c r="F5" s="226"/>
      <c r="G5" s="227"/>
      <c r="H5" s="102"/>
      <c r="I5" s="104" t="s">
        <v>339</v>
      </c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4.25" customHeight="1" x14ac:dyDescent="0.45">
      <c r="A6" s="105"/>
      <c r="B6" s="105"/>
      <c r="C6" s="105"/>
      <c r="D6" s="105"/>
      <c r="E6" s="105"/>
      <c r="F6" s="105"/>
      <c r="G6" s="105"/>
      <c r="H6" s="105"/>
      <c r="I6" s="105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4.25" customHeight="1" x14ac:dyDescent="0.5">
      <c r="A7" s="106"/>
      <c r="B7" s="106"/>
      <c r="C7" s="106"/>
      <c r="D7" s="106"/>
      <c r="E7" s="106"/>
      <c r="F7" s="106"/>
      <c r="G7" s="106"/>
      <c r="H7" s="106"/>
      <c r="I7" s="106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22.5" customHeight="1" x14ac:dyDescent="0.45">
      <c r="A8" s="439"/>
      <c r="B8" s="441" t="s">
        <v>0</v>
      </c>
      <c r="C8" s="243"/>
      <c r="D8" s="243"/>
      <c r="E8" s="243"/>
      <c r="F8" s="281"/>
      <c r="G8" s="102" t="s">
        <v>1</v>
      </c>
      <c r="H8" s="440" t="s">
        <v>336</v>
      </c>
      <c r="I8" s="233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4" customHeight="1" x14ac:dyDescent="0.45">
      <c r="A9" s="284"/>
      <c r="B9" s="284"/>
      <c r="C9" s="237"/>
      <c r="D9" s="237"/>
      <c r="E9" s="237"/>
      <c r="F9" s="285"/>
      <c r="G9" s="102" t="s">
        <v>3</v>
      </c>
      <c r="H9" s="444">
        <v>1</v>
      </c>
      <c r="I9" s="233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24" customHeight="1" x14ac:dyDescent="0.45">
      <c r="A10" s="284"/>
      <c r="B10" s="286"/>
      <c r="C10" s="226"/>
      <c r="D10" s="226"/>
      <c r="E10" s="226"/>
      <c r="F10" s="227"/>
      <c r="G10" s="102" t="s">
        <v>5</v>
      </c>
      <c r="H10" s="440" t="s">
        <v>6</v>
      </c>
      <c r="I10" s="233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21" customHeight="1" x14ac:dyDescent="0.45">
      <c r="A11" s="284"/>
      <c r="B11" s="441" t="s">
        <v>337</v>
      </c>
      <c r="C11" s="243"/>
      <c r="D11" s="243"/>
      <c r="E11" s="243"/>
      <c r="F11" s="281"/>
      <c r="G11" s="442" t="s">
        <v>7</v>
      </c>
      <c r="H11" s="440" t="s">
        <v>338</v>
      </c>
      <c r="I11" s="233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24" customHeight="1" x14ac:dyDescent="0.45">
      <c r="A12" s="286"/>
      <c r="B12" s="286"/>
      <c r="C12" s="226"/>
      <c r="D12" s="226"/>
      <c r="E12" s="226"/>
      <c r="F12" s="227"/>
      <c r="G12" s="381"/>
      <c r="H12" s="443" t="s">
        <v>339</v>
      </c>
      <c r="I12" s="233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54" customHeight="1" x14ac:dyDescent="0.45">
      <c r="A13" s="108" t="s">
        <v>340</v>
      </c>
      <c r="B13" s="436"/>
      <c r="C13" s="232"/>
      <c r="D13" s="232"/>
      <c r="E13" s="232"/>
      <c r="F13" s="232"/>
      <c r="G13" s="232"/>
      <c r="H13" s="232"/>
      <c r="I13" s="233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57" customHeight="1" x14ac:dyDescent="0.45">
      <c r="A14" s="108" t="s">
        <v>341</v>
      </c>
      <c r="B14" s="436"/>
      <c r="C14" s="232"/>
      <c r="D14" s="232"/>
      <c r="E14" s="232"/>
      <c r="F14" s="233"/>
      <c r="G14" s="108" t="s">
        <v>183</v>
      </c>
      <c r="H14" s="437"/>
      <c r="I14" s="233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63.75" customHeight="1" x14ac:dyDescent="0.45">
      <c r="A15" s="108" t="s">
        <v>342</v>
      </c>
      <c r="B15" s="436"/>
      <c r="C15" s="232"/>
      <c r="D15" s="232"/>
      <c r="E15" s="232"/>
      <c r="F15" s="233"/>
      <c r="G15" s="108" t="s">
        <v>343</v>
      </c>
      <c r="H15" s="436"/>
      <c r="I15" s="233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66.75" customHeight="1" x14ac:dyDescent="0.45">
      <c r="A16" s="108" t="s">
        <v>344</v>
      </c>
      <c r="B16" s="436"/>
      <c r="C16" s="232"/>
      <c r="D16" s="232"/>
      <c r="E16" s="232"/>
      <c r="F16" s="233"/>
      <c r="G16" s="108" t="s">
        <v>343</v>
      </c>
      <c r="H16" s="436"/>
      <c r="I16" s="233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63.75" customHeight="1" x14ac:dyDescent="0.45">
      <c r="A17" s="108" t="s">
        <v>345</v>
      </c>
      <c r="B17" s="436"/>
      <c r="C17" s="232"/>
      <c r="D17" s="232"/>
      <c r="E17" s="232"/>
      <c r="F17" s="232"/>
      <c r="G17" s="232"/>
      <c r="H17" s="232"/>
      <c r="I17" s="233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46.5" customHeight="1" x14ac:dyDescent="0.45">
      <c r="A18" s="108" t="s">
        <v>201</v>
      </c>
      <c r="B18" s="436"/>
      <c r="C18" s="232"/>
      <c r="D18" s="232"/>
      <c r="E18" s="232"/>
      <c r="F18" s="233"/>
      <c r="G18" s="108" t="s">
        <v>260</v>
      </c>
      <c r="H18" s="437"/>
      <c r="I18" s="233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48" customHeight="1" x14ac:dyDescent="0.45">
      <c r="A19" s="108" t="s">
        <v>181</v>
      </c>
      <c r="B19" s="436"/>
      <c r="C19" s="232"/>
      <c r="D19" s="232"/>
      <c r="E19" s="232"/>
      <c r="F19" s="233"/>
      <c r="G19" s="108" t="s">
        <v>260</v>
      </c>
      <c r="H19" s="437"/>
      <c r="I19" s="233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4.25" customHeight="1" x14ac:dyDescent="0.45">
      <c r="A20" s="110"/>
      <c r="B20" s="82"/>
      <c r="C20" s="82"/>
      <c r="D20" s="82"/>
      <c r="E20" s="82"/>
      <c r="F20" s="82"/>
      <c r="G20" s="82"/>
      <c r="H20" s="438"/>
      <c r="I20" s="285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22.5" customHeight="1" x14ac:dyDescent="0.45">
      <c r="A21" s="439"/>
      <c r="B21" s="441" t="s">
        <v>0</v>
      </c>
      <c r="C21" s="243"/>
      <c r="D21" s="243"/>
      <c r="E21" s="243"/>
      <c r="F21" s="281"/>
      <c r="G21" s="102" t="s">
        <v>1</v>
      </c>
      <c r="H21" s="440" t="s">
        <v>336</v>
      </c>
      <c r="I21" s="233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23.25" customHeight="1" x14ac:dyDescent="0.45">
      <c r="A22" s="284"/>
      <c r="B22" s="284"/>
      <c r="C22" s="237"/>
      <c r="D22" s="237"/>
      <c r="E22" s="237"/>
      <c r="F22" s="285"/>
      <c r="G22" s="102" t="s">
        <v>3</v>
      </c>
      <c r="H22" s="444">
        <v>1</v>
      </c>
      <c r="I22" s="233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27.75" customHeight="1" x14ac:dyDescent="0.45">
      <c r="A23" s="284"/>
      <c r="B23" s="286"/>
      <c r="C23" s="226"/>
      <c r="D23" s="226"/>
      <c r="E23" s="226"/>
      <c r="F23" s="227"/>
      <c r="G23" s="102" t="s">
        <v>5</v>
      </c>
      <c r="H23" s="440" t="s">
        <v>6</v>
      </c>
      <c r="I23" s="233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27.75" customHeight="1" x14ac:dyDescent="0.45">
      <c r="A24" s="284"/>
      <c r="B24" s="441" t="s">
        <v>337</v>
      </c>
      <c r="C24" s="243"/>
      <c r="D24" s="243"/>
      <c r="E24" s="243"/>
      <c r="F24" s="281"/>
      <c r="G24" s="442" t="s">
        <v>7</v>
      </c>
      <c r="H24" s="440" t="s">
        <v>338</v>
      </c>
      <c r="I24" s="233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34.5" customHeight="1" x14ac:dyDescent="0.45">
      <c r="A25" s="286"/>
      <c r="B25" s="286"/>
      <c r="C25" s="226"/>
      <c r="D25" s="226"/>
      <c r="E25" s="226"/>
      <c r="F25" s="227"/>
      <c r="G25" s="381"/>
      <c r="H25" s="443" t="s">
        <v>339</v>
      </c>
      <c r="I25" s="233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63.75" customHeight="1" x14ac:dyDescent="0.45">
      <c r="A26" s="108" t="s">
        <v>340</v>
      </c>
      <c r="B26" s="436"/>
      <c r="C26" s="232"/>
      <c r="D26" s="232"/>
      <c r="E26" s="232"/>
      <c r="F26" s="232"/>
      <c r="G26" s="232"/>
      <c r="H26" s="232"/>
      <c r="I26" s="233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48" customHeight="1" x14ac:dyDescent="0.45">
      <c r="A27" s="108" t="s">
        <v>341</v>
      </c>
      <c r="B27" s="436"/>
      <c r="C27" s="232"/>
      <c r="D27" s="232"/>
      <c r="E27" s="232"/>
      <c r="F27" s="233"/>
      <c r="G27" s="108" t="s">
        <v>183</v>
      </c>
      <c r="H27" s="437"/>
      <c r="I27" s="233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57.75" customHeight="1" x14ac:dyDescent="0.45">
      <c r="A28" s="108" t="s">
        <v>342</v>
      </c>
      <c r="B28" s="436"/>
      <c r="C28" s="232"/>
      <c r="D28" s="232"/>
      <c r="E28" s="232"/>
      <c r="F28" s="233"/>
      <c r="G28" s="108" t="s">
        <v>343</v>
      </c>
      <c r="H28" s="436"/>
      <c r="I28" s="233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57" customHeight="1" x14ac:dyDescent="0.45">
      <c r="A29" s="108" t="s">
        <v>344</v>
      </c>
      <c r="B29" s="436"/>
      <c r="C29" s="232"/>
      <c r="D29" s="232"/>
      <c r="E29" s="232"/>
      <c r="F29" s="233"/>
      <c r="G29" s="108" t="s">
        <v>343</v>
      </c>
      <c r="H29" s="436"/>
      <c r="I29" s="233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49.5" customHeight="1" x14ac:dyDescent="0.45">
      <c r="A30" s="108" t="s">
        <v>345</v>
      </c>
      <c r="B30" s="436"/>
      <c r="C30" s="232"/>
      <c r="D30" s="232"/>
      <c r="E30" s="232"/>
      <c r="F30" s="232"/>
      <c r="G30" s="232"/>
      <c r="H30" s="232"/>
      <c r="I30" s="233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42.75" customHeight="1" x14ac:dyDescent="0.45">
      <c r="A31" s="108" t="s">
        <v>201</v>
      </c>
      <c r="B31" s="436"/>
      <c r="C31" s="232"/>
      <c r="D31" s="232"/>
      <c r="E31" s="232"/>
      <c r="F31" s="233"/>
      <c r="G31" s="108" t="s">
        <v>260</v>
      </c>
      <c r="H31" s="437"/>
      <c r="I31" s="233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48" customHeight="1" x14ac:dyDescent="0.45">
      <c r="A32" s="108" t="s">
        <v>181</v>
      </c>
      <c r="B32" s="436"/>
      <c r="C32" s="232"/>
      <c r="D32" s="232"/>
      <c r="E32" s="232"/>
      <c r="F32" s="233"/>
      <c r="G32" s="108" t="s">
        <v>260</v>
      </c>
      <c r="H32" s="437"/>
      <c r="I32" s="233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4.25" customHeight="1" x14ac:dyDescent="0.45">
      <c r="A33" s="110"/>
      <c r="B33" s="82"/>
      <c r="C33" s="82"/>
      <c r="D33" s="82"/>
      <c r="E33" s="82"/>
      <c r="F33" s="82"/>
      <c r="G33" s="82"/>
      <c r="H33" s="82"/>
      <c r="I33" s="111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24.75" customHeight="1" x14ac:dyDescent="0.45">
      <c r="A34" s="439"/>
      <c r="B34" s="441" t="s">
        <v>0</v>
      </c>
      <c r="C34" s="243"/>
      <c r="D34" s="243"/>
      <c r="E34" s="243"/>
      <c r="F34" s="281"/>
      <c r="G34" s="102" t="s">
        <v>1</v>
      </c>
      <c r="H34" s="440" t="s">
        <v>336</v>
      </c>
      <c r="I34" s="233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21.75" customHeight="1" x14ac:dyDescent="0.45">
      <c r="A35" s="284"/>
      <c r="B35" s="284"/>
      <c r="C35" s="237"/>
      <c r="D35" s="237"/>
      <c r="E35" s="237"/>
      <c r="F35" s="285"/>
      <c r="G35" s="102" t="s">
        <v>3</v>
      </c>
      <c r="H35" s="444">
        <v>1</v>
      </c>
      <c r="I35" s="233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25.5" customHeight="1" x14ac:dyDescent="0.45">
      <c r="A36" s="284"/>
      <c r="B36" s="286"/>
      <c r="C36" s="226"/>
      <c r="D36" s="226"/>
      <c r="E36" s="226"/>
      <c r="F36" s="227"/>
      <c r="G36" s="102" t="s">
        <v>5</v>
      </c>
      <c r="H36" s="440" t="s">
        <v>6</v>
      </c>
      <c r="I36" s="233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27.75" customHeight="1" x14ac:dyDescent="0.45">
      <c r="A37" s="284"/>
      <c r="B37" s="441" t="s">
        <v>337</v>
      </c>
      <c r="C37" s="243"/>
      <c r="D37" s="243"/>
      <c r="E37" s="243"/>
      <c r="F37" s="281"/>
      <c r="G37" s="442" t="s">
        <v>7</v>
      </c>
      <c r="H37" s="440" t="s">
        <v>338</v>
      </c>
      <c r="I37" s="233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30.75" customHeight="1" x14ac:dyDescent="0.45">
      <c r="A38" s="286"/>
      <c r="B38" s="286"/>
      <c r="C38" s="226"/>
      <c r="D38" s="226"/>
      <c r="E38" s="226"/>
      <c r="F38" s="227"/>
      <c r="G38" s="381"/>
      <c r="H38" s="443" t="s">
        <v>339</v>
      </c>
      <c r="I38" s="233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54" customHeight="1" x14ac:dyDescent="0.45">
      <c r="A39" s="108" t="s">
        <v>340</v>
      </c>
      <c r="B39" s="436"/>
      <c r="C39" s="232"/>
      <c r="D39" s="232"/>
      <c r="E39" s="232"/>
      <c r="F39" s="232"/>
      <c r="G39" s="232"/>
      <c r="H39" s="232"/>
      <c r="I39" s="233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48.75" customHeight="1" x14ac:dyDescent="0.45">
      <c r="A40" s="108" t="s">
        <v>341</v>
      </c>
      <c r="B40" s="436"/>
      <c r="C40" s="232"/>
      <c r="D40" s="232"/>
      <c r="E40" s="232"/>
      <c r="F40" s="233"/>
      <c r="G40" s="108" t="s">
        <v>183</v>
      </c>
      <c r="H40" s="437"/>
      <c r="I40" s="233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52.5" customHeight="1" x14ac:dyDescent="0.45">
      <c r="A41" s="108" t="s">
        <v>342</v>
      </c>
      <c r="B41" s="436"/>
      <c r="C41" s="232"/>
      <c r="D41" s="232"/>
      <c r="E41" s="232"/>
      <c r="F41" s="233"/>
      <c r="G41" s="108" t="s">
        <v>343</v>
      </c>
      <c r="H41" s="436"/>
      <c r="I41" s="233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54.75" customHeight="1" x14ac:dyDescent="0.45">
      <c r="A42" s="108" t="s">
        <v>344</v>
      </c>
      <c r="B42" s="436"/>
      <c r="C42" s="232"/>
      <c r="D42" s="232"/>
      <c r="E42" s="232"/>
      <c r="F42" s="233"/>
      <c r="G42" s="108" t="s">
        <v>343</v>
      </c>
      <c r="H42" s="436"/>
      <c r="I42" s="233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57.75" customHeight="1" x14ac:dyDescent="0.45">
      <c r="A43" s="108" t="s">
        <v>345</v>
      </c>
      <c r="B43" s="436"/>
      <c r="C43" s="232"/>
      <c r="D43" s="232"/>
      <c r="E43" s="232"/>
      <c r="F43" s="232"/>
      <c r="G43" s="232"/>
      <c r="H43" s="232"/>
      <c r="I43" s="233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54" customHeight="1" x14ac:dyDescent="0.45">
      <c r="A44" s="108" t="s">
        <v>201</v>
      </c>
      <c r="B44" s="436"/>
      <c r="C44" s="232"/>
      <c r="D44" s="232"/>
      <c r="E44" s="232"/>
      <c r="F44" s="233"/>
      <c r="G44" s="108" t="s">
        <v>260</v>
      </c>
      <c r="H44" s="437"/>
      <c r="I44" s="233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54" customHeight="1" x14ac:dyDescent="0.45">
      <c r="A45" s="108" t="s">
        <v>181</v>
      </c>
      <c r="B45" s="436"/>
      <c r="C45" s="232"/>
      <c r="D45" s="232"/>
      <c r="E45" s="232"/>
      <c r="F45" s="233"/>
      <c r="G45" s="108" t="s">
        <v>260</v>
      </c>
      <c r="H45" s="437"/>
      <c r="I45" s="233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4.25" customHeight="1" x14ac:dyDescent="0.45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4.25" customHeight="1" x14ac:dyDescent="0.45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4.25" customHeight="1" x14ac:dyDescent="0.45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4.25" customHeight="1" x14ac:dyDescent="0.45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4.25" customHeight="1" x14ac:dyDescent="0.45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4.25" customHeight="1" x14ac:dyDescent="0.45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4.25" customHeight="1" x14ac:dyDescent="0.45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4.25" customHeight="1" x14ac:dyDescent="0.45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4.25" customHeight="1" x14ac:dyDescent="0.45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4.25" customHeight="1" x14ac:dyDescent="0.4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4.25" customHeight="1" x14ac:dyDescent="0.45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4.25" customHeight="1" x14ac:dyDescent="0.45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4.25" customHeight="1" x14ac:dyDescent="0.45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4.25" customHeight="1" x14ac:dyDescent="0.45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4.25" customHeight="1" x14ac:dyDescent="0.45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4.25" customHeight="1" x14ac:dyDescent="0.45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4.25" customHeight="1" x14ac:dyDescent="0.45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4.25" customHeight="1" x14ac:dyDescent="0.45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4.25" customHeight="1" x14ac:dyDescent="0.45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4.25" customHeight="1" x14ac:dyDescent="0.4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4.25" customHeight="1" x14ac:dyDescent="0.45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4.25" customHeight="1" x14ac:dyDescent="0.45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4.25" customHeight="1" x14ac:dyDescent="0.45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4.25" customHeight="1" x14ac:dyDescent="0.45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4.25" customHeight="1" x14ac:dyDescent="0.45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4.25" customHeight="1" x14ac:dyDescent="0.45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4.25" customHeight="1" x14ac:dyDescent="0.45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4.25" customHeight="1" x14ac:dyDescent="0.45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4.25" customHeight="1" x14ac:dyDescent="0.45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4.25" customHeight="1" x14ac:dyDescent="0.4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4.25" customHeight="1" x14ac:dyDescent="0.45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4.25" customHeight="1" x14ac:dyDescent="0.45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4.25" customHeight="1" x14ac:dyDescent="0.45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4.25" customHeight="1" x14ac:dyDescent="0.45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4.25" customHeight="1" x14ac:dyDescent="0.45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4.25" customHeight="1" x14ac:dyDescent="0.45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4.25" customHeight="1" x14ac:dyDescent="0.45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4.25" customHeight="1" x14ac:dyDescent="0.45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4.25" customHeight="1" x14ac:dyDescent="0.45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4.25" customHeight="1" x14ac:dyDescent="0.4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4.25" customHeight="1" x14ac:dyDescent="0.45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4.25" customHeight="1" x14ac:dyDescent="0.45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4.25" customHeight="1" x14ac:dyDescent="0.45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4.25" customHeight="1" x14ac:dyDescent="0.45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4.25" customHeight="1" x14ac:dyDescent="0.45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4.25" customHeight="1" x14ac:dyDescent="0.45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4.25" customHeight="1" x14ac:dyDescent="0.45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4.25" customHeight="1" x14ac:dyDescent="0.45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4.25" customHeight="1" x14ac:dyDescent="0.45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4.25" customHeight="1" x14ac:dyDescent="0.4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4.25" customHeight="1" x14ac:dyDescent="0.45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4.25" customHeight="1" x14ac:dyDescent="0.45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4.25" customHeight="1" x14ac:dyDescent="0.45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4.25" customHeight="1" x14ac:dyDescent="0.45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4.25" customHeight="1" x14ac:dyDescent="0.45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4.25" customHeight="1" x14ac:dyDescent="0.45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4.25" customHeight="1" x14ac:dyDescent="0.45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4.25" customHeight="1" x14ac:dyDescent="0.45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4.25" customHeight="1" x14ac:dyDescent="0.45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4.25" customHeight="1" x14ac:dyDescent="0.4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4.25" customHeight="1" x14ac:dyDescent="0.45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4.25" customHeight="1" x14ac:dyDescent="0.45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4.25" customHeight="1" x14ac:dyDescent="0.45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4.25" customHeight="1" x14ac:dyDescent="0.45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4.25" customHeight="1" x14ac:dyDescent="0.45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4.25" customHeight="1" x14ac:dyDescent="0.45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4.25" customHeight="1" x14ac:dyDescent="0.45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4.25" customHeight="1" x14ac:dyDescent="0.45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4.25" customHeight="1" x14ac:dyDescent="0.45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4.25" customHeight="1" x14ac:dyDescent="0.4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4.25" customHeight="1" x14ac:dyDescent="0.45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4.25" customHeight="1" x14ac:dyDescent="0.45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4.25" customHeight="1" x14ac:dyDescent="0.45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4.25" customHeight="1" x14ac:dyDescent="0.45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4.25" customHeight="1" x14ac:dyDescent="0.45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4.25" customHeight="1" x14ac:dyDescent="0.45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4.25" customHeight="1" x14ac:dyDescent="0.45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4.25" customHeight="1" x14ac:dyDescent="0.45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4.25" customHeight="1" x14ac:dyDescent="0.45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4.25" customHeight="1" x14ac:dyDescent="0.4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4.25" customHeight="1" x14ac:dyDescent="0.45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4.25" customHeight="1" x14ac:dyDescent="0.45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4.25" customHeight="1" x14ac:dyDescent="0.45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4.25" customHeight="1" x14ac:dyDescent="0.45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4.25" customHeight="1" x14ac:dyDescent="0.45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4.25" customHeight="1" x14ac:dyDescent="0.45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4.25" customHeight="1" x14ac:dyDescent="0.45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4.25" customHeight="1" x14ac:dyDescent="0.45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4.25" customHeight="1" x14ac:dyDescent="0.45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4.25" customHeight="1" x14ac:dyDescent="0.4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4.25" customHeight="1" x14ac:dyDescent="0.45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4.25" customHeight="1" x14ac:dyDescent="0.45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4.25" customHeight="1" x14ac:dyDescent="0.45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4.25" customHeight="1" x14ac:dyDescent="0.45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4.25" customHeight="1" x14ac:dyDescent="0.45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4.25" customHeight="1" x14ac:dyDescent="0.45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4.25" customHeight="1" x14ac:dyDescent="0.45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4.25" customHeight="1" x14ac:dyDescent="0.45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4.25" customHeight="1" x14ac:dyDescent="0.45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4.25" customHeight="1" x14ac:dyDescent="0.4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4.25" customHeight="1" x14ac:dyDescent="0.45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4.25" customHeight="1" x14ac:dyDescent="0.45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4.25" customHeight="1" x14ac:dyDescent="0.45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4.25" customHeight="1" x14ac:dyDescent="0.45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4.25" customHeight="1" x14ac:dyDescent="0.45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4.25" customHeight="1" x14ac:dyDescent="0.45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4.25" customHeight="1" x14ac:dyDescent="0.45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4.25" customHeight="1" x14ac:dyDescent="0.45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4.25" customHeight="1" x14ac:dyDescent="0.45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4.25" customHeight="1" x14ac:dyDescent="0.4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4.25" customHeight="1" x14ac:dyDescent="0.45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4.25" customHeight="1" x14ac:dyDescent="0.45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4.25" customHeight="1" x14ac:dyDescent="0.45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4.25" customHeight="1" x14ac:dyDescent="0.45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4.25" customHeight="1" x14ac:dyDescent="0.45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4.25" customHeight="1" x14ac:dyDescent="0.45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4.25" customHeight="1" x14ac:dyDescent="0.45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4.25" customHeight="1" x14ac:dyDescent="0.45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4.25" customHeight="1" x14ac:dyDescent="0.45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4.25" customHeight="1" x14ac:dyDescent="0.4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4.25" customHeight="1" x14ac:dyDescent="0.45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4.25" customHeight="1" x14ac:dyDescent="0.45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4.25" customHeight="1" x14ac:dyDescent="0.45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4.25" customHeight="1" x14ac:dyDescent="0.45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4.25" customHeight="1" x14ac:dyDescent="0.45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4.25" customHeight="1" x14ac:dyDescent="0.45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4.25" customHeight="1" x14ac:dyDescent="0.45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4.25" customHeight="1" x14ac:dyDescent="0.45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4.25" customHeight="1" x14ac:dyDescent="0.45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4.25" customHeight="1" x14ac:dyDescent="0.4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4.25" customHeight="1" x14ac:dyDescent="0.45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4.25" customHeight="1" x14ac:dyDescent="0.45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4.25" customHeight="1" x14ac:dyDescent="0.45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4.25" customHeight="1" x14ac:dyDescent="0.45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4.25" customHeight="1" x14ac:dyDescent="0.45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4.25" customHeight="1" x14ac:dyDescent="0.45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4.25" customHeight="1" x14ac:dyDescent="0.45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4.25" customHeight="1" x14ac:dyDescent="0.45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4.25" customHeight="1" x14ac:dyDescent="0.45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4.25" customHeight="1" x14ac:dyDescent="0.4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4.25" customHeight="1" x14ac:dyDescent="0.45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4.25" customHeight="1" x14ac:dyDescent="0.45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4.25" customHeight="1" x14ac:dyDescent="0.45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4.25" customHeight="1" x14ac:dyDescent="0.45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4.25" customHeight="1" x14ac:dyDescent="0.45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4.25" customHeight="1" x14ac:dyDescent="0.45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4.25" customHeight="1" x14ac:dyDescent="0.45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4.25" customHeight="1" x14ac:dyDescent="0.45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4.25" customHeight="1" x14ac:dyDescent="0.45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4.25" customHeight="1" x14ac:dyDescent="0.4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4.25" customHeight="1" x14ac:dyDescent="0.45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4.25" customHeight="1" x14ac:dyDescent="0.45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4.25" customHeight="1" x14ac:dyDescent="0.45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4.25" customHeight="1" x14ac:dyDescent="0.45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4.25" customHeight="1" x14ac:dyDescent="0.45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4.25" customHeight="1" x14ac:dyDescent="0.45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4.25" customHeight="1" x14ac:dyDescent="0.45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4.25" customHeight="1" x14ac:dyDescent="0.45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4.25" customHeight="1" x14ac:dyDescent="0.45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4.25" customHeight="1" x14ac:dyDescent="0.4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4.25" customHeight="1" x14ac:dyDescent="0.45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4.25" customHeight="1" x14ac:dyDescent="0.45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4.25" customHeight="1" x14ac:dyDescent="0.45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4.25" customHeight="1" x14ac:dyDescent="0.45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4.25" customHeight="1" x14ac:dyDescent="0.45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4.25" customHeight="1" x14ac:dyDescent="0.45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4.25" customHeight="1" x14ac:dyDescent="0.45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4.25" customHeight="1" x14ac:dyDescent="0.45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4.25" customHeight="1" x14ac:dyDescent="0.45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4.25" customHeight="1" x14ac:dyDescent="0.4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4.25" customHeight="1" x14ac:dyDescent="0.45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4.25" customHeight="1" x14ac:dyDescent="0.45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4.25" customHeight="1" x14ac:dyDescent="0.45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4.25" customHeight="1" x14ac:dyDescent="0.45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4.25" customHeight="1" x14ac:dyDescent="0.45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4.25" customHeight="1" x14ac:dyDescent="0.45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4.25" customHeight="1" x14ac:dyDescent="0.45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4.25" customHeight="1" x14ac:dyDescent="0.45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4.25" customHeight="1" x14ac:dyDescent="0.45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4.25" customHeight="1" x14ac:dyDescent="0.4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4.25" customHeight="1" x14ac:dyDescent="0.45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4.25" customHeight="1" x14ac:dyDescent="0.45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4.25" customHeight="1" x14ac:dyDescent="0.45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4.25" customHeight="1" x14ac:dyDescent="0.4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4.25" customHeight="1" x14ac:dyDescent="0.45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4.25" customHeight="1" x14ac:dyDescent="0.45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4.25" customHeight="1" x14ac:dyDescent="0.4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4.25" customHeight="1" x14ac:dyDescent="0.4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4.25" customHeight="1" x14ac:dyDescent="0.4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4.25" customHeight="1" x14ac:dyDescent="0.4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4.25" customHeight="1" x14ac:dyDescent="0.4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4.25" customHeight="1" x14ac:dyDescent="0.4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4.25" customHeight="1" x14ac:dyDescent="0.4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4.25" customHeight="1" x14ac:dyDescent="0.4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4.25" customHeight="1" x14ac:dyDescent="0.4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4.2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4.2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4.2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4.2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4.2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/>
    <row r="247" spans="1:26" ht="15.75" customHeight="1" x14ac:dyDescent="0.45"/>
    <row r="248" spans="1:26" ht="15.75" customHeight="1" x14ac:dyDescent="0.45"/>
    <row r="249" spans="1:26" ht="15.75" customHeight="1" x14ac:dyDescent="0.45"/>
    <row r="250" spans="1:26" ht="15.75" customHeight="1" x14ac:dyDescent="0.45"/>
    <row r="251" spans="1:26" ht="15.75" customHeight="1" x14ac:dyDescent="0.45"/>
    <row r="252" spans="1:26" ht="15.75" customHeight="1" x14ac:dyDescent="0.45"/>
    <row r="253" spans="1:26" ht="15.75" customHeight="1" x14ac:dyDescent="0.45"/>
    <row r="254" spans="1:26" ht="15.75" customHeight="1" x14ac:dyDescent="0.45"/>
    <row r="255" spans="1:26" ht="15.75" customHeight="1" x14ac:dyDescent="0.45"/>
    <row r="256" spans="1:2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67">
    <mergeCell ref="B13:I13"/>
    <mergeCell ref="B14:F14"/>
    <mergeCell ref="H14:I14"/>
    <mergeCell ref="B15:F15"/>
    <mergeCell ref="H15:I15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43:I43"/>
    <mergeCell ref="B44:F44"/>
    <mergeCell ref="H44:I44"/>
    <mergeCell ref="B45:F45"/>
    <mergeCell ref="H45:I45"/>
    <mergeCell ref="A34:A38"/>
    <mergeCell ref="H34:I34"/>
    <mergeCell ref="H35:I35"/>
    <mergeCell ref="G37:G38"/>
    <mergeCell ref="B42:F42"/>
    <mergeCell ref="H38:I38"/>
    <mergeCell ref="B39:I39"/>
    <mergeCell ref="B40:F40"/>
    <mergeCell ref="H40:I40"/>
    <mergeCell ref="B41:F41"/>
    <mergeCell ref="H41:I41"/>
    <mergeCell ref="H42:I42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B27:F27"/>
    <mergeCell ref="B28:F28"/>
    <mergeCell ref="H28:I28"/>
    <mergeCell ref="B29:F29"/>
    <mergeCell ref="H29:I29"/>
    <mergeCell ref="B30:I30"/>
    <mergeCell ref="H31:I31"/>
    <mergeCell ref="H20:I20"/>
    <mergeCell ref="A21:A25"/>
    <mergeCell ref="H23:I23"/>
    <mergeCell ref="B24:F25"/>
    <mergeCell ref="G24:G25"/>
    <mergeCell ref="H24:I24"/>
    <mergeCell ref="H25:I25"/>
    <mergeCell ref="B21:F23"/>
    <mergeCell ref="H21:I21"/>
    <mergeCell ref="H22:I22"/>
    <mergeCell ref="B16:F16"/>
    <mergeCell ref="B17:I17"/>
    <mergeCell ref="B18:F18"/>
    <mergeCell ref="H18:I18"/>
    <mergeCell ref="H19:I19"/>
    <mergeCell ref="H16:I16"/>
    <mergeCell ref="B19:F19"/>
  </mergeCells>
  <pageMargins left="0.7" right="0.7" top="0.75" bottom="0.75" header="0" footer="0"/>
  <pageSetup scale="3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 x14ac:dyDescent="0.5">
      <c r="A1" s="106"/>
      <c r="B1" s="441"/>
      <c r="C1" s="281"/>
      <c r="D1" s="441" t="s">
        <v>0</v>
      </c>
      <c r="E1" s="243"/>
      <c r="F1" s="243"/>
      <c r="G1" s="243"/>
      <c r="H1" s="243"/>
      <c r="I1" s="243"/>
      <c r="J1" s="281"/>
      <c r="K1" s="102" t="s">
        <v>1</v>
      </c>
      <c r="L1" s="440" t="s">
        <v>346</v>
      </c>
      <c r="M1" s="233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9.5" customHeight="1" x14ac:dyDescent="0.5">
      <c r="A2" s="106"/>
      <c r="B2" s="284"/>
      <c r="C2" s="285"/>
      <c r="D2" s="284"/>
      <c r="E2" s="237"/>
      <c r="F2" s="237"/>
      <c r="G2" s="237"/>
      <c r="H2" s="237"/>
      <c r="I2" s="237"/>
      <c r="J2" s="285"/>
      <c r="K2" s="102" t="s">
        <v>3</v>
      </c>
      <c r="L2" s="444">
        <v>1</v>
      </c>
      <c r="M2" s="233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 ht="18" customHeight="1" x14ac:dyDescent="0.5">
      <c r="A3" s="106"/>
      <c r="B3" s="284"/>
      <c r="C3" s="285"/>
      <c r="D3" s="286"/>
      <c r="E3" s="226"/>
      <c r="F3" s="226"/>
      <c r="G3" s="226"/>
      <c r="H3" s="226"/>
      <c r="I3" s="226"/>
      <c r="J3" s="227"/>
      <c r="K3" s="102" t="s">
        <v>5</v>
      </c>
      <c r="L3" s="440" t="s">
        <v>6</v>
      </c>
      <c r="M3" s="233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ht="24.75" customHeight="1" x14ac:dyDescent="0.5">
      <c r="A4" s="106"/>
      <c r="B4" s="284"/>
      <c r="C4" s="285"/>
      <c r="D4" s="441" t="s">
        <v>347</v>
      </c>
      <c r="E4" s="243"/>
      <c r="F4" s="243"/>
      <c r="G4" s="243"/>
      <c r="H4" s="243"/>
      <c r="I4" s="243"/>
      <c r="J4" s="281"/>
      <c r="K4" s="442" t="s">
        <v>7</v>
      </c>
      <c r="L4" s="440" t="s">
        <v>204</v>
      </c>
      <c r="M4" s="233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spans="1:26" ht="24.75" customHeight="1" x14ac:dyDescent="0.5">
      <c r="A5" s="106"/>
      <c r="B5" s="286"/>
      <c r="C5" s="227"/>
      <c r="D5" s="286"/>
      <c r="E5" s="226"/>
      <c r="F5" s="226"/>
      <c r="G5" s="226"/>
      <c r="H5" s="226"/>
      <c r="I5" s="226"/>
      <c r="J5" s="227"/>
      <c r="K5" s="381"/>
      <c r="L5" s="443" t="s">
        <v>205</v>
      </c>
      <c r="M5" s="233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spans="1:26" ht="30.75" customHeight="1" x14ac:dyDescent="0.5">
      <c r="A6" s="106"/>
      <c r="B6" s="436" t="s">
        <v>348</v>
      </c>
      <c r="C6" s="233"/>
      <c r="D6" s="274" t="str">
        <f>'ORDEN ENVASADO'!F6</f>
        <v>SUERO DE NIACINAMIDA 5% FORMULA NUEVA</v>
      </c>
      <c r="E6" s="232"/>
      <c r="F6" s="232"/>
      <c r="G6" s="232"/>
      <c r="H6" s="232"/>
      <c r="I6" s="235"/>
      <c r="J6" s="436" t="s">
        <v>349</v>
      </c>
      <c r="K6" s="233"/>
      <c r="L6" s="453"/>
      <c r="M6" s="233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spans="1:26" ht="38.25" customHeight="1" x14ac:dyDescent="0.5">
      <c r="A7" s="106"/>
      <c r="B7" s="436" t="s">
        <v>350</v>
      </c>
      <c r="C7" s="233"/>
      <c r="D7" s="457" t="str">
        <f>ACONDICIONAMIENTO!F8</f>
        <v>252111</v>
      </c>
      <c r="E7" s="233"/>
      <c r="F7" s="440" t="s">
        <v>351</v>
      </c>
      <c r="G7" s="233"/>
      <c r="H7" s="454" t="str">
        <f>ACONDICIONAMIENTO!J8</f>
        <v>OP-L-099</v>
      </c>
      <c r="I7" s="233"/>
      <c r="J7" s="436" t="s">
        <v>213</v>
      </c>
      <c r="K7" s="233"/>
      <c r="L7" s="458"/>
      <c r="M7" s="233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spans="1:26" ht="30" customHeight="1" x14ac:dyDescent="0.5">
      <c r="A8" s="106"/>
      <c r="B8" s="436" t="s">
        <v>24</v>
      </c>
      <c r="C8" s="233"/>
      <c r="D8" s="450" t="str">
        <f>OP!G11</f>
        <v>SOLUCION</v>
      </c>
      <c r="E8" s="232"/>
      <c r="F8" s="232"/>
      <c r="G8" s="232"/>
      <c r="H8" s="232"/>
      <c r="I8" s="233"/>
      <c r="J8" s="436" t="s">
        <v>352</v>
      </c>
      <c r="K8" s="233"/>
      <c r="L8" s="450"/>
      <c r="M8" s="233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24.75" customHeight="1" x14ac:dyDescent="0.5">
      <c r="A9" s="106"/>
      <c r="B9" s="459" t="s">
        <v>353</v>
      </c>
      <c r="C9" s="237"/>
      <c r="D9" s="237"/>
      <c r="E9" s="460"/>
      <c r="F9" s="226"/>
      <c r="G9" s="113"/>
      <c r="H9" s="113" t="s">
        <v>354</v>
      </c>
      <c r="I9" s="113"/>
      <c r="J9" s="113"/>
      <c r="K9" s="113"/>
      <c r="L9" s="113"/>
      <c r="M9" s="114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spans="1:26" ht="16.5" customHeight="1" x14ac:dyDescent="0.5">
      <c r="A10" s="106"/>
      <c r="B10" s="115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4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36" customHeight="1" x14ac:dyDescent="0.5">
      <c r="A11" s="106"/>
      <c r="B11" s="436" t="s">
        <v>355</v>
      </c>
      <c r="C11" s="233"/>
      <c r="D11" s="436" t="s">
        <v>216</v>
      </c>
      <c r="E11" s="232"/>
      <c r="F11" s="233"/>
      <c r="G11" s="436" t="s">
        <v>356</v>
      </c>
      <c r="H11" s="233"/>
      <c r="I11" s="436" t="s">
        <v>217</v>
      </c>
      <c r="J11" s="233"/>
      <c r="K11" s="108" t="s">
        <v>357</v>
      </c>
      <c r="L11" s="436" t="s">
        <v>358</v>
      </c>
      <c r="M11" s="233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1:26" ht="31.5" customHeight="1" x14ac:dyDescent="0.5">
      <c r="A12" s="106"/>
      <c r="B12" s="464" t="s">
        <v>359</v>
      </c>
      <c r="C12" s="116" t="s">
        <v>360</v>
      </c>
      <c r="D12" s="445" t="s">
        <v>361</v>
      </c>
      <c r="E12" s="226"/>
      <c r="F12" s="227"/>
      <c r="G12" s="446" t="s">
        <v>362</v>
      </c>
      <c r="H12" s="227"/>
      <c r="I12" s="447"/>
      <c r="J12" s="227"/>
      <c r="K12" s="118"/>
      <c r="L12" s="436"/>
      <c r="M12" s="233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31.5" customHeight="1" x14ac:dyDescent="0.5">
      <c r="A13" s="106"/>
      <c r="B13" s="284"/>
      <c r="C13" s="102" t="s">
        <v>363</v>
      </c>
      <c r="D13" s="448" t="s">
        <v>364</v>
      </c>
      <c r="E13" s="232"/>
      <c r="F13" s="233"/>
      <c r="G13" s="449" t="s">
        <v>362</v>
      </c>
      <c r="H13" s="233"/>
      <c r="I13" s="436"/>
      <c r="J13" s="233"/>
      <c r="K13" s="108"/>
      <c r="L13" s="436"/>
      <c r="M13" s="233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54" customHeight="1" x14ac:dyDescent="0.5">
      <c r="A14" s="106"/>
      <c r="B14" s="286"/>
      <c r="C14" s="107" t="s">
        <v>365</v>
      </c>
      <c r="D14" s="450" t="s">
        <v>366</v>
      </c>
      <c r="E14" s="232"/>
      <c r="F14" s="233"/>
      <c r="G14" s="449" t="s">
        <v>362</v>
      </c>
      <c r="H14" s="233"/>
      <c r="I14" s="436"/>
      <c r="J14" s="233"/>
      <c r="K14" s="108"/>
      <c r="L14" s="436"/>
      <c r="M14" s="233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31.5" customHeight="1" x14ac:dyDescent="0.5">
      <c r="A15" s="106"/>
      <c r="B15" s="451" t="s">
        <v>367</v>
      </c>
      <c r="C15" s="117" t="s">
        <v>225</v>
      </c>
      <c r="D15" s="450" t="s">
        <v>226</v>
      </c>
      <c r="E15" s="232"/>
      <c r="F15" s="233"/>
      <c r="G15" s="449" t="s">
        <v>368</v>
      </c>
      <c r="H15" s="233"/>
      <c r="I15" s="436"/>
      <c r="J15" s="233"/>
      <c r="K15" s="108"/>
      <c r="L15" s="436"/>
      <c r="M15" s="233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ht="31.5" customHeight="1" x14ac:dyDescent="0.5">
      <c r="A16" s="106"/>
      <c r="B16" s="386"/>
      <c r="C16" s="109" t="s">
        <v>223</v>
      </c>
      <c r="D16" s="450" t="s">
        <v>224</v>
      </c>
      <c r="E16" s="232"/>
      <c r="F16" s="233"/>
      <c r="G16" s="449" t="s">
        <v>368</v>
      </c>
      <c r="H16" s="233"/>
      <c r="I16" s="436"/>
      <c r="J16" s="233"/>
      <c r="K16" s="108"/>
      <c r="L16" s="436"/>
      <c r="M16" s="233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spans="1:26" ht="31.5" customHeight="1" x14ac:dyDescent="0.5">
      <c r="A17" s="106"/>
      <c r="B17" s="386"/>
      <c r="C17" s="119" t="s">
        <v>221</v>
      </c>
      <c r="D17" s="454" t="s">
        <v>369</v>
      </c>
      <c r="E17" s="232"/>
      <c r="F17" s="233"/>
      <c r="G17" s="449" t="s">
        <v>368</v>
      </c>
      <c r="H17" s="233"/>
      <c r="I17" s="436"/>
      <c r="J17" s="233"/>
      <c r="K17" s="108"/>
      <c r="L17" s="436"/>
      <c r="M17" s="233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31.5" customHeight="1" x14ac:dyDescent="0.5">
      <c r="A18" s="106"/>
      <c r="B18" s="451" t="s">
        <v>370</v>
      </c>
      <c r="C18" s="120" t="s">
        <v>371</v>
      </c>
      <c r="D18" s="446" t="s">
        <v>372</v>
      </c>
      <c r="E18" s="226"/>
      <c r="F18" s="227"/>
      <c r="G18" s="454" t="s">
        <v>373</v>
      </c>
      <c r="H18" s="233"/>
      <c r="I18" s="436"/>
      <c r="J18" s="233"/>
      <c r="K18" s="108"/>
      <c r="L18" s="436"/>
      <c r="M18" s="233"/>
      <c r="N18" s="121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spans="1:26" ht="31.5" customHeight="1" x14ac:dyDescent="0.5">
      <c r="A19" s="106"/>
      <c r="B19" s="386"/>
      <c r="C19" s="120" t="s">
        <v>374</v>
      </c>
      <c r="D19" s="449" t="s">
        <v>375</v>
      </c>
      <c r="E19" s="232"/>
      <c r="F19" s="233"/>
      <c r="G19" s="454" t="s">
        <v>373</v>
      </c>
      <c r="H19" s="233"/>
      <c r="I19" s="436"/>
      <c r="J19" s="233"/>
      <c r="K19" s="108"/>
      <c r="L19" s="436"/>
      <c r="M19" s="233"/>
      <c r="N19" s="121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1:26" ht="31.5" customHeight="1" x14ac:dyDescent="0.5">
      <c r="A20" s="106"/>
      <c r="B20" s="386"/>
      <c r="C20" s="120" t="s">
        <v>376</v>
      </c>
      <c r="D20" s="449" t="s">
        <v>375</v>
      </c>
      <c r="E20" s="232"/>
      <c r="F20" s="233"/>
      <c r="G20" s="454" t="s">
        <v>373</v>
      </c>
      <c r="H20" s="233"/>
      <c r="I20" s="109"/>
      <c r="J20" s="122"/>
      <c r="K20" s="108"/>
      <c r="L20" s="436"/>
      <c r="M20" s="233"/>
      <c r="N20" s="121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ht="31.5" customHeight="1" x14ac:dyDescent="0.5">
      <c r="A21" s="106"/>
      <c r="B21" s="386"/>
      <c r="C21" s="123" t="s">
        <v>377</v>
      </c>
      <c r="D21" s="455" t="s">
        <v>375</v>
      </c>
      <c r="E21" s="243"/>
      <c r="F21" s="281"/>
      <c r="G21" s="456" t="s">
        <v>373</v>
      </c>
      <c r="H21" s="281"/>
      <c r="I21" s="439"/>
      <c r="J21" s="281"/>
      <c r="K21" s="124"/>
      <c r="L21" s="436"/>
      <c r="M21" s="233"/>
      <c r="N21" s="121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ht="30" customHeight="1" x14ac:dyDescent="0.5">
      <c r="A22" s="106"/>
      <c r="B22" s="452" t="s">
        <v>378</v>
      </c>
      <c r="C22" s="233"/>
      <c r="D22" s="453"/>
      <c r="E22" s="232"/>
      <c r="F22" s="233"/>
      <c r="G22" s="436" t="s">
        <v>379</v>
      </c>
      <c r="H22" s="233"/>
      <c r="I22" s="450"/>
      <c r="J22" s="232"/>
      <c r="K22" s="232"/>
      <c r="L22" s="232"/>
      <c r="M22" s="233"/>
      <c r="N22" s="121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30" customHeight="1" x14ac:dyDescent="0.5">
      <c r="A23" s="106"/>
      <c r="B23" s="439" t="s">
        <v>179</v>
      </c>
      <c r="C23" s="281"/>
      <c r="D23" s="462"/>
      <c r="E23" s="243"/>
      <c r="F23" s="243"/>
      <c r="G23" s="243"/>
      <c r="H23" s="243"/>
      <c r="I23" s="243"/>
      <c r="J23" s="243"/>
      <c r="K23" s="243"/>
      <c r="L23" s="243"/>
      <c r="M23" s="281"/>
      <c r="N23" s="121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 ht="19.5" customHeight="1" x14ac:dyDescent="0.5">
      <c r="A24" s="106"/>
      <c r="B24" s="284"/>
      <c r="C24" s="285"/>
      <c r="D24" s="284"/>
      <c r="E24" s="237"/>
      <c r="F24" s="237"/>
      <c r="G24" s="237"/>
      <c r="H24" s="237"/>
      <c r="I24" s="237"/>
      <c r="J24" s="237"/>
      <c r="K24" s="237"/>
      <c r="L24" s="237"/>
      <c r="M24" s="285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ht="30" customHeight="1" x14ac:dyDescent="0.5">
      <c r="A25" s="106"/>
      <c r="B25" s="286"/>
      <c r="C25" s="227"/>
      <c r="D25" s="286"/>
      <c r="E25" s="226"/>
      <c r="F25" s="226"/>
      <c r="G25" s="226"/>
      <c r="H25" s="226"/>
      <c r="I25" s="226"/>
      <c r="J25" s="226"/>
      <c r="K25" s="226"/>
      <c r="L25" s="226"/>
      <c r="M25" s="227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ht="30" customHeight="1" x14ac:dyDescent="0.5">
      <c r="A26" s="106"/>
      <c r="B26" s="436" t="s">
        <v>380</v>
      </c>
      <c r="C26" s="232"/>
      <c r="D26" s="232"/>
      <c r="E26" s="232"/>
      <c r="F26" s="232"/>
      <c r="G26" s="232"/>
      <c r="H26" s="232"/>
      <c r="I26" s="232"/>
      <c r="J26" s="232"/>
      <c r="K26" s="232"/>
      <c r="L26" s="232"/>
      <c r="M26" s="233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ht="30" customHeight="1" x14ac:dyDescent="0.5">
      <c r="A27" s="106"/>
      <c r="B27" s="436" t="s">
        <v>381</v>
      </c>
      <c r="C27" s="233"/>
      <c r="D27" s="461"/>
      <c r="E27" s="232"/>
      <c r="F27" s="232"/>
      <c r="G27" s="233"/>
      <c r="H27" s="436" t="s">
        <v>382</v>
      </c>
      <c r="I27" s="233"/>
      <c r="J27" s="463"/>
      <c r="K27" s="232"/>
      <c r="L27" s="232"/>
      <c r="M27" s="233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ht="30" customHeight="1" x14ac:dyDescent="0.5">
      <c r="A28" s="106"/>
      <c r="B28" s="436" t="s">
        <v>182</v>
      </c>
      <c r="C28" s="233"/>
      <c r="D28" s="461"/>
      <c r="E28" s="232"/>
      <c r="F28" s="232"/>
      <c r="G28" s="233"/>
      <c r="H28" s="436" t="s">
        <v>182</v>
      </c>
      <c r="I28" s="233"/>
      <c r="J28" s="463"/>
      <c r="K28" s="232"/>
      <c r="L28" s="232"/>
      <c r="M28" s="233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30" customHeight="1" x14ac:dyDescent="0.5">
      <c r="A29" s="106"/>
      <c r="B29" s="436" t="s">
        <v>183</v>
      </c>
      <c r="C29" s="233"/>
      <c r="D29" s="461"/>
      <c r="E29" s="232"/>
      <c r="F29" s="232"/>
      <c r="G29" s="233"/>
      <c r="H29" s="436" t="s">
        <v>183</v>
      </c>
      <c r="I29" s="233"/>
      <c r="J29" s="463"/>
      <c r="K29" s="232"/>
      <c r="L29" s="232"/>
      <c r="M29" s="233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30" customHeight="1" x14ac:dyDescent="0.5">
      <c r="A30" s="106"/>
      <c r="B30" s="465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30" customHeight="1" x14ac:dyDescent="0.5">
      <c r="A31" s="106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ht="15.75" customHeight="1" x14ac:dyDescent="0.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15.75" customHeight="1" x14ac:dyDescent="0.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15.75" customHeight="1" x14ac:dyDescent="0.5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5.75" customHeight="1" x14ac:dyDescent="0.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5.75" customHeight="1" x14ac:dyDescent="0.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5.75" customHeight="1" x14ac:dyDescent="0.5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5.75" customHeight="1" x14ac:dyDescent="0.5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5.75" customHeight="1" x14ac:dyDescent="0.5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5.75" customHeight="1" x14ac:dyDescent="0.5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5.75" customHeight="1" x14ac:dyDescent="0.5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5.75" customHeight="1" x14ac:dyDescent="0.5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5.75" customHeight="1" x14ac:dyDescent="0.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5.75" customHeight="1" x14ac:dyDescent="0.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5.75" customHeight="1" x14ac:dyDescent="0.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5.75" customHeight="1" x14ac:dyDescent="0.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5.75" customHeight="1" x14ac:dyDescent="0.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5.75" customHeight="1" x14ac:dyDescent="0.5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5.75" customHeight="1" x14ac:dyDescent="0.5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5.75" customHeight="1" x14ac:dyDescent="0.5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5.75" customHeight="1" x14ac:dyDescent="0.5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5.75" customHeight="1" x14ac:dyDescent="0.5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5.75" customHeight="1" x14ac:dyDescent="0.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5.75" customHeight="1" x14ac:dyDescent="0.5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5.75" customHeight="1" x14ac:dyDescent="0.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5.75" customHeight="1" x14ac:dyDescent="0.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5.75" customHeight="1" x14ac:dyDescent="0.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5.75" customHeight="1" x14ac:dyDescent="0.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5.75" customHeight="1" x14ac:dyDescent="0.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5.75" customHeight="1" x14ac:dyDescent="0.5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5.75" customHeight="1" x14ac:dyDescent="0.5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5.75" customHeight="1" x14ac:dyDescent="0.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5.75" customHeight="1" x14ac:dyDescent="0.5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5.75" customHeight="1" x14ac:dyDescent="0.5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5.75" customHeight="1" x14ac:dyDescent="0.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5.75" customHeight="1" x14ac:dyDescent="0.5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5.75" customHeight="1" x14ac:dyDescent="0.5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5.75" customHeight="1" x14ac:dyDescent="0.5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5.75" customHeight="1" x14ac:dyDescent="0.5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5.75" customHeight="1" x14ac:dyDescent="0.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5.75" customHeight="1" x14ac:dyDescent="0.5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5.75" customHeight="1" x14ac:dyDescent="0.5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5.75" customHeight="1" x14ac:dyDescent="0.5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5.75" customHeight="1" x14ac:dyDescent="0.5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5.75" customHeight="1" x14ac:dyDescent="0.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5.75" customHeight="1" x14ac:dyDescent="0.5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5.75" customHeight="1" x14ac:dyDescent="0.5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5.75" customHeight="1" x14ac:dyDescent="0.5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5.75" customHeight="1" x14ac:dyDescent="0.5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5.75" customHeight="1" x14ac:dyDescent="0.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5.75" customHeight="1" x14ac:dyDescent="0.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5.75" customHeight="1" x14ac:dyDescent="0.5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5.75" customHeight="1" x14ac:dyDescent="0.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5.75" customHeight="1" x14ac:dyDescent="0.5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5.75" customHeight="1" x14ac:dyDescent="0.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5.75" customHeight="1" x14ac:dyDescent="0.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5.75" customHeight="1" x14ac:dyDescent="0.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5.75" customHeight="1" x14ac:dyDescent="0.5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5.75" customHeight="1" x14ac:dyDescent="0.5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5.75" customHeight="1" x14ac:dyDescent="0.5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5.75" customHeight="1" x14ac:dyDescent="0.5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5.75" customHeight="1" x14ac:dyDescent="0.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5.75" customHeight="1" x14ac:dyDescent="0.5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5.75" customHeight="1" x14ac:dyDescent="0.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5.75" customHeight="1" x14ac:dyDescent="0.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5.75" customHeight="1" x14ac:dyDescent="0.5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5.75" customHeight="1" x14ac:dyDescent="0.5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5.75" customHeight="1" x14ac:dyDescent="0.5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5.75" customHeight="1" x14ac:dyDescent="0.5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5.75" customHeight="1" x14ac:dyDescent="0.5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5.75" customHeight="1" x14ac:dyDescent="0.5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5.75" customHeight="1" x14ac:dyDescent="0.5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5.75" customHeight="1" x14ac:dyDescent="0.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5.75" customHeight="1" x14ac:dyDescent="0.5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5.75" customHeight="1" x14ac:dyDescent="0.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5.75" customHeight="1" x14ac:dyDescent="0.5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5.75" customHeight="1" x14ac:dyDescent="0.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5.75" customHeight="1" x14ac:dyDescent="0.5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5.75" customHeight="1" x14ac:dyDescent="0.5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5.75" customHeight="1" x14ac:dyDescent="0.5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5.75" customHeight="1" x14ac:dyDescent="0.5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5.75" customHeight="1" x14ac:dyDescent="0.5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5.75" customHeight="1" x14ac:dyDescent="0.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5.75" customHeight="1" x14ac:dyDescent="0.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5.75" customHeight="1" x14ac:dyDescent="0.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5.75" customHeight="1" x14ac:dyDescent="0.5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5.75" customHeight="1" x14ac:dyDescent="0.5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5.75" customHeight="1" x14ac:dyDescent="0.5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5.75" customHeight="1" x14ac:dyDescent="0.5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5.75" customHeight="1" x14ac:dyDescent="0.5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5.75" customHeight="1" x14ac:dyDescent="0.5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5.75" customHeight="1" x14ac:dyDescent="0.5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5.75" customHeight="1" x14ac:dyDescent="0.5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5.75" customHeight="1" x14ac:dyDescent="0.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5.75" customHeight="1" x14ac:dyDescent="0.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5.75" customHeight="1" x14ac:dyDescent="0.5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5.75" customHeight="1" x14ac:dyDescent="0.5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5.75" customHeight="1" x14ac:dyDescent="0.5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5.75" customHeight="1" x14ac:dyDescent="0.5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5.75" customHeight="1" x14ac:dyDescent="0.5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5.75" customHeight="1" x14ac:dyDescent="0.5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5.75" customHeight="1" x14ac:dyDescent="0.5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5.75" customHeight="1" x14ac:dyDescent="0.5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5.75" customHeight="1" x14ac:dyDescent="0.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5.75" customHeight="1" x14ac:dyDescent="0.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5.75" customHeight="1" x14ac:dyDescent="0.5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5.75" customHeight="1" x14ac:dyDescent="0.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5.75" customHeight="1" x14ac:dyDescent="0.5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5.75" customHeight="1" x14ac:dyDescent="0.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5.75" customHeight="1" x14ac:dyDescent="0.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5.75" customHeight="1" x14ac:dyDescent="0.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5.75" customHeight="1" x14ac:dyDescent="0.5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5.75" customHeight="1" x14ac:dyDescent="0.5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5.75" customHeight="1" x14ac:dyDescent="0.5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5.75" customHeight="1" x14ac:dyDescent="0.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5.75" customHeight="1" x14ac:dyDescent="0.5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5.75" customHeight="1" x14ac:dyDescent="0.5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5.75" customHeight="1" x14ac:dyDescent="0.5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5.75" customHeight="1" x14ac:dyDescent="0.5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5.75" customHeight="1" x14ac:dyDescent="0.5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5.75" customHeight="1" x14ac:dyDescent="0.5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5.75" customHeight="1" x14ac:dyDescent="0.5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5.75" customHeight="1" x14ac:dyDescent="0.5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5.75" customHeight="1" x14ac:dyDescent="0.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5.75" customHeight="1" x14ac:dyDescent="0.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5.75" customHeight="1" x14ac:dyDescent="0.5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5.75" customHeight="1" x14ac:dyDescent="0.5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5.75" customHeight="1" x14ac:dyDescent="0.5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5.75" customHeight="1" x14ac:dyDescent="0.5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5.75" customHeight="1" x14ac:dyDescent="0.5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5.75" customHeight="1" x14ac:dyDescent="0.5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5.75" customHeight="1" x14ac:dyDescent="0.5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5.75" customHeight="1" x14ac:dyDescent="0.5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5.75" customHeight="1" x14ac:dyDescent="0.5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5.75" customHeight="1" x14ac:dyDescent="0.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5.75" customHeight="1" x14ac:dyDescent="0.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5.75" customHeight="1" x14ac:dyDescent="0.5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5.75" customHeight="1" x14ac:dyDescent="0.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5.75" customHeight="1" x14ac:dyDescent="0.5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5.75" customHeight="1" x14ac:dyDescent="0.5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5.75" customHeight="1" x14ac:dyDescent="0.5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5.75" customHeight="1" x14ac:dyDescent="0.5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5.75" customHeight="1" x14ac:dyDescent="0.5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5.75" customHeight="1" x14ac:dyDescent="0.5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5.75" customHeight="1" x14ac:dyDescent="0.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5.75" customHeight="1" x14ac:dyDescent="0.5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5.75" customHeight="1" x14ac:dyDescent="0.5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5.75" customHeight="1" x14ac:dyDescent="0.5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5.75" customHeight="1" x14ac:dyDescent="0.5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5.75" customHeight="1" x14ac:dyDescent="0.5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5.75" customHeight="1" x14ac:dyDescent="0.5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5.75" customHeight="1" x14ac:dyDescent="0.5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5.75" customHeight="1" x14ac:dyDescent="0.5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5.75" customHeight="1" x14ac:dyDescent="0.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5.75" customHeight="1" x14ac:dyDescent="0.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5.75" customHeight="1" x14ac:dyDescent="0.5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5.75" customHeight="1" x14ac:dyDescent="0.5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5.75" customHeight="1" x14ac:dyDescent="0.5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5.75" customHeight="1" x14ac:dyDescent="0.5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5.75" customHeight="1" x14ac:dyDescent="0.5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5.75" customHeight="1" x14ac:dyDescent="0.5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5.75" customHeight="1" x14ac:dyDescent="0.5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5.75" customHeight="1" x14ac:dyDescent="0.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5.75" customHeight="1" x14ac:dyDescent="0.5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5.75" customHeight="1" x14ac:dyDescent="0.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5.75" customHeight="1" x14ac:dyDescent="0.5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5.75" customHeight="1" x14ac:dyDescent="0.5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5.75" customHeight="1" x14ac:dyDescent="0.5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5.75" customHeight="1" x14ac:dyDescent="0.5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5.75" customHeight="1" x14ac:dyDescent="0.5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5.75" customHeight="1" x14ac:dyDescent="0.5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5.75" customHeight="1" x14ac:dyDescent="0.5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5.75" customHeight="1" x14ac:dyDescent="0.5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5.75" customHeight="1" x14ac:dyDescent="0.5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5.75" customHeight="1" x14ac:dyDescent="0.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5.75" customHeight="1" x14ac:dyDescent="0.5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5.75" customHeight="1" x14ac:dyDescent="0.5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5.75" customHeight="1" x14ac:dyDescent="0.5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5.75" customHeight="1" x14ac:dyDescent="0.5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5.75" customHeight="1" x14ac:dyDescent="0.5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5.75" customHeight="1" x14ac:dyDescent="0.5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5.75" customHeight="1" x14ac:dyDescent="0.5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5.75" customHeight="1" x14ac:dyDescent="0.5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5.75" customHeight="1" x14ac:dyDescent="0.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5.75" customHeight="1" x14ac:dyDescent="0.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5.75" customHeight="1" x14ac:dyDescent="0.5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5.75" customHeight="1" x14ac:dyDescent="0.5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5.75" customHeight="1" x14ac:dyDescent="0.5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5.75" customHeight="1" x14ac:dyDescent="0.5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5.75" customHeight="1" x14ac:dyDescent="0.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5.75" customHeight="1" x14ac:dyDescent="0.5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5.75" customHeight="1" x14ac:dyDescent="0.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5.75" customHeight="1" x14ac:dyDescent="0.5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5.75" customHeight="1" x14ac:dyDescent="0.5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5.75" customHeight="1" x14ac:dyDescent="0.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5.75" customHeight="1" x14ac:dyDescent="0.5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5.75" customHeight="1" x14ac:dyDescent="0.5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5.75" customHeight="1" x14ac:dyDescent="0.5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5.75" customHeight="1" x14ac:dyDescent="0.5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5.75" customHeight="1" x14ac:dyDescent="0.45"/>
    <row r="231" spans="1:26" ht="15.75" customHeight="1" x14ac:dyDescent="0.45"/>
    <row r="232" spans="1:26" ht="15.75" customHeight="1" x14ac:dyDescent="0.45"/>
    <row r="233" spans="1:26" ht="15.75" customHeight="1" x14ac:dyDescent="0.45"/>
    <row r="234" spans="1:26" ht="15.75" customHeight="1" x14ac:dyDescent="0.45"/>
    <row r="235" spans="1:26" ht="15.75" customHeight="1" x14ac:dyDescent="0.45"/>
    <row r="236" spans="1:26" ht="15.75" customHeight="1" x14ac:dyDescent="0.45"/>
    <row r="237" spans="1:26" ht="15.75" customHeight="1" x14ac:dyDescent="0.45"/>
    <row r="238" spans="1:26" ht="15.75" customHeight="1" x14ac:dyDescent="0.45"/>
    <row r="239" spans="1:26" ht="15.75" customHeight="1" x14ac:dyDescent="0.45"/>
    <row r="240" spans="1:26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92">
    <mergeCell ref="B29:C29"/>
    <mergeCell ref="D29:G29"/>
    <mergeCell ref="H29:I29"/>
    <mergeCell ref="J29:M29"/>
    <mergeCell ref="B30:M30"/>
    <mergeCell ref="D11:F11"/>
    <mergeCell ref="G11:H11"/>
    <mergeCell ref="I11:J11"/>
    <mergeCell ref="D28:G28"/>
    <mergeCell ref="H28:I28"/>
    <mergeCell ref="D23:M25"/>
    <mergeCell ref="B26:M26"/>
    <mergeCell ref="B27:C27"/>
    <mergeCell ref="D27:G27"/>
    <mergeCell ref="H27:I27"/>
    <mergeCell ref="J27:M27"/>
    <mergeCell ref="B28:C28"/>
    <mergeCell ref="J28:M28"/>
    <mergeCell ref="B11:C11"/>
    <mergeCell ref="B12:B14"/>
    <mergeCell ref="L19:M19"/>
    <mergeCell ref="B7:C7"/>
    <mergeCell ref="B8:C8"/>
    <mergeCell ref="B9:D9"/>
    <mergeCell ref="B6:C6"/>
    <mergeCell ref="D6:I6"/>
    <mergeCell ref="E9:F9"/>
    <mergeCell ref="J6:K6"/>
    <mergeCell ref="L6:M6"/>
    <mergeCell ref="D7:E7"/>
    <mergeCell ref="F7:G7"/>
    <mergeCell ref="L7:M7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L14:M14"/>
    <mergeCell ref="L15:M15"/>
    <mergeCell ref="L16:M16"/>
    <mergeCell ref="L17:M17"/>
    <mergeCell ref="L18:M18"/>
    <mergeCell ref="L4:M4"/>
    <mergeCell ref="L5:M5"/>
    <mergeCell ref="L11:M11"/>
    <mergeCell ref="L12:M12"/>
    <mergeCell ref="L13:M13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D20:F20"/>
    <mergeCell ref="G20:H20"/>
    <mergeCell ref="D21:F21"/>
    <mergeCell ref="G21:H21"/>
    <mergeCell ref="I21:J21"/>
    <mergeCell ref="B15:B17"/>
    <mergeCell ref="D15:F15"/>
    <mergeCell ref="G15:H15"/>
    <mergeCell ref="I15:J15"/>
    <mergeCell ref="D16:F16"/>
    <mergeCell ref="I17:J17"/>
    <mergeCell ref="D14:F14"/>
    <mergeCell ref="G16:H16"/>
    <mergeCell ref="I16:J16"/>
    <mergeCell ref="I18:J18"/>
    <mergeCell ref="I19:J19"/>
    <mergeCell ref="G14:H14"/>
    <mergeCell ref="I14:J14"/>
    <mergeCell ref="D12:F12"/>
    <mergeCell ref="G12:H12"/>
    <mergeCell ref="I12:J12"/>
    <mergeCell ref="D13:F13"/>
    <mergeCell ref="G13:H13"/>
    <mergeCell ref="I13:J13"/>
  </mergeCells>
  <pageMargins left="0.25" right="0.25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916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3984375" customWidth="1"/>
    <col min="3" max="3" width="24.265625" customWidth="1"/>
    <col min="4" max="4" width="13.265625" customWidth="1"/>
    <col min="5" max="5" width="12.265625" customWidth="1"/>
    <col min="6" max="6" width="0.3984375" customWidth="1"/>
    <col min="7" max="7" width="17.265625" customWidth="1"/>
    <col min="8" max="8" width="19.265625" customWidth="1"/>
    <col min="9" max="9" width="11.1328125" customWidth="1"/>
    <col min="10" max="10" width="27.3984375" customWidth="1"/>
    <col min="11" max="22" width="11.3984375" customWidth="1"/>
  </cols>
  <sheetData>
    <row r="1" spans="1:26" ht="14.25" customHeight="1" x14ac:dyDescent="0.45">
      <c r="A1" s="82"/>
      <c r="B1" s="466"/>
      <c r="C1" s="479" t="s">
        <v>0</v>
      </c>
      <c r="D1" s="251"/>
      <c r="E1" s="251"/>
      <c r="F1" s="303"/>
      <c r="G1" s="125" t="s">
        <v>1</v>
      </c>
      <c r="H1" s="297" t="s">
        <v>383</v>
      </c>
      <c r="I1" s="224"/>
      <c r="J1" s="97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12.75" customHeight="1" x14ac:dyDescent="0.45">
      <c r="A2" s="82"/>
      <c r="B2" s="467"/>
      <c r="C2" s="284"/>
      <c r="D2" s="237"/>
      <c r="E2" s="237"/>
      <c r="F2" s="285"/>
      <c r="G2" s="9" t="s">
        <v>3</v>
      </c>
      <c r="H2" s="319">
        <v>1</v>
      </c>
      <c r="I2" s="235"/>
      <c r="J2" s="27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13.5" customHeight="1" x14ac:dyDescent="0.45">
      <c r="A3" s="82"/>
      <c r="B3" s="467"/>
      <c r="C3" s="286"/>
      <c r="D3" s="226"/>
      <c r="E3" s="226"/>
      <c r="F3" s="227"/>
      <c r="G3" s="9" t="s">
        <v>5</v>
      </c>
      <c r="H3" s="287" t="s">
        <v>6</v>
      </c>
      <c r="I3" s="235"/>
      <c r="J3" s="97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9.5" customHeight="1" x14ac:dyDescent="0.45">
      <c r="A4" s="82"/>
      <c r="B4" s="467"/>
      <c r="C4" s="270" t="s">
        <v>384</v>
      </c>
      <c r="D4" s="237"/>
      <c r="E4" s="237"/>
      <c r="F4" s="285"/>
      <c r="G4" s="380" t="s">
        <v>7</v>
      </c>
      <c r="H4" s="287" t="s">
        <v>8</v>
      </c>
      <c r="I4" s="235"/>
      <c r="J4" s="97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5" customHeight="1" x14ac:dyDescent="0.45">
      <c r="A5" s="82"/>
      <c r="B5" s="468"/>
      <c r="C5" s="254"/>
      <c r="D5" s="254"/>
      <c r="E5" s="254"/>
      <c r="F5" s="349"/>
      <c r="G5" s="469"/>
      <c r="H5" s="470" t="s">
        <v>9</v>
      </c>
      <c r="I5" s="230"/>
      <c r="J5" s="126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5.75" customHeight="1" x14ac:dyDescent="0.45">
      <c r="A6" s="82"/>
      <c r="B6" s="127" t="s">
        <v>385</v>
      </c>
      <c r="C6" s="478" t="str">
        <f>OP!$M$11</f>
        <v>OP-L-099</v>
      </c>
      <c r="D6" s="226"/>
      <c r="E6" s="226"/>
      <c r="F6" s="227"/>
      <c r="G6" s="128" t="s">
        <v>183</v>
      </c>
      <c r="H6" s="476"/>
      <c r="I6" s="227"/>
      <c r="J6" s="129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30" t="s">
        <v>386</v>
      </c>
      <c r="C7" s="478" t="str">
        <f>OP!$G$9</f>
        <v>SUERO DE NIACINAMIDA 5% FORMULA NUEVA</v>
      </c>
      <c r="D7" s="226"/>
      <c r="E7" s="226"/>
      <c r="F7" s="227"/>
      <c r="G7" s="131" t="s">
        <v>387</v>
      </c>
      <c r="H7" s="477" t="str">
        <f>OP!$M$10</f>
        <v>252111</v>
      </c>
      <c r="I7" s="227"/>
      <c r="J7" s="129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5.75" customHeight="1" x14ac:dyDescent="0.45">
      <c r="A8" s="82"/>
      <c r="B8" s="130" t="s">
        <v>388</v>
      </c>
      <c r="C8" s="473" t="str">
        <f>OP!B15</f>
        <v>AGUA DESIONIZADA</v>
      </c>
      <c r="D8" s="232"/>
      <c r="E8" s="232"/>
      <c r="F8" s="233"/>
      <c r="G8" s="132" t="s">
        <v>389</v>
      </c>
      <c r="H8" s="478">
        <f>OP!J15</f>
        <v>0</v>
      </c>
      <c r="I8" s="227"/>
      <c r="J8" s="129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15.75" customHeight="1" x14ac:dyDescent="0.45">
      <c r="A9" s="82"/>
      <c r="B9" s="133" t="s">
        <v>390</v>
      </c>
      <c r="C9" s="474">
        <f>OP!N15</f>
        <v>109716.00000000001</v>
      </c>
      <c r="D9" s="226"/>
      <c r="E9" s="226"/>
      <c r="F9" s="226"/>
      <c r="G9" s="134"/>
      <c r="H9" s="129"/>
      <c r="I9" s="135"/>
      <c r="J9" s="129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5.75" customHeight="1" x14ac:dyDescent="0.45">
      <c r="A10" s="82"/>
      <c r="B10" s="133" t="s">
        <v>391</v>
      </c>
      <c r="C10" s="480"/>
      <c r="D10" s="226"/>
      <c r="E10" s="226"/>
      <c r="F10" s="226"/>
      <c r="G10" s="129"/>
      <c r="H10" s="129"/>
      <c r="I10" s="135"/>
      <c r="J10" s="129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5.75" customHeight="1" x14ac:dyDescent="0.45">
      <c r="A11" s="82"/>
      <c r="B11" s="133" t="s">
        <v>392</v>
      </c>
      <c r="C11" s="480"/>
      <c r="D11" s="226"/>
      <c r="E11" s="226"/>
      <c r="F11" s="226"/>
      <c r="G11" s="134" t="s">
        <v>393</v>
      </c>
      <c r="H11" s="136"/>
      <c r="I11" s="137"/>
      <c r="J11" s="129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.75" customHeight="1" x14ac:dyDescent="0.45">
      <c r="A12" s="82"/>
      <c r="B12" s="133" t="s">
        <v>394</v>
      </c>
      <c r="C12" s="480"/>
      <c r="D12" s="226"/>
      <c r="E12" s="226"/>
      <c r="F12" s="226"/>
      <c r="G12" s="134" t="s">
        <v>181</v>
      </c>
      <c r="H12" s="136"/>
      <c r="I12" s="137"/>
      <c r="J12" s="129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15.75" customHeight="1" x14ac:dyDescent="0.45">
      <c r="A13" s="82"/>
      <c r="B13" s="138" t="s">
        <v>395</v>
      </c>
      <c r="C13" s="139"/>
      <c r="D13" s="139"/>
      <c r="E13" s="139"/>
      <c r="F13" s="140"/>
      <c r="G13" s="139"/>
      <c r="H13" s="139"/>
      <c r="I13" s="141"/>
      <c r="J13" s="129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15.75" customHeight="1" x14ac:dyDescent="0.45">
      <c r="A14" s="82"/>
      <c r="B14" s="12"/>
      <c r="C14" s="12"/>
      <c r="D14" s="12"/>
      <c r="E14" s="12"/>
      <c r="F14" s="12"/>
      <c r="G14" s="12"/>
      <c r="H14" s="12"/>
      <c r="I14" s="12"/>
      <c r="J14" s="1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15.75" customHeight="1" x14ac:dyDescent="0.45">
      <c r="A15" s="82"/>
      <c r="B15" s="12"/>
      <c r="C15" s="12"/>
      <c r="D15" s="142"/>
      <c r="E15" s="12"/>
      <c r="F15" s="12"/>
      <c r="G15" s="12"/>
      <c r="H15" s="12"/>
      <c r="I15" s="12"/>
      <c r="J15" s="1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15.75" customHeight="1" x14ac:dyDescent="0.45">
      <c r="A16" s="82"/>
      <c r="B16" s="466"/>
      <c r="C16" s="479" t="s">
        <v>0</v>
      </c>
      <c r="D16" s="251"/>
      <c r="E16" s="251"/>
      <c r="F16" s="303"/>
      <c r="G16" s="125" t="s">
        <v>1</v>
      </c>
      <c r="H16" s="297" t="s">
        <v>383</v>
      </c>
      <c r="I16" s="224"/>
      <c r="J16" s="1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5.75" customHeight="1" x14ac:dyDescent="0.45">
      <c r="A17" s="82"/>
      <c r="B17" s="467"/>
      <c r="C17" s="284"/>
      <c r="D17" s="237"/>
      <c r="E17" s="237"/>
      <c r="F17" s="285"/>
      <c r="G17" s="9" t="s">
        <v>3</v>
      </c>
      <c r="H17" s="319">
        <v>1</v>
      </c>
      <c r="I17" s="235"/>
      <c r="J17" s="1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5.75" customHeight="1" x14ac:dyDescent="0.45">
      <c r="A18" s="82"/>
      <c r="B18" s="467"/>
      <c r="C18" s="286"/>
      <c r="D18" s="226"/>
      <c r="E18" s="226"/>
      <c r="F18" s="227"/>
      <c r="G18" s="9" t="s">
        <v>5</v>
      </c>
      <c r="H18" s="287" t="s">
        <v>6</v>
      </c>
      <c r="I18" s="235"/>
      <c r="J18" s="1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75" customHeight="1" x14ac:dyDescent="0.45">
      <c r="A19" s="82"/>
      <c r="B19" s="467"/>
      <c r="C19" s="472" t="s">
        <v>384</v>
      </c>
      <c r="D19" s="237"/>
      <c r="E19" s="237"/>
      <c r="F19" s="285"/>
      <c r="G19" s="380" t="s">
        <v>7</v>
      </c>
      <c r="H19" s="287" t="s">
        <v>8</v>
      </c>
      <c r="I19" s="235"/>
      <c r="J19" s="1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5.75" customHeight="1" x14ac:dyDescent="0.45">
      <c r="A20" s="82"/>
      <c r="B20" s="468"/>
      <c r="C20" s="254"/>
      <c r="D20" s="254"/>
      <c r="E20" s="254"/>
      <c r="F20" s="349"/>
      <c r="G20" s="469"/>
      <c r="H20" s="470" t="s">
        <v>9</v>
      </c>
      <c r="I20" s="230"/>
      <c r="J20" s="1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5.75" customHeight="1" x14ac:dyDescent="0.45">
      <c r="A21" s="82"/>
      <c r="B21" s="127" t="s">
        <v>385</v>
      </c>
      <c r="C21" s="478" t="str">
        <f>OP!$M$11</f>
        <v>OP-L-099</v>
      </c>
      <c r="D21" s="226"/>
      <c r="E21" s="226"/>
      <c r="F21" s="227"/>
      <c r="G21" s="128" t="s">
        <v>183</v>
      </c>
      <c r="H21" s="476"/>
      <c r="I21" s="227"/>
      <c r="J21" s="1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5.75" customHeight="1" x14ac:dyDescent="0.45">
      <c r="A22" s="82"/>
      <c r="B22" s="130" t="s">
        <v>386</v>
      </c>
      <c r="C22" s="478" t="str">
        <f>OP!$G$9</f>
        <v>SUERO DE NIACINAMIDA 5% FORMULA NUEVA</v>
      </c>
      <c r="D22" s="226"/>
      <c r="E22" s="226"/>
      <c r="F22" s="227"/>
      <c r="G22" s="131" t="s">
        <v>387</v>
      </c>
      <c r="H22" s="477" t="str">
        <f>OP!$M$10</f>
        <v>252111</v>
      </c>
      <c r="I22" s="227"/>
      <c r="J22" s="1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45">
      <c r="A23" s="82"/>
      <c r="B23" s="130" t="s">
        <v>388</v>
      </c>
      <c r="C23" s="473" t="str">
        <f>OP!B16</f>
        <v>NIACINAMIDA</v>
      </c>
      <c r="D23" s="232"/>
      <c r="E23" s="232"/>
      <c r="F23" s="233"/>
      <c r="G23" s="132" t="s">
        <v>389</v>
      </c>
      <c r="H23" s="478" t="str">
        <f>OP!J16</f>
        <v>YT-NC20250428</v>
      </c>
      <c r="I23" s="227"/>
      <c r="J23" s="1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45">
      <c r="A24" s="82"/>
      <c r="B24" s="133" t="s">
        <v>390</v>
      </c>
      <c r="C24" s="474">
        <f>OP!N16</f>
        <v>6000</v>
      </c>
      <c r="D24" s="226"/>
      <c r="E24" s="226"/>
      <c r="F24" s="226"/>
      <c r="G24" s="134"/>
      <c r="H24" s="129"/>
      <c r="I24" s="135"/>
      <c r="J24" s="1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133" t="s">
        <v>391</v>
      </c>
      <c r="C25" s="475"/>
      <c r="D25" s="226"/>
      <c r="E25" s="226"/>
      <c r="F25" s="226"/>
      <c r="G25" s="129"/>
      <c r="H25" s="129"/>
      <c r="I25" s="135"/>
      <c r="J25" s="1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 x14ac:dyDescent="0.45">
      <c r="A26" s="82"/>
      <c r="B26" s="133" t="s">
        <v>392</v>
      </c>
      <c r="C26" s="475"/>
      <c r="D26" s="226"/>
      <c r="E26" s="226"/>
      <c r="F26" s="226"/>
      <c r="G26" s="134" t="s">
        <v>393</v>
      </c>
      <c r="H26" s="136"/>
      <c r="I26" s="137"/>
      <c r="J26" s="1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 x14ac:dyDescent="0.45">
      <c r="A27" s="82"/>
      <c r="B27" s="133" t="s">
        <v>394</v>
      </c>
      <c r="C27" s="475"/>
      <c r="D27" s="226"/>
      <c r="E27" s="226"/>
      <c r="F27" s="226"/>
      <c r="G27" s="134" t="s">
        <v>181</v>
      </c>
      <c r="H27" s="136"/>
      <c r="I27" s="137"/>
      <c r="J27" s="1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5.75" customHeight="1" x14ac:dyDescent="0.45">
      <c r="A28" s="82"/>
      <c r="B28" s="138" t="s">
        <v>395</v>
      </c>
      <c r="C28" s="143"/>
      <c r="D28" s="143"/>
      <c r="E28" s="143"/>
      <c r="F28" s="144"/>
      <c r="G28" s="139"/>
      <c r="H28" s="139"/>
      <c r="I28" s="141"/>
      <c r="J28" s="1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5.75" customHeight="1" x14ac:dyDescent="0.45">
      <c r="A29" s="82"/>
      <c r="B29" s="12"/>
      <c r="C29" s="69"/>
      <c r="D29" s="69"/>
      <c r="E29" s="69"/>
      <c r="F29" s="69"/>
      <c r="G29" s="12"/>
      <c r="H29" s="12"/>
      <c r="I29" s="12"/>
      <c r="J29" s="1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5.75" customHeight="1" x14ac:dyDescent="0.45">
      <c r="A30" s="82"/>
      <c r="B30" s="12"/>
      <c r="C30" s="69"/>
      <c r="D30" s="69"/>
      <c r="E30" s="69"/>
      <c r="F30" s="69"/>
      <c r="G30" s="12"/>
      <c r="H30" s="12"/>
      <c r="I30" s="12"/>
      <c r="J30" s="1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15.75" customHeight="1" x14ac:dyDescent="0.45">
      <c r="A31" s="82"/>
      <c r="B31" s="481"/>
      <c r="C31" s="484" t="s">
        <v>0</v>
      </c>
      <c r="D31" s="251"/>
      <c r="E31" s="251"/>
      <c r="F31" s="252"/>
      <c r="G31" s="146" t="s">
        <v>1</v>
      </c>
      <c r="H31" s="267" t="s">
        <v>383</v>
      </c>
      <c r="I31" s="217"/>
      <c r="J31" s="1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 x14ac:dyDescent="0.45">
      <c r="A32" s="82"/>
      <c r="B32" s="482"/>
      <c r="C32" s="266"/>
      <c r="D32" s="237"/>
      <c r="E32" s="237"/>
      <c r="F32" s="261"/>
      <c r="G32" s="146" t="s">
        <v>3</v>
      </c>
      <c r="H32" s="485">
        <v>1</v>
      </c>
      <c r="I32" s="217"/>
      <c r="J32" s="1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482"/>
      <c r="C33" s="253"/>
      <c r="D33" s="254"/>
      <c r="E33" s="254"/>
      <c r="F33" s="255"/>
      <c r="G33" s="146" t="s">
        <v>5</v>
      </c>
      <c r="H33" s="267" t="s">
        <v>6</v>
      </c>
      <c r="I33" s="217"/>
      <c r="J33" s="1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482"/>
      <c r="C34" s="484" t="s">
        <v>384</v>
      </c>
      <c r="D34" s="251"/>
      <c r="E34" s="251"/>
      <c r="F34" s="252"/>
      <c r="G34" s="486" t="s">
        <v>7</v>
      </c>
      <c r="H34" s="267" t="s">
        <v>8</v>
      </c>
      <c r="I34" s="217"/>
      <c r="J34" s="1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483"/>
      <c r="C35" s="253"/>
      <c r="D35" s="254"/>
      <c r="E35" s="254"/>
      <c r="F35" s="255"/>
      <c r="G35" s="483"/>
      <c r="H35" s="487" t="s">
        <v>9</v>
      </c>
      <c r="I35" s="217"/>
      <c r="J35" s="1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127" t="s">
        <v>385</v>
      </c>
      <c r="C36" s="478" t="str">
        <f>OP!$M$11</f>
        <v>OP-L-099</v>
      </c>
      <c r="D36" s="226"/>
      <c r="E36" s="226"/>
      <c r="F36" s="227"/>
      <c r="G36" s="128" t="s">
        <v>183</v>
      </c>
      <c r="H36" s="476"/>
      <c r="I36" s="227"/>
      <c r="J36" s="1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30" t="s">
        <v>386</v>
      </c>
      <c r="C37" s="478" t="str">
        <f>OP!$G$9</f>
        <v>SUERO DE NIACINAMIDA 5% FORMULA NUEVA</v>
      </c>
      <c r="D37" s="226"/>
      <c r="E37" s="226"/>
      <c r="F37" s="227"/>
      <c r="G37" s="131" t="s">
        <v>387</v>
      </c>
      <c r="H37" s="477" t="str">
        <f>OP!$M$10</f>
        <v>252111</v>
      </c>
      <c r="I37" s="227"/>
      <c r="J37" s="1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130" t="s">
        <v>388</v>
      </c>
      <c r="C38" s="473" t="str">
        <f>OP!B17</f>
        <v>BIOSURE FE</v>
      </c>
      <c r="D38" s="232"/>
      <c r="E38" s="232"/>
      <c r="F38" s="233"/>
      <c r="G38" s="132" t="s">
        <v>389</v>
      </c>
      <c r="H38" s="478">
        <f>OP!J17</f>
        <v>250127005</v>
      </c>
      <c r="I38" s="227"/>
      <c r="J38" s="1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33" t="s">
        <v>390</v>
      </c>
      <c r="C39" s="474">
        <f>OP!N17</f>
        <v>1200</v>
      </c>
      <c r="D39" s="226"/>
      <c r="E39" s="226"/>
      <c r="F39" s="226"/>
      <c r="G39" s="134"/>
      <c r="H39" s="129"/>
      <c r="I39" s="135"/>
      <c r="J39" s="1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133" t="s">
        <v>391</v>
      </c>
      <c r="C40" s="475"/>
      <c r="D40" s="226"/>
      <c r="E40" s="226"/>
      <c r="F40" s="226"/>
      <c r="G40" s="129"/>
      <c r="H40" s="129"/>
      <c r="I40" s="135"/>
      <c r="J40" s="1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33" t="s">
        <v>392</v>
      </c>
      <c r="C41" s="475"/>
      <c r="D41" s="226"/>
      <c r="E41" s="226"/>
      <c r="F41" s="226"/>
      <c r="G41" s="134" t="s">
        <v>393</v>
      </c>
      <c r="H41" s="136"/>
      <c r="I41" s="137"/>
      <c r="J41" s="1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33" t="s">
        <v>394</v>
      </c>
      <c r="C42" s="475"/>
      <c r="D42" s="226"/>
      <c r="E42" s="226"/>
      <c r="F42" s="226"/>
      <c r="G42" s="134" t="s">
        <v>181</v>
      </c>
      <c r="H42" s="136"/>
      <c r="I42" s="137"/>
      <c r="J42" s="1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38" t="s">
        <v>395</v>
      </c>
      <c r="C43" s="143"/>
      <c r="D43" s="143"/>
      <c r="E43" s="143"/>
      <c r="F43" s="144"/>
      <c r="G43" s="139"/>
      <c r="H43" s="139"/>
      <c r="I43" s="141"/>
      <c r="J43" s="1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2"/>
      <c r="C44" s="69"/>
      <c r="D44" s="69"/>
      <c r="E44" s="69"/>
      <c r="F44" s="69"/>
      <c r="G44" s="12"/>
      <c r="H44" s="12"/>
      <c r="I44" s="12"/>
      <c r="J44" s="1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466"/>
      <c r="C45" s="471" t="s">
        <v>0</v>
      </c>
      <c r="D45" s="251"/>
      <c r="E45" s="251"/>
      <c r="F45" s="303"/>
      <c r="G45" s="125" t="s">
        <v>1</v>
      </c>
      <c r="H45" s="297" t="s">
        <v>383</v>
      </c>
      <c r="I45" s="224"/>
      <c r="J45" s="1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467"/>
      <c r="C46" s="284"/>
      <c r="D46" s="237"/>
      <c r="E46" s="237"/>
      <c r="F46" s="285"/>
      <c r="G46" s="9" t="s">
        <v>3</v>
      </c>
      <c r="H46" s="319">
        <v>1</v>
      </c>
      <c r="I46" s="235"/>
      <c r="J46" s="1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467"/>
      <c r="C47" s="286"/>
      <c r="D47" s="226"/>
      <c r="E47" s="226"/>
      <c r="F47" s="227"/>
      <c r="G47" s="9" t="s">
        <v>5</v>
      </c>
      <c r="H47" s="287" t="s">
        <v>6</v>
      </c>
      <c r="I47" s="235"/>
      <c r="J47" s="1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467"/>
      <c r="C48" s="472" t="s">
        <v>384</v>
      </c>
      <c r="D48" s="237"/>
      <c r="E48" s="237"/>
      <c r="F48" s="285"/>
      <c r="G48" s="380" t="s">
        <v>7</v>
      </c>
      <c r="H48" s="287" t="s">
        <v>8</v>
      </c>
      <c r="I48" s="235"/>
      <c r="J48" s="1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468"/>
      <c r="C49" s="254"/>
      <c r="D49" s="254"/>
      <c r="E49" s="254"/>
      <c r="F49" s="349"/>
      <c r="G49" s="469"/>
      <c r="H49" s="470" t="s">
        <v>9</v>
      </c>
      <c r="I49" s="230"/>
      <c r="J49" s="1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27" t="s">
        <v>385</v>
      </c>
      <c r="C50" s="478" t="str">
        <f>OP!$M$11</f>
        <v>OP-L-099</v>
      </c>
      <c r="D50" s="226"/>
      <c r="E50" s="226"/>
      <c r="F50" s="227"/>
      <c r="G50" s="128" t="s">
        <v>183</v>
      </c>
      <c r="H50" s="476"/>
      <c r="I50" s="227"/>
      <c r="J50" s="1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30" t="s">
        <v>386</v>
      </c>
      <c r="C51" s="478" t="str">
        <f>OP!$G$9</f>
        <v>SUERO DE NIACINAMIDA 5% FORMULA NUEVA</v>
      </c>
      <c r="D51" s="226"/>
      <c r="E51" s="226"/>
      <c r="F51" s="227"/>
      <c r="G51" s="131" t="s">
        <v>387</v>
      </c>
      <c r="H51" s="477" t="str">
        <f>OP!$M$10</f>
        <v>252111</v>
      </c>
      <c r="I51" s="227"/>
      <c r="J51" s="1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30" t="s">
        <v>388</v>
      </c>
      <c r="C52" s="473" t="str">
        <f>OP!B18</f>
        <v xml:space="preserve">N-ACETIL GLUCOSAMINA </v>
      </c>
      <c r="D52" s="232"/>
      <c r="E52" s="232"/>
      <c r="F52" s="233"/>
      <c r="G52" s="132" t="s">
        <v>389</v>
      </c>
      <c r="H52" s="478" t="str">
        <f>OP!J18</f>
        <v>YT-20251213</v>
      </c>
      <c r="I52" s="227"/>
      <c r="J52" s="1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33" t="s">
        <v>390</v>
      </c>
      <c r="C53" s="474">
        <f>OP!N18</f>
        <v>600</v>
      </c>
      <c r="D53" s="226"/>
      <c r="E53" s="226"/>
      <c r="F53" s="226"/>
      <c r="G53" s="134"/>
      <c r="H53" s="129"/>
      <c r="I53" s="135"/>
      <c r="J53" s="1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33" t="s">
        <v>391</v>
      </c>
      <c r="C54" s="475"/>
      <c r="D54" s="226"/>
      <c r="E54" s="226"/>
      <c r="F54" s="226"/>
      <c r="G54" s="129"/>
      <c r="H54" s="129"/>
      <c r="I54" s="135"/>
      <c r="J54" s="1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33" t="s">
        <v>392</v>
      </c>
      <c r="C55" s="475"/>
      <c r="D55" s="226"/>
      <c r="E55" s="226"/>
      <c r="F55" s="226"/>
      <c r="G55" s="134" t="s">
        <v>393</v>
      </c>
      <c r="H55" s="136"/>
      <c r="I55" s="137"/>
      <c r="J55" s="1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33" t="s">
        <v>394</v>
      </c>
      <c r="C56" s="475"/>
      <c r="D56" s="226"/>
      <c r="E56" s="226"/>
      <c r="F56" s="226"/>
      <c r="G56" s="134" t="s">
        <v>181</v>
      </c>
      <c r="H56" s="136"/>
      <c r="I56" s="137"/>
      <c r="J56" s="1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38" t="s">
        <v>395</v>
      </c>
      <c r="C57" s="143"/>
      <c r="D57" s="143"/>
      <c r="E57" s="143"/>
      <c r="F57" s="144"/>
      <c r="G57" s="139"/>
      <c r="H57" s="139"/>
      <c r="I57" s="141"/>
      <c r="J57" s="1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2"/>
      <c r="C58" s="69"/>
      <c r="D58" s="69"/>
      <c r="E58" s="69"/>
      <c r="F58" s="69"/>
      <c r="G58" s="12"/>
      <c r="H58" s="12"/>
      <c r="I58" s="12"/>
      <c r="J58" s="1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466"/>
      <c r="C59" s="471" t="s">
        <v>0</v>
      </c>
      <c r="D59" s="251"/>
      <c r="E59" s="251"/>
      <c r="F59" s="303"/>
      <c r="G59" s="125" t="s">
        <v>1</v>
      </c>
      <c r="H59" s="297" t="s">
        <v>383</v>
      </c>
      <c r="I59" s="224"/>
      <c r="J59" s="1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467"/>
      <c r="C60" s="284"/>
      <c r="D60" s="237"/>
      <c r="E60" s="237"/>
      <c r="F60" s="285"/>
      <c r="G60" s="9" t="s">
        <v>3</v>
      </c>
      <c r="H60" s="319">
        <v>1</v>
      </c>
      <c r="I60" s="235"/>
      <c r="J60" s="1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467"/>
      <c r="C61" s="286"/>
      <c r="D61" s="226"/>
      <c r="E61" s="226"/>
      <c r="F61" s="227"/>
      <c r="G61" s="9" t="s">
        <v>5</v>
      </c>
      <c r="H61" s="287" t="s">
        <v>6</v>
      </c>
      <c r="I61" s="235"/>
      <c r="J61" s="1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467"/>
      <c r="C62" s="472" t="s">
        <v>384</v>
      </c>
      <c r="D62" s="237"/>
      <c r="E62" s="237"/>
      <c r="F62" s="285"/>
      <c r="G62" s="380" t="s">
        <v>7</v>
      </c>
      <c r="H62" s="287" t="s">
        <v>8</v>
      </c>
      <c r="I62" s="235"/>
      <c r="J62" s="1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468"/>
      <c r="C63" s="254"/>
      <c r="D63" s="254"/>
      <c r="E63" s="254"/>
      <c r="F63" s="349"/>
      <c r="G63" s="469"/>
      <c r="H63" s="470" t="s">
        <v>9</v>
      </c>
      <c r="I63" s="230"/>
      <c r="J63" s="1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27" t="s">
        <v>385</v>
      </c>
      <c r="C64" s="478" t="str">
        <f>OP!$M$11</f>
        <v>OP-L-099</v>
      </c>
      <c r="D64" s="226"/>
      <c r="E64" s="226"/>
      <c r="F64" s="227"/>
      <c r="G64" s="128" t="s">
        <v>183</v>
      </c>
      <c r="H64" s="476"/>
      <c r="I64" s="227"/>
      <c r="J64" s="1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30" t="s">
        <v>386</v>
      </c>
      <c r="C65" s="478" t="str">
        <f>OP!$G$9</f>
        <v>SUERO DE NIACINAMIDA 5% FORMULA NUEVA</v>
      </c>
      <c r="D65" s="226"/>
      <c r="E65" s="226"/>
      <c r="F65" s="227"/>
      <c r="G65" s="131" t="s">
        <v>387</v>
      </c>
      <c r="H65" s="477" t="str">
        <f>OP!$M$10</f>
        <v>252111</v>
      </c>
      <c r="I65" s="227"/>
      <c r="J65" s="1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30" t="s">
        <v>388</v>
      </c>
      <c r="C66" s="473" t="str">
        <f>OP!B19</f>
        <v>GLUCONOLACTONA</v>
      </c>
      <c r="D66" s="232"/>
      <c r="E66" s="232"/>
      <c r="F66" s="233"/>
      <c r="G66" s="132" t="s">
        <v>389</v>
      </c>
      <c r="H66" s="478" t="str">
        <f>OP!J19</f>
        <v>YT-G20250419</v>
      </c>
      <c r="I66" s="227"/>
      <c r="J66" s="1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33" t="s">
        <v>390</v>
      </c>
      <c r="C67" s="474">
        <f>OP!N19</f>
        <v>360</v>
      </c>
      <c r="D67" s="226"/>
      <c r="E67" s="226"/>
      <c r="F67" s="226"/>
      <c r="G67" s="134"/>
      <c r="H67" s="129"/>
      <c r="I67" s="135"/>
      <c r="J67" s="1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33" t="s">
        <v>391</v>
      </c>
      <c r="C68" s="475"/>
      <c r="D68" s="226"/>
      <c r="E68" s="226"/>
      <c r="F68" s="226"/>
      <c r="G68" s="129"/>
      <c r="H68" s="129"/>
      <c r="I68" s="135"/>
      <c r="J68" s="1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33" t="s">
        <v>392</v>
      </c>
      <c r="C69" s="475"/>
      <c r="D69" s="226"/>
      <c r="E69" s="226"/>
      <c r="F69" s="226"/>
      <c r="G69" s="134" t="s">
        <v>393</v>
      </c>
      <c r="H69" s="136"/>
      <c r="I69" s="137"/>
      <c r="J69" s="1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33" t="s">
        <v>394</v>
      </c>
      <c r="C70" s="475"/>
      <c r="D70" s="226"/>
      <c r="E70" s="226"/>
      <c r="F70" s="226"/>
      <c r="G70" s="134" t="s">
        <v>181</v>
      </c>
      <c r="H70" s="136"/>
      <c r="I70" s="137"/>
      <c r="J70" s="1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8" t="s">
        <v>395</v>
      </c>
      <c r="C71" s="143"/>
      <c r="D71" s="143"/>
      <c r="E71" s="143"/>
      <c r="F71" s="144"/>
      <c r="G71" s="139"/>
      <c r="H71" s="139"/>
      <c r="I71" s="141"/>
      <c r="J71" s="1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2"/>
      <c r="C72" s="69"/>
      <c r="D72" s="69"/>
      <c r="E72" s="69"/>
      <c r="F72" s="69"/>
      <c r="G72" s="12"/>
      <c r="H72" s="12"/>
      <c r="I72" s="12"/>
      <c r="J72" s="1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466"/>
      <c r="C73" s="471" t="s">
        <v>0</v>
      </c>
      <c r="D73" s="251"/>
      <c r="E73" s="251"/>
      <c r="F73" s="303"/>
      <c r="G73" s="125" t="s">
        <v>1</v>
      </c>
      <c r="H73" s="297" t="s">
        <v>383</v>
      </c>
      <c r="I73" s="224"/>
      <c r="J73" s="1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467"/>
      <c r="C74" s="284"/>
      <c r="D74" s="237"/>
      <c r="E74" s="237"/>
      <c r="F74" s="285"/>
      <c r="G74" s="9" t="s">
        <v>3</v>
      </c>
      <c r="H74" s="319">
        <v>1</v>
      </c>
      <c r="I74" s="235"/>
      <c r="J74" s="1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467"/>
      <c r="C75" s="286"/>
      <c r="D75" s="226"/>
      <c r="E75" s="226"/>
      <c r="F75" s="227"/>
      <c r="G75" s="9" t="s">
        <v>5</v>
      </c>
      <c r="H75" s="287" t="s">
        <v>6</v>
      </c>
      <c r="I75" s="235"/>
      <c r="J75" s="1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467"/>
      <c r="C76" s="472" t="s">
        <v>384</v>
      </c>
      <c r="D76" s="237"/>
      <c r="E76" s="237"/>
      <c r="F76" s="285"/>
      <c r="G76" s="380" t="s">
        <v>7</v>
      </c>
      <c r="H76" s="287" t="s">
        <v>8</v>
      </c>
      <c r="I76" s="235"/>
      <c r="J76" s="1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468"/>
      <c r="C77" s="254"/>
      <c r="D77" s="254"/>
      <c r="E77" s="254"/>
      <c r="F77" s="349"/>
      <c r="G77" s="469"/>
      <c r="H77" s="470" t="s">
        <v>9</v>
      </c>
      <c r="I77" s="230"/>
      <c r="J77" s="1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27" t="s">
        <v>385</v>
      </c>
      <c r="C78" s="478" t="str">
        <f>OP!$M$11</f>
        <v>OP-L-099</v>
      </c>
      <c r="D78" s="226"/>
      <c r="E78" s="226"/>
      <c r="F78" s="227"/>
      <c r="G78" s="128" t="s">
        <v>183</v>
      </c>
      <c r="H78" s="476"/>
      <c r="I78" s="227"/>
      <c r="J78" s="1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0" t="s">
        <v>386</v>
      </c>
      <c r="C79" s="478" t="str">
        <f>OP!$G$9</f>
        <v>SUERO DE NIACINAMIDA 5% FORMULA NUEVA</v>
      </c>
      <c r="D79" s="226"/>
      <c r="E79" s="226"/>
      <c r="F79" s="227"/>
      <c r="G79" s="131" t="s">
        <v>387</v>
      </c>
      <c r="H79" s="477" t="str">
        <f>OP!$M$10</f>
        <v>252111</v>
      </c>
      <c r="I79" s="227"/>
      <c r="J79" s="1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0" t="s">
        <v>388</v>
      </c>
      <c r="C80" s="473" t="str">
        <f>OP!B20</f>
        <v xml:space="preserve">ÁCIDO HIALURÓNICO 50 KD </v>
      </c>
      <c r="D80" s="232"/>
      <c r="E80" s="232"/>
      <c r="F80" s="233"/>
      <c r="G80" s="132" t="s">
        <v>389</v>
      </c>
      <c r="H80" s="478" t="str">
        <f>OP!J20</f>
        <v>LYPH250219</v>
      </c>
      <c r="I80" s="227"/>
      <c r="J80" s="1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3" t="s">
        <v>390</v>
      </c>
      <c r="C81" s="474">
        <f>OP!N20</f>
        <v>420</v>
      </c>
      <c r="D81" s="226"/>
      <c r="E81" s="226"/>
      <c r="F81" s="226"/>
      <c r="G81" s="134"/>
      <c r="H81" s="129"/>
      <c r="I81" s="135"/>
      <c r="J81" s="1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3" t="s">
        <v>391</v>
      </c>
      <c r="C82" s="475"/>
      <c r="D82" s="226"/>
      <c r="E82" s="226"/>
      <c r="F82" s="226"/>
      <c r="G82" s="129"/>
      <c r="H82" s="129"/>
      <c r="I82" s="135"/>
      <c r="J82" s="1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3" t="s">
        <v>392</v>
      </c>
      <c r="C83" s="475"/>
      <c r="D83" s="226"/>
      <c r="E83" s="226"/>
      <c r="F83" s="226"/>
      <c r="G83" s="134" t="s">
        <v>393</v>
      </c>
      <c r="H83" s="136"/>
      <c r="I83" s="137"/>
      <c r="J83" s="1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3" t="s">
        <v>394</v>
      </c>
      <c r="C84" s="475"/>
      <c r="D84" s="226"/>
      <c r="E84" s="226"/>
      <c r="F84" s="226"/>
      <c r="G84" s="134" t="s">
        <v>181</v>
      </c>
      <c r="H84" s="136"/>
      <c r="I84" s="137"/>
      <c r="J84" s="1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8" t="s">
        <v>395</v>
      </c>
      <c r="C85" s="143"/>
      <c r="D85" s="143"/>
      <c r="E85" s="143"/>
      <c r="F85" s="144"/>
      <c r="G85" s="139"/>
      <c r="H85" s="139"/>
      <c r="I85" s="141"/>
      <c r="J85" s="1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2"/>
      <c r="C86" s="69"/>
      <c r="D86" s="69"/>
      <c r="E86" s="69"/>
      <c r="F86" s="69"/>
      <c r="G86" s="12"/>
      <c r="H86" s="12"/>
      <c r="I86" s="12"/>
      <c r="J86" s="1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466"/>
      <c r="C87" s="471" t="s">
        <v>0</v>
      </c>
      <c r="D87" s="251"/>
      <c r="E87" s="251"/>
      <c r="F87" s="303"/>
      <c r="G87" s="125" t="s">
        <v>1</v>
      </c>
      <c r="H87" s="297" t="s">
        <v>383</v>
      </c>
      <c r="I87" s="224"/>
      <c r="J87" s="1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467"/>
      <c r="C88" s="284"/>
      <c r="D88" s="237"/>
      <c r="E88" s="237"/>
      <c r="F88" s="285"/>
      <c r="G88" s="9" t="s">
        <v>3</v>
      </c>
      <c r="H88" s="319">
        <v>1</v>
      </c>
      <c r="I88" s="235"/>
      <c r="J88" s="1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467"/>
      <c r="C89" s="286"/>
      <c r="D89" s="226"/>
      <c r="E89" s="226"/>
      <c r="F89" s="227"/>
      <c r="G89" s="9" t="s">
        <v>5</v>
      </c>
      <c r="H89" s="287" t="s">
        <v>6</v>
      </c>
      <c r="I89" s="235"/>
      <c r="J89" s="1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467"/>
      <c r="C90" s="472" t="s">
        <v>384</v>
      </c>
      <c r="D90" s="237"/>
      <c r="E90" s="237"/>
      <c r="F90" s="285"/>
      <c r="G90" s="380" t="s">
        <v>7</v>
      </c>
      <c r="H90" s="287" t="s">
        <v>8</v>
      </c>
      <c r="I90" s="235"/>
      <c r="J90" s="1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468"/>
      <c r="C91" s="254"/>
      <c r="D91" s="254"/>
      <c r="E91" s="254"/>
      <c r="F91" s="349"/>
      <c r="G91" s="469"/>
      <c r="H91" s="470" t="s">
        <v>9</v>
      </c>
      <c r="I91" s="230"/>
      <c r="J91" s="1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27" t="s">
        <v>385</v>
      </c>
      <c r="C92" s="478" t="str">
        <f>OP!$M$11</f>
        <v>OP-L-099</v>
      </c>
      <c r="D92" s="226"/>
      <c r="E92" s="226"/>
      <c r="F92" s="227"/>
      <c r="G92" s="128" t="s">
        <v>183</v>
      </c>
      <c r="H92" s="476"/>
      <c r="I92" s="227"/>
      <c r="J92" s="1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0" t="s">
        <v>386</v>
      </c>
      <c r="C93" s="478" t="str">
        <f>OP!$G$9</f>
        <v>SUERO DE NIACINAMIDA 5% FORMULA NUEVA</v>
      </c>
      <c r="D93" s="226"/>
      <c r="E93" s="226"/>
      <c r="F93" s="227"/>
      <c r="G93" s="131" t="s">
        <v>387</v>
      </c>
      <c r="H93" s="477" t="str">
        <f>OP!$M$10</f>
        <v>252111</v>
      </c>
      <c r="I93" s="227"/>
      <c r="J93" s="1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0" t="s">
        <v>388</v>
      </c>
      <c r="C94" s="473" t="str">
        <f>OP!B23</f>
        <v>BETAINA</v>
      </c>
      <c r="D94" s="232"/>
      <c r="E94" s="232"/>
      <c r="F94" s="233"/>
      <c r="G94" s="132" t="s">
        <v>389</v>
      </c>
      <c r="H94" s="478" t="str">
        <f>OP!J23</f>
        <v>YT-20240405</v>
      </c>
      <c r="I94" s="227"/>
      <c r="J94" s="1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3" t="s">
        <v>390</v>
      </c>
      <c r="C95" s="474">
        <f>OP!N23</f>
        <v>60</v>
      </c>
      <c r="D95" s="226"/>
      <c r="E95" s="226"/>
      <c r="F95" s="226"/>
      <c r="G95" s="134"/>
      <c r="H95" s="129"/>
      <c r="I95" s="135"/>
      <c r="J95" s="1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3" t="s">
        <v>391</v>
      </c>
      <c r="C96" s="480"/>
      <c r="D96" s="226"/>
      <c r="E96" s="226"/>
      <c r="F96" s="226"/>
      <c r="G96" s="129"/>
      <c r="H96" s="129"/>
      <c r="I96" s="135"/>
      <c r="J96" s="1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3" t="s">
        <v>392</v>
      </c>
      <c r="C97" s="480"/>
      <c r="D97" s="226"/>
      <c r="E97" s="226"/>
      <c r="F97" s="226"/>
      <c r="G97" s="134" t="s">
        <v>393</v>
      </c>
      <c r="H97" s="136"/>
      <c r="I97" s="137"/>
      <c r="J97" s="1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3" t="s">
        <v>394</v>
      </c>
      <c r="C98" s="480"/>
      <c r="D98" s="226"/>
      <c r="E98" s="226"/>
      <c r="F98" s="226"/>
      <c r="G98" s="134" t="s">
        <v>181</v>
      </c>
      <c r="H98" s="136"/>
      <c r="I98" s="137"/>
      <c r="J98" s="1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8" t="s">
        <v>395</v>
      </c>
      <c r="C99" s="139"/>
      <c r="D99" s="139"/>
      <c r="E99" s="139"/>
      <c r="F99" s="140"/>
      <c r="G99" s="139"/>
      <c r="H99" s="139"/>
      <c r="I99" s="141"/>
      <c r="J99" s="1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2"/>
      <c r="C100" s="12"/>
      <c r="D100" s="12"/>
      <c r="E100" s="12"/>
      <c r="F100" s="12"/>
      <c r="G100" s="12"/>
      <c r="H100" s="12"/>
      <c r="I100" s="12"/>
      <c r="J100" s="1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466"/>
      <c r="C101" s="479" t="s">
        <v>0</v>
      </c>
      <c r="D101" s="251"/>
      <c r="E101" s="251"/>
      <c r="F101" s="303"/>
      <c r="G101" s="125" t="s">
        <v>1</v>
      </c>
      <c r="H101" s="297" t="s">
        <v>383</v>
      </c>
      <c r="I101" s="224"/>
      <c r="J101" s="1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467"/>
      <c r="C102" s="284"/>
      <c r="D102" s="237"/>
      <c r="E102" s="237"/>
      <c r="F102" s="285"/>
      <c r="G102" s="9" t="s">
        <v>3</v>
      </c>
      <c r="H102" s="319">
        <v>1</v>
      </c>
      <c r="I102" s="235"/>
      <c r="J102" s="1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467"/>
      <c r="C103" s="286"/>
      <c r="D103" s="226"/>
      <c r="E103" s="226"/>
      <c r="F103" s="227"/>
      <c r="G103" s="9" t="s">
        <v>5</v>
      </c>
      <c r="H103" s="287" t="s">
        <v>6</v>
      </c>
      <c r="I103" s="235"/>
      <c r="J103" s="1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467"/>
      <c r="C104" s="270" t="s">
        <v>384</v>
      </c>
      <c r="D104" s="237"/>
      <c r="E104" s="237"/>
      <c r="F104" s="285"/>
      <c r="G104" s="380" t="s">
        <v>7</v>
      </c>
      <c r="H104" s="287" t="s">
        <v>8</v>
      </c>
      <c r="I104" s="235"/>
      <c r="J104" s="1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468"/>
      <c r="C105" s="254"/>
      <c r="D105" s="254"/>
      <c r="E105" s="254"/>
      <c r="F105" s="349"/>
      <c r="G105" s="469"/>
      <c r="H105" s="470" t="s">
        <v>9</v>
      </c>
      <c r="I105" s="230"/>
      <c r="J105" s="1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27" t="s">
        <v>385</v>
      </c>
      <c r="C106" s="478" t="str">
        <f>OP!$M$11</f>
        <v>OP-L-099</v>
      </c>
      <c r="D106" s="226"/>
      <c r="E106" s="226"/>
      <c r="F106" s="227"/>
      <c r="G106" s="128" t="s">
        <v>183</v>
      </c>
      <c r="H106" s="476"/>
      <c r="I106" s="227"/>
      <c r="J106" s="1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0" t="s">
        <v>386</v>
      </c>
      <c r="C107" s="478" t="str">
        <f>OP!$G$9</f>
        <v>SUERO DE NIACINAMIDA 5% FORMULA NUEVA</v>
      </c>
      <c r="D107" s="226"/>
      <c r="E107" s="226"/>
      <c r="F107" s="227"/>
      <c r="G107" s="131" t="s">
        <v>387</v>
      </c>
      <c r="H107" s="477" t="str">
        <f>OP!$M$10</f>
        <v>252111</v>
      </c>
      <c r="I107" s="227"/>
      <c r="J107" s="1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0" t="s">
        <v>388</v>
      </c>
      <c r="C108" s="473" t="str">
        <f>OP!B24</f>
        <v>ECTOINA</v>
      </c>
      <c r="D108" s="232"/>
      <c r="E108" s="232"/>
      <c r="F108" s="233"/>
      <c r="G108" s="132" t="s">
        <v>389</v>
      </c>
      <c r="H108" s="478" t="str">
        <f>OP!J24</f>
        <v>YT-20250123</v>
      </c>
      <c r="I108" s="227"/>
      <c r="J108" s="1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3" t="s">
        <v>390</v>
      </c>
      <c r="C109" s="474">
        <f>OP!N24</f>
        <v>120</v>
      </c>
      <c r="D109" s="226"/>
      <c r="E109" s="226"/>
      <c r="F109" s="226"/>
      <c r="G109" s="134"/>
      <c r="H109" s="129"/>
      <c r="I109" s="135"/>
      <c r="J109" s="1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3" t="s">
        <v>391</v>
      </c>
      <c r="C110" s="480"/>
      <c r="D110" s="226"/>
      <c r="E110" s="226"/>
      <c r="F110" s="226"/>
      <c r="G110" s="129"/>
      <c r="H110" s="129"/>
      <c r="I110" s="135"/>
      <c r="J110" s="1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3" t="s">
        <v>392</v>
      </c>
      <c r="C111" s="480"/>
      <c r="D111" s="226"/>
      <c r="E111" s="226"/>
      <c r="F111" s="226"/>
      <c r="G111" s="134" t="s">
        <v>393</v>
      </c>
      <c r="H111" s="136"/>
      <c r="I111" s="137"/>
      <c r="J111" s="1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3" t="s">
        <v>394</v>
      </c>
      <c r="C112" s="480"/>
      <c r="D112" s="226"/>
      <c r="E112" s="226"/>
      <c r="F112" s="226"/>
      <c r="G112" s="134" t="s">
        <v>181</v>
      </c>
      <c r="H112" s="136"/>
      <c r="I112" s="137"/>
      <c r="J112" s="1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8" t="s">
        <v>395</v>
      </c>
      <c r="C113" s="139"/>
      <c r="D113" s="139"/>
      <c r="E113" s="139"/>
      <c r="F113" s="140"/>
      <c r="G113" s="139"/>
      <c r="H113" s="139"/>
      <c r="I113" s="141"/>
      <c r="J113" s="1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2"/>
      <c r="C114" s="12"/>
      <c r="D114" s="12"/>
      <c r="E114" s="12"/>
      <c r="F114" s="12"/>
      <c r="G114" s="12"/>
      <c r="H114" s="12"/>
      <c r="I114" s="12"/>
      <c r="J114" s="1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466"/>
      <c r="C115" s="479" t="s">
        <v>0</v>
      </c>
      <c r="D115" s="251"/>
      <c r="E115" s="251"/>
      <c r="F115" s="303"/>
      <c r="G115" s="125" t="s">
        <v>1</v>
      </c>
      <c r="H115" s="297" t="s">
        <v>383</v>
      </c>
      <c r="I115" s="224"/>
      <c r="J115" s="1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467"/>
      <c r="C116" s="284"/>
      <c r="D116" s="237"/>
      <c r="E116" s="237"/>
      <c r="F116" s="285"/>
      <c r="G116" s="9" t="s">
        <v>3</v>
      </c>
      <c r="H116" s="319">
        <v>1</v>
      </c>
      <c r="I116" s="235"/>
      <c r="J116" s="1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467"/>
      <c r="C117" s="286"/>
      <c r="D117" s="226"/>
      <c r="E117" s="226"/>
      <c r="F117" s="227"/>
      <c r="G117" s="9" t="s">
        <v>5</v>
      </c>
      <c r="H117" s="287" t="s">
        <v>6</v>
      </c>
      <c r="I117" s="235"/>
      <c r="J117" s="1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467"/>
      <c r="C118" s="270" t="s">
        <v>384</v>
      </c>
      <c r="D118" s="237"/>
      <c r="E118" s="237"/>
      <c r="F118" s="285"/>
      <c r="G118" s="380" t="s">
        <v>7</v>
      </c>
      <c r="H118" s="287" t="s">
        <v>8</v>
      </c>
      <c r="I118" s="235"/>
      <c r="J118" s="1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468"/>
      <c r="C119" s="254"/>
      <c r="D119" s="254"/>
      <c r="E119" s="254"/>
      <c r="F119" s="349"/>
      <c r="G119" s="469"/>
      <c r="H119" s="470" t="s">
        <v>9</v>
      </c>
      <c r="I119" s="230"/>
      <c r="J119" s="1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27" t="s">
        <v>385</v>
      </c>
      <c r="C120" s="478" t="str">
        <f>OP!$M$11</f>
        <v>OP-L-099</v>
      </c>
      <c r="D120" s="226"/>
      <c r="E120" s="226"/>
      <c r="F120" s="227"/>
      <c r="G120" s="128" t="s">
        <v>183</v>
      </c>
      <c r="H120" s="476"/>
      <c r="I120" s="227"/>
      <c r="J120" s="1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0" t="s">
        <v>386</v>
      </c>
      <c r="C121" s="478" t="str">
        <f>OP!$G$9</f>
        <v>SUERO DE NIACINAMIDA 5% FORMULA NUEVA</v>
      </c>
      <c r="D121" s="226"/>
      <c r="E121" s="226"/>
      <c r="F121" s="227"/>
      <c r="G121" s="131" t="s">
        <v>387</v>
      </c>
      <c r="H121" s="477" t="str">
        <f>OP!$M$10</f>
        <v>252111</v>
      </c>
      <c r="I121" s="227"/>
      <c r="J121" s="1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0" t="s">
        <v>388</v>
      </c>
      <c r="C122" s="473" t="str">
        <f>OP!B25</f>
        <v>PANTENOL POLVO</v>
      </c>
      <c r="D122" s="232"/>
      <c r="E122" s="232"/>
      <c r="F122" s="233"/>
      <c r="G122" s="132" t="s">
        <v>389</v>
      </c>
      <c r="H122" s="478" t="str">
        <f>OP!J25</f>
        <v>YT-20250402</v>
      </c>
      <c r="I122" s="227"/>
      <c r="J122" s="1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3" t="s">
        <v>390</v>
      </c>
      <c r="C123" s="474">
        <f>OP!N25</f>
        <v>60</v>
      </c>
      <c r="D123" s="226"/>
      <c r="E123" s="226"/>
      <c r="F123" s="226"/>
      <c r="G123" s="134"/>
      <c r="H123" s="129"/>
      <c r="I123" s="135"/>
      <c r="J123" s="1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3" t="s">
        <v>391</v>
      </c>
      <c r="C124" s="480"/>
      <c r="D124" s="226"/>
      <c r="E124" s="226"/>
      <c r="F124" s="226"/>
      <c r="G124" s="129"/>
      <c r="H124" s="129"/>
      <c r="I124" s="135"/>
      <c r="J124" s="1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3" t="s">
        <v>392</v>
      </c>
      <c r="C125" s="480"/>
      <c r="D125" s="226"/>
      <c r="E125" s="226"/>
      <c r="F125" s="226"/>
      <c r="G125" s="134" t="s">
        <v>393</v>
      </c>
      <c r="H125" s="136"/>
      <c r="I125" s="137"/>
      <c r="J125" s="1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3" t="s">
        <v>394</v>
      </c>
      <c r="C126" s="480"/>
      <c r="D126" s="226"/>
      <c r="E126" s="226"/>
      <c r="F126" s="226"/>
      <c r="G126" s="134" t="s">
        <v>181</v>
      </c>
      <c r="H126" s="136"/>
      <c r="I126" s="137"/>
      <c r="J126" s="1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8" t="s">
        <v>395</v>
      </c>
      <c r="C127" s="139"/>
      <c r="D127" s="139"/>
      <c r="E127" s="139"/>
      <c r="F127" s="140"/>
      <c r="G127" s="139"/>
      <c r="H127" s="139"/>
      <c r="I127" s="141"/>
      <c r="J127" s="1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2"/>
      <c r="C128" s="12"/>
      <c r="D128" s="12"/>
      <c r="E128" s="12"/>
      <c r="F128" s="12"/>
      <c r="G128" s="12"/>
      <c r="H128" s="12"/>
      <c r="I128" s="12"/>
      <c r="J128" s="1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466"/>
      <c r="C129" s="479" t="s">
        <v>0</v>
      </c>
      <c r="D129" s="251"/>
      <c r="E129" s="251"/>
      <c r="F129" s="303"/>
      <c r="G129" s="125" t="s">
        <v>1</v>
      </c>
      <c r="H129" s="297" t="s">
        <v>383</v>
      </c>
      <c r="I129" s="224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467"/>
      <c r="C130" s="284"/>
      <c r="D130" s="237"/>
      <c r="E130" s="237"/>
      <c r="F130" s="285"/>
      <c r="G130" s="9" t="s">
        <v>3</v>
      </c>
      <c r="H130" s="319">
        <v>1</v>
      </c>
      <c r="I130" s="235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467"/>
      <c r="C131" s="286"/>
      <c r="D131" s="226"/>
      <c r="E131" s="226"/>
      <c r="F131" s="227"/>
      <c r="G131" s="9" t="s">
        <v>5</v>
      </c>
      <c r="H131" s="287" t="s">
        <v>6</v>
      </c>
      <c r="I131" s="235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467"/>
      <c r="C132" s="270" t="s">
        <v>384</v>
      </c>
      <c r="D132" s="237"/>
      <c r="E132" s="237"/>
      <c r="F132" s="285"/>
      <c r="G132" s="380" t="s">
        <v>7</v>
      </c>
      <c r="H132" s="287" t="s">
        <v>8</v>
      </c>
      <c r="I132" s="235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468"/>
      <c r="C133" s="254"/>
      <c r="D133" s="254"/>
      <c r="E133" s="254"/>
      <c r="F133" s="349"/>
      <c r="G133" s="469"/>
      <c r="H133" s="470" t="s">
        <v>9</v>
      </c>
      <c r="I133" s="230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27" t="s">
        <v>385</v>
      </c>
      <c r="C134" s="478" t="str">
        <f>OP!$M$11</f>
        <v>OP-L-099</v>
      </c>
      <c r="D134" s="226"/>
      <c r="E134" s="226"/>
      <c r="F134" s="227"/>
      <c r="G134" s="128" t="s">
        <v>183</v>
      </c>
      <c r="H134" s="476"/>
      <c r="I134" s="227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0" t="s">
        <v>386</v>
      </c>
      <c r="C135" s="478" t="str">
        <f>OP!$G$9</f>
        <v>SUERO DE NIACINAMIDA 5% FORMULA NUEVA</v>
      </c>
      <c r="D135" s="226"/>
      <c r="E135" s="226"/>
      <c r="F135" s="227"/>
      <c r="G135" s="131" t="s">
        <v>387</v>
      </c>
      <c r="H135" s="477" t="str">
        <f>OP!$M$10</f>
        <v>252111</v>
      </c>
      <c r="I135" s="227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0" t="s">
        <v>388</v>
      </c>
      <c r="C136" s="473" t="str">
        <f>OP!B26</f>
        <v>VITAMINA E POLVO</v>
      </c>
      <c r="D136" s="232"/>
      <c r="E136" s="232"/>
      <c r="F136" s="233"/>
      <c r="G136" s="132" t="s">
        <v>389</v>
      </c>
      <c r="H136" s="478">
        <f>OP!J26</f>
        <v>20240217</v>
      </c>
      <c r="I136" s="227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3" t="s">
        <v>390</v>
      </c>
      <c r="C137" s="474">
        <f>OP!N26</f>
        <v>180</v>
      </c>
      <c r="D137" s="226"/>
      <c r="E137" s="226"/>
      <c r="F137" s="226"/>
      <c r="G137" s="134"/>
      <c r="H137" s="129"/>
      <c r="I137" s="135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3" t="s">
        <v>391</v>
      </c>
      <c r="C138" s="480"/>
      <c r="D138" s="226"/>
      <c r="E138" s="226"/>
      <c r="F138" s="226"/>
      <c r="G138" s="129"/>
      <c r="H138" s="129"/>
      <c r="I138" s="135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3" t="s">
        <v>392</v>
      </c>
      <c r="C139" s="480"/>
      <c r="D139" s="226"/>
      <c r="E139" s="226"/>
      <c r="F139" s="226"/>
      <c r="G139" s="134" t="s">
        <v>393</v>
      </c>
      <c r="H139" s="136"/>
      <c r="I139" s="137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3" t="s">
        <v>394</v>
      </c>
      <c r="C140" s="480"/>
      <c r="D140" s="226"/>
      <c r="E140" s="226"/>
      <c r="F140" s="226"/>
      <c r="G140" s="134" t="s">
        <v>181</v>
      </c>
      <c r="H140" s="136"/>
      <c r="I140" s="137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8" t="s">
        <v>395</v>
      </c>
      <c r="C141" s="139"/>
      <c r="D141" s="139"/>
      <c r="E141" s="139"/>
      <c r="F141" s="140"/>
      <c r="G141" s="139"/>
      <c r="H141" s="139"/>
      <c r="I141" s="141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466"/>
      <c r="C143" s="479" t="s">
        <v>0</v>
      </c>
      <c r="D143" s="251"/>
      <c r="E143" s="251"/>
      <c r="F143" s="303"/>
      <c r="G143" s="125" t="s">
        <v>1</v>
      </c>
      <c r="H143" s="297" t="s">
        <v>383</v>
      </c>
      <c r="I143" s="224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467"/>
      <c r="C144" s="284"/>
      <c r="D144" s="237"/>
      <c r="E144" s="237"/>
      <c r="F144" s="285"/>
      <c r="G144" s="9" t="s">
        <v>3</v>
      </c>
      <c r="H144" s="319">
        <v>1</v>
      </c>
      <c r="I144" s="235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467"/>
      <c r="C145" s="286"/>
      <c r="D145" s="226"/>
      <c r="E145" s="226"/>
      <c r="F145" s="227"/>
      <c r="G145" s="9" t="s">
        <v>5</v>
      </c>
      <c r="H145" s="287" t="s">
        <v>6</v>
      </c>
      <c r="I145" s="235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467"/>
      <c r="C146" s="270" t="s">
        <v>384</v>
      </c>
      <c r="D146" s="237"/>
      <c r="E146" s="237"/>
      <c r="F146" s="285"/>
      <c r="G146" s="380" t="s">
        <v>7</v>
      </c>
      <c r="H146" s="287" t="s">
        <v>8</v>
      </c>
      <c r="I146" s="235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468"/>
      <c r="C147" s="254"/>
      <c r="D147" s="254"/>
      <c r="E147" s="254"/>
      <c r="F147" s="349"/>
      <c r="G147" s="469"/>
      <c r="H147" s="470" t="s">
        <v>9</v>
      </c>
      <c r="I147" s="230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27" t="s">
        <v>385</v>
      </c>
      <c r="C148" s="478" t="str">
        <f>OP!$M$11</f>
        <v>OP-L-099</v>
      </c>
      <c r="D148" s="226"/>
      <c r="E148" s="226"/>
      <c r="F148" s="227"/>
      <c r="G148" s="128" t="s">
        <v>183</v>
      </c>
      <c r="H148" s="476"/>
      <c r="I148" s="227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0" t="s">
        <v>386</v>
      </c>
      <c r="C149" s="478" t="str">
        <f>OP!$G$9</f>
        <v>SUERO DE NIACINAMIDA 5% FORMULA NUEVA</v>
      </c>
      <c r="D149" s="226"/>
      <c r="E149" s="226"/>
      <c r="F149" s="227"/>
      <c r="G149" s="131" t="s">
        <v>387</v>
      </c>
      <c r="H149" s="477" t="str">
        <f>OP!$M$10</f>
        <v>252111</v>
      </c>
      <c r="I149" s="227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0" t="s">
        <v>388</v>
      </c>
      <c r="C150" s="473" t="str">
        <f>OP!B27</f>
        <v>TERPENOS SOLUBLES 98%</v>
      </c>
      <c r="D150" s="232"/>
      <c r="E150" s="232"/>
      <c r="F150" s="233"/>
      <c r="G150" s="132" t="s">
        <v>389</v>
      </c>
      <c r="H150" s="478" t="str">
        <f>OP!J27</f>
        <v>YT-20250123</v>
      </c>
      <c r="I150" s="227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3" t="s">
        <v>390</v>
      </c>
      <c r="C151" s="474">
        <f>OP!N27</f>
        <v>12</v>
      </c>
      <c r="D151" s="226"/>
      <c r="E151" s="226"/>
      <c r="F151" s="226"/>
      <c r="G151" s="134"/>
      <c r="H151" s="129"/>
      <c r="I151" s="135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3" t="s">
        <v>391</v>
      </c>
      <c r="C152" s="480"/>
      <c r="D152" s="226"/>
      <c r="E152" s="226"/>
      <c r="F152" s="226"/>
      <c r="G152" s="129"/>
      <c r="H152" s="129"/>
      <c r="I152" s="135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3" t="s">
        <v>392</v>
      </c>
      <c r="C153" s="480"/>
      <c r="D153" s="226"/>
      <c r="E153" s="226"/>
      <c r="F153" s="226"/>
      <c r="G153" s="134" t="s">
        <v>393</v>
      </c>
      <c r="H153" s="136"/>
      <c r="I153" s="137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3" t="s">
        <v>394</v>
      </c>
      <c r="C154" s="480"/>
      <c r="D154" s="226"/>
      <c r="E154" s="226"/>
      <c r="F154" s="226"/>
      <c r="G154" s="134" t="s">
        <v>181</v>
      </c>
      <c r="H154" s="136"/>
      <c r="I154" s="137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8" t="s">
        <v>395</v>
      </c>
      <c r="C155" s="139"/>
      <c r="D155" s="139"/>
      <c r="E155" s="139"/>
      <c r="F155" s="140"/>
      <c r="G155" s="139"/>
      <c r="H155" s="139"/>
      <c r="I155" s="141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466"/>
      <c r="C157" s="479" t="s">
        <v>0</v>
      </c>
      <c r="D157" s="251"/>
      <c r="E157" s="251"/>
      <c r="F157" s="303"/>
      <c r="G157" s="125" t="s">
        <v>1</v>
      </c>
      <c r="H157" s="297" t="s">
        <v>383</v>
      </c>
      <c r="I157" s="224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467"/>
      <c r="C158" s="284"/>
      <c r="D158" s="237"/>
      <c r="E158" s="237"/>
      <c r="F158" s="285"/>
      <c r="G158" s="9" t="s">
        <v>3</v>
      </c>
      <c r="H158" s="319">
        <v>1</v>
      </c>
      <c r="I158" s="235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467"/>
      <c r="C159" s="286"/>
      <c r="D159" s="226"/>
      <c r="E159" s="226"/>
      <c r="F159" s="227"/>
      <c r="G159" s="9" t="s">
        <v>5</v>
      </c>
      <c r="H159" s="287" t="s">
        <v>6</v>
      </c>
      <c r="I159" s="235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467"/>
      <c r="C160" s="270" t="s">
        <v>384</v>
      </c>
      <c r="D160" s="237"/>
      <c r="E160" s="237"/>
      <c r="F160" s="285"/>
      <c r="G160" s="380" t="s">
        <v>7</v>
      </c>
      <c r="H160" s="287" t="s">
        <v>8</v>
      </c>
      <c r="I160" s="235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468"/>
      <c r="C161" s="254"/>
      <c r="D161" s="254"/>
      <c r="E161" s="254"/>
      <c r="F161" s="349"/>
      <c r="G161" s="469"/>
      <c r="H161" s="470" t="s">
        <v>9</v>
      </c>
      <c r="I161" s="230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27" t="s">
        <v>385</v>
      </c>
      <c r="C162" s="478" t="str">
        <f>OP!$M$11</f>
        <v>OP-L-099</v>
      </c>
      <c r="D162" s="226"/>
      <c r="E162" s="226"/>
      <c r="F162" s="227"/>
      <c r="G162" s="128" t="s">
        <v>183</v>
      </c>
      <c r="H162" s="476"/>
      <c r="I162" s="227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0" t="s">
        <v>386</v>
      </c>
      <c r="C163" s="478" t="str">
        <f>OP!$G$9</f>
        <v>SUERO DE NIACINAMIDA 5% FORMULA NUEVA</v>
      </c>
      <c r="D163" s="226"/>
      <c r="E163" s="226"/>
      <c r="F163" s="227"/>
      <c r="G163" s="131" t="s">
        <v>387</v>
      </c>
      <c r="H163" s="477" t="str">
        <f>OP!$M$10</f>
        <v>252111</v>
      </c>
      <c r="I163" s="227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0" t="s">
        <v>388</v>
      </c>
      <c r="C164" s="473" t="str">
        <f>OP!B28</f>
        <v>ASIATICOSIDO</v>
      </c>
      <c r="D164" s="232"/>
      <c r="E164" s="232"/>
      <c r="F164" s="233"/>
      <c r="G164" s="132" t="s">
        <v>389</v>
      </c>
      <c r="H164" s="478" t="str">
        <f>OP!J28</f>
        <v>YT-20250115</v>
      </c>
      <c r="I164" s="227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3" t="s">
        <v>390</v>
      </c>
      <c r="C165" s="474">
        <f>OP!N28</f>
        <v>12</v>
      </c>
      <c r="D165" s="226"/>
      <c r="E165" s="226"/>
      <c r="F165" s="226"/>
      <c r="G165" s="134"/>
      <c r="H165" s="129"/>
      <c r="I165" s="135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3" t="s">
        <v>391</v>
      </c>
      <c r="C166" s="480"/>
      <c r="D166" s="226"/>
      <c r="E166" s="226"/>
      <c r="F166" s="226"/>
      <c r="G166" s="129"/>
      <c r="H166" s="129"/>
      <c r="I166" s="135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3" t="s">
        <v>392</v>
      </c>
      <c r="C167" s="480"/>
      <c r="D167" s="226"/>
      <c r="E167" s="226"/>
      <c r="F167" s="226"/>
      <c r="G167" s="134" t="s">
        <v>393</v>
      </c>
      <c r="H167" s="136"/>
      <c r="I167" s="137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3" t="s">
        <v>394</v>
      </c>
      <c r="C168" s="480"/>
      <c r="D168" s="226"/>
      <c r="E168" s="226"/>
      <c r="F168" s="226"/>
      <c r="G168" s="134" t="s">
        <v>181</v>
      </c>
      <c r="H168" s="136"/>
      <c r="I168" s="137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8" t="s">
        <v>395</v>
      </c>
      <c r="C169" s="139"/>
      <c r="D169" s="139"/>
      <c r="E169" s="139"/>
      <c r="F169" s="140"/>
      <c r="G169" s="139"/>
      <c r="H169" s="139"/>
      <c r="I169" s="141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466"/>
      <c r="C171" s="479" t="s">
        <v>0</v>
      </c>
      <c r="D171" s="251"/>
      <c r="E171" s="251"/>
      <c r="F171" s="303"/>
      <c r="G171" s="125" t="s">
        <v>1</v>
      </c>
      <c r="H171" s="297" t="s">
        <v>383</v>
      </c>
      <c r="I171" s="224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467"/>
      <c r="C172" s="284"/>
      <c r="D172" s="237"/>
      <c r="E172" s="237"/>
      <c r="F172" s="285"/>
      <c r="G172" s="9" t="s">
        <v>3</v>
      </c>
      <c r="H172" s="319">
        <v>1</v>
      </c>
      <c r="I172" s="235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467"/>
      <c r="C173" s="286"/>
      <c r="D173" s="226"/>
      <c r="E173" s="226"/>
      <c r="F173" s="227"/>
      <c r="G173" s="9" t="s">
        <v>5</v>
      </c>
      <c r="H173" s="287" t="s">
        <v>6</v>
      </c>
      <c r="I173" s="235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467"/>
      <c r="C174" s="270" t="s">
        <v>384</v>
      </c>
      <c r="D174" s="237"/>
      <c r="E174" s="237"/>
      <c r="F174" s="285"/>
      <c r="G174" s="380" t="s">
        <v>7</v>
      </c>
      <c r="H174" s="287" t="s">
        <v>8</v>
      </c>
      <c r="I174" s="235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468"/>
      <c r="C175" s="254"/>
      <c r="D175" s="254"/>
      <c r="E175" s="254"/>
      <c r="F175" s="349"/>
      <c r="G175" s="469"/>
      <c r="H175" s="470" t="s">
        <v>9</v>
      </c>
      <c r="I175" s="230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27" t="s">
        <v>385</v>
      </c>
      <c r="C176" s="478" t="str">
        <f>OP!$M$11</f>
        <v>OP-L-099</v>
      </c>
      <c r="D176" s="226"/>
      <c r="E176" s="226"/>
      <c r="F176" s="227"/>
      <c r="G176" s="128" t="s">
        <v>183</v>
      </c>
      <c r="H176" s="476"/>
      <c r="I176" s="227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0" t="s">
        <v>386</v>
      </c>
      <c r="C177" s="478" t="str">
        <f>OP!$G$9</f>
        <v>SUERO DE NIACINAMIDA 5% FORMULA NUEVA</v>
      </c>
      <c r="D177" s="226"/>
      <c r="E177" s="226"/>
      <c r="F177" s="227"/>
      <c r="G177" s="131" t="s">
        <v>387</v>
      </c>
      <c r="H177" s="477" t="str">
        <f>OP!$M$10</f>
        <v>252111</v>
      </c>
      <c r="I177" s="227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0" t="s">
        <v>388</v>
      </c>
      <c r="C178" s="473" t="str">
        <f>OP!B29</f>
        <v>1,2 HEXANEDIOL</v>
      </c>
      <c r="D178" s="232"/>
      <c r="E178" s="232"/>
      <c r="F178" s="233"/>
      <c r="G178" s="132" t="s">
        <v>389</v>
      </c>
      <c r="H178" s="478" t="str">
        <f>OP!J29</f>
        <v>YT-20250504</v>
      </c>
      <c r="I178" s="227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3" t="s">
        <v>390</v>
      </c>
      <c r="C179" s="474">
        <f>OP!N29</f>
        <v>600</v>
      </c>
      <c r="D179" s="226"/>
      <c r="E179" s="226"/>
      <c r="F179" s="226"/>
      <c r="G179" s="134"/>
      <c r="H179" s="129"/>
      <c r="I179" s="135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3" t="s">
        <v>391</v>
      </c>
      <c r="C180" s="480"/>
      <c r="D180" s="226"/>
      <c r="E180" s="226"/>
      <c r="F180" s="226"/>
      <c r="G180" s="129"/>
      <c r="H180" s="129"/>
      <c r="I180" s="135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3" t="s">
        <v>392</v>
      </c>
      <c r="C181" s="480"/>
      <c r="D181" s="226"/>
      <c r="E181" s="226"/>
      <c r="F181" s="226"/>
      <c r="G181" s="134" t="s">
        <v>393</v>
      </c>
      <c r="H181" s="136"/>
      <c r="I181" s="137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3" t="s">
        <v>394</v>
      </c>
      <c r="C182" s="480"/>
      <c r="D182" s="226"/>
      <c r="E182" s="226"/>
      <c r="F182" s="226"/>
      <c r="G182" s="134" t="s">
        <v>181</v>
      </c>
      <c r="H182" s="136"/>
      <c r="I182" s="137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8" t="s">
        <v>395</v>
      </c>
      <c r="C183" s="139"/>
      <c r="D183" s="139"/>
      <c r="E183" s="139"/>
      <c r="F183" s="140"/>
      <c r="G183" s="139"/>
      <c r="H183" s="139"/>
      <c r="I183" s="141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466"/>
      <c r="C185" s="479" t="s">
        <v>0</v>
      </c>
      <c r="D185" s="251"/>
      <c r="E185" s="251"/>
      <c r="F185" s="303"/>
      <c r="G185" s="125" t="s">
        <v>1</v>
      </c>
      <c r="H185" s="297" t="s">
        <v>383</v>
      </c>
      <c r="I185" s="224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467"/>
      <c r="C186" s="284"/>
      <c r="D186" s="237"/>
      <c r="E186" s="237"/>
      <c r="F186" s="285"/>
      <c r="G186" s="9" t="s">
        <v>3</v>
      </c>
      <c r="H186" s="319">
        <v>1</v>
      </c>
      <c r="I186" s="235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467"/>
      <c r="C187" s="286"/>
      <c r="D187" s="226"/>
      <c r="E187" s="226"/>
      <c r="F187" s="227"/>
      <c r="G187" s="9" t="s">
        <v>5</v>
      </c>
      <c r="H187" s="287" t="s">
        <v>6</v>
      </c>
      <c r="I187" s="235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467"/>
      <c r="C188" s="270" t="s">
        <v>384</v>
      </c>
      <c r="D188" s="237"/>
      <c r="E188" s="237"/>
      <c r="F188" s="285"/>
      <c r="G188" s="380" t="s">
        <v>7</v>
      </c>
      <c r="H188" s="287" t="s">
        <v>8</v>
      </c>
      <c r="I188" s="235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468"/>
      <c r="C189" s="254"/>
      <c r="D189" s="254"/>
      <c r="E189" s="254"/>
      <c r="F189" s="349"/>
      <c r="G189" s="469"/>
      <c r="H189" s="470" t="s">
        <v>9</v>
      </c>
      <c r="I189" s="230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27" t="s">
        <v>385</v>
      </c>
      <c r="C190" s="478" t="str">
        <f>OP!$M$11</f>
        <v>OP-L-099</v>
      </c>
      <c r="D190" s="226"/>
      <c r="E190" s="226"/>
      <c r="F190" s="227"/>
      <c r="G190" s="128" t="s">
        <v>183</v>
      </c>
      <c r="H190" s="476"/>
      <c r="I190" s="227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0" t="s">
        <v>386</v>
      </c>
      <c r="C191" s="478" t="str">
        <f>OP!$G$9</f>
        <v>SUERO DE NIACINAMIDA 5% FORMULA NUEVA</v>
      </c>
      <c r="D191" s="226"/>
      <c r="E191" s="226"/>
      <c r="F191" s="227"/>
      <c r="G191" s="131" t="s">
        <v>387</v>
      </c>
      <c r="H191" s="477" t="str">
        <f>OP!$M$10</f>
        <v>252111</v>
      </c>
      <c r="I191" s="227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0" t="s">
        <v>388</v>
      </c>
      <c r="C192" s="473" t="str">
        <f>OP!B30</f>
        <v>GRANSIL VX419</v>
      </c>
      <c r="D192" s="232"/>
      <c r="E192" s="232"/>
      <c r="F192" s="233"/>
      <c r="G192" s="132" t="s">
        <v>389</v>
      </c>
      <c r="H192" s="478" t="str">
        <f>OP!J30</f>
        <v>980305S1125</v>
      </c>
      <c r="I192" s="227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3" t="s">
        <v>390</v>
      </c>
      <c r="C193" s="474">
        <f>OP!N30</f>
        <v>360</v>
      </c>
      <c r="D193" s="226"/>
      <c r="E193" s="226"/>
      <c r="F193" s="226"/>
      <c r="G193" s="134"/>
      <c r="H193" s="129"/>
      <c r="I193" s="135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3" t="s">
        <v>391</v>
      </c>
      <c r="C194" s="480"/>
      <c r="D194" s="226"/>
      <c r="E194" s="226"/>
      <c r="F194" s="226"/>
      <c r="G194" s="129"/>
      <c r="H194" s="129"/>
      <c r="I194" s="135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3" t="s">
        <v>392</v>
      </c>
      <c r="C195" s="480"/>
      <c r="D195" s="226"/>
      <c r="E195" s="226"/>
      <c r="F195" s="226"/>
      <c r="G195" s="134" t="s">
        <v>393</v>
      </c>
      <c r="H195" s="136"/>
      <c r="I195" s="137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3" t="s">
        <v>394</v>
      </c>
      <c r="C196" s="480"/>
      <c r="D196" s="226"/>
      <c r="E196" s="226"/>
      <c r="F196" s="226"/>
      <c r="G196" s="134" t="s">
        <v>181</v>
      </c>
      <c r="H196" s="136"/>
      <c r="I196" s="137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8" t="s">
        <v>395</v>
      </c>
      <c r="C197" s="139"/>
      <c r="D197" s="139"/>
      <c r="E197" s="139"/>
      <c r="F197" s="140"/>
      <c r="G197" s="139"/>
      <c r="H197" s="139"/>
      <c r="I197" s="141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466"/>
      <c r="C199" s="479" t="s">
        <v>0</v>
      </c>
      <c r="D199" s="251"/>
      <c r="E199" s="251"/>
      <c r="F199" s="303"/>
      <c r="G199" s="125" t="s">
        <v>1</v>
      </c>
      <c r="H199" s="297" t="s">
        <v>383</v>
      </c>
      <c r="I199" s="224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467"/>
      <c r="C200" s="284"/>
      <c r="D200" s="237"/>
      <c r="E200" s="237"/>
      <c r="F200" s="285"/>
      <c r="G200" s="9" t="s">
        <v>3</v>
      </c>
      <c r="H200" s="319">
        <v>1</v>
      </c>
      <c r="I200" s="235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467"/>
      <c r="C201" s="286"/>
      <c r="D201" s="226"/>
      <c r="E201" s="226"/>
      <c r="F201" s="227"/>
      <c r="G201" s="9" t="s">
        <v>5</v>
      </c>
      <c r="H201" s="287" t="s">
        <v>6</v>
      </c>
      <c r="I201" s="235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467"/>
      <c r="C202" s="270" t="s">
        <v>384</v>
      </c>
      <c r="D202" s="237"/>
      <c r="E202" s="237"/>
      <c r="F202" s="285"/>
      <c r="G202" s="380" t="s">
        <v>7</v>
      </c>
      <c r="H202" s="287" t="s">
        <v>8</v>
      </c>
      <c r="I202" s="235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468"/>
      <c r="C203" s="254"/>
      <c r="D203" s="254"/>
      <c r="E203" s="254"/>
      <c r="F203" s="349"/>
      <c r="G203" s="469"/>
      <c r="H203" s="470" t="s">
        <v>9</v>
      </c>
      <c r="I203" s="230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27" t="s">
        <v>385</v>
      </c>
      <c r="C204" s="478" t="str">
        <f>OP!$M$11</f>
        <v>OP-L-099</v>
      </c>
      <c r="D204" s="226"/>
      <c r="E204" s="226"/>
      <c r="F204" s="227"/>
      <c r="G204" s="128" t="s">
        <v>183</v>
      </c>
      <c r="H204" s="476"/>
      <c r="I204" s="227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0" t="s">
        <v>386</v>
      </c>
      <c r="C205" s="478" t="str">
        <f>OP!$G$9</f>
        <v>SUERO DE NIACINAMIDA 5% FORMULA NUEVA</v>
      </c>
      <c r="D205" s="226"/>
      <c r="E205" s="226"/>
      <c r="F205" s="227"/>
      <c r="G205" s="131" t="s">
        <v>387</v>
      </c>
      <c r="H205" s="477" t="str">
        <f>OP!$M$10</f>
        <v>252111</v>
      </c>
      <c r="I205" s="227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0" t="s">
        <v>388</v>
      </c>
      <c r="C206" s="473" t="str">
        <f>OP!B31</f>
        <v>EDTA DISODICO</v>
      </c>
      <c r="D206" s="232"/>
      <c r="E206" s="232"/>
      <c r="F206" s="233"/>
      <c r="G206" s="132" t="s">
        <v>389</v>
      </c>
      <c r="H206" s="478">
        <f>OP!J31</f>
        <v>20240815</v>
      </c>
      <c r="I206" s="227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3" t="s">
        <v>390</v>
      </c>
      <c r="C207" s="474">
        <f>OP!N31</f>
        <v>60</v>
      </c>
      <c r="D207" s="226"/>
      <c r="E207" s="226"/>
      <c r="F207" s="226"/>
      <c r="G207" s="134"/>
      <c r="H207" s="129"/>
      <c r="I207" s="135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3" t="s">
        <v>391</v>
      </c>
      <c r="C208" s="480"/>
      <c r="D208" s="226"/>
      <c r="E208" s="226"/>
      <c r="F208" s="226"/>
      <c r="G208" s="129"/>
      <c r="H208" s="129"/>
      <c r="I208" s="135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3" t="s">
        <v>392</v>
      </c>
      <c r="C209" s="480"/>
      <c r="D209" s="226"/>
      <c r="E209" s="226"/>
      <c r="F209" s="226"/>
      <c r="G209" s="134" t="s">
        <v>393</v>
      </c>
      <c r="H209" s="136"/>
      <c r="I209" s="137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3" t="s">
        <v>394</v>
      </c>
      <c r="C210" s="480"/>
      <c r="D210" s="226"/>
      <c r="E210" s="226"/>
      <c r="F210" s="226"/>
      <c r="G210" s="134" t="s">
        <v>181</v>
      </c>
      <c r="H210" s="136"/>
      <c r="I210" s="137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8" t="s">
        <v>395</v>
      </c>
      <c r="C211" s="139"/>
      <c r="D211" s="139"/>
      <c r="E211" s="139"/>
      <c r="F211" s="140"/>
      <c r="G211" s="139"/>
      <c r="H211" s="139"/>
      <c r="I211" s="141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466"/>
      <c r="C213" s="479" t="s">
        <v>0</v>
      </c>
      <c r="D213" s="251"/>
      <c r="E213" s="251"/>
      <c r="F213" s="303"/>
      <c r="G213" s="125" t="s">
        <v>1</v>
      </c>
      <c r="H213" s="297" t="s">
        <v>383</v>
      </c>
      <c r="I213" s="224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467"/>
      <c r="C214" s="284"/>
      <c r="D214" s="237"/>
      <c r="E214" s="237"/>
      <c r="F214" s="285"/>
      <c r="G214" s="9" t="s">
        <v>3</v>
      </c>
      <c r="H214" s="319">
        <v>1</v>
      </c>
      <c r="I214" s="235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467"/>
      <c r="C215" s="286"/>
      <c r="D215" s="226"/>
      <c r="E215" s="226"/>
      <c r="F215" s="227"/>
      <c r="G215" s="9" t="s">
        <v>5</v>
      </c>
      <c r="H215" s="287" t="s">
        <v>6</v>
      </c>
      <c r="I215" s="235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467"/>
      <c r="C216" s="270" t="s">
        <v>384</v>
      </c>
      <c r="D216" s="237"/>
      <c r="E216" s="237"/>
      <c r="F216" s="285"/>
      <c r="G216" s="380" t="s">
        <v>7</v>
      </c>
      <c r="H216" s="287" t="s">
        <v>8</v>
      </c>
      <c r="I216" s="235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468"/>
      <c r="C217" s="254"/>
      <c r="D217" s="254"/>
      <c r="E217" s="254"/>
      <c r="F217" s="349"/>
      <c r="G217" s="469"/>
      <c r="H217" s="470" t="s">
        <v>9</v>
      </c>
      <c r="I217" s="230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27" t="s">
        <v>385</v>
      </c>
      <c r="C218" s="478" t="str">
        <f>OP!$M$11</f>
        <v>OP-L-099</v>
      </c>
      <c r="D218" s="226"/>
      <c r="E218" s="226"/>
      <c r="F218" s="227"/>
      <c r="G218" s="128" t="s">
        <v>183</v>
      </c>
      <c r="H218" s="476"/>
      <c r="I218" s="227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0" t="s">
        <v>386</v>
      </c>
      <c r="C219" s="478" t="str">
        <f>OP!$G$9</f>
        <v>SUERO DE NIACINAMIDA 5% FORMULA NUEVA</v>
      </c>
      <c r="D219" s="226"/>
      <c r="E219" s="226"/>
      <c r="F219" s="227"/>
      <c r="G219" s="131" t="s">
        <v>387</v>
      </c>
      <c r="H219" s="477" t="str">
        <f>OP!$M$10</f>
        <v>252111</v>
      </c>
      <c r="I219" s="227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0" t="s">
        <v>388</v>
      </c>
      <c r="C220" s="473" t="str">
        <f>OP!B32</f>
        <v>GLICERINA</v>
      </c>
      <c r="D220" s="232"/>
      <c r="E220" s="232"/>
      <c r="F220" s="233"/>
      <c r="G220" s="132" t="s">
        <v>389</v>
      </c>
      <c r="H220" s="478" t="str">
        <f>OP!J32</f>
        <v>021067-25</v>
      </c>
      <c r="I220" s="227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3" t="s">
        <v>390</v>
      </c>
      <c r="C221" s="474">
        <f>OP!N32</f>
        <v>120</v>
      </c>
      <c r="D221" s="226"/>
      <c r="E221" s="226"/>
      <c r="F221" s="226"/>
      <c r="G221" s="134"/>
      <c r="H221" s="129"/>
      <c r="I221" s="135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3" t="s">
        <v>391</v>
      </c>
      <c r="C222" s="480"/>
      <c r="D222" s="226"/>
      <c r="E222" s="226"/>
      <c r="F222" s="226"/>
      <c r="G222" s="129"/>
      <c r="H222" s="129"/>
      <c r="I222" s="135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3" t="s">
        <v>392</v>
      </c>
      <c r="C223" s="480"/>
      <c r="D223" s="226"/>
      <c r="E223" s="226"/>
      <c r="F223" s="226"/>
      <c r="G223" s="134" t="s">
        <v>393</v>
      </c>
      <c r="H223" s="136"/>
      <c r="I223" s="137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3" t="s">
        <v>394</v>
      </c>
      <c r="C224" s="480"/>
      <c r="D224" s="226"/>
      <c r="E224" s="226"/>
      <c r="F224" s="226"/>
      <c r="G224" s="134" t="s">
        <v>181</v>
      </c>
      <c r="H224" s="136"/>
      <c r="I224" s="137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8" t="s">
        <v>395</v>
      </c>
      <c r="C225" s="139"/>
      <c r="D225" s="139"/>
      <c r="E225" s="139"/>
      <c r="F225" s="140"/>
      <c r="G225" s="139"/>
      <c r="H225" s="139"/>
      <c r="I225" s="141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/>
    <row r="427" spans="1:26" ht="15.75" customHeight="1" x14ac:dyDescent="0.45"/>
    <row r="428" spans="1:26" ht="15.75" customHeight="1" x14ac:dyDescent="0.45"/>
    <row r="429" spans="1:26" ht="15.75" customHeight="1" x14ac:dyDescent="0.45"/>
    <row r="430" spans="1:26" ht="15.75" customHeight="1" x14ac:dyDescent="0.45"/>
    <row r="431" spans="1:26" ht="15.75" customHeight="1" x14ac:dyDescent="0.45"/>
    <row r="432" spans="1:26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</sheetData>
  <mergeCells count="304">
    <mergeCell ref="B129:B133"/>
    <mergeCell ref="H144:I144"/>
    <mergeCell ref="H145:I145"/>
    <mergeCell ref="H131:I131"/>
    <mergeCell ref="H132:I132"/>
    <mergeCell ref="H133:I133"/>
    <mergeCell ref="H134:I134"/>
    <mergeCell ref="H135:I135"/>
    <mergeCell ref="H136:I136"/>
    <mergeCell ref="H143:I143"/>
    <mergeCell ref="H78:I78"/>
    <mergeCell ref="H79:I79"/>
    <mergeCell ref="H80:I80"/>
    <mergeCell ref="H94:I94"/>
    <mergeCell ref="H101:I101"/>
    <mergeCell ref="H87:I87"/>
    <mergeCell ref="H88:I88"/>
    <mergeCell ref="H89:I89"/>
    <mergeCell ref="H90:I90"/>
    <mergeCell ref="H91:I91"/>
    <mergeCell ref="H92:I92"/>
    <mergeCell ref="H93:I93"/>
    <mergeCell ref="B73:B77"/>
    <mergeCell ref="H61:I61"/>
    <mergeCell ref="H62:I62"/>
    <mergeCell ref="H63:I63"/>
    <mergeCell ref="H64:I64"/>
    <mergeCell ref="H65:I65"/>
    <mergeCell ref="H66:I66"/>
    <mergeCell ref="H73:I73"/>
    <mergeCell ref="H74:I74"/>
    <mergeCell ref="H75:I75"/>
    <mergeCell ref="H76:I76"/>
    <mergeCell ref="H77:I77"/>
    <mergeCell ref="B59:B63"/>
    <mergeCell ref="C37:F37"/>
    <mergeCell ref="H37:I37"/>
    <mergeCell ref="C38:F38"/>
    <mergeCell ref="H38:I38"/>
    <mergeCell ref="C39:F39"/>
    <mergeCell ref="C73:F75"/>
    <mergeCell ref="C76:F77"/>
    <mergeCell ref="G76:G77"/>
    <mergeCell ref="C65:F65"/>
    <mergeCell ref="C66:F66"/>
    <mergeCell ref="C67:F67"/>
    <mergeCell ref="C68:F68"/>
    <mergeCell ref="C69:F69"/>
    <mergeCell ref="C70:F70"/>
    <mergeCell ref="H59:I59"/>
    <mergeCell ref="H60:I60"/>
    <mergeCell ref="C55:F55"/>
    <mergeCell ref="C56:F56"/>
    <mergeCell ref="C59:F61"/>
    <mergeCell ref="C62:F63"/>
    <mergeCell ref="G62:G63"/>
    <mergeCell ref="C64:F64"/>
    <mergeCell ref="C50:F50"/>
    <mergeCell ref="C51:F51"/>
    <mergeCell ref="C26:F26"/>
    <mergeCell ref="C27:F27"/>
    <mergeCell ref="C36:F36"/>
    <mergeCell ref="H36:I36"/>
    <mergeCell ref="H21:I21"/>
    <mergeCell ref="H22:I22"/>
    <mergeCell ref="H23:I23"/>
    <mergeCell ref="H34:I34"/>
    <mergeCell ref="H35:I35"/>
    <mergeCell ref="C9:F9"/>
    <mergeCell ref="C10:F10"/>
    <mergeCell ref="C11:F11"/>
    <mergeCell ref="C12:F12"/>
    <mergeCell ref="C21:F21"/>
    <mergeCell ref="C22:F22"/>
    <mergeCell ref="C23:F23"/>
    <mergeCell ref="C24:F24"/>
    <mergeCell ref="C25:F25"/>
    <mergeCell ref="B16:B20"/>
    <mergeCell ref="C16:F18"/>
    <mergeCell ref="C19:F20"/>
    <mergeCell ref="G19:G20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H4:I4"/>
    <mergeCell ref="H5:I5"/>
    <mergeCell ref="H16:I16"/>
    <mergeCell ref="H17:I17"/>
    <mergeCell ref="H18:I18"/>
    <mergeCell ref="H19:I19"/>
    <mergeCell ref="H20:I20"/>
    <mergeCell ref="C7:F7"/>
    <mergeCell ref="H7:I7"/>
    <mergeCell ref="C8:F8"/>
    <mergeCell ref="H8:I8"/>
    <mergeCell ref="B31:B35"/>
    <mergeCell ref="C31:F33"/>
    <mergeCell ref="H31:I31"/>
    <mergeCell ref="H32:I32"/>
    <mergeCell ref="H33:I33"/>
    <mergeCell ref="C34:F35"/>
    <mergeCell ref="G34:G35"/>
    <mergeCell ref="C220:F220"/>
    <mergeCell ref="C221:F221"/>
    <mergeCell ref="C190:F190"/>
    <mergeCell ref="C191:F191"/>
    <mergeCell ref="C192:F192"/>
    <mergeCell ref="C193:F193"/>
    <mergeCell ref="C194:F194"/>
    <mergeCell ref="C195:F195"/>
    <mergeCell ref="C196:F196"/>
    <mergeCell ref="B199:B203"/>
    <mergeCell ref="C199:F201"/>
    <mergeCell ref="H185:I185"/>
    <mergeCell ref="H186:I186"/>
    <mergeCell ref="H187:I187"/>
    <mergeCell ref="H188:I188"/>
    <mergeCell ref="H189:I189"/>
    <mergeCell ref="C182:F182"/>
    <mergeCell ref="C222:F222"/>
    <mergeCell ref="C223:F223"/>
    <mergeCell ref="C224:F224"/>
    <mergeCell ref="H216:I216"/>
    <mergeCell ref="H217:I217"/>
    <mergeCell ref="C218:F218"/>
    <mergeCell ref="H218:I218"/>
    <mergeCell ref="C219:F219"/>
    <mergeCell ref="H219:I219"/>
    <mergeCell ref="H220:I220"/>
    <mergeCell ref="C216:F217"/>
    <mergeCell ref="G216:G217"/>
    <mergeCell ref="B185:B189"/>
    <mergeCell ref="C185:F187"/>
    <mergeCell ref="C188:F189"/>
    <mergeCell ref="G188:G189"/>
    <mergeCell ref="H176:I176"/>
    <mergeCell ref="C174:F175"/>
    <mergeCell ref="C176:F176"/>
    <mergeCell ref="C177:F177"/>
    <mergeCell ref="C178:F178"/>
    <mergeCell ref="C179:F179"/>
    <mergeCell ref="C180:F180"/>
    <mergeCell ref="C181:F181"/>
    <mergeCell ref="H177:I177"/>
    <mergeCell ref="H178:I178"/>
    <mergeCell ref="C165:F165"/>
    <mergeCell ref="C166:F166"/>
    <mergeCell ref="C167:F167"/>
    <mergeCell ref="C168:F168"/>
    <mergeCell ref="B171:B175"/>
    <mergeCell ref="C171:F173"/>
    <mergeCell ref="H171:I171"/>
    <mergeCell ref="H172:I172"/>
    <mergeCell ref="H173:I173"/>
    <mergeCell ref="G174:G175"/>
    <mergeCell ref="H174:I174"/>
    <mergeCell ref="H175:I175"/>
    <mergeCell ref="C209:F209"/>
    <mergeCell ref="C210:F210"/>
    <mergeCell ref="B213:B217"/>
    <mergeCell ref="C213:F215"/>
    <mergeCell ref="H213:I213"/>
    <mergeCell ref="H214:I214"/>
    <mergeCell ref="H215:I215"/>
    <mergeCell ref="C202:F203"/>
    <mergeCell ref="G202:G203"/>
    <mergeCell ref="C204:F204"/>
    <mergeCell ref="C205:F205"/>
    <mergeCell ref="H205:I205"/>
    <mergeCell ref="C206:F206"/>
    <mergeCell ref="H206:I206"/>
    <mergeCell ref="C207:F207"/>
    <mergeCell ref="C208:F208"/>
    <mergeCell ref="H203:I203"/>
    <mergeCell ref="H204:I204"/>
    <mergeCell ref="H190:I190"/>
    <mergeCell ref="H191:I191"/>
    <mergeCell ref="H192:I192"/>
    <mergeCell ref="H199:I199"/>
    <mergeCell ref="H200:I200"/>
    <mergeCell ref="H201:I201"/>
    <mergeCell ref="H202:I202"/>
    <mergeCell ref="C139:F139"/>
    <mergeCell ref="C140:F140"/>
    <mergeCell ref="H160:I160"/>
    <mergeCell ref="H161:I161"/>
    <mergeCell ref="C162:F162"/>
    <mergeCell ref="H162:I162"/>
    <mergeCell ref="C163:F163"/>
    <mergeCell ref="H163:I163"/>
    <mergeCell ref="H164:I164"/>
    <mergeCell ref="C164:F164"/>
    <mergeCell ref="H148:I148"/>
    <mergeCell ref="C148:F148"/>
    <mergeCell ref="C149:F149"/>
    <mergeCell ref="H149:I149"/>
    <mergeCell ref="C150:F150"/>
    <mergeCell ref="H150:I150"/>
    <mergeCell ref="C151:F151"/>
    <mergeCell ref="B157:B161"/>
    <mergeCell ref="C157:F159"/>
    <mergeCell ref="H157:I157"/>
    <mergeCell ref="H158:I158"/>
    <mergeCell ref="H159:I159"/>
    <mergeCell ref="C95:F95"/>
    <mergeCell ref="C96:F96"/>
    <mergeCell ref="C97:F97"/>
    <mergeCell ref="C98:F98"/>
    <mergeCell ref="B101:B105"/>
    <mergeCell ref="H102:I102"/>
    <mergeCell ref="G104:G105"/>
    <mergeCell ref="C101:F103"/>
    <mergeCell ref="C104:F105"/>
    <mergeCell ref="C106:F106"/>
    <mergeCell ref="C107:F107"/>
    <mergeCell ref="C108:F108"/>
    <mergeCell ref="C109:F109"/>
    <mergeCell ref="C110:F110"/>
    <mergeCell ref="H105:I105"/>
    <mergeCell ref="H106:I106"/>
    <mergeCell ref="H107:I107"/>
    <mergeCell ref="H108:I108"/>
    <mergeCell ref="H115:I115"/>
    <mergeCell ref="C152:F152"/>
    <mergeCell ref="C160:F161"/>
    <mergeCell ref="G160:G161"/>
    <mergeCell ref="C153:F153"/>
    <mergeCell ref="C154:F154"/>
    <mergeCell ref="G90:G91"/>
    <mergeCell ref="C92:F92"/>
    <mergeCell ref="C93:F93"/>
    <mergeCell ref="C94:F94"/>
    <mergeCell ref="C134:F134"/>
    <mergeCell ref="C135:F135"/>
    <mergeCell ref="C136:F136"/>
    <mergeCell ref="C137:F137"/>
    <mergeCell ref="C138:F138"/>
    <mergeCell ref="C129:F131"/>
    <mergeCell ref="C132:F133"/>
    <mergeCell ref="G132:G133"/>
    <mergeCell ref="C121:F121"/>
    <mergeCell ref="C122:F122"/>
    <mergeCell ref="C123:F123"/>
    <mergeCell ref="C124:F124"/>
    <mergeCell ref="C125:F125"/>
    <mergeCell ref="C126:F126"/>
    <mergeCell ref="H103:I103"/>
    <mergeCell ref="H104:I104"/>
    <mergeCell ref="B143:B147"/>
    <mergeCell ref="C143:F145"/>
    <mergeCell ref="C146:F147"/>
    <mergeCell ref="G146:G147"/>
    <mergeCell ref="H146:I146"/>
    <mergeCell ref="H147:I147"/>
    <mergeCell ref="H116:I116"/>
    <mergeCell ref="H117:I117"/>
    <mergeCell ref="C111:F111"/>
    <mergeCell ref="C112:F112"/>
    <mergeCell ref="B115:B119"/>
    <mergeCell ref="C115:F117"/>
    <mergeCell ref="C118:F119"/>
    <mergeCell ref="G118:G119"/>
    <mergeCell ref="C120:F120"/>
    <mergeCell ref="H118:I118"/>
    <mergeCell ref="H119:I119"/>
    <mergeCell ref="H120:I120"/>
    <mergeCell ref="H121:I121"/>
    <mergeCell ref="H122:I122"/>
    <mergeCell ref="H129:I129"/>
    <mergeCell ref="H130:I130"/>
    <mergeCell ref="C78:F78"/>
    <mergeCell ref="C79:F79"/>
    <mergeCell ref="C80:F80"/>
    <mergeCell ref="C81:F81"/>
    <mergeCell ref="C82:F82"/>
    <mergeCell ref="C83:F83"/>
    <mergeCell ref="C84:F84"/>
    <mergeCell ref="B87:B91"/>
    <mergeCell ref="C87:F89"/>
    <mergeCell ref="C90:F91"/>
    <mergeCell ref="C54:F54"/>
    <mergeCell ref="H47:I47"/>
    <mergeCell ref="H48:I48"/>
    <mergeCell ref="H50:I50"/>
    <mergeCell ref="H51:I51"/>
    <mergeCell ref="H52:I52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2:F52"/>
    <mergeCell ref="C53:F53"/>
  </mergeCells>
  <pageMargins left="0.7" right="0.7" top="0.75" bottom="0.75" header="0" footer="0"/>
  <pageSetup fitToHeight="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 x14ac:dyDescent="0.45">
      <c r="A1" s="83"/>
      <c r="B1" s="441"/>
      <c r="C1" s="281"/>
      <c r="D1" s="441" t="s">
        <v>0</v>
      </c>
      <c r="E1" s="243"/>
      <c r="F1" s="243"/>
      <c r="G1" s="243"/>
      <c r="H1" s="243"/>
      <c r="I1" s="281"/>
      <c r="J1" s="102" t="s">
        <v>1</v>
      </c>
      <c r="K1" s="102" t="s">
        <v>396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2"/>
      <c r="Y1" s="82"/>
      <c r="Z1" s="82"/>
    </row>
    <row r="2" spans="1:26" ht="24.75" customHeight="1" x14ac:dyDescent="0.45">
      <c r="A2" s="83"/>
      <c r="B2" s="284"/>
      <c r="C2" s="285"/>
      <c r="D2" s="284"/>
      <c r="E2" s="237"/>
      <c r="F2" s="237"/>
      <c r="G2" s="237"/>
      <c r="H2" s="237"/>
      <c r="I2" s="285"/>
      <c r="J2" s="102" t="s">
        <v>3</v>
      </c>
      <c r="K2" s="103">
        <v>1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2"/>
      <c r="Y2" s="82"/>
      <c r="Z2" s="82"/>
    </row>
    <row r="3" spans="1:26" ht="24.75" customHeight="1" x14ac:dyDescent="0.45">
      <c r="A3" s="83"/>
      <c r="B3" s="284"/>
      <c r="C3" s="285"/>
      <c r="D3" s="286"/>
      <c r="E3" s="226"/>
      <c r="F3" s="226"/>
      <c r="G3" s="226"/>
      <c r="H3" s="226"/>
      <c r="I3" s="227"/>
      <c r="J3" s="102" t="s">
        <v>5</v>
      </c>
      <c r="K3" s="102" t="s">
        <v>6</v>
      </c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2"/>
      <c r="Y3" s="82"/>
      <c r="Z3" s="82"/>
    </row>
    <row r="4" spans="1:26" ht="21" customHeight="1" x14ac:dyDescent="0.45">
      <c r="A4" s="82"/>
      <c r="B4" s="284"/>
      <c r="C4" s="285"/>
      <c r="D4" s="441" t="s">
        <v>397</v>
      </c>
      <c r="E4" s="243"/>
      <c r="F4" s="243"/>
      <c r="G4" s="243"/>
      <c r="H4" s="243"/>
      <c r="I4" s="281"/>
      <c r="J4" s="442" t="s">
        <v>7</v>
      </c>
      <c r="K4" s="102" t="s">
        <v>204</v>
      </c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8" customHeight="1" x14ac:dyDescent="0.45">
      <c r="A5" s="82"/>
      <c r="B5" s="286"/>
      <c r="C5" s="227"/>
      <c r="D5" s="286"/>
      <c r="E5" s="226"/>
      <c r="F5" s="226"/>
      <c r="G5" s="226"/>
      <c r="H5" s="226"/>
      <c r="I5" s="227"/>
      <c r="J5" s="381"/>
      <c r="K5" s="104" t="s">
        <v>205</v>
      </c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8"/>
      <c r="C6" s="97"/>
      <c r="D6" s="97"/>
      <c r="E6" s="97"/>
      <c r="F6" s="97"/>
      <c r="G6" s="97"/>
      <c r="H6" s="97"/>
      <c r="I6" s="97"/>
      <c r="J6" s="97"/>
      <c r="K6" s="148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24.75" customHeight="1" x14ac:dyDescent="0.45">
      <c r="A7" s="82"/>
      <c r="B7" s="11"/>
      <c r="C7" s="12"/>
      <c r="D7" s="12"/>
      <c r="E7" s="12"/>
      <c r="F7" s="12"/>
      <c r="G7" s="12"/>
      <c r="H7" s="12"/>
      <c r="I7" s="12"/>
      <c r="J7" s="12"/>
      <c r="K7" s="149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57" customHeight="1" x14ac:dyDescent="0.45">
      <c r="A8" s="82"/>
      <c r="B8" s="108" t="s">
        <v>10</v>
      </c>
      <c r="C8" s="274" t="str">
        <f>'COA PT'!D6</f>
        <v>SUERO DE NIACINAMIDA 5% FORMULA NUEVA</v>
      </c>
      <c r="D8" s="232"/>
      <c r="E8" s="232"/>
      <c r="F8" s="235"/>
      <c r="G8" s="108" t="s">
        <v>21</v>
      </c>
      <c r="H8" s="450" t="str">
        <f>OP!G10</f>
        <v>NSOC33886-24CO</v>
      </c>
      <c r="I8" s="232"/>
      <c r="J8" s="232"/>
      <c r="K8" s="233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42.75" customHeight="1" x14ac:dyDescent="0.45">
      <c r="A9" s="82"/>
      <c r="B9" s="108" t="s">
        <v>236</v>
      </c>
      <c r="C9" s="454" t="str">
        <f>'COA PT'!H7</f>
        <v>OP-L-099</v>
      </c>
      <c r="D9" s="232"/>
      <c r="E9" s="232"/>
      <c r="F9" s="233"/>
      <c r="G9" s="108" t="s">
        <v>59</v>
      </c>
      <c r="H9" s="488"/>
      <c r="I9" s="232"/>
      <c r="J9" s="232"/>
      <c r="K9" s="233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54.75" customHeight="1" x14ac:dyDescent="0.45">
      <c r="A10" s="82"/>
      <c r="B10" s="108" t="s">
        <v>350</v>
      </c>
      <c r="C10" s="457" t="str">
        <f>'COA PT'!D7</f>
        <v>252111</v>
      </c>
      <c r="D10" s="232"/>
      <c r="E10" s="232"/>
      <c r="F10" s="233"/>
      <c r="G10" s="108" t="s">
        <v>16</v>
      </c>
      <c r="H10" s="450" t="str">
        <f>ACONDICIONAMIENTO!O8</f>
        <v>10 mL</v>
      </c>
      <c r="I10" s="232"/>
      <c r="J10" s="232"/>
      <c r="K10" s="233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33.75" customHeight="1" x14ac:dyDescent="0.45">
      <c r="A11" s="82"/>
      <c r="B11" s="150"/>
      <c r="C11" s="151"/>
      <c r="D11" s="151"/>
      <c r="E11" s="151"/>
      <c r="F11" s="151"/>
      <c r="G11" s="151"/>
      <c r="H11" s="151"/>
      <c r="I11" s="151"/>
      <c r="J11" s="151"/>
      <c r="K11" s="15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37.5" customHeight="1" x14ac:dyDescent="0.45">
      <c r="A12" s="82"/>
      <c r="B12" s="436" t="s">
        <v>398</v>
      </c>
      <c r="C12" s="232"/>
      <c r="D12" s="232"/>
      <c r="E12" s="232"/>
      <c r="F12" s="232"/>
      <c r="G12" s="232"/>
      <c r="H12" s="232"/>
      <c r="I12" s="232"/>
      <c r="J12" s="232"/>
      <c r="K12" s="233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42" customHeight="1" x14ac:dyDescent="0.45">
      <c r="A13" s="82"/>
      <c r="B13" s="108" t="s">
        <v>28</v>
      </c>
      <c r="C13" s="436" t="s">
        <v>29</v>
      </c>
      <c r="D13" s="232"/>
      <c r="E13" s="232"/>
      <c r="F13" s="232"/>
      <c r="G13" s="233"/>
      <c r="H13" s="436" t="s">
        <v>30</v>
      </c>
      <c r="I13" s="233"/>
      <c r="J13" s="436" t="s">
        <v>31</v>
      </c>
      <c r="K13" s="233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36" customHeight="1" x14ac:dyDescent="0.45">
      <c r="A14" s="82"/>
      <c r="B14" s="108">
        <v>1</v>
      </c>
      <c r="C14" s="490" t="s">
        <v>399</v>
      </c>
      <c r="D14" s="232"/>
      <c r="E14" s="232"/>
      <c r="F14" s="232"/>
      <c r="G14" s="233"/>
      <c r="H14" s="436"/>
      <c r="I14" s="233"/>
      <c r="J14" s="489"/>
      <c r="K14" s="233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42" customHeight="1" x14ac:dyDescent="0.45">
      <c r="A15" s="82"/>
      <c r="B15" s="120">
        <v>2</v>
      </c>
      <c r="C15" s="490" t="s">
        <v>400</v>
      </c>
      <c r="D15" s="232"/>
      <c r="E15" s="232"/>
      <c r="F15" s="232"/>
      <c r="G15" s="233"/>
      <c r="H15" s="436"/>
      <c r="I15" s="233"/>
      <c r="J15" s="489"/>
      <c r="K15" s="233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39.75" customHeight="1" x14ac:dyDescent="0.45">
      <c r="A16" s="82"/>
      <c r="B16" s="154">
        <v>3</v>
      </c>
      <c r="C16" s="490" t="s">
        <v>401</v>
      </c>
      <c r="D16" s="232"/>
      <c r="E16" s="232"/>
      <c r="F16" s="232"/>
      <c r="G16" s="233"/>
      <c r="H16" s="109"/>
      <c r="I16" s="155"/>
      <c r="J16" s="489"/>
      <c r="K16" s="233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35.25" customHeight="1" x14ac:dyDescent="0.45">
      <c r="A17" s="82"/>
      <c r="B17" s="154">
        <v>4</v>
      </c>
      <c r="C17" s="490" t="s">
        <v>402</v>
      </c>
      <c r="D17" s="232"/>
      <c r="E17" s="232"/>
      <c r="F17" s="232"/>
      <c r="G17" s="233"/>
      <c r="H17" s="109"/>
      <c r="I17" s="155"/>
      <c r="J17" s="489"/>
      <c r="K17" s="233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35.25" customHeight="1" x14ac:dyDescent="0.45">
      <c r="A18" s="82"/>
      <c r="B18" s="154">
        <v>5</v>
      </c>
      <c r="C18" s="490" t="s">
        <v>403</v>
      </c>
      <c r="D18" s="232"/>
      <c r="E18" s="232"/>
      <c r="F18" s="232"/>
      <c r="G18" s="233"/>
      <c r="H18" s="109"/>
      <c r="I18" s="155"/>
      <c r="J18" s="153"/>
      <c r="K18" s="156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33.75" customHeight="1" x14ac:dyDescent="0.45">
      <c r="A19" s="82"/>
      <c r="B19" s="154">
        <v>6</v>
      </c>
      <c r="C19" s="490" t="s">
        <v>404</v>
      </c>
      <c r="D19" s="232"/>
      <c r="E19" s="232"/>
      <c r="F19" s="232"/>
      <c r="G19" s="233"/>
      <c r="H19" s="109"/>
      <c r="I19" s="155"/>
      <c r="J19" s="489"/>
      <c r="K19" s="233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36" customHeight="1" x14ac:dyDescent="0.45">
      <c r="A20" s="82"/>
      <c r="B20" s="154">
        <v>7</v>
      </c>
      <c r="C20" s="490" t="s">
        <v>405</v>
      </c>
      <c r="D20" s="232"/>
      <c r="E20" s="232"/>
      <c r="F20" s="232"/>
      <c r="G20" s="233"/>
      <c r="H20" s="109"/>
      <c r="I20" s="155"/>
      <c r="J20" s="489"/>
      <c r="K20" s="233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36" customHeight="1" x14ac:dyDescent="0.45">
      <c r="A21" s="82"/>
      <c r="B21" s="154">
        <v>8</v>
      </c>
      <c r="C21" s="490" t="s">
        <v>406</v>
      </c>
      <c r="D21" s="232"/>
      <c r="E21" s="232"/>
      <c r="F21" s="232"/>
      <c r="G21" s="233"/>
      <c r="H21" s="109"/>
      <c r="I21" s="155"/>
      <c r="J21" s="489"/>
      <c r="K21" s="233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39" customHeight="1" x14ac:dyDescent="0.45">
      <c r="A22" s="82"/>
      <c r="B22" s="154">
        <v>9</v>
      </c>
      <c r="C22" s="490" t="s">
        <v>407</v>
      </c>
      <c r="D22" s="232"/>
      <c r="E22" s="232"/>
      <c r="F22" s="232"/>
      <c r="G22" s="233"/>
      <c r="H22" s="109"/>
      <c r="I22" s="155"/>
      <c r="J22" s="489"/>
      <c r="K22" s="233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39" customHeight="1" x14ac:dyDescent="0.45">
      <c r="A23" s="82"/>
      <c r="B23" s="154">
        <v>10</v>
      </c>
      <c r="C23" s="490" t="s">
        <v>408</v>
      </c>
      <c r="D23" s="232"/>
      <c r="E23" s="232"/>
      <c r="F23" s="232"/>
      <c r="G23" s="233"/>
      <c r="H23" s="109"/>
      <c r="I23" s="155"/>
      <c r="J23" s="153"/>
      <c r="K23" s="156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39" customHeight="1" x14ac:dyDescent="0.45">
      <c r="A24" s="82"/>
      <c r="B24" s="154">
        <v>11</v>
      </c>
      <c r="C24" s="490" t="s">
        <v>409</v>
      </c>
      <c r="D24" s="232"/>
      <c r="E24" s="232"/>
      <c r="F24" s="232"/>
      <c r="G24" s="233"/>
      <c r="H24" s="109"/>
      <c r="I24" s="155"/>
      <c r="J24" s="153"/>
      <c r="K24" s="156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39" customHeight="1" x14ac:dyDescent="0.45">
      <c r="A25" s="82"/>
      <c r="B25" s="154">
        <v>12</v>
      </c>
      <c r="C25" s="490" t="s">
        <v>410</v>
      </c>
      <c r="D25" s="232"/>
      <c r="E25" s="232"/>
      <c r="F25" s="232"/>
      <c r="G25" s="233"/>
      <c r="H25" s="109"/>
      <c r="I25" s="155"/>
      <c r="J25" s="153"/>
      <c r="K25" s="156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22.5" customHeight="1" x14ac:dyDescent="0.45">
      <c r="A26" s="82"/>
      <c r="B26" s="112"/>
      <c r="C26" s="157"/>
      <c r="D26" s="157"/>
      <c r="E26" s="158"/>
      <c r="F26" s="158"/>
      <c r="G26" s="158"/>
      <c r="H26" s="159"/>
      <c r="I26" s="159"/>
      <c r="J26" s="159"/>
      <c r="K26" s="160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26.25" customHeight="1" x14ac:dyDescent="0.45">
      <c r="A27" s="82"/>
      <c r="B27" s="491" t="s">
        <v>45</v>
      </c>
      <c r="C27" s="492"/>
      <c r="D27" s="243"/>
      <c r="E27" s="243"/>
      <c r="F27" s="243"/>
      <c r="G27" s="243"/>
      <c r="H27" s="243"/>
      <c r="I27" s="243"/>
      <c r="J27" s="243"/>
      <c r="K27" s="281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28.5" customHeight="1" x14ac:dyDescent="0.45">
      <c r="A28" s="82"/>
      <c r="B28" s="381"/>
      <c r="C28" s="286"/>
      <c r="D28" s="226"/>
      <c r="E28" s="226"/>
      <c r="F28" s="226"/>
      <c r="G28" s="226"/>
      <c r="H28" s="226"/>
      <c r="I28" s="226"/>
      <c r="J28" s="226"/>
      <c r="K28" s="227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22.5" customHeight="1" x14ac:dyDescent="0.45">
      <c r="A29" s="82"/>
      <c r="B29" s="150"/>
      <c r="C29" s="151"/>
      <c r="D29" s="151"/>
      <c r="E29" s="151"/>
      <c r="F29" s="151"/>
      <c r="G29" s="151"/>
      <c r="H29" s="151"/>
      <c r="I29" s="151"/>
      <c r="J29" s="151"/>
      <c r="K29" s="15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273" customHeight="1" x14ac:dyDescent="0.45">
      <c r="A30" s="82"/>
      <c r="B30" s="491" t="s">
        <v>411</v>
      </c>
      <c r="C30" s="492"/>
      <c r="D30" s="243"/>
      <c r="E30" s="243"/>
      <c r="F30" s="243"/>
      <c r="G30" s="243"/>
      <c r="H30" s="243"/>
      <c r="I30" s="243"/>
      <c r="J30" s="243"/>
      <c r="K30" s="281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228.75" customHeight="1" x14ac:dyDescent="0.45">
      <c r="A31" s="82"/>
      <c r="B31" s="381"/>
      <c r="C31" s="286"/>
      <c r="D31" s="226"/>
      <c r="E31" s="226"/>
      <c r="F31" s="226"/>
      <c r="G31" s="226"/>
      <c r="H31" s="226"/>
      <c r="I31" s="226"/>
      <c r="J31" s="226"/>
      <c r="K31" s="227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34.5" customHeight="1" x14ac:dyDescent="0.45">
      <c r="A32" s="82"/>
      <c r="B32" s="493" t="s">
        <v>412</v>
      </c>
      <c r="C32" s="232"/>
      <c r="D32" s="232"/>
      <c r="E32" s="232"/>
      <c r="F32" s="233"/>
      <c r="G32" s="161"/>
      <c r="H32" s="161"/>
      <c r="I32" s="161"/>
      <c r="J32" s="161"/>
      <c r="K32" s="16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34.5" customHeight="1" x14ac:dyDescent="0.45">
      <c r="A33" s="82"/>
      <c r="B33" s="493" t="s">
        <v>413</v>
      </c>
      <c r="C33" s="232"/>
      <c r="D33" s="232"/>
      <c r="E33" s="232"/>
      <c r="F33" s="233"/>
      <c r="G33" s="436"/>
      <c r="H33" s="232"/>
      <c r="I33" s="232"/>
      <c r="J33" s="108" t="s">
        <v>67</v>
      </c>
      <c r="K33" s="155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37.5" customHeight="1" x14ac:dyDescent="0.45">
      <c r="A34" s="82"/>
      <c r="B34" s="493" t="s">
        <v>334</v>
      </c>
      <c r="C34" s="232"/>
      <c r="D34" s="232"/>
      <c r="E34" s="232"/>
      <c r="F34" s="233"/>
      <c r="G34" s="436"/>
      <c r="H34" s="232"/>
      <c r="I34" s="232"/>
      <c r="J34" s="232"/>
      <c r="K34" s="233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301" t="s">
        <v>52</v>
      </c>
      <c r="C35" s="226"/>
      <c r="D35" s="226"/>
      <c r="E35" s="226"/>
      <c r="F35" s="226"/>
      <c r="G35" s="226"/>
      <c r="H35" s="226"/>
      <c r="I35" s="226"/>
      <c r="J35" s="226"/>
      <c r="K35" s="227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/>
    <row r="237" spans="1:26" ht="15.75" customHeight="1" x14ac:dyDescent="0.45"/>
    <row r="238" spans="1:26" ht="15.75" customHeight="1" x14ac:dyDescent="0.45"/>
    <row r="239" spans="1:26" ht="15.75" customHeight="1" x14ac:dyDescent="0.45"/>
    <row r="240" spans="1:26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46"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I33"/>
    <mergeCell ref="B34:F34"/>
    <mergeCell ref="G34:K34"/>
    <mergeCell ref="C20:G20"/>
    <mergeCell ref="J20:K20"/>
    <mergeCell ref="J21:K21"/>
    <mergeCell ref="B27:B28"/>
    <mergeCell ref="B30:B31"/>
    <mergeCell ref="C30:K31"/>
    <mergeCell ref="J17:K17"/>
    <mergeCell ref="C17:G17"/>
    <mergeCell ref="C18:G18"/>
    <mergeCell ref="C19:G19"/>
    <mergeCell ref="J19:K19"/>
    <mergeCell ref="C15:G15"/>
    <mergeCell ref="H15:I15"/>
    <mergeCell ref="J15:K15"/>
    <mergeCell ref="C16:G16"/>
    <mergeCell ref="J16:K16"/>
    <mergeCell ref="B12:K12"/>
    <mergeCell ref="C13:G13"/>
    <mergeCell ref="H13:I13"/>
    <mergeCell ref="J13:K13"/>
    <mergeCell ref="H14:I14"/>
    <mergeCell ref="J14:K14"/>
    <mergeCell ref="C14:G14"/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</mergeCells>
  <pageMargins left="0.7" right="0.7" top="0.75" bottom="0.75" header="0" footer="0"/>
  <pageSetup fitToHeight="0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994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15.75" customHeight="1" x14ac:dyDescent="0.45">
      <c r="A1" s="82"/>
      <c r="B1" s="12"/>
      <c r="C1" s="12"/>
      <c r="D1" s="12"/>
      <c r="E1" s="12"/>
      <c r="F1" s="12"/>
      <c r="G1" s="12"/>
      <c r="H1" s="12"/>
      <c r="I1" s="12"/>
      <c r="J1" s="1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18.75" customHeight="1" x14ac:dyDescent="0.45">
      <c r="A2" s="82"/>
      <c r="B2" s="290"/>
      <c r="C2" s="506" t="s">
        <v>0</v>
      </c>
      <c r="D2" s="163" t="s">
        <v>1</v>
      </c>
      <c r="E2" s="163" t="s">
        <v>414</v>
      </c>
      <c r="F2" s="164"/>
      <c r="G2" s="428"/>
      <c r="H2" s="506" t="s">
        <v>0</v>
      </c>
      <c r="I2" s="163" t="s">
        <v>1</v>
      </c>
      <c r="J2" s="165" t="s">
        <v>414</v>
      </c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20.25" customHeight="1" x14ac:dyDescent="0.45">
      <c r="A3" s="82"/>
      <c r="B3" s="284"/>
      <c r="C3" s="482"/>
      <c r="D3" s="147" t="s">
        <v>3</v>
      </c>
      <c r="E3" s="166">
        <v>1</v>
      </c>
      <c r="F3" s="12"/>
      <c r="G3" s="266"/>
      <c r="H3" s="482"/>
      <c r="I3" s="147" t="s">
        <v>3</v>
      </c>
      <c r="J3" s="167">
        <v>1</v>
      </c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8" customHeight="1" x14ac:dyDescent="0.45">
      <c r="A4" s="82"/>
      <c r="B4" s="284"/>
      <c r="C4" s="483"/>
      <c r="D4" s="146" t="s">
        <v>5</v>
      </c>
      <c r="E4" s="146" t="s">
        <v>6</v>
      </c>
      <c r="F4" s="12"/>
      <c r="G4" s="266"/>
      <c r="H4" s="483"/>
      <c r="I4" s="146" t="s">
        <v>5</v>
      </c>
      <c r="J4" s="168" t="s">
        <v>6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8.75" customHeight="1" x14ac:dyDescent="0.45">
      <c r="A5" s="82"/>
      <c r="B5" s="284"/>
      <c r="C5" s="481" t="s">
        <v>415</v>
      </c>
      <c r="D5" s="495" t="s">
        <v>7</v>
      </c>
      <c r="E5" s="169" t="s">
        <v>8</v>
      </c>
      <c r="F5" s="12"/>
      <c r="G5" s="266"/>
      <c r="H5" s="481" t="s">
        <v>415</v>
      </c>
      <c r="I5" s="495" t="s">
        <v>7</v>
      </c>
      <c r="J5" s="170" t="s">
        <v>8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5" customHeight="1" x14ac:dyDescent="0.45">
      <c r="A6" s="82"/>
      <c r="B6" s="284"/>
      <c r="C6" s="483"/>
      <c r="D6" s="310"/>
      <c r="E6" s="171" t="s">
        <v>9</v>
      </c>
      <c r="F6" s="12"/>
      <c r="G6" s="266"/>
      <c r="H6" s="483"/>
      <c r="I6" s="310"/>
      <c r="J6" s="172" t="s">
        <v>9</v>
      </c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36" customHeight="1" x14ac:dyDescent="0.45">
      <c r="A7" s="82"/>
      <c r="B7" s="173" t="s">
        <v>416</v>
      </c>
      <c r="C7" s="272" t="str">
        <f>'INSPECCIÓN ETIQUETAS'!C8</f>
        <v>SUERO DE NIACINAMIDA 5% FORMULA NUEVA</v>
      </c>
      <c r="D7" s="251"/>
      <c r="E7" s="252"/>
      <c r="F7" s="174"/>
      <c r="G7" s="175" t="s">
        <v>416</v>
      </c>
      <c r="H7" s="272" t="str">
        <f t="shared" ref="H7:H10" si="0">C7</f>
        <v>SUERO DE NIACINAMIDA 5% FORMULA NUEVA</v>
      </c>
      <c r="I7" s="251"/>
      <c r="J7" s="303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35.25" customHeight="1" x14ac:dyDescent="0.45">
      <c r="A8" s="82"/>
      <c r="B8" s="176" t="s">
        <v>343</v>
      </c>
      <c r="C8" s="177" t="str">
        <f>'INSPECCIÓN ETIQUETAS'!C10</f>
        <v>252111</v>
      </c>
      <c r="D8" s="178" t="s">
        <v>183</v>
      </c>
      <c r="E8" s="179"/>
      <c r="F8" s="174"/>
      <c r="G8" s="178" t="s">
        <v>343</v>
      </c>
      <c r="H8" s="177" t="str">
        <f t="shared" si="0"/>
        <v>252111</v>
      </c>
      <c r="I8" s="178" t="s">
        <v>183</v>
      </c>
      <c r="J8" s="180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33" customHeight="1" x14ac:dyDescent="0.45">
      <c r="A9" s="82"/>
      <c r="B9" s="173" t="s">
        <v>417</v>
      </c>
      <c r="C9" s="504" t="str">
        <f>'INSPECCIÓN ETIQUETAS'!C9</f>
        <v>OP-L-099</v>
      </c>
      <c r="D9" s="216"/>
      <c r="E9" s="217"/>
      <c r="F9" s="174"/>
      <c r="G9" s="175" t="s">
        <v>417</v>
      </c>
      <c r="H9" s="504" t="str">
        <f t="shared" si="0"/>
        <v>OP-L-099</v>
      </c>
      <c r="I9" s="216"/>
      <c r="J9" s="268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32.25" customHeight="1" x14ac:dyDescent="0.45">
      <c r="A10" s="82"/>
      <c r="B10" s="173" t="s">
        <v>418</v>
      </c>
      <c r="C10" s="505">
        <f>OP!P12</f>
        <v>120</v>
      </c>
      <c r="D10" s="216"/>
      <c r="E10" s="217"/>
      <c r="F10" s="181"/>
      <c r="G10" s="175" t="s">
        <v>418</v>
      </c>
      <c r="H10" s="505">
        <f t="shared" si="0"/>
        <v>120</v>
      </c>
      <c r="I10" s="216"/>
      <c r="J10" s="268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5.75" customHeight="1" x14ac:dyDescent="0.45">
      <c r="A11" s="82"/>
      <c r="B11" s="500" t="s">
        <v>31</v>
      </c>
      <c r="C11" s="496"/>
      <c r="D11" s="251"/>
      <c r="E11" s="252"/>
      <c r="F11" s="181"/>
      <c r="G11" s="497" t="s">
        <v>31</v>
      </c>
      <c r="H11" s="496"/>
      <c r="I11" s="251"/>
      <c r="J11" s="303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" customHeight="1" x14ac:dyDescent="0.45">
      <c r="A12" s="82"/>
      <c r="B12" s="501"/>
      <c r="C12" s="266"/>
      <c r="D12" s="237"/>
      <c r="E12" s="261"/>
      <c r="F12" s="174"/>
      <c r="G12" s="482"/>
      <c r="H12" s="266"/>
      <c r="I12" s="237"/>
      <c r="J12" s="285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15.75" customHeight="1" x14ac:dyDescent="0.45">
      <c r="A13" s="82"/>
      <c r="B13" s="501"/>
      <c r="C13" s="266"/>
      <c r="D13" s="237"/>
      <c r="E13" s="261"/>
      <c r="F13" s="174"/>
      <c r="G13" s="482"/>
      <c r="H13" s="266"/>
      <c r="I13" s="237"/>
      <c r="J13" s="285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15.75" customHeight="1" x14ac:dyDescent="0.45">
      <c r="A14" s="82"/>
      <c r="B14" s="502"/>
      <c r="C14" s="253"/>
      <c r="D14" s="254"/>
      <c r="E14" s="255"/>
      <c r="F14" s="174"/>
      <c r="G14" s="483"/>
      <c r="H14" s="253"/>
      <c r="I14" s="254"/>
      <c r="J14" s="349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21" customHeight="1" x14ac:dyDescent="0.45">
      <c r="A15" s="82"/>
      <c r="B15" s="182" t="s">
        <v>86</v>
      </c>
      <c r="C15" s="503"/>
      <c r="D15" s="216"/>
      <c r="E15" s="217"/>
      <c r="F15" s="12"/>
      <c r="G15" s="183" t="s">
        <v>86</v>
      </c>
      <c r="H15" s="503"/>
      <c r="I15" s="216"/>
      <c r="J15" s="268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15.75" customHeight="1" x14ac:dyDescent="0.45">
      <c r="A16" s="82"/>
      <c r="B16" s="11"/>
      <c r="C16" s="12"/>
      <c r="D16" s="12"/>
      <c r="E16" s="12"/>
      <c r="F16" s="12"/>
      <c r="G16" s="12"/>
      <c r="H16" s="12"/>
      <c r="I16" s="12"/>
      <c r="J16" s="149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5.75" customHeight="1" x14ac:dyDescent="0.45">
      <c r="A17" s="82"/>
      <c r="B17" s="479"/>
      <c r="C17" s="481" t="s">
        <v>0</v>
      </c>
      <c r="D17" s="146" t="s">
        <v>1</v>
      </c>
      <c r="E17" s="146" t="s">
        <v>414</v>
      </c>
      <c r="F17" s="12"/>
      <c r="G17" s="494"/>
      <c r="H17" s="481" t="s">
        <v>0</v>
      </c>
      <c r="I17" s="146" t="s">
        <v>1</v>
      </c>
      <c r="J17" s="168" t="s">
        <v>414</v>
      </c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5.75" customHeight="1" x14ac:dyDescent="0.45">
      <c r="A18" s="82"/>
      <c r="B18" s="284"/>
      <c r="C18" s="482"/>
      <c r="D18" s="147" t="s">
        <v>3</v>
      </c>
      <c r="E18" s="166">
        <v>1</v>
      </c>
      <c r="F18" s="12"/>
      <c r="G18" s="266"/>
      <c r="H18" s="482"/>
      <c r="I18" s="147" t="s">
        <v>3</v>
      </c>
      <c r="J18" s="167">
        <v>1</v>
      </c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75" customHeight="1" x14ac:dyDescent="0.45">
      <c r="A19" s="82"/>
      <c r="B19" s="284"/>
      <c r="C19" s="483"/>
      <c r="D19" s="146" t="s">
        <v>5</v>
      </c>
      <c r="E19" s="146" t="s">
        <v>6</v>
      </c>
      <c r="F19" s="12"/>
      <c r="G19" s="266"/>
      <c r="H19" s="483"/>
      <c r="I19" s="146" t="s">
        <v>5</v>
      </c>
      <c r="J19" s="168" t="s">
        <v>6</v>
      </c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5.75" customHeight="1" x14ac:dyDescent="0.45">
      <c r="A20" s="82"/>
      <c r="B20" s="284"/>
      <c r="C20" s="481" t="s">
        <v>415</v>
      </c>
      <c r="D20" s="495" t="s">
        <v>7</v>
      </c>
      <c r="E20" s="169" t="s">
        <v>8</v>
      </c>
      <c r="F20" s="12"/>
      <c r="G20" s="266"/>
      <c r="H20" s="481" t="s">
        <v>415</v>
      </c>
      <c r="I20" s="495" t="s">
        <v>7</v>
      </c>
      <c r="J20" s="170" t="s">
        <v>8</v>
      </c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5.75" customHeight="1" x14ac:dyDescent="0.45">
      <c r="A21" s="82"/>
      <c r="B21" s="284"/>
      <c r="C21" s="483"/>
      <c r="D21" s="310"/>
      <c r="E21" s="171" t="s">
        <v>9</v>
      </c>
      <c r="F21" s="12"/>
      <c r="G21" s="266"/>
      <c r="H21" s="483"/>
      <c r="I21" s="310"/>
      <c r="J21" s="172" t="s">
        <v>9</v>
      </c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34.5" customHeight="1" x14ac:dyDescent="0.45">
      <c r="A22" s="82"/>
      <c r="B22" s="173" t="s">
        <v>416</v>
      </c>
      <c r="C22" s="498"/>
      <c r="D22" s="251"/>
      <c r="E22" s="252"/>
      <c r="F22" s="174"/>
      <c r="G22" s="175" t="s">
        <v>416</v>
      </c>
      <c r="H22" s="498"/>
      <c r="I22" s="251"/>
      <c r="J22" s="303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35.25" customHeight="1" x14ac:dyDescent="0.45">
      <c r="A23" s="82"/>
      <c r="B23" s="176" t="s">
        <v>343</v>
      </c>
      <c r="C23" s="184"/>
      <c r="D23" s="178" t="s">
        <v>183</v>
      </c>
      <c r="E23" s="179"/>
      <c r="F23" s="174"/>
      <c r="G23" s="178" t="s">
        <v>343</v>
      </c>
      <c r="H23" s="184"/>
      <c r="I23" s="178" t="s">
        <v>183</v>
      </c>
      <c r="J23" s="180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36" customHeight="1" x14ac:dyDescent="0.45">
      <c r="A24" s="82"/>
      <c r="B24" s="173" t="s">
        <v>417</v>
      </c>
      <c r="C24" s="499"/>
      <c r="D24" s="216"/>
      <c r="E24" s="217"/>
      <c r="F24" s="174"/>
      <c r="G24" s="175" t="s">
        <v>417</v>
      </c>
      <c r="H24" s="499"/>
      <c r="I24" s="216"/>
      <c r="J24" s="268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42.75" customHeight="1" x14ac:dyDescent="0.45">
      <c r="A25" s="82"/>
      <c r="B25" s="173" t="s">
        <v>418</v>
      </c>
      <c r="C25" s="499"/>
      <c r="D25" s="216"/>
      <c r="E25" s="217"/>
      <c r="F25" s="181"/>
      <c r="G25" s="175" t="s">
        <v>418</v>
      </c>
      <c r="H25" s="499"/>
      <c r="I25" s="216"/>
      <c r="J25" s="268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 x14ac:dyDescent="0.45">
      <c r="A26" s="82"/>
      <c r="B26" s="500" t="s">
        <v>31</v>
      </c>
      <c r="C26" s="496"/>
      <c r="D26" s="251"/>
      <c r="E26" s="252"/>
      <c r="F26" s="181"/>
      <c r="G26" s="497" t="s">
        <v>31</v>
      </c>
      <c r="H26" s="496"/>
      <c r="I26" s="251"/>
      <c r="J26" s="303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 x14ac:dyDescent="0.45">
      <c r="A27" s="82"/>
      <c r="B27" s="501"/>
      <c r="C27" s="266"/>
      <c r="D27" s="237"/>
      <c r="E27" s="261"/>
      <c r="F27" s="174"/>
      <c r="G27" s="482"/>
      <c r="H27" s="266"/>
      <c r="I27" s="237"/>
      <c r="J27" s="285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5.75" customHeight="1" x14ac:dyDescent="0.45">
      <c r="A28" s="82"/>
      <c r="B28" s="501"/>
      <c r="C28" s="266"/>
      <c r="D28" s="237"/>
      <c r="E28" s="261"/>
      <c r="F28" s="174"/>
      <c r="G28" s="482"/>
      <c r="H28" s="266"/>
      <c r="I28" s="237"/>
      <c r="J28" s="285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5.75" customHeight="1" x14ac:dyDescent="0.45">
      <c r="A29" s="82"/>
      <c r="B29" s="502"/>
      <c r="C29" s="253"/>
      <c r="D29" s="254"/>
      <c r="E29" s="255"/>
      <c r="F29" s="174"/>
      <c r="G29" s="483"/>
      <c r="H29" s="253"/>
      <c r="I29" s="254"/>
      <c r="J29" s="349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8.75" customHeight="1" x14ac:dyDescent="0.45">
      <c r="A30" s="82"/>
      <c r="B30" s="182" t="s">
        <v>86</v>
      </c>
      <c r="C30" s="503"/>
      <c r="D30" s="216"/>
      <c r="E30" s="217"/>
      <c r="F30" s="12"/>
      <c r="G30" s="183" t="s">
        <v>86</v>
      </c>
      <c r="H30" s="503"/>
      <c r="I30" s="216"/>
      <c r="J30" s="268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15.75" customHeight="1" x14ac:dyDescent="0.45">
      <c r="A31" s="82"/>
      <c r="B31" s="11"/>
      <c r="C31" s="12"/>
      <c r="D31" s="12"/>
      <c r="E31" s="12"/>
      <c r="F31" s="12"/>
      <c r="G31" s="12"/>
      <c r="H31" s="12"/>
      <c r="I31" s="12"/>
      <c r="J31" s="149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 x14ac:dyDescent="0.45">
      <c r="A32" s="82"/>
      <c r="B32" s="479"/>
      <c r="C32" s="481" t="s">
        <v>0</v>
      </c>
      <c r="D32" s="146" t="s">
        <v>1</v>
      </c>
      <c r="E32" s="146" t="s">
        <v>414</v>
      </c>
      <c r="F32" s="12"/>
      <c r="G32" s="494"/>
      <c r="H32" s="481" t="s">
        <v>0</v>
      </c>
      <c r="I32" s="146" t="s">
        <v>1</v>
      </c>
      <c r="J32" s="168" t="s">
        <v>414</v>
      </c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284"/>
      <c r="C33" s="482"/>
      <c r="D33" s="147" t="s">
        <v>3</v>
      </c>
      <c r="E33" s="166">
        <v>1</v>
      </c>
      <c r="F33" s="12"/>
      <c r="G33" s="266"/>
      <c r="H33" s="482"/>
      <c r="I33" s="147" t="s">
        <v>3</v>
      </c>
      <c r="J33" s="167">
        <v>1</v>
      </c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284"/>
      <c r="C34" s="483"/>
      <c r="D34" s="146" t="s">
        <v>5</v>
      </c>
      <c r="E34" s="146" t="s">
        <v>6</v>
      </c>
      <c r="F34" s="12"/>
      <c r="G34" s="266"/>
      <c r="H34" s="483"/>
      <c r="I34" s="146" t="s">
        <v>5</v>
      </c>
      <c r="J34" s="168" t="s">
        <v>6</v>
      </c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284"/>
      <c r="C35" s="481" t="s">
        <v>415</v>
      </c>
      <c r="D35" s="495" t="s">
        <v>7</v>
      </c>
      <c r="E35" s="169" t="s">
        <v>8</v>
      </c>
      <c r="F35" s="12"/>
      <c r="G35" s="266"/>
      <c r="H35" s="481" t="s">
        <v>415</v>
      </c>
      <c r="I35" s="495" t="s">
        <v>7</v>
      </c>
      <c r="J35" s="170" t="s">
        <v>8</v>
      </c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284"/>
      <c r="C36" s="483"/>
      <c r="D36" s="310"/>
      <c r="E36" s="171" t="s">
        <v>9</v>
      </c>
      <c r="F36" s="12"/>
      <c r="G36" s="266"/>
      <c r="H36" s="483"/>
      <c r="I36" s="310"/>
      <c r="J36" s="172" t="s">
        <v>9</v>
      </c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24.75" customHeight="1" x14ac:dyDescent="0.45">
      <c r="A37" s="82"/>
      <c r="B37" s="173" t="s">
        <v>416</v>
      </c>
      <c r="C37" s="498"/>
      <c r="D37" s="251"/>
      <c r="E37" s="252"/>
      <c r="F37" s="174"/>
      <c r="G37" s="175" t="s">
        <v>416</v>
      </c>
      <c r="H37" s="498"/>
      <c r="I37" s="251"/>
      <c r="J37" s="303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45.75" customHeight="1" x14ac:dyDescent="0.45">
      <c r="A38" s="82"/>
      <c r="B38" s="176" t="s">
        <v>343</v>
      </c>
      <c r="C38" s="184"/>
      <c r="D38" s="178" t="s">
        <v>183</v>
      </c>
      <c r="E38" s="179"/>
      <c r="F38" s="174"/>
      <c r="G38" s="178" t="s">
        <v>343</v>
      </c>
      <c r="H38" s="499"/>
      <c r="I38" s="216"/>
      <c r="J38" s="268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34.5" customHeight="1" x14ac:dyDescent="0.45">
      <c r="A39" s="82"/>
      <c r="B39" s="173" t="s">
        <v>417</v>
      </c>
      <c r="C39" s="499"/>
      <c r="D39" s="216"/>
      <c r="E39" s="217"/>
      <c r="F39" s="174"/>
      <c r="G39" s="175" t="s">
        <v>417</v>
      </c>
      <c r="H39" s="499"/>
      <c r="I39" s="216"/>
      <c r="J39" s="268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38.25" customHeight="1" x14ac:dyDescent="0.45">
      <c r="A40" s="82"/>
      <c r="B40" s="173" t="s">
        <v>418</v>
      </c>
      <c r="C40" s="499"/>
      <c r="D40" s="216"/>
      <c r="E40" s="217"/>
      <c r="F40" s="181"/>
      <c r="G40" s="175" t="s">
        <v>418</v>
      </c>
      <c r="H40" s="499"/>
      <c r="I40" s="216"/>
      <c r="J40" s="268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500" t="s">
        <v>31</v>
      </c>
      <c r="C41" s="496"/>
      <c r="D41" s="251"/>
      <c r="E41" s="252"/>
      <c r="F41" s="181"/>
      <c r="G41" s="497" t="s">
        <v>31</v>
      </c>
      <c r="H41" s="496"/>
      <c r="I41" s="251"/>
      <c r="J41" s="303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501"/>
      <c r="C42" s="266"/>
      <c r="D42" s="237"/>
      <c r="E42" s="261"/>
      <c r="F42" s="174"/>
      <c r="G42" s="482"/>
      <c r="H42" s="266"/>
      <c r="I42" s="237"/>
      <c r="J42" s="285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501"/>
      <c r="C43" s="266"/>
      <c r="D43" s="237"/>
      <c r="E43" s="261"/>
      <c r="F43" s="174"/>
      <c r="G43" s="482"/>
      <c r="H43" s="266"/>
      <c r="I43" s="237"/>
      <c r="J43" s="285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502"/>
      <c r="C44" s="253"/>
      <c r="D44" s="254"/>
      <c r="E44" s="255"/>
      <c r="F44" s="174"/>
      <c r="G44" s="483"/>
      <c r="H44" s="253"/>
      <c r="I44" s="254"/>
      <c r="J44" s="349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8.75" customHeight="1" x14ac:dyDescent="0.45">
      <c r="A45" s="82"/>
      <c r="B45" s="182" t="s">
        <v>86</v>
      </c>
      <c r="C45" s="503"/>
      <c r="D45" s="216"/>
      <c r="E45" s="217"/>
      <c r="F45" s="12"/>
      <c r="G45" s="183" t="s">
        <v>86</v>
      </c>
      <c r="H45" s="503"/>
      <c r="I45" s="216"/>
      <c r="J45" s="268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1"/>
      <c r="C46" s="12"/>
      <c r="D46" s="12"/>
      <c r="E46" s="12"/>
      <c r="F46" s="12"/>
      <c r="G46" s="12"/>
      <c r="H46" s="12"/>
      <c r="I46" s="12"/>
      <c r="J46" s="149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479"/>
      <c r="C47" s="481" t="s">
        <v>0</v>
      </c>
      <c r="D47" s="146" t="s">
        <v>1</v>
      </c>
      <c r="E47" s="146" t="s">
        <v>414</v>
      </c>
      <c r="F47" s="12"/>
      <c r="G47" s="494"/>
      <c r="H47" s="481" t="s">
        <v>0</v>
      </c>
      <c r="I47" s="146" t="s">
        <v>1</v>
      </c>
      <c r="J47" s="168" t="s">
        <v>414</v>
      </c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284"/>
      <c r="C48" s="482"/>
      <c r="D48" s="147" t="s">
        <v>3</v>
      </c>
      <c r="E48" s="166">
        <v>1</v>
      </c>
      <c r="F48" s="12"/>
      <c r="G48" s="266"/>
      <c r="H48" s="482"/>
      <c r="I48" s="147" t="s">
        <v>3</v>
      </c>
      <c r="J48" s="167">
        <v>1</v>
      </c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284"/>
      <c r="C49" s="483"/>
      <c r="D49" s="146" t="s">
        <v>5</v>
      </c>
      <c r="E49" s="146" t="s">
        <v>6</v>
      </c>
      <c r="F49" s="12"/>
      <c r="G49" s="266"/>
      <c r="H49" s="483"/>
      <c r="I49" s="146" t="s">
        <v>5</v>
      </c>
      <c r="J49" s="168" t="s">
        <v>6</v>
      </c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284"/>
      <c r="C50" s="481" t="s">
        <v>415</v>
      </c>
      <c r="D50" s="495" t="s">
        <v>7</v>
      </c>
      <c r="E50" s="169" t="s">
        <v>8</v>
      </c>
      <c r="F50" s="12"/>
      <c r="G50" s="266"/>
      <c r="H50" s="481" t="s">
        <v>415</v>
      </c>
      <c r="I50" s="495" t="s">
        <v>7</v>
      </c>
      <c r="J50" s="170" t="s">
        <v>8</v>
      </c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284"/>
      <c r="C51" s="483"/>
      <c r="D51" s="310"/>
      <c r="E51" s="171" t="s">
        <v>9</v>
      </c>
      <c r="F51" s="12"/>
      <c r="G51" s="266"/>
      <c r="H51" s="483"/>
      <c r="I51" s="310"/>
      <c r="J51" s="172" t="s">
        <v>9</v>
      </c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33" customHeight="1" x14ac:dyDescent="0.45">
      <c r="A52" s="82"/>
      <c r="B52" s="173" t="s">
        <v>416</v>
      </c>
      <c r="C52" s="498"/>
      <c r="D52" s="251"/>
      <c r="E52" s="252"/>
      <c r="F52" s="174"/>
      <c r="G52" s="175" t="s">
        <v>416</v>
      </c>
      <c r="H52" s="498"/>
      <c r="I52" s="251"/>
      <c r="J52" s="303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33" customHeight="1" x14ac:dyDescent="0.45">
      <c r="A53" s="82"/>
      <c r="B53" s="176" t="s">
        <v>343</v>
      </c>
      <c r="C53" s="184"/>
      <c r="D53" s="178" t="s">
        <v>183</v>
      </c>
      <c r="E53" s="179"/>
      <c r="F53" s="174"/>
      <c r="G53" s="178" t="s">
        <v>343</v>
      </c>
      <c r="H53" s="184"/>
      <c r="I53" s="178" t="s">
        <v>183</v>
      </c>
      <c r="J53" s="180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45" customHeight="1" x14ac:dyDescent="0.45">
      <c r="A54" s="82"/>
      <c r="B54" s="173" t="s">
        <v>417</v>
      </c>
      <c r="C54" s="499"/>
      <c r="D54" s="216"/>
      <c r="E54" s="217"/>
      <c r="F54" s="174"/>
      <c r="G54" s="175" t="s">
        <v>417</v>
      </c>
      <c r="H54" s="499"/>
      <c r="I54" s="216"/>
      <c r="J54" s="268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36" customHeight="1" x14ac:dyDescent="0.45">
      <c r="A55" s="82"/>
      <c r="B55" s="173" t="s">
        <v>418</v>
      </c>
      <c r="C55" s="499"/>
      <c r="D55" s="216"/>
      <c r="E55" s="217"/>
      <c r="F55" s="181"/>
      <c r="G55" s="175" t="s">
        <v>418</v>
      </c>
      <c r="H55" s="499"/>
      <c r="I55" s="216"/>
      <c r="J55" s="268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500" t="s">
        <v>31</v>
      </c>
      <c r="C56" s="496"/>
      <c r="D56" s="251"/>
      <c r="E56" s="252"/>
      <c r="F56" s="181"/>
      <c r="G56" s="497" t="s">
        <v>31</v>
      </c>
      <c r="H56" s="496"/>
      <c r="I56" s="251"/>
      <c r="J56" s="303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501"/>
      <c r="C57" s="266"/>
      <c r="D57" s="237"/>
      <c r="E57" s="261"/>
      <c r="F57" s="174"/>
      <c r="G57" s="482"/>
      <c r="H57" s="266"/>
      <c r="I57" s="237"/>
      <c r="J57" s="285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501"/>
      <c r="C58" s="266"/>
      <c r="D58" s="237"/>
      <c r="E58" s="261"/>
      <c r="F58" s="174"/>
      <c r="G58" s="482"/>
      <c r="H58" s="266"/>
      <c r="I58" s="237"/>
      <c r="J58" s="285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502"/>
      <c r="C59" s="253"/>
      <c r="D59" s="254"/>
      <c r="E59" s="255"/>
      <c r="F59" s="174"/>
      <c r="G59" s="483"/>
      <c r="H59" s="253"/>
      <c r="I59" s="254"/>
      <c r="J59" s="349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21" customHeight="1" x14ac:dyDescent="0.45">
      <c r="A60" s="82"/>
      <c r="B60" s="185" t="s">
        <v>86</v>
      </c>
      <c r="C60" s="507"/>
      <c r="D60" s="222"/>
      <c r="E60" s="224"/>
      <c r="F60" s="186"/>
      <c r="G60" s="187" t="s">
        <v>86</v>
      </c>
      <c r="H60" s="507"/>
      <c r="I60" s="222"/>
      <c r="J60" s="223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2"/>
      <c r="C61" s="12"/>
      <c r="D61" s="12"/>
      <c r="E61" s="12"/>
      <c r="F61" s="12"/>
      <c r="G61" s="12"/>
      <c r="H61" s="12"/>
      <c r="I61" s="12"/>
      <c r="J61" s="1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12"/>
      <c r="C62" s="12"/>
      <c r="D62" s="12"/>
      <c r="E62" s="12"/>
      <c r="F62" s="12"/>
      <c r="G62" s="12"/>
      <c r="H62" s="12"/>
      <c r="I62" s="12"/>
      <c r="J62" s="1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12"/>
      <c r="C63" s="12"/>
      <c r="D63" s="12"/>
      <c r="E63" s="12"/>
      <c r="F63" s="12"/>
      <c r="G63" s="12"/>
      <c r="H63" s="12"/>
      <c r="I63" s="12"/>
      <c r="J63" s="1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2"/>
      <c r="C64" s="12"/>
      <c r="D64" s="12"/>
      <c r="E64" s="12"/>
      <c r="F64" s="12"/>
      <c r="G64" s="12"/>
      <c r="H64" s="12"/>
      <c r="I64" s="12"/>
      <c r="J64" s="1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2"/>
      <c r="C65" s="12"/>
      <c r="D65" s="12"/>
      <c r="E65" s="12"/>
      <c r="F65" s="12"/>
      <c r="G65" s="12"/>
      <c r="H65" s="12"/>
      <c r="I65" s="12"/>
      <c r="J65" s="1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2"/>
      <c r="C66" s="12"/>
      <c r="D66" s="12"/>
      <c r="E66" s="12"/>
      <c r="F66" s="12"/>
      <c r="G66" s="12"/>
      <c r="H66" s="12"/>
      <c r="I66" s="12"/>
      <c r="J66" s="1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2"/>
      <c r="C67" s="12"/>
      <c r="D67" s="12"/>
      <c r="E67" s="12"/>
      <c r="F67" s="12"/>
      <c r="G67" s="12"/>
      <c r="H67" s="12"/>
      <c r="I67" s="12"/>
      <c r="J67" s="1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2"/>
      <c r="C68" s="12"/>
      <c r="D68" s="12"/>
      <c r="E68" s="12"/>
      <c r="F68" s="12"/>
      <c r="G68" s="12"/>
      <c r="H68" s="12"/>
      <c r="I68" s="12"/>
      <c r="J68" s="1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2"/>
      <c r="C69" s="12"/>
      <c r="D69" s="12"/>
      <c r="E69" s="12"/>
      <c r="F69" s="12"/>
      <c r="G69" s="12"/>
      <c r="H69" s="12"/>
      <c r="I69" s="12"/>
      <c r="J69" s="1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2"/>
      <c r="C70" s="12"/>
      <c r="D70" s="12"/>
      <c r="E70" s="12"/>
      <c r="F70" s="12"/>
      <c r="G70" s="12"/>
      <c r="H70" s="12"/>
      <c r="I70" s="12"/>
      <c r="J70" s="1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2"/>
      <c r="C71" s="12"/>
      <c r="D71" s="12"/>
      <c r="E71" s="12"/>
      <c r="F71" s="12"/>
      <c r="G71" s="12"/>
      <c r="H71" s="12"/>
      <c r="I71" s="12"/>
      <c r="J71" s="1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2"/>
      <c r="C72" s="12"/>
      <c r="D72" s="12"/>
      <c r="E72" s="12"/>
      <c r="F72" s="12"/>
      <c r="G72" s="12"/>
      <c r="H72" s="12"/>
      <c r="I72" s="12"/>
      <c r="J72" s="1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2"/>
      <c r="C73" s="12"/>
      <c r="D73" s="12"/>
      <c r="E73" s="12"/>
      <c r="F73" s="12"/>
      <c r="G73" s="12"/>
      <c r="H73" s="12"/>
      <c r="I73" s="12"/>
      <c r="J73" s="1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2"/>
      <c r="C74" s="12"/>
      <c r="D74" s="12"/>
      <c r="E74" s="12"/>
      <c r="F74" s="12"/>
      <c r="G74" s="12"/>
      <c r="H74" s="12"/>
      <c r="I74" s="12"/>
      <c r="J74" s="1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2"/>
      <c r="C75" s="12"/>
      <c r="D75" s="12"/>
      <c r="E75" s="12"/>
      <c r="F75" s="12"/>
      <c r="G75" s="12"/>
      <c r="H75" s="12"/>
      <c r="I75" s="12"/>
      <c r="J75" s="1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2"/>
      <c r="C76" s="12"/>
      <c r="D76" s="12"/>
      <c r="E76" s="12"/>
      <c r="F76" s="12"/>
      <c r="G76" s="12"/>
      <c r="H76" s="12"/>
      <c r="I76" s="12"/>
      <c r="J76" s="1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2"/>
      <c r="C77" s="12"/>
      <c r="D77" s="12"/>
      <c r="E77" s="12"/>
      <c r="F77" s="12"/>
      <c r="G77" s="12"/>
      <c r="H77" s="12"/>
      <c r="I77" s="12"/>
      <c r="J77" s="1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2"/>
      <c r="C78" s="12"/>
      <c r="D78" s="12"/>
      <c r="E78" s="12"/>
      <c r="F78" s="12"/>
      <c r="G78" s="12"/>
      <c r="H78" s="12"/>
      <c r="I78" s="12"/>
      <c r="J78" s="1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2"/>
      <c r="C79" s="12"/>
      <c r="D79" s="12"/>
      <c r="E79" s="12"/>
      <c r="F79" s="12"/>
      <c r="G79" s="12"/>
      <c r="H79" s="12"/>
      <c r="I79" s="12"/>
      <c r="J79" s="1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2"/>
      <c r="C80" s="12"/>
      <c r="D80" s="12"/>
      <c r="E80" s="12"/>
      <c r="F80" s="12"/>
      <c r="G80" s="12"/>
      <c r="H80" s="12"/>
      <c r="I80" s="12"/>
      <c r="J80" s="1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2"/>
      <c r="C81" s="12"/>
      <c r="D81" s="12"/>
      <c r="E81" s="12"/>
      <c r="F81" s="12"/>
      <c r="G81" s="12"/>
      <c r="H81" s="12"/>
      <c r="I81" s="12"/>
      <c r="J81" s="1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2"/>
      <c r="C82" s="12"/>
      <c r="D82" s="12"/>
      <c r="E82" s="12"/>
      <c r="F82" s="12"/>
      <c r="G82" s="12"/>
      <c r="H82" s="12"/>
      <c r="I82" s="12"/>
      <c r="J82" s="1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2"/>
      <c r="C83" s="12"/>
      <c r="D83" s="12"/>
      <c r="E83" s="12"/>
      <c r="F83" s="12"/>
      <c r="G83" s="12"/>
      <c r="H83" s="12"/>
      <c r="I83" s="12"/>
      <c r="J83" s="1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2"/>
      <c r="C84" s="12"/>
      <c r="D84" s="12"/>
      <c r="E84" s="12"/>
      <c r="F84" s="12"/>
      <c r="G84" s="12"/>
      <c r="H84" s="12"/>
      <c r="I84" s="12"/>
      <c r="J84" s="1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2"/>
      <c r="C85" s="12"/>
      <c r="D85" s="12"/>
      <c r="E85" s="12"/>
      <c r="F85" s="12"/>
      <c r="G85" s="12"/>
      <c r="H85" s="12"/>
      <c r="I85" s="12"/>
      <c r="J85" s="1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2"/>
      <c r="C86" s="12"/>
      <c r="D86" s="12"/>
      <c r="E86" s="12"/>
      <c r="F86" s="12"/>
      <c r="G86" s="12"/>
      <c r="H86" s="12"/>
      <c r="I86" s="12"/>
      <c r="J86" s="1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2"/>
      <c r="C87" s="12"/>
      <c r="D87" s="12"/>
      <c r="E87" s="12"/>
      <c r="F87" s="12"/>
      <c r="G87" s="12"/>
      <c r="H87" s="12"/>
      <c r="I87" s="12"/>
      <c r="J87" s="1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2"/>
      <c r="C88" s="12"/>
      <c r="D88" s="12"/>
      <c r="E88" s="12"/>
      <c r="F88" s="12"/>
      <c r="G88" s="12"/>
      <c r="H88" s="12"/>
      <c r="I88" s="12"/>
      <c r="J88" s="1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2"/>
      <c r="C89" s="12"/>
      <c r="D89" s="12"/>
      <c r="E89" s="12"/>
      <c r="F89" s="12"/>
      <c r="G89" s="12"/>
      <c r="H89" s="12"/>
      <c r="I89" s="12"/>
      <c r="J89" s="1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2"/>
      <c r="C90" s="12"/>
      <c r="D90" s="12"/>
      <c r="E90" s="12"/>
      <c r="F90" s="12"/>
      <c r="G90" s="12"/>
      <c r="H90" s="12"/>
      <c r="I90" s="12"/>
      <c r="J90" s="1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2"/>
      <c r="C91" s="12"/>
      <c r="D91" s="12"/>
      <c r="E91" s="12"/>
      <c r="F91" s="12"/>
      <c r="G91" s="12"/>
      <c r="H91" s="12"/>
      <c r="I91" s="12"/>
      <c r="J91" s="1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2"/>
      <c r="C92" s="12"/>
      <c r="D92" s="12"/>
      <c r="E92" s="12"/>
      <c r="F92" s="12"/>
      <c r="G92" s="12"/>
      <c r="H92" s="12"/>
      <c r="I92" s="12"/>
      <c r="J92" s="1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2"/>
      <c r="C93" s="12"/>
      <c r="D93" s="12"/>
      <c r="E93" s="12"/>
      <c r="F93" s="12"/>
      <c r="G93" s="12"/>
      <c r="H93" s="12"/>
      <c r="I93" s="12"/>
      <c r="J93" s="1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2"/>
      <c r="C94" s="12"/>
      <c r="D94" s="12"/>
      <c r="E94" s="12"/>
      <c r="F94" s="12"/>
      <c r="G94" s="12"/>
      <c r="H94" s="12"/>
      <c r="I94" s="12"/>
      <c r="J94" s="1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2"/>
      <c r="C95" s="12"/>
      <c r="D95" s="12"/>
      <c r="E95" s="12"/>
      <c r="F95" s="12"/>
      <c r="G95" s="12"/>
      <c r="H95" s="12"/>
      <c r="I95" s="12"/>
      <c r="J95" s="1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2"/>
      <c r="C96" s="12"/>
      <c r="D96" s="12"/>
      <c r="E96" s="12"/>
      <c r="F96" s="12"/>
      <c r="G96" s="12"/>
      <c r="H96" s="12"/>
      <c r="I96" s="12"/>
      <c r="J96" s="1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2"/>
      <c r="C97" s="12"/>
      <c r="D97" s="12"/>
      <c r="E97" s="12"/>
      <c r="F97" s="12"/>
      <c r="G97" s="12"/>
      <c r="H97" s="12"/>
      <c r="I97" s="12"/>
      <c r="J97" s="1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2"/>
      <c r="C98" s="12"/>
      <c r="D98" s="12"/>
      <c r="E98" s="12"/>
      <c r="F98" s="12"/>
      <c r="G98" s="12"/>
      <c r="H98" s="12"/>
      <c r="I98" s="12"/>
      <c r="J98" s="1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2"/>
      <c r="C99" s="12"/>
      <c r="D99" s="12"/>
      <c r="E99" s="12"/>
      <c r="F99" s="12"/>
      <c r="G99" s="12"/>
      <c r="H99" s="12"/>
      <c r="I99" s="12"/>
      <c r="J99" s="1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2"/>
      <c r="C100" s="12"/>
      <c r="D100" s="12"/>
      <c r="E100" s="12"/>
      <c r="F100" s="12"/>
      <c r="G100" s="12"/>
      <c r="H100" s="12"/>
      <c r="I100" s="12"/>
      <c r="J100" s="1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2"/>
      <c r="C101" s="12"/>
      <c r="D101" s="12"/>
      <c r="E101" s="12"/>
      <c r="F101" s="12"/>
      <c r="G101" s="12"/>
      <c r="H101" s="12"/>
      <c r="I101" s="12"/>
      <c r="J101" s="1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2"/>
      <c r="C102" s="12"/>
      <c r="D102" s="12"/>
      <c r="E102" s="12"/>
      <c r="F102" s="12"/>
      <c r="G102" s="12"/>
      <c r="H102" s="12"/>
      <c r="I102" s="12"/>
      <c r="J102" s="1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2"/>
      <c r="C103" s="12"/>
      <c r="D103" s="12"/>
      <c r="E103" s="12"/>
      <c r="F103" s="12"/>
      <c r="G103" s="12"/>
      <c r="H103" s="12"/>
      <c r="I103" s="12"/>
      <c r="J103" s="1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2"/>
      <c r="C104" s="12"/>
      <c r="D104" s="12"/>
      <c r="E104" s="12"/>
      <c r="F104" s="12"/>
      <c r="G104" s="12"/>
      <c r="H104" s="12"/>
      <c r="I104" s="12"/>
      <c r="J104" s="1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2"/>
      <c r="C105" s="12"/>
      <c r="D105" s="12"/>
      <c r="E105" s="12"/>
      <c r="F105" s="12"/>
      <c r="G105" s="12"/>
      <c r="H105" s="12"/>
      <c r="I105" s="12"/>
      <c r="J105" s="1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2"/>
      <c r="C106" s="12"/>
      <c r="D106" s="12"/>
      <c r="E106" s="12"/>
      <c r="F106" s="12"/>
      <c r="G106" s="12"/>
      <c r="H106" s="12"/>
      <c r="I106" s="12"/>
      <c r="J106" s="1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2"/>
      <c r="C107" s="12"/>
      <c r="D107" s="12"/>
      <c r="E107" s="12"/>
      <c r="F107" s="12"/>
      <c r="G107" s="12"/>
      <c r="H107" s="12"/>
      <c r="I107" s="12"/>
      <c r="J107" s="1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2"/>
      <c r="C108" s="12"/>
      <c r="D108" s="12"/>
      <c r="E108" s="12"/>
      <c r="F108" s="12"/>
      <c r="G108" s="12"/>
      <c r="H108" s="12"/>
      <c r="I108" s="12"/>
      <c r="J108" s="1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2"/>
      <c r="C109" s="12"/>
      <c r="D109" s="12"/>
      <c r="E109" s="12"/>
      <c r="F109" s="12"/>
      <c r="G109" s="12"/>
      <c r="H109" s="12"/>
      <c r="I109" s="12"/>
      <c r="J109" s="1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2"/>
      <c r="C110" s="12"/>
      <c r="D110" s="12"/>
      <c r="E110" s="12"/>
      <c r="F110" s="12"/>
      <c r="G110" s="12"/>
      <c r="H110" s="12"/>
      <c r="I110" s="12"/>
      <c r="J110" s="1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2"/>
      <c r="C111" s="12"/>
      <c r="D111" s="12"/>
      <c r="E111" s="12"/>
      <c r="F111" s="12"/>
      <c r="G111" s="12"/>
      <c r="H111" s="12"/>
      <c r="I111" s="12"/>
      <c r="J111" s="1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2"/>
      <c r="C112" s="12"/>
      <c r="D112" s="12"/>
      <c r="E112" s="12"/>
      <c r="F112" s="12"/>
      <c r="G112" s="12"/>
      <c r="H112" s="12"/>
      <c r="I112" s="12"/>
      <c r="J112" s="1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2"/>
      <c r="C113" s="12"/>
      <c r="D113" s="12"/>
      <c r="E113" s="12"/>
      <c r="F113" s="12"/>
      <c r="G113" s="12"/>
      <c r="H113" s="12"/>
      <c r="I113" s="12"/>
      <c r="J113" s="1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2"/>
      <c r="C114" s="12"/>
      <c r="D114" s="12"/>
      <c r="E114" s="12"/>
      <c r="F114" s="12"/>
      <c r="G114" s="12"/>
      <c r="H114" s="12"/>
      <c r="I114" s="12"/>
      <c r="J114" s="1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2"/>
      <c r="C115" s="12"/>
      <c r="D115" s="12"/>
      <c r="E115" s="12"/>
      <c r="F115" s="12"/>
      <c r="G115" s="12"/>
      <c r="H115" s="12"/>
      <c r="I115" s="12"/>
      <c r="J115" s="1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2"/>
      <c r="C116" s="12"/>
      <c r="D116" s="12"/>
      <c r="E116" s="12"/>
      <c r="F116" s="12"/>
      <c r="G116" s="12"/>
      <c r="H116" s="12"/>
      <c r="I116" s="12"/>
      <c r="J116" s="1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2"/>
      <c r="C117" s="12"/>
      <c r="D117" s="12"/>
      <c r="E117" s="12"/>
      <c r="F117" s="12"/>
      <c r="G117" s="12"/>
      <c r="H117" s="12"/>
      <c r="I117" s="12"/>
      <c r="J117" s="1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2"/>
      <c r="C118" s="12"/>
      <c r="D118" s="12"/>
      <c r="E118" s="12"/>
      <c r="F118" s="12"/>
      <c r="G118" s="12"/>
      <c r="H118" s="12"/>
      <c r="I118" s="12"/>
      <c r="J118" s="1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2"/>
      <c r="C119" s="12"/>
      <c r="D119" s="12"/>
      <c r="E119" s="12"/>
      <c r="F119" s="12"/>
      <c r="G119" s="12"/>
      <c r="H119" s="12"/>
      <c r="I119" s="12"/>
      <c r="J119" s="1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2"/>
      <c r="C120" s="12"/>
      <c r="D120" s="12"/>
      <c r="E120" s="12"/>
      <c r="F120" s="12"/>
      <c r="G120" s="12"/>
      <c r="H120" s="12"/>
      <c r="I120" s="12"/>
      <c r="J120" s="1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2"/>
      <c r="C121" s="12"/>
      <c r="D121" s="12"/>
      <c r="E121" s="12"/>
      <c r="F121" s="12"/>
      <c r="G121" s="12"/>
      <c r="H121" s="12"/>
      <c r="I121" s="12"/>
      <c r="J121" s="1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2"/>
      <c r="C122" s="12"/>
      <c r="D122" s="12"/>
      <c r="E122" s="12"/>
      <c r="F122" s="12"/>
      <c r="G122" s="12"/>
      <c r="H122" s="12"/>
      <c r="I122" s="12"/>
      <c r="J122" s="1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2"/>
      <c r="C123" s="12"/>
      <c r="D123" s="12"/>
      <c r="E123" s="12"/>
      <c r="F123" s="12"/>
      <c r="G123" s="12"/>
      <c r="H123" s="12"/>
      <c r="I123" s="12"/>
      <c r="J123" s="1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2"/>
      <c r="C124" s="12"/>
      <c r="D124" s="12"/>
      <c r="E124" s="12"/>
      <c r="F124" s="12"/>
      <c r="G124" s="12"/>
      <c r="H124" s="12"/>
      <c r="I124" s="12"/>
      <c r="J124" s="1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2"/>
      <c r="C125" s="12"/>
      <c r="D125" s="12"/>
      <c r="E125" s="12"/>
      <c r="F125" s="12"/>
      <c r="G125" s="12"/>
      <c r="H125" s="12"/>
      <c r="I125" s="12"/>
      <c r="J125" s="1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2"/>
      <c r="C126" s="12"/>
      <c r="D126" s="12"/>
      <c r="E126" s="12"/>
      <c r="F126" s="12"/>
      <c r="G126" s="12"/>
      <c r="H126" s="12"/>
      <c r="I126" s="12"/>
      <c r="J126" s="1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2"/>
      <c r="C127" s="12"/>
      <c r="D127" s="12"/>
      <c r="E127" s="12"/>
      <c r="F127" s="12"/>
      <c r="G127" s="12"/>
      <c r="H127" s="12"/>
      <c r="I127" s="12"/>
      <c r="J127" s="1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2"/>
      <c r="C128" s="12"/>
      <c r="D128" s="12"/>
      <c r="E128" s="12"/>
      <c r="F128" s="12"/>
      <c r="G128" s="12"/>
      <c r="H128" s="12"/>
      <c r="I128" s="12"/>
      <c r="J128" s="1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2"/>
      <c r="C129" s="12"/>
      <c r="D129" s="12"/>
      <c r="E129" s="12"/>
      <c r="F129" s="12"/>
      <c r="G129" s="12"/>
      <c r="H129" s="12"/>
      <c r="I129" s="12"/>
      <c r="J129" s="1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2"/>
      <c r="C130" s="12"/>
      <c r="D130" s="12"/>
      <c r="E130" s="12"/>
      <c r="F130" s="12"/>
      <c r="G130" s="12"/>
      <c r="H130" s="12"/>
      <c r="I130" s="12"/>
      <c r="J130" s="1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2"/>
      <c r="C131" s="12"/>
      <c r="D131" s="12"/>
      <c r="E131" s="12"/>
      <c r="F131" s="12"/>
      <c r="G131" s="12"/>
      <c r="H131" s="12"/>
      <c r="I131" s="12"/>
      <c r="J131" s="1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2"/>
      <c r="C132" s="12"/>
      <c r="D132" s="12"/>
      <c r="E132" s="12"/>
      <c r="F132" s="12"/>
      <c r="G132" s="12"/>
      <c r="H132" s="12"/>
      <c r="I132" s="12"/>
      <c r="J132" s="1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2"/>
      <c r="C133" s="12"/>
      <c r="D133" s="12"/>
      <c r="E133" s="12"/>
      <c r="F133" s="12"/>
      <c r="G133" s="12"/>
      <c r="H133" s="12"/>
      <c r="I133" s="12"/>
      <c r="J133" s="1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2"/>
      <c r="C134" s="12"/>
      <c r="D134" s="12"/>
      <c r="E134" s="12"/>
      <c r="F134" s="12"/>
      <c r="G134" s="12"/>
      <c r="H134" s="12"/>
      <c r="I134" s="12"/>
      <c r="J134" s="1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2"/>
      <c r="C135" s="12"/>
      <c r="D135" s="12"/>
      <c r="E135" s="12"/>
      <c r="F135" s="12"/>
      <c r="G135" s="12"/>
      <c r="H135" s="12"/>
      <c r="I135" s="12"/>
      <c r="J135" s="1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2"/>
      <c r="C136" s="12"/>
      <c r="D136" s="12"/>
      <c r="E136" s="12"/>
      <c r="F136" s="12"/>
      <c r="G136" s="12"/>
      <c r="H136" s="12"/>
      <c r="I136" s="12"/>
      <c r="J136" s="1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2"/>
      <c r="C137" s="12"/>
      <c r="D137" s="12"/>
      <c r="E137" s="12"/>
      <c r="F137" s="12"/>
      <c r="G137" s="12"/>
      <c r="H137" s="12"/>
      <c r="I137" s="12"/>
      <c r="J137" s="1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2"/>
      <c r="C138" s="12"/>
      <c r="D138" s="12"/>
      <c r="E138" s="12"/>
      <c r="F138" s="12"/>
      <c r="G138" s="12"/>
      <c r="H138" s="12"/>
      <c r="I138" s="12"/>
      <c r="J138" s="1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2"/>
      <c r="C139" s="12"/>
      <c r="D139" s="12"/>
      <c r="E139" s="12"/>
      <c r="F139" s="12"/>
      <c r="G139" s="12"/>
      <c r="H139" s="12"/>
      <c r="I139" s="12"/>
      <c r="J139" s="1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2"/>
      <c r="C140" s="12"/>
      <c r="D140" s="12"/>
      <c r="E140" s="12"/>
      <c r="F140" s="12"/>
      <c r="G140" s="12"/>
      <c r="H140" s="12"/>
      <c r="I140" s="12"/>
      <c r="J140" s="1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2"/>
      <c r="C141" s="12"/>
      <c r="D141" s="12"/>
      <c r="E141" s="12"/>
      <c r="F141" s="12"/>
      <c r="G141" s="12"/>
      <c r="H141" s="12"/>
      <c r="I141" s="12"/>
      <c r="J141" s="1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2"/>
      <c r="C142" s="12"/>
      <c r="D142" s="12"/>
      <c r="E142" s="12"/>
      <c r="F142" s="12"/>
      <c r="G142" s="12"/>
      <c r="H142" s="12"/>
      <c r="I142" s="12"/>
      <c r="J142" s="1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2"/>
      <c r="C143" s="12"/>
      <c r="D143" s="12"/>
      <c r="E143" s="12"/>
      <c r="F143" s="12"/>
      <c r="G143" s="12"/>
      <c r="H143" s="12"/>
      <c r="I143" s="12"/>
      <c r="J143" s="1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2"/>
      <c r="C144" s="12"/>
      <c r="D144" s="12"/>
      <c r="E144" s="12"/>
      <c r="F144" s="12"/>
      <c r="G144" s="12"/>
      <c r="H144" s="12"/>
      <c r="I144" s="12"/>
      <c r="J144" s="1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2"/>
      <c r="C145" s="12"/>
      <c r="D145" s="12"/>
      <c r="E145" s="12"/>
      <c r="F145" s="12"/>
      <c r="G145" s="12"/>
      <c r="H145" s="12"/>
      <c r="I145" s="12"/>
      <c r="J145" s="1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2"/>
      <c r="C146" s="12"/>
      <c r="D146" s="12"/>
      <c r="E146" s="12"/>
      <c r="F146" s="12"/>
      <c r="G146" s="12"/>
      <c r="H146" s="12"/>
      <c r="I146" s="12"/>
      <c r="J146" s="1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2"/>
      <c r="C147" s="12"/>
      <c r="D147" s="12"/>
      <c r="E147" s="12"/>
      <c r="F147" s="12"/>
      <c r="G147" s="12"/>
      <c r="H147" s="12"/>
      <c r="I147" s="12"/>
      <c r="J147" s="1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2"/>
      <c r="C148" s="12"/>
      <c r="D148" s="12"/>
      <c r="E148" s="12"/>
      <c r="F148" s="12"/>
      <c r="G148" s="12"/>
      <c r="H148" s="12"/>
      <c r="I148" s="12"/>
      <c r="J148" s="1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2"/>
      <c r="C149" s="12"/>
      <c r="D149" s="12"/>
      <c r="E149" s="12"/>
      <c r="F149" s="12"/>
      <c r="G149" s="12"/>
      <c r="H149" s="12"/>
      <c r="I149" s="12"/>
      <c r="J149" s="1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2"/>
      <c r="C150" s="12"/>
      <c r="D150" s="12"/>
      <c r="E150" s="12"/>
      <c r="F150" s="12"/>
      <c r="G150" s="12"/>
      <c r="H150" s="12"/>
      <c r="I150" s="12"/>
      <c r="J150" s="1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2"/>
      <c r="C151" s="12"/>
      <c r="D151" s="12"/>
      <c r="E151" s="12"/>
      <c r="F151" s="12"/>
      <c r="G151" s="12"/>
      <c r="H151" s="12"/>
      <c r="I151" s="12"/>
      <c r="J151" s="1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2"/>
      <c r="C152" s="12"/>
      <c r="D152" s="12"/>
      <c r="E152" s="12"/>
      <c r="F152" s="12"/>
      <c r="G152" s="12"/>
      <c r="H152" s="12"/>
      <c r="I152" s="12"/>
      <c r="J152" s="1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2"/>
      <c r="C153" s="12"/>
      <c r="D153" s="12"/>
      <c r="E153" s="12"/>
      <c r="F153" s="12"/>
      <c r="G153" s="12"/>
      <c r="H153" s="12"/>
      <c r="I153" s="12"/>
      <c r="J153" s="1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2"/>
      <c r="C154" s="12"/>
      <c r="D154" s="12"/>
      <c r="E154" s="12"/>
      <c r="F154" s="12"/>
      <c r="G154" s="12"/>
      <c r="H154" s="12"/>
      <c r="I154" s="12"/>
      <c r="J154" s="1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2"/>
      <c r="C155" s="12"/>
      <c r="D155" s="12"/>
      <c r="E155" s="12"/>
      <c r="F155" s="12"/>
      <c r="G155" s="12"/>
      <c r="H155" s="12"/>
      <c r="I155" s="12"/>
      <c r="J155" s="1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2"/>
      <c r="C156" s="12"/>
      <c r="D156" s="12"/>
      <c r="E156" s="12"/>
      <c r="F156" s="12"/>
      <c r="G156" s="12"/>
      <c r="H156" s="12"/>
      <c r="I156" s="12"/>
      <c r="J156" s="1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2"/>
      <c r="C157" s="12"/>
      <c r="D157" s="12"/>
      <c r="E157" s="12"/>
      <c r="F157" s="12"/>
      <c r="G157" s="12"/>
      <c r="H157" s="12"/>
      <c r="I157" s="12"/>
      <c r="J157" s="1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2"/>
      <c r="C158" s="12"/>
      <c r="D158" s="12"/>
      <c r="E158" s="12"/>
      <c r="F158" s="12"/>
      <c r="G158" s="12"/>
      <c r="H158" s="12"/>
      <c r="I158" s="12"/>
      <c r="J158" s="1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2"/>
      <c r="C159" s="12"/>
      <c r="D159" s="12"/>
      <c r="E159" s="12"/>
      <c r="F159" s="12"/>
      <c r="G159" s="12"/>
      <c r="H159" s="12"/>
      <c r="I159" s="12"/>
      <c r="J159" s="1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2"/>
      <c r="C160" s="12"/>
      <c r="D160" s="12"/>
      <c r="E160" s="12"/>
      <c r="F160" s="12"/>
      <c r="G160" s="12"/>
      <c r="H160" s="12"/>
      <c r="I160" s="12"/>
      <c r="J160" s="1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2"/>
      <c r="C161" s="12"/>
      <c r="D161" s="12"/>
      <c r="E161" s="12"/>
      <c r="F161" s="12"/>
      <c r="G161" s="12"/>
      <c r="H161" s="12"/>
      <c r="I161" s="12"/>
      <c r="J161" s="1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2"/>
      <c r="C162" s="12"/>
      <c r="D162" s="12"/>
      <c r="E162" s="12"/>
      <c r="F162" s="12"/>
      <c r="G162" s="12"/>
      <c r="H162" s="12"/>
      <c r="I162" s="12"/>
      <c r="J162" s="1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2"/>
      <c r="C163" s="12"/>
      <c r="D163" s="12"/>
      <c r="E163" s="12"/>
      <c r="F163" s="12"/>
      <c r="G163" s="12"/>
      <c r="H163" s="12"/>
      <c r="I163" s="12"/>
      <c r="J163" s="1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2"/>
      <c r="C164" s="12"/>
      <c r="D164" s="12"/>
      <c r="E164" s="12"/>
      <c r="F164" s="12"/>
      <c r="G164" s="12"/>
      <c r="H164" s="12"/>
      <c r="I164" s="12"/>
      <c r="J164" s="1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2"/>
      <c r="C165" s="12"/>
      <c r="D165" s="12"/>
      <c r="E165" s="12"/>
      <c r="F165" s="12"/>
      <c r="G165" s="12"/>
      <c r="H165" s="12"/>
      <c r="I165" s="12"/>
      <c r="J165" s="1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2"/>
      <c r="C166" s="12"/>
      <c r="D166" s="12"/>
      <c r="E166" s="12"/>
      <c r="F166" s="12"/>
      <c r="G166" s="12"/>
      <c r="H166" s="12"/>
      <c r="I166" s="12"/>
      <c r="J166" s="1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2"/>
      <c r="C167" s="12"/>
      <c r="D167" s="12"/>
      <c r="E167" s="12"/>
      <c r="F167" s="12"/>
      <c r="G167" s="12"/>
      <c r="H167" s="12"/>
      <c r="I167" s="12"/>
      <c r="J167" s="1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2"/>
      <c r="C168" s="12"/>
      <c r="D168" s="12"/>
      <c r="E168" s="12"/>
      <c r="F168" s="12"/>
      <c r="G168" s="12"/>
      <c r="H168" s="12"/>
      <c r="I168" s="12"/>
      <c r="J168" s="1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2"/>
      <c r="C169" s="12"/>
      <c r="D169" s="12"/>
      <c r="E169" s="12"/>
      <c r="F169" s="12"/>
      <c r="G169" s="12"/>
      <c r="H169" s="12"/>
      <c r="I169" s="12"/>
      <c r="J169" s="1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2"/>
      <c r="C170" s="12"/>
      <c r="D170" s="12"/>
      <c r="E170" s="12"/>
      <c r="F170" s="12"/>
      <c r="G170" s="12"/>
      <c r="H170" s="12"/>
      <c r="I170" s="12"/>
      <c r="J170" s="1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2"/>
      <c r="C171" s="12"/>
      <c r="D171" s="12"/>
      <c r="E171" s="12"/>
      <c r="F171" s="12"/>
      <c r="G171" s="12"/>
      <c r="H171" s="12"/>
      <c r="I171" s="12"/>
      <c r="J171" s="1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2"/>
      <c r="C172" s="12"/>
      <c r="D172" s="12"/>
      <c r="E172" s="12"/>
      <c r="F172" s="12"/>
      <c r="G172" s="12"/>
      <c r="H172" s="12"/>
      <c r="I172" s="12"/>
      <c r="J172" s="1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2"/>
      <c r="C173" s="12"/>
      <c r="D173" s="12"/>
      <c r="E173" s="12"/>
      <c r="F173" s="12"/>
      <c r="G173" s="12"/>
      <c r="H173" s="12"/>
      <c r="I173" s="12"/>
      <c r="J173" s="1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2"/>
      <c r="C174" s="12"/>
      <c r="D174" s="12"/>
      <c r="E174" s="12"/>
      <c r="F174" s="12"/>
      <c r="G174" s="12"/>
      <c r="H174" s="12"/>
      <c r="I174" s="12"/>
      <c r="J174" s="1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2"/>
      <c r="C175" s="12"/>
      <c r="D175" s="12"/>
      <c r="E175" s="12"/>
      <c r="F175" s="12"/>
      <c r="G175" s="12"/>
      <c r="H175" s="12"/>
      <c r="I175" s="12"/>
      <c r="J175" s="1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2"/>
      <c r="C176" s="12"/>
      <c r="D176" s="12"/>
      <c r="E176" s="12"/>
      <c r="F176" s="12"/>
      <c r="G176" s="12"/>
      <c r="H176" s="12"/>
      <c r="I176" s="12"/>
      <c r="J176" s="1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2"/>
      <c r="C177" s="12"/>
      <c r="D177" s="12"/>
      <c r="E177" s="12"/>
      <c r="F177" s="12"/>
      <c r="G177" s="12"/>
      <c r="H177" s="12"/>
      <c r="I177" s="12"/>
      <c r="J177" s="1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2"/>
      <c r="C178" s="12"/>
      <c r="D178" s="12"/>
      <c r="E178" s="12"/>
      <c r="F178" s="12"/>
      <c r="G178" s="12"/>
      <c r="H178" s="12"/>
      <c r="I178" s="12"/>
      <c r="J178" s="1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2"/>
      <c r="C179" s="12"/>
      <c r="D179" s="12"/>
      <c r="E179" s="12"/>
      <c r="F179" s="12"/>
      <c r="G179" s="12"/>
      <c r="H179" s="12"/>
      <c r="I179" s="12"/>
      <c r="J179" s="1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2"/>
      <c r="C180" s="12"/>
      <c r="D180" s="12"/>
      <c r="E180" s="12"/>
      <c r="F180" s="12"/>
      <c r="G180" s="12"/>
      <c r="H180" s="12"/>
      <c r="I180" s="12"/>
      <c r="J180" s="1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2"/>
      <c r="C181" s="12"/>
      <c r="D181" s="12"/>
      <c r="E181" s="12"/>
      <c r="F181" s="12"/>
      <c r="G181" s="12"/>
      <c r="H181" s="12"/>
      <c r="I181" s="12"/>
      <c r="J181" s="1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2"/>
      <c r="C182" s="12"/>
      <c r="D182" s="12"/>
      <c r="E182" s="12"/>
      <c r="F182" s="12"/>
      <c r="G182" s="12"/>
      <c r="H182" s="12"/>
      <c r="I182" s="12"/>
      <c r="J182" s="1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2"/>
      <c r="C183" s="12"/>
      <c r="D183" s="12"/>
      <c r="E183" s="12"/>
      <c r="F183" s="12"/>
      <c r="G183" s="12"/>
      <c r="H183" s="12"/>
      <c r="I183" s="12"/>
      <c r="J183" s="1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2"/>
      <c r="C184" s="12"/>
      <c r="D184" s="12"/>
      <c r="E184" s="12"/>
      <c r="F184" s="12"/>
      <c r="G184" s="12"/>
      <c r="H184" s="12"/>
      <c r="I184" s="12"/>
      <c r="J184" s="1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2"/>
      <c r="C185" s="12"/>
      <c r="D185" s="12"/>
      <c r="E185" s="12"/>
      <c r="F185" s="12"/>
      <c r="G185" s="12"/>
      <c r="H185" s="12"/>
      <c r="I185" s="12"/>
      <c r="J185" s="1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2"/>
      <c r="C186" s="12"/>
      <c r="D186" s="12"/>
      <c r="E186" s="12"/>
      <c r="F186" s="12"/>
      <c r="G186" s="12"/>
      <c r="H186" s="12"/>
      <c r="I186" s="12"/>
      <c r="J186" s="1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2"/>
      <c r="C187" s="12"/>
      <c r="D187" s="12"/>
      <c r="E187" s="12"/>
      <c r="F187" s="12"/>
      <c r="G187" s="12"/>
      <c r="H187" s="12"/>
      <c r="I187" s="12"/>
      <c r="J187" s="1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2"/>
      <c r="C188" s="12"/>
      <c r="D188" s="12"/>
      <c r="E188" s="12"/>
      <c r="F188" s="12"/>
      <c r="G188" s="12"/>
      <c r="H188" s="12"/>
      <c r="I188" s="12"/>
      <c r="J188" s="1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2"/>
      <c r="C189" s="12"/>
      <c r="D189" s="12"/>
      <c r="E189" s="12"/>
      <c r="F189" s="12"/>
      <c r="G189" s="12"/>
      <c r="H189" s="12"/>
      <c r="I189" s="12"/>
      <c r="J189" s="1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2"/>
      <c r="C190" s="12"/>
      <c r="D190" s="12"/>
      <c r="E190" s="12"/>
      <c r="F190" s="12"/>
      <c r="G190" s="12"/>
      <c r="H190" s="12"/>
      <c r="I190" s="12"/>
      <c r="J190" s="1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2"/>
      <c r="C191" s="12"/>
      <c r="D191" s="12"/>
      <c r="E191" s="12"/>
      <c r="F191" s="12"/>
      <c r="G191" s="12"/>
      <c r="H191" s="12"/>
      <c r="I191" s="12"/>
      <c r="J191" s="1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2"/>
      <c r="C192" s="12"/>
      <c r="D192" s="12"/>
      <c r="E192" s="12"/>
      <c r="F192" s="12"/>
      <c r="G192" s="12"/>
      <c r="H192" s="12"/>
      <c r="I192" s="12"/>
      <c r="J192" s="1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2"/>
      <c r="C193" s="12"/>
      <c r="D193" s="12"/>
      <c r="E193" s="12"/>
      <c r="F193" s="12"/>
      <c r="G193" s="12"/>
      <c r="H193" s="12"/>
      <c r="I193" s="12"/>
      <c r="J193" s="1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2"/>
      <c r="C194" s="12"/>
      <c r="D194" s="12"/>
      <c r="E194" s="12"/>
      <c r="F194" s="12"/>
      <c r="G194" s="12"/>
      <c r="H194" s="12"/>
      <c r="I194" s="12"/>
      <c r="J194" s="1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2"/>
      <c r="C195" s="12"/>
      <c r="D195" s="12"/>
      <c r="E195" s="12"/>
      <c r="F195" s="12"/>
      <c r="G195" s="12"/>
      <c r="H195" s="12"/>
      <c r="I195" s="12"/>
      <c r="J195" s="1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2"/>
      <c r="C196" s="12"/>
      <c r="D196" s="12"/>
      <c r="E196" s="12"/>
      <c r="F196" s="12"/>
      <c r="G196" s="12"/>
      <c r="H196" s="12"/>
      <c r="I196" s="12"/>
      <c r="J196" s="1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2"/>
      <c r="C197" s="12"/>
      <c r="D197" s="12"/>
      <c r="E197" s="12"/>
      <c r="F197" s="12"/>
      <c r="G197" s="12"/>
      <c r="H197" s="12"/>
      <c r="I197" s="12"/>
      <c r="J197" s="1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2"/>
      <c r="C198" s="12"/>
      <c r="D198" s="12"/>
      <c r="E198" s="12"/>
      <c r="F198" s="12"/>
      <c r="G198" s="12"/>
      <c r="H198" s="12"/>
      <c r="I198" s="12"/>
      <c r="J198" s="1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2"/>
      <c r="C199" s="12"/>
      <c r="D199" s="12"/>
      <c r="E199" s="12"/>
      <c r="F199" s="12"/>
      <c r="G199" s="12"/>
      <c r="H199" s="12"/>
      <c r="I199" s="12"/>
      <c r="J199" s="1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2"/>
      <c r="C200" s="12"/>
      <c r="D200" s="12"/>
      <c r="E200" s="12"/>
      <c r="F200" s="12"/>
      <c r="G200" s="12"/>
      <c r="H200" s="12"/>
      <c r="I200" s="12"/>
      <c r="J200" s="1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2"/>
      <c r="C201" s="12"/>
      <c r="D201" s="12"/>
      <c r="E201" s="12"/>
      <c r="F201" s="12"/>
      <c r="G201" s="12"/>
      <c r="H201" s="12"/>
      <c r="I201" s="12"/>
      <c r="J201" s="1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2"/>
      <c r="C202" s="12"/>
      <c r="D202" s="12"/>
      <c r="E202" s="12"/>
      <c r="F202" s="12"/>
      <c r="G202" s="12"/>
      <c r="H202" s="12"/>
      <c r="I202" s="12"/>
      <c r="J202" s="1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2"/>
      <c r="C203" s="12"/>
      <c r="D203" s="12"/>
      <c r="E203" s="12"/>
      <c r="F203" s="12"/>
      <c r="G203" s="12"/>
      <c r="H203" s="12"/>
      <c r="I203" s="12"/>
      <c r="J203" s="1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2"/>
      <c r="C204" s="12"/>
      <c r="D204" s="12"/>
      <c r="E204" s="12"/>
      <c r="F204" s="12"/>
      <c r="G204" s="12"/>
      <c r="H204" s="12"/>
      <c r="I204" s="12"/>
      <c r="J204" s="1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2"/>
      <c r="C205" s="12"/>
      <c r="D205" s="12"/>
      <c r="E205" s="12"/>
      <c r="F205" s="12"/>
      <c r="G205" s="12"/>
      <c r="H205" s="12"/>
      <c r="I205" s="12"/>
      <c r="J205" s="1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2"/>
      <c r="C206" s="12"/>
      <c r="D206" s="12"/>
      <c r="E206" s="12"/>
      <c r="F206" s="12"/>
      <c r="G206" s="12"/>
      <c r="H206" s="12"/>
      <c r="I206" s="12"/>
      <c r="J206" s="1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2"/>
      <c r="C207" s="12"/>
      <c r="D207" s="12"/>
      <c r="E207" s="12"/>
      <c r="F207" s="12"/>
      <c r="G207" s="12"/>
      <c r="H207" s="12"/>
      <c r="I207" s="12"/>
      <c r="J207" s="1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2"/>
      <c r="C208" s="12"/>
      <c r="D208" s="12"/>
      <c r="E208" s="12"/>
      <c r="F208" s="12"/>
      <c r="G208" s="12"/>
      <c r="H208" s="12"/>
      <c r="I208" s="12"/>
      <c r="J208" s="1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2"/>
      <c r="C209" s="12"/>
      <c r="D209" s="12"/>
      <c r="E209" s="12"/>
      <c r="F209" s="12"/>
      <c r="G209" s="12"/>
      <c r="H209" s="12"/>
      <c r="I209" s="12"/>
      <c r="J209" s="1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2"/>
      <c r="C210" s="12"/>
      <c r="D210" s="12"/>
      <c r="E210" s="12"/>
      <c r="F210" s="12"/>
      <c r="G210" s="12"/>
      <c r="H210" s="12"/>
      <c r="I210" s="12"/>
      <c r="J210" s="1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2"/>
      <c r="C211" s="12"/>
      <c r="D211" s="12"/>
      <c r="E211" s="12"/>
      <c r="F211" s="12"/>
      <c r="G211" s="12"/>
      <c r="H211" s="12"/>
      <c r="I211" s="12"/>
      <c r="J211" s="1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2"/>
      <c r="C212" s="12"/>
      <c r="D212" s="12"/>
      <c r="E212" s="12"/>
      <c r="F212" s="12"/>
      <c r="G212" s="12"/>
      <c r="H212" s="12"/>
      <c r="I212" s="12"/>
      <c r="J212" s="1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2"/>
      <c r="C213" s="12"/>
      <c r="D213" s="12"/>
      <c r="E213" s="12"/>
      <c r="F213" s="12"/>
      <c r="G213" s="12"/>
      <c r="H213" s="12"/>
      <c r="I213" s="12"/>
      <c r="J213" s="1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2"/>
      <c r="C214" s="12"/>
      <c r="D214" s="12"/>
      <c r="E214" s="12"/>
      <c r="F214" s="12"/>
      <c r="G214" s="12"/>
      <c r="H214" s="12"/>
      <c r="I214" s="12"/>
      <c r="J214" s="1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2"/>
      <c r="C215" s="12"/>
      <c r="D215" s="12"/>
      <c r="E215" s="12"/>
      <c r="F215" s="12"/>
      <c r="G215" s="12"/>
      <c r="H215" s="12"/>
      <c r="I215" s="12"/>
      <c r="J215" s="1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2"/>
      <c r="C216" s="12"/>
      <c r="D216" s="12"/>
      <c r="E216" s="12"/>
      <c r="F216" s="12"/>
      <c r="G216" s="12"/>
      <c r="H216" s="12"/>
      <c r="I216" s="12"/>
      <c r="J216" s="1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2"/>
      <c r="C217" s="12"/>
      <c r="D217" s="12"/>
      <c r="E217" s="12"/>
      <c r="F217" s="12"/>
      <c r="G217" s="12"/>
      <c r="H217" s="12"/>
      <c r="I217" s="12"/>
      <c r="J217" s="1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2"/>
      <c r="C218" s="12"/>
      <c r="D218" s="12"/>
      <c r="E218" s="12"/>
      <c r="F218" s="12"/>
      <c r="G218" s="12"/>
      <c r="H218" s="12"/>
      <c r="I218" s="12"/>
      <c r="J218" s="1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2"/>
      <c r="C219" s="12"/>
      <c r="D219" s="12"/>
      <c r="E219" s="12"/>
      <c r="F219" s="12"/>
      <c r="G219" s="12"/>
      <c r="H219" s="12"/>
      <c r="I219" s="12"/>
      <c r="J219" s="1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2"/>
      <c r="C220" s="12"/>
      <c r="D220" s="12"/>
      <c r="E220" s="12"/>
      <c r="F220" s="12"/>
      <c r="G220" s="12"/>
      <c r="H220" s="12"/>
      <c r="I220" s="12"/>
      <c r="J220" s="1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2"/>
      <c r="C221" s="12"/>
      <c r="D221" s="12"/>
      <c r="E221" s="12"/>
      <c r="F221" s="12"/>
      <c r="G221" s="12"/>
      <c r="H221" s="12"/>
      <c r="I221" s="12"/>
      <c r="J221" s="1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2"/>
      <c r="C222" s="12"/>
      <c r="D222" s="12"/>
      <c r="E222" s="12"/>
      <c r="F222" s="12"/>
      <c r="G222" s="12"/>
      <c r="H222" s="12"/>
      <c r="I222" s="12"/>
      <c r="J222" s="1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2"/>
      <c r="C223" s="12"/>
      <c r="D223" s="12"/>
      <c r="E223" s="12"/>
      <c r="F223" s="12"/>
      <c r="G223" s="12"/>
      <c r="H223" s="12"/>
      <c r="I223" s="12"/>
      <c r="J223" s="1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2"/>
      <c r="C224" s="12"/>
      <c r="D224" s="12"/>
      <c r="E224" s="12"/>
      <c r="F224" s="12"/>
      <c r="G224" s="12"/>
      <c r="H224" s="12"/>
      <c r="I224" s="12"/>
      <c r="J224" s="1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2"/>
      <c r="C225" s="12"/>
      <c r="D225" s="12"/>
      <c r="E225" s="12"/>
      <c r="F225" s="12"/>
      <c r="G225" s="12"/>
      <c r="H225" s="12"/>
      <c r="I225" s="12"/>
      <c r="J225" s="1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2"/>
      <c r="C226" s="12"/>
      <c r="D226" s="12"/>
      <c r="E226" s="12"/>
      <c r="F226" s="12"/>
      <c r="G226" s="12"/>
      <c r="H226" s="12"/>
      <c r="I226" s="12"/>
      <c r="J226" s="1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2"/>
      <c r="C227" s="12"/>
      <c r="D227" s="12"/>
      <c r="E227" s="12"/>
      <c r="F227" s="12"/>
      <c r="G227" s="12"/>
      <c r="H227" s="12"/>
      <c r="I227" s="12"/>
      <c r="J227" s="1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2"/>
      <c r="C228" s="12"/>
      <c r="D228" s="12"/>
      <c r="E228" s="12"/>
      <c r="F228" s="12"/>
      <c r="G228" s="12"/>
      <c r="H228" s="12"/>
      <c r="I228" s="12"/>
      <c r="J228" s="1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2"/>
      <c r="C229" s="12"/>
      <c r="D229" s="12"/>
      <c r="E229" s="12"/>
      <c r="F229" s="12"/>
      <c r="G229" s="12"/>
      <c r="H229" s="12"/>
      <c r="I229" s="12"/>
      <c r="J229" s="1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2"/>
      <c r="C230" s="12"/>
      <c r="D230" s="12"/>
      <c r="E230" s="12"/>
      <c r="F230" s="12"/>
      <c r="G230" s="12"/>
      <c r="H230" s="12"/>
      <c r="I230" s="12"/>
      <c r="J230" s="1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2"/>
      <c r="C231" s="12"/>
      <c r="D231" s="12"/>
      <c r="E231" s="12"/>
      <c r="F231" s="12"/>
      <c r="G231" s="12"/>
      <c r="H231" s="12"/>
      <c r="I231" s="12"/>
      <c r="J231" s="1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2"/>
      <c r="C232" s="12"/>
      <c r="D232" s="12"/>
      <c r="E232" s="12"/>
      <c r="F232" s="12"/>
      <c r="G232" s="12"/>
      <c r="H232" s="12"/>
      <c r="I232" s="12"/>
      <c r="J232" s="1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2"/>
      <c r="C233" s="12"/>
      <c r="D233" s="12"/>
      <c r="E233" s="12"/>
      <c r="F233" s="12"/>
      <c r="G233" s="12"/>
      <c r="H233" s="12"/>
      <c r="I233" s="12"/>
      <c r="J233" s="1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2"/>
      <c r="C234" s="12"/>
      <c r="D234" s="12"/>
      <c r="E234" s="12"/>
      <c r="F234" s="12"/>
      <c r="G234" s="12"/>
      <c r="H234" s="12"/>
      <c r="I234" s="12"/>
      <c r="J234" s="1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2"/>
      <c r="C235" s="12"/>
      <c r="D235" s="12"/>
      <c r="E235" s="12"/>
      <c r="F235" s="12"/>
      <c r="G235" s="12"/>
      <c r="H235" s="12"/>
      <c r="I235" s="12"/>
      <c r="J235" s="1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2"/>
      <c r="C236" s="12"/>
      <c r="D236" s="12"/>
      <c r="E236" s="12"/>
      <c r="F236" s="12"/>
      <c r="G236" s="12"/>
      <c r="H236" s="12"/>
      <c r="I236" s="12"/>
      <c r="J236" s="1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2"/>
      <c r="C237" s="12"/>
      <c r="D237" s="12"/>
      <c r="E237" s="12"/>
      <c r="F237" s="12"/>
      <c r="G237" s="12"/>
      <c r="H237" s="12"/>
      <c r="I237" s="12"/>
      <c r="J237" s="1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2"/>
      <c r="C238" s="12"/>
      <c r="D238" s="12"/>
      <c r="E238" s="12"/>
      <c r="F238" s="12"/>
      <c r="G238" s="12"/>
      <c r="H238" s="12"/>
      <c r="I238" s="12"/>
      <c r="J238" s="1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2"/>
      <c r="C239" s="12"/>
      <c r="D239" s="12"/>
      <c r="E239" s="12"/>
      <c r="F239" s="12"/>
      <c r="G239" s="12"/>
      <c r="H239" s="12"/>
      <c r="I239" s="12"/>
      <c r="J239" s="1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2"/>
      <c r="C240" s="12"/>
      <c r="D240" s="12"/>
      <c r="E240" s="12"/>
      <c r="F240" s="12"/>
      <c r="G240" s="12"/>
      <c r="H240" s="12"/>
      <c r="I240" s="12"/>
      <c r="J240" s="1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2"/>
      <c r="C241" s="12"/>
      <c r="D241" s="12"/>
      <c r="E241" s="12"/>
      <c r="F241" s="12"/>
      <c r="G241" s="12"/>
      <c r="H241" s="12"/>
      <c r="I241" s="12"/>
      <c r="J241" s="1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12"/>
      <c r="C242" s="12"/>
      <c r="D242" s="12"/>
      <c r="E242" s="12"/>
      <c r="F242" s="12"/>
      <c r="G242" s="12"/>
      <c r="H242" s="12"/>
      <c r="I242" s="12"/>
      <c r="J242" s="1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12"/>
      <c r="C243" s="12"/>
      <c r="D243" s="12"/>
      <c r="E243" s="12"/>
      <c r="F243" s="12"/>
      <c r="G243" s="12"/>
      <c r="H243" s="12"/>
      <c r="I243" s="12"/>
      <c r="J243" s="1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12"/>
      <c r="C244" s="12"/>
      <c r="D244" s="12"/>
      <c r="E244" s="12"/>
      <c r="F244" s="12"/>
      <c r="G244" s="12"/>
      <c r="H244" s="12"/>
      <c r="I244" s="12"/>
      <c r="J244" s="1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12"/>
      <c r="C245" s="12"/>
      <c r="D245" s="12"/>
      <c r="E245" s="12"/>
      <c r="F245" s="12"/>
      <c r="G245" s="12"/>
      <c r="H245" s="12"/>
      <c r="I245" s="12"/>
      <c r="J245" s="1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12"/>
      <c r="C246" s="12"/>
      <c r="D246" s="12"/>
      <c r="E246" s="12"/>
      <c r="F246" s="12"/>
      <c r="G246" s="12"/>
      <c r="H246" s="12"/>
      <c r="I246" s="12"/>
      <c r="J246" s="1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12"/>
      <c r="C247" s="12"/>
      <c r="D247" s="12"/>
      <c r="E247" s="12"/>
      <c r="F247" s="12"/>
      <c r="G247" s="12"/>
      <c r="H247" s="12"/>
      <c r="I247" s="12"/>
      <c r="J247" s="1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12"/>
      <c r="C248" s="12"/>
      <c r="D248" s="12"/>
      <c r="E248" s="12"/>
      <c r="F248" s="12"/>
      <c r="G248" s="12"/>
      <c r="H248" s="12"/>
      <c r="I248" s="12"/>
      <c r="J248" s="1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2"/>
      <c r="C249" s="12"/>
      <c r="D249" s="12"/>
      <c r="E249" s="12"/>
      <c r="F249" s="12"/>
      <c r="G249" s="12"/>
      <c r="H249" s="12"/>
      <c r="I249" s="12"/>
      <c r="J249" s="1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2"/>
      <c r="C250" s="12"/>
      <c r="D250" s="12"/>
      <c r="E250" s="12"/>
      <c r="F250" s="12"/>
      <c r="G250" s="12"/>
      <c r="H250" s="12"/>
      <c r="I250" s="12"/>
      <c r="J250" s="1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2"/>
      <c r="C251" s="12"/>
      <c r="D251" s="12"/>
      <c r="E251" s="12"/>
      <c r="F251" s="12"/>
      <c r="G251" s="12"/>
      <c r="H251" s="12"/>
      <c r="I251" s="12"/>
      <c r="J251" s="1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2"/>
      <c r="C252" s="12"/>
      <c r="D252" s="12"/>
      <c r="E252" s="12"/>
      <c r="F252" s="12"/>
      <c r="G252" s="12"/>
      <c r="H252" s="12"/>
      <c r="I252" s="12"/>
      <c r="J252" s="1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2"/>
      <c r="C253" s="12"/>
      <c r="D253" s="12"/>
      <c r="E253" s="12"/>
      <c r="F253" s="12"/>
      <c r="G253" s="12"/>
      <c r="H253" s="12"/>
      <c r="I253" s="12"/>
      <c r="J253" s="1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2"/>
      <c r="C254" s="12"/>
      <c r="D254" s="12"/>
      <c r="E254" s="12"/>
      <c r="F254" s="12"/>
      <c r="G254" s="12"/>
      <c r="H254" s="12"/>
      <c r="I254" s="12"/>
      <c r="J254" s="1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2"/>
      <c r="C255" s="12"/>
      <c r="D255" s="12"/>
      <c r="E255" s="12"/>
      <c r="F255" s="12"/>
      <c r="G255" s="12"/>
      <c r="H255" s="12"/>
      <c r="I255" s="12"/>
      <c r="J255" s="1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12"/>
      <c r="C256" s="12"/>
      <c r="D256" s="12"/>
      <c r="E256" s="12"/>
      <c r="F256" s="12"/>
      <c r="G256" s="12"/>
      <c r="H256" s="12"/>
      <c r="I256" s="12"/>
      <c r="J256" s="1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12"/>
      <c r="C257" s="12"/>
      <c r="D257" s="12"/>
      <c r="E257" s="12"/>
      <c r="F257" s="12"/>
      <c r="G257" s="12"/>
      <c r="H257" s="12"/>
      <c r="I257" s="12"/>
      <c r="J257" s="1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12"/>
      <c r="C258" s="12"/>
      <c r="D258" s="12"/>
      <c r="E258" s="12"/>
      <c r="F258" s="12"/>
      <c r="G258" s="12"/>
      <c r="H258" s="12"/>
      <c r="I258" s="12"/>
      <c r="J258" s="1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12"/>
      <c r="C259" s="12"/>
      <c r="D259" s="12"/>
      <c r="E259" s="12"/>
      <c r="F259" s="12"/>
      <c r="G259" s="12"/>
      <c r="H259" s="12"/>
      <c r="I259" s="12"/>
      <c r="J259" s="1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12"/>
      <c r="C260" s="12"/>
      <c r="D260" s="12"/>
      <c r="E260" s="12"/>
      <c r="F260" s="12"/>
      <c r="G260" s="12"/>
      <c r="H260" s="12"/>
      <c r="I260" s="12"/>
      <c r="J260" s="1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/>
    <row r="262" spans="1:26" ht="15.75" customHeight="1" x14ac:dyDescent="0.45"/>
    <row r="263" spans="1:26" ht="15.75" customHeight="1" x14ac:dyDescent="0.45"/>
    <row r="264" spans="1:26" ht="15.75" customHeight="1" x14ac:dyDescent="0.45"/>
    <row r="265" spans="1:26" ht="15.75" customHeight="1" x14ac:dyDescent="0.45"/>
    <row r="266" spans="1:26" ht="15.75" customHeight="1" x14ac:dyDescent="0.45"/>
    <row r="267" spans="1:26" ht="15.75" customHeight="1" x14ac:dyDescent="0.45"/>
    <row r="268" spans="1:26" ht="15.75" customHeight="1" x14ac:dyDescent="0.45"/>
    <row r="269" spans="1:26" ht="15.75" customHeight="1" x14ac:dyDescent="0.45"/>
    <row r="270" spans="1:26" ht="15.75" customHeight="1" x14ac:dyDescent="0.45"/>
    <row r="271" spans="1:26" ht="15.75" customHeight="1" x14ac:dyDescent="0.45"/>
    <row r="272" spans="1:26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</sheetData>
  <mergeCells count="81">
    <mergeCell ref="C52:E52"/>
    <mergeCell ref="H52:J52"/>
    <mergeCell ref="C54:E54"/>
    <mergeCell ref="H54:J54"/>
    <mergeCell ref="C55:E55"/>
    <mergeCell ref="H55:J55"/>
    <mergeCell ref="B56:B59"/>
    <mergeCell ref="C56:E59"/>
    <mergeCell ref="G56:G59"/>
    <mergeCell ref="H56:J59"/>
    <mergeCell ref="C60:E60"/>
    <mergeCell ref="H60:J60"/>
    <mergeCell ref="H30:J30"/>
    <mergeCell ref="B17:B21"/>
    <mergeCell ref="C17:C19"/>
    <mergeCell ref="G17:G21"/>
    <mergeCell ref="H17:H19"/>
    <mergeCell ref="C20:C21"/>
    <mergeCell ref="H20:H21"/>
    <mergeCell ref="I20:I21"/>
    <mergeCell ref="D20:D21"/>
    <mergeCell ref="C22:E22"/>
    <mergeCell ref="C24:E24"/>
    <mergeCell ref="C25:E25"/>
    <mergeCell ref="B26:B29"/>
    <mergeCell ref="C26:E29"/>
    <mergeCell ref="C30:E30"/>
    <mergeCell ref="H22:J22"/>
    <mergeCell ref="H24:J24"/>
    <mergeCell ref="H25:J25"/>
    <mergeCell ref="G26:G29"/>
    <mergeCell ref="H26:J29"/>
    <mergeCell ref="H15:J15"/>
    <mergeCell ref="B2:B6"/>
    <mergeCell ref="C2:C4"/>
    <mergeCell ref="G2:G6"/>
    <mergeCell ref="H2:H4"/>
    <mergeCell ref="C5:C6"/>
    <mergeCell ref="H5:H6"/>
    <mergeCell ref="I5:I6"/>
    <mergeCell ref="D5:D6"/>
    <mergeCell ref="C7:E7"/>
    <mergeCell ref="C9:E9"/>
    <mergeCell ref="C10:E10"/>
    <mergeCell ref="B11:B14"/>
    <mergeCell ref="C11:E14"/>
    <mergeCell ref="C15:E15"/>
    <mergeCell ref="H7:J7"/>
    <mergeCell ref="H9:J9"/>
    <mergeCell ref="H10:J10"/>
    <mergeCell ref="G11:G14"/>
    <mergeCell ref="H11:J14"/>
    <mergeCell ref="B41:B44"/>
    <mergeCell ref="H47:H49"/>
    <mergeCell ref="H50:H51"/>
    <mergeCell ref="H41:J44"/>
    <mergeCell ref="H45:J45"/>
    <mergeCell ref="B47:B51"/>
    <mergeCell ref="C47:C49"/>
    <mergeCell ref="G47:G51"/>
    <mergeCell ref="C50:C51"/>
    <mergeCell ref="I50:I51"/>
    <mergeCell ref="D50:D51"/>
    <mergeCell ref="C45:E45"/>
    <mergeCell ref="I35:I36"/>
    <mergeCell ref="C41:E44"/>
    <mergeCell ref="G41:G44"/>
    <mergeCell ref="D35:D36"/>
    <mergeCell ref="C37:E37"/>
    <mergeCell ref="H37:J37"/>
    <mergeCell ref="H38:J38"/>
    <mergeCell ref="C39:E39"/>
    <mergeCell ref="H39:J39"/>
    <mergeCell ref="C40:E40"/>
    <mergeCell ref="H40:J40"/>
    <mergeCell ref="B32:B36"/>
    <mergeCell ref="C32:C34"/>
    <mergeCell ref="G32:G36"/>
    <mergeCell ref="H32:H34"/>
    <mergeCell ref="C35:C36"/>
    <mergeCell ref="H35:H36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 x14ac:dyDescent="0.45">
      <c r="A1" s="83"/>
      <c r="B1" s="441"/>
      <c r="C1" s="281"/>
      <c r="D1" s="441" t="s">
        <v>0</v>
      </c>
      <c r="E1" s="243"/>
      <c r="F1" s="243"/>
      <c r="G1" s="243"/>
      <c r="H1" s="243"/>
      <c r="I1" s="281"/>
      <c r="J1" s="102" t="s">
        <v>1</v>
      </c>
      <c r="K1" s="102" t="s">
        <v>419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2"/>
      <c r="Y1" s="82"/>
      <c r="Z1" s="82"/>
    </row>
    <row r="2" spans="1:26" ht="24.75" customHeight="1" x14ac:dyDescent="0.45">
      <c r="A2" s="83"/>
      <c r="B2" s="284"/>
      <c r="C2" s="285"/>
      <c r="D2" s="284"/>
      <c r="E2" s="237"/>
      <c r="F2" s="237"/>
      <c r="G2" s="237"/>
      <c r="H2" s="237"/>
      <c r="I2" s="285"/>
      <c r="J2" s="102" t="s">
        <v>3</v>
      </c>
      <c r="K2" s="103">
        <v>1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2"/>
      <c r="Y2" s="82"/>
      <c r="Z2" s="82"/>
    </row>
    <row r="3" spans="1:26" ht="24.75" customHeight="1" x14ac:dyDescent="0.45">
      <c r="A3" s="83"/>
      <c r="B3" s="284"/>
      <c r="C3" s="285"/>
      <c r="D3" s="286"/>
      <c r="E3" s="226"/>
      <c r="F3" s="226"/>
      <c r="G3" s="226"/>
      <c r="H3" s="226"/>
      <c r="I3" s="227"/>
      <c r="J3" s="102" t="s">
        <v>5</v>
      </c>
      <c r="K3" s="102" t="s">
        <v>6</v>
      </c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2"/>
      <c r="Y3" s="82"/>
      <c r="Z3" s="82"/>
    </row>
    <row r="4" spans="1:26" ht="15.75" customHeight="1" x14ac:dyDescent="0.45">
      <c r="A4" s="82"/>
      <c r="B4" s="284"/>
      <c r="C4" s="285"/>
      <c r="D4" s="441" t="s">
        <v>420</v>
      </c>
      <c r="E4" s="243"/>
      <c r="F4" s="243"/>
      <c r="G4" s="243"/>
      <c r="H4" s="243"/>
      <c r="I4" s="281"/>
      <c r="J4" s="442" t="s">
        <v>7</v>
      </c>
      <c r="K4" s="102" t="s">
        <v>204</v>
      </c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82"/>
      <c r="B5" s="286"/>
      <c r="C5" s="227"/>
      <c r="D5" s="286"/>
      <c r="E5" s="226"/>
      <c r="F5" s="226"/>
      <c r="G5" s="226"/>
      <c r="H5" s="226"/>
      <c r="I5" s="227"/>
      <c r="J5" s="381"/>
      <c r="K5" s="104" t="s">
        <v>205</v>
      </c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8"/>
      <c r="C6" s="97"/>
      <c r="D6" s="97"/>
      <c r="E6" s="97"/>
      <c r="F6" s="97"/>
      <c r="G6" s="97"/>
      <c r="H6" s="97"/>
      <c r="I6" s="97"/>
      <c r="J6" s="97"/>
      <c r="K6" s="148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24.75" customHeight="1" x14ac:dyDescent="0.45">
      <c r="A7" s="82"/>
      <c r="B7" s="11"/>
      <c r="C7" s="12"/>
      <c r="D7" s="12"/>
      <c r="E7" s="12"/>
      <c r="F7" s="12"/>
      <c r="G7" s="12"/>
      <c r="H7" s="12"/>
      <c r="I7" s="12"/>
      <c r="J7" s="12"/>
      <c r="K7" s="149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57" customHeight="1" x14ac:dyDescent="0.45">
      <c r="A8" s="82"/>
      <c r="B8" s="108" t="s">
        <v>421</v>
      </c>
      <c r="C8" s="274" t="str">
        <f>'INSPECCIÓN ETIQUETAS'!C8</f>
        <v>SUERO DE NIACINAMIDA 5% FORMULA NUEVA</v>
      </c>
      <c r="D8" s="232"/>
      <c r="E8" s="232"/>
      <c r="F8" s="235"/>
      <c r="G8" s="108" t="s">
        <v>422</v>
      </c>
      <c r="H8" s="274" t="str">
        <f>'LISTA CHEQUEO'!F10</f>
        <v>ANIMUS LAB</v>
      </c>
      <c r="I8" s="232"/>
      <c r="J8" s="232"/>
      <c r="K8" s="233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45" customHeight="1" x14ac:dyDescent="0.45">
      <c r="A9" s="82"/>
      <c r="B9" s="108" t="s">
        <v>21</v>
      </c>
      <c r="C9" s="454" t="str">
        <f>'INSPECCIÓN ETIQUETAS'!H8</f>
        <v>NSOC33886-24CO</v>
      </c>
      <c r="D9" s="233"/>
      <c r="E9" s="108" t="s">
        <v>351</v>
      </c>
      <c r="F9" s="454" t="str">
        <f>'INSPECCIÓN ETIQUETAS'!C9</f>
        <v>OP-L-099</v>
      </c>
      <c r="G9" s="233"/>
      <c r="H9" s="436" t="s">
        <v>350</v>
      </c>
      <c r="I9" s="233"/>
      <c r="J9" s="457" t="str">
        <f>'INSPECCIÓN ETIQUETAS'!C10</f>
        <v>252111</v>
      </c>
      <c r="K9" s="233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57" customHeight="1" x14ac:dyDescent="0.55000000000000004">
      <c r="A10" s="82"/>
      <c r="B10" s="108" t="s">
        <v>423</v>
      </c>
      <c r="C10" s="513"/>
      <c r="D10" s="233"/>
      <c r="E10" s="108" t="s">
        <v>424</v>
      </c>
      <c r="F10" s="512"/>
      <c r="G10" s="233"/>
      <c r="H10" s="436" t="s">
        <v>425</v>
      </c>
      <c r="I10" s="233"/>
      <c r="J10" s="511"/>
      <c r="K10" s="233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71.25" customHeight="1" x14ac:dyDescent="0.55000000000000004">
      <c r="A11" s="82"/>
      <c r="B11" s="108" t="s">
        <v>426</v>
      </c>
      <c r="C11" s="513"/>
      <c r="D11" s="233"/>
      <c r="E11" s="108" t="s">
        <v>427</v>
      </c>
      <c r="F11" s="512"/>
      <c r="G11" s="233"/>
      <c r="H11" s="436" t="s">
        <v>428</v>
      </c>
      <c r="I11" s="233"/>
      <c r="J11" s="511"/>
      <c r="K11" s="233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33.75" customHeight="1" x14ac:dyDescent="0.45">
      <c r="A12" s="82"/>
      <c r="B12" s="150"/>
      <c r="C12" s="151"/>
      <c r="D12" s="151"/>
      <c r="E12" s="151"/>
      <c r="F12" s="151"/>
      <c r="G12" s="151"/>
      <c r="H12" s="151"/>
      <c r="I12" s="151"/>
      <c r="J12" s="151"/>
      <c r="K12" s="15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37.5" customHeight="1" x14ac:dyDescent="0.45">
      <c r="A13" s="82"/>
      <c r="B13" s="436" t="s">
        <v>27</v>
      </c>
      <c r="C13" s="232"/>
      <c r="D13" s="232"/>
      <c r="E13" s="232"/>
      <c r="F13" s="232"/>
      <c r="G13" s="232"/>
      <c r="H13" s="232"/>
      <c r="I13" s="232"/>
      <c r="J13" s="232"/>
      <c r="K13" s="233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42" customHeight="1" x14ac:dyDescent="0.45">
      <c r="A14" s="82"/>
      <c r="B14" s="108" t="s">
        <v>69</v>
      </c>
      <c r="C14" s="436" t="s">
        <v>429</v>
      </c>
      <c r="D14" s="232"/>
      <c r="E14" s="232"/>
      <c r="F14" s="232"/>
      <c r="G14" s="233"/>
      <c r="H14" s="436" t="s">
        <v>30</v>
      </c>
      <c r="I14" s="233"/>
      <c r="J14" s="436" t="s">
        <v>31</v>
      </c>
      <c r="K14" s="233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48" customHeight="1" x14ac:dyDescent="0.45">
      <c r="A15" s="82"/>
      <c r="B15" s="108" t="s">
        <v>323</v>
      </c>
      <c r="C15" s="490" t="s">
        <v>430</v>
      </c>
      <c r="D15" s="232"/>
      <c r="E15" s="232"/>
      <c r="F15" s="232"/>
      <c r="G15" s="233"/>
      <c r="H15" s="436"/>
      <c r="I15" s="233"/>
      <c r="J15" s="489"/>
      <c r="K15" s="233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51.75" customHeight="1" x14ac:dyDescent="0.45">
      <c r="A16" s="82"/>
      <c r="B16" s="108" t="s">
        <v>431</v>
      </c>
      <c r="C16" s="490" t="s">
        <v>432</v>
      </c>
      <c r="D16" s="232"/>
      <c r="E16" s="232"/>
      <c r="F16" s="232"/>
      <c r="G16" s="233"/>
      <c r="H16" s="436"/>
      <c r="I16" s="233"/>
      <c r="J16" s="153"/>
      <c r="K16" s="156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63.75" customHeight="1" x14ac:dyDescent="0.45">
      <c r="A17" s="82"/>
      <c r="B17" s="108" t="s">
        <v>433</v>
      </c>
      <c r="C17" s="490" t="s">
        <v>434</v>
      </c>
      <c r="D17" s="232"/>
      <c r="E17" s="232"/>
      <c r="F17" s="232"/>
      <c r="G17" s="233"/>
      <c r="H17" s="436"/>
      <c r="I17" s="233"/>
      <c r="J17" s="153"/>
      <c r="K17" s="156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50.25" customHeight="1" x14ac:dyDescent="0.45">
      <c r="A18" s="82"/>
      <c r="B18" s="108" t="s">
        <v>435</v>
      </c>
      <c r="C18" s="490" t="s">
        <v>436</v>
      </c>
      <c r="D18" s="232"/>
      <c r="E18" s="232"/>
      <c r="F18" s="232"/>
      <c r="G18" s="233"/>
      <c r="H18" s="436"/>
      <c r="I18" s="233"/>
      <c r="J18" s="153"/>
      <c r="K18" s="156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60" customHeight="1" x14ac:dyDescent="0.45">
      <c r="A19" s="82"/>
      <c r="B19" s="108" t="s">
        <v>437</v>
      </c>
      <c r="C19" s="490" t="s">
        <v>438</v>
      </c>
      <c r="D19" s="232"/>
      <c r="E19" s="232"/>
      <c r="F19" s="232"/>
      <c r="G19" s="233"/>
      <c r="H19" s="436"/>
      <c r="I19" s="233"/>
      <c r="J19" s="153"/>
      <c r="K19" s="156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54" customHeight="1" x14ac:dyDescent="0.45">
      <c r="A20" s="82"/>
      <c r="B20" s="120" t="s">
        <v>439</v>
      </c>
      <c r="C20" s="490" t="s">
        <v>440</v>
      </c>
      <c r="D20" s="232"/>
      <c r="E20" s="232"/>
      <c r="F20" s="232"/>
      <c r="G20" s="233"/>
      <c r="H20" s="436"/>
      <c r="I20" s="233"/>
      <c r="J20" s="489"/>
      <c r="K20" s="233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45.75" customHeight="1" x14ac:dyDescent="0.45">
      <c r="A21" s="82"/>
      <c r="B21" s="154" t="s">
        <v>441</v>
      </c>
      <c r="C21" s="490" t="s">
        <v>442</v>
      </c>
      <c r="D21" s="232"/>
      <c r="E21" s="232"/>
      <c r="F21" s="232"/>
      <c r="G21" s="233"/>
      <c r="H21" s="436"/>
      <c r="I21" s="233"/>
      <c r="J21" s="489"/>
      <c r="K21" s="233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51" customHeight="1" x14ac:dyDescent="0.45">
      <c r="A22" s="82"/>
      <c r="B22" s="154" t="s">
        <v>443</v>
      </c>
      <c r="C22" s="490" t="s">
        <v>444</v>
      </c>
      <c r="D22" s="232"/>
      <c r="E22" s="232"/>
      <c r="F22" s="232"/>
      <c r="G22" s="233"/>
      <c r="H22" s="436"/>
      <c r="I22" s="233"/>
      <c r="J22" s="489"/>
      <c r="K22" s="233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54" customHeight="1" x14ac:dyDescent="0.45">
      <c r="A23" s="82"/>
      <c r="B23" s="154" t="s">
        <v>445</v>
      </c>
      <c r="C23" s="490" t="s">
        <v>446</v>
      </c>
      <c r="D23" s="232"/>
      <c r="E23" s="232"/>
      <c r="F23" s="232"/>
      <c r="G23" s="233"/>
      <c r="H23" s="436"/>
      <c r="I23" s="233"/>
      <c r="J23" s="489"/>
      <c r="K23" s="233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54" customHeight="1" x14ac:dyDescent="0.45">
      <c r="A24" s="82"/>
      <c r="B24" s="154" t="s">
        <v>447</v>
      </c>
      <c r="C24" s="490" t="s">
        <v>448</v>
      </c>
      <c r="D24" s="232"/>
      <c r="E24" s="232"/>
      <c r="F24" s="232"/>
      <c r="G24" s="233"/>
      <c r="H24" s="436"/>
      <c r="I24" s="233"/>
      <c r="J24" s="489"/>
      <c r="K24" s="233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54" customHeight="1" x14ac:dyDescent="0.45">
      <c r="A25" s="82"/>
      <c r="B25" s="154" t="s">
        <v>449</v>
      </c>
      <c r="C25" s="453" t="s">
        <v>450</v>
      </c>
      <c r="D25" s="232"/>
      <c r="E25" s="232"/>
      <c r="F25" s="232"/>
      <c r="G25" s="233"/>
      <c r="H25" s="436"/>
      <c r="I25" s="233"/>
      <c r="J25" s="489"/>
      <c r="K25" s="233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49.5" customHeight="1" x14ac:dyDescent="0.45">
      <c r="A26" s="82"/>
      <c r="B26" s="154" t="s">
        <v>451</v>
      </c>
      <c r="C26" s="453" t="s">
        <v>452</v>
      </c>
      <c r="D26" s="232"/>
      <c r="E26" s="232"/>
      <c r="F26" s="232"/>
      <c r="G26" s="233"/>
      <c r="H26" s="436"/>
      <c r="I26" s="233"/>
      <c r="J26" s="489"/>
      <c r="K26" s="233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72.75" customHeight="1" x14ac:dyDescent="0.45">
      <c r="A27" s="82"/>
      <c r="B27" s="154" t="s">
        <v>435</v>
      </c>
      <c r="C27" s="453" t="s">
        <v>453</v>
      </c>
      <c r="D27" s="232"/>
      <c r="E27" s="232"/>
      <c r="F27" s="232"/>
      <c r="G27" s="233"/>
      <c r="H27" s="436"/>
      <c r="I27" s="233"/>
      <c r="J27" s="153"/>
      <c r="K27" s="156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55.5" customHeight="1" x14ac:dyDescent="0.45">
      <c r="A28" s="82"/>
      <c r="B28" s="154" t="s">
        <v>454</v>
      </c>
      <c r="C28" s="453" t="s">
        <v>455</v>
      </c>
      <c r="D28" s="232"/>
      <c r="E28" s="232"/>
      <c r="F28" s="232"/>
      <c r="G28" s="233"/>
      <c r="H28" s="436"/>
      <c r="I28" s="233"/>
      <c r="J28" s="489"/>
      <c r="K28" s="233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22.5" customHeight="1" x14ac:dyDescent="0.45">
      <c r="A29" s="82"/>
      <c r="B29" s="112"/>
      <c r="C29" s="157"/>
      <c r="D29" s="157"/>
      <c r="E29" s="158"/>
      <c r="F29" s="158"/>
      <c r="G29" s="158"/>
      <c r="H29" s="159"/>
      <c r="I29" s="159"/>
      <c r="J29" s="159"/>
      <c r="K29" s="160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45.75" customHeight="1" x14ac:dyDescent="0.45">
      <c r="A30" s="82"/>
      <c r="B30" s="491" t="s">
        <v>45</v>
      </c>
      <c r="C30" s="492"/>
      <c r="D30" s="243"/>
      <c r="E30" s="243"/>
      <c r="F30" s="243"/>
      <c r="G30" s="243"/>
      <c r="H30" s="243"/>
      <c r="I30" s="243"/>
      <c r="J30" s="243"/>
      <c r="K30" s="281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65.25" customHeight="1" x14ac:dyDescent="0.45">
      <c r="A31" s="82"/>
      <c r="B31" s="381"/>
      <c r="C31" s="286"/>
      <c r="D31" s="226"/>
      <c r="E31" s="226"/>
      <c r="F31" s="226"/>
      <c r="G31" s="226"/>
      <c r="H31" s="226"/>
      <c r="I31" s="226"/>
      <c r="J31" s="226"/>
      <c r="K31" s="227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22.5" customHeight="1" x14ac:dyDescent="0.45">
      <c r="A32" s="82"/>
      <c r="B32" s="150"/>
      <c r="C32" s="151"/>
      <c r="D32" s="151"/>
      <c r="E32" s="151"/>
      <c r="F32" s="151"/>
      <c r="G32" s="151"/>
      <c r="H32" s="151"/>
      <c r="I32" s="151"/>
      <c r="J32" s="151"/>
      <c r="K32" s="15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150"/>
      <c r="C33" s="151"/>
      <c r="D33" s="151"/>
      <c r="E33" s="151"/>
      <c r="F33" s="151"/>
      <c r="G33" s="151"/>
      <c r="H33" s="151"/>
      <c r="I33" s="151"/>
      <c r="J33" s="151"/>
      <c r="K33" s="15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36" customHeight="1" x14ac:dyDescent="0.45">
      <c r="A34" s="82"/>
      <c r="B34" s="440" t="s">
        <v>228</v>
      </c>
      <c r="C34" s="232"/>
      <c r="D34" s="188"/>
      <c r="E34" s="436" t="s">
        <v>229</v>
      </c>
      <c r="F34" s="233"/>
      <c r="G34" s="189"/>
      <c r="H34" s="436" t="s">
        <v>230</v>
      </c>
      <c r="I34" s="233"/>
      <c r="J34" s="190"/>
      <c r="K34" s="108" t="s">
        <v>231</v>
      </c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36" customHeight="1" x14ac:dyDescent="0.45">
      <c r="A35" s="82"/>
      <c r="B35" s="440" t="s">
        <v>258</v>
      </c>
      <c r="C35" s="233"/>
      <c r="D35" s="117"/>
      <c r="E35" s="191"/>
      <c r="F35" s="191"/>
      <c r="G35" s="192"/>
      <c r="H35" s="508" t="s">
        <v>456</v>
      </c>
      <c r="I35" s="227"/>
      <c r="J35" s="193"/>
      <c r="K35" s="194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31.5" customHeight="1" x14ac:dyDescent="0.45">
      <c r="A36" s="82"/>
      <c r="B36" s="440" t="s">
        <v>413</v>
      </c>
      <c r="C36" s="233"/>
      <c r="D36" s="509"/>
      <c r="E36" s="226"/>
      <c r="F36" s="226"/>
      <c r="G36" s="227"/>
      <c r="H36" s="508" t="s">
        <v>457</v>
      </c>
      <c r="I36" s="227"/>
      <c r="J36" s="509"/>
      <c r="K36" s="227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31.5" customHeight="1" x14ac:dyDescent="0.45">
      <c r="A37" s="82"/>
      <c r="B37" s="440" t="s">
        <v>458</v>
      </c>
      <c r="C37" s="233"/>
      <c r="D37" s="510"/>
      <c r="E37" s="232"/>
      <c r="F37" s="232"/>
      <c r="G37" s="232"/>
      <c r="H37" s="232"/>
      <c r="I37" s="232"/>
      <c r="J37" s="232"/>
      <c r="K37" s="233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150"/>
      <c r="C38" s="151"/>
      <c r="D38" s="151"/>
      <c r="E38" s="151"/>
      <c r="F38" s="151"/>
      <c r="G38" s="151"/>
      <c r="H38" s="151"/>
      <c r="I38" s="151"/>
      <c r="J38" s="151"/>
      <c r="K38" s="15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301" t="s">
        <v>52</v>
      </c>
      <c r="C39" s="226"/>
      <c r="D39" s="226"/>
      <c r="E39" s="226"/>
      <c r="F39" s="226"/>
      <c r="G39" s="226"/>
      <c r="H39" s="226"/>
      <c r="I39" s="226"/>
      <c r="J39" s="226"/>
      <c r="K39" s="227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3">
    <mergeCell ref="C23:G23"/>
    <mergeCell ref="H23:I23"/>
    <mergeCell ref="J23:K23"/>
    <mergeCell ref="H21:I21"/>
    <mergeCell ref="J21:K21"/>
    <mergeCell ref="C21:G21"/>
    <mergeCell ref="C22:G22"/>
    <mergeCell ref="H22:I22"/>
    <mergeCell ref="J22:K22"/>
    <mergeCell ref="C19:G19"/>
    <mergeCell ref="H19:I19"/>
    <mergeCell ref="C20:G20"/>
    <mergeCell ref="H20:I20"/>
    <mergeCell ref="J20:K20"/>
    <mergeCell ref="C16:G16"/>
    <mergeCell ref="H16:I16"/>
    <mergeCell ref="C17:G17"/>
    <mergeCell ref="H17:I17"/>
    <mergeCell ref="C18:G18"/>
    <mergeCell ref="H18:I18"/>
    <mergeCell ref="C14:G14"/>
    <mergeCell ref="H14:I14"/>
    <mergeCell ref="J14:K14"/>
    <mergeCell ref="H15:I15"/>
    <mergeCell ref="J15:K15"/>
    <mergeCell ref="C15:G15"/>
    <mergeCell ref="J10:K10"/>
    <mergeCell ref="F11:G11"/>
    <mergeCell ref="H11:I11"/>
    <mergeCell ref="J11:K11"/>
    <mergeCell ref="B13:K13"/>
    <mergeCell ref="C10:D10"/>
    <mergeCell ref="C11:D11"/>
    <mergeCell ref="F10:G10"/>
    <mergeCell ref="H10:I10"/>
    <mergeCell ref="J4:J5"/>
    <mergeCell ref="C8:F8"/>
    <mergeCell ref="H8:K8"/>
    <mergeCell ref="J9:K9"/>
    <mergeCell ref="F9:G9"/>
    <mergeCell ref="H9:I9"/>
    <mergeCell ref="C9:D9"/>
    <mergeCell ref="B1:C5"/>
    <mergeCell ref="D1:I3"/>
    <mergeCell ref="D4:I5"/>
    <mergeCell ref="B39:K39"/>
    <mergeCell ref="B34:C34"/>
    <mergeCell ref="E34:F34"/>
    <mergeCell ref="H34:I34"/>
    <mergeCell ref="B35:C35"/>
    <mergeCell ref="H35:I35"/>
    <mergeCell ref="B36:C36"/>
    <mergeCell ref="D36:G36"/>
    <mergeCell ref="B30:B31"/>
    <mergeCell ref="C30:K31"/>
    <mergeCell ref="H36:I36"/>
    <mergeCell ref="J36:K36"/>
    <mergeCell ref="B37:C37"/>
    <mergeCell ref="D37:K37"/>
    <mergeCell ref="C27:G27"/>
    <mergeCell ref="H27:I27"/>
    <mergeCell ref="C28:G28"/>
    <mergeCell ref="H28:I28"/>
    <mergeCell ref="J28:K28"/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</mergeCells>
  <pageMargins left="0.7" right="0.7" top="0.75" bottom="0.75" header="0" footer="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95"/>
      <c r="B1" s="514"/>
      <c r="C1" s="515" t="s">
        <v>0</v>
      </c>
      <c r="D1" s="251"/>
      <c r="E1" s="251"/>
      <c r="F1" s="251"/>
      <c r="G1" s="251"/>
      <c r="H1" s="252"/>
      <c r="I1" s="196" t="s">
        <v>1</v>
      </c>
      <c r="J1" s="197" t="s">
        <v>459</v>
      </c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2"/>
      <c r="X1" s="82"/>
      <c r="Y1" s="82"/>
      <c r="Z1" s="82"/>
    </row>
    <row r="2" spans="1:26" ht="24.75" customHeight="1" x14ac:dyDescent="0.45">
      <c r="A2" s="195"/>
      <c r="B2" s="237"/>
      <c r="C2" s="266"/>
      <c r="D2" s="237"/>
      <c r="E2" s="237"/>
      <c r="F2" s="237"/>
      <c r="G2" s="237"/>
      <c r="H2" s="261"/>
      <c r="I2" s="105" t="s">
        <v>3</v>
      </c>
      <c r="J2" s="198">
        <v>1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2"/>
      <c r="X2" s="82"/>
      <c r="Y2" s="82"/>
      <c r="Z2" s="82"/>
    </row>
    <row r="3" spans="1:26" ht="24.75" customHeight="1" x14ac:dyDescent="0.45">
      <c r="A3" s="195"/>
      <c r="B3" s="237"/>
      <c r="C3" s="314"/>
      <c r="D3" s="226"/>
      <c r="E3" s="226"/>
      <c r="F3" s="226"/>
      <c r="G3" s="226"/>
      <c r="H3" s="310"/>
      <c r="I3" s="199" t="s">
        <v>5</v>
      </c>
      <c r="J3" s="199" t="s">
        <v>6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2"/>
      <c r="X3" s="82"/>
      <c r="Y3" s="82"/>
      <c r="Z3" s="82"/>
    </row>
    <row r="4" spans="1:26" ht="24.75" customHeight="1" x14ac:dyDescent="0.45">
      <c r="A4" s="200"/>
      <c r="B4" s="237"/>
      <c r="C4" s="515" t="s">
        <v>460</v>
      </c>
      <c r="D4" s="251"/>
      <c r="E4" s="251"/>
      <c r="F4" s="251"/>
      <c r="G4" s="251"/>
      <c r="H4" s="252"/>
      <c r="I4" s="516" t="s">
        <v>7</v>
      </c>
      <c r="J4" s="201" t="s">
        <v>8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200"/>
      <c r="B5" s="254"/>
      <c r="C5" s="253"/>
      <c r="D5" s="254"/>
      <c r="E5" s="254"/>
      <c r="F5" s="254"/>
      <c r="G5" s="254"/>
      <c r="H5" s="255"/>
      <c r="I5" s="483"/>
      <c r="J5" s="202" t="s">
        <v>9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7"/>
      <c r="C6" s="97"/>
      <c r="D6" s="97"/>
      <c r="E6" s="97"/>
      <c r="F6" s="97"/>
      <c r="G6" s="97"/>
      <c r="H6" s="97"/>
      <c r="I6" s="97"/>
      <c r="J6" s="126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2"/>
      <c r="C7" s="12"/>
      <c r="D7" s="12"/>
      <c r="E7" s="12"/>
      <c r="F7" s="12"/>
      <c r="G7" s="12"/>
      <c r="H7" s="12"/>
      <c r="I7" s="12"/>
      <c r="J7" s="1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8.75" customHeight="1" x14ac:dyDescent="0.45">
      <c r="A8" s="82"/>
      <c r="B8" s="494"/>
      <c r="C8" s="481" t="s">
        <v>0</v>
      </c>
      <c r="D8" s="146" t="s">
        <v>1</v>
      </c>
      <c r="E8" s="146" t="s">
        <v>459</v>
      </c>
      <c r="F8" s="12"/>
      <c r="G8" s="494"/>
      <c r="H8" s="481" t="s">
        <v>0</v>
      </c>
      <c r="I8" s="146" t="s">
        <v>1</v>
      </c>
      <c r="J8" s="146" t="s">
        <v>459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0.25" customHeight="1" x14ac:dyDescent="0.45">
      <c r="A9" s="82"/>
      <c r="B9" s="266"/>
      <c r="C9" s="482"/>
      <c r="D9" s="147" t="s">
        <v>3</v>
      </c>
      <c r="E9" s="166">
        <v>1</v>
      </c>
      <c r="F9" s="12"/>
      <c r="G9" s="266"/>
      <c r="H9" s="482"/>
      <c r="I9" s="147" t="s">
        <v>3</v>
      </c>
      <c r="J9" s="166">
        <v>1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8" customHeight="1" x14ac:dyDescent="0.45">
      <c r="A10" s="82"/>
      <c r="B10" s="266"/>
      <c r="C10" s="483"/>
      <c r="D10" s="146" t="s">
        <v>5</v>
      </c>
      <c r="E10" s="146" t="s">
        <v>6</v>
      </c>
      <c r="F10" s="12"/>
      <c r="G10" s="266"/>
      <c r="H10" s="483"/>
      <c r="I10" s="146" t="s">
        <v>5</v>
      </c>
      <c r="J10" s="146" t="s">
        <v>6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8.75" customHeight="1" x14ac:dyDescent="0.45">
      <c r="A11" s="82"/>
      <c r="B11" s="266"/>
      <c r="C11" s="481" t="s">
        <v>460</v>
      </c>
      <c r="D11" s="495" t="s">
        <v>7</v>
      </c>
      <c r="E11" s="169" t="s">
        <v>8</v>
      </c>
      <c r="F11" s="12"/>
      <c r="G11" s="266"/>
      <c r="H11" s="481" t="s">
        <v>460</v>
      </c>
      <c r="I11" s="495" t="s">
        <v>7</v>
      </c>
      <c r="J11" s="169" t="s">
        <v>8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" customHeight="1" x14ac:dyDescent="0.45">
      <c r="A12" s="200"/>
      <c r="B12" s="266"/>
      <c r="C12" s="483"/>
      <c r="D12" s="310"/>
      <c r="E12" s="171" t="s">
        <v>9</v>
      </c>
      <c r="F12" s="12"/>
      <c r="G12" s="266"/>
      <c r="H12" s="483"/>
      <c r="I12" s="310"/>
      <c r="J12" s="171" t="s">
        <v>9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36" customHeight="1" x14ac:dyDescent="0.45">
      <c r="A13" s="82"/>
      <c r="B13" s="175" t="s">
        <v>416</v>
      </c>
      <c r="C13" s="498"/>
      <c r="D13" s="251"/>
      <c r="E13" s="252"/>
      <c r="F13" s="174"/>
      <c r="G13" s="175" t="s">
        <v>416</v>
      </c>
      <c r="H13" s="498"/>
      <c r="I13" s="251"/>
      <c r="J13" s="25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21" customHeight="1" x14ac:dyDescent="0.45">
      <c r="A14" s="82"/>
      <c r="B14" s="178" t="s">
        <v>343</v>
      </c>
      <c r="C14" s="499"/>
      <c r="D14" s="216"/>
      <c r="E14" s="217"/>
      <c r="F14" s="174"/>
      <c r="G14" s="178" t="s">
        <v>343</v>
      </c>
      <c r="H14" s="499"/>
      <c r="I14" s="216"/>
      <c r="J14" s="217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33" customHeight="1" x14ac:dyDescent="0.45">
      <c r="A15" s="82"/>
      <c r="B15" s="175" t="s">
        <v>461</v>
      </c>
      <c r="C15" s="499"/>
      <c r="D15" s="216"/>
      <c r="E15" s="217"/>
      <c r="F15" s="174"/>
      <c r="G15" s="175" t="s">
        <v>461</v>
      </c>
      <c r="H15" s="499"/>
      <c r="I15" s="216"/>
      <c r="J15" s="217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32.25" customHeight="1" x14ac:dyDescent="0.45">
      <c r="A16" s="82"/>
      <c r="B16" s="178" t="s">
        <v>462</v>
      </c>
      <c r="C16" s="203"/>
      <c r="D16" s="203" t="s">
        <v>463</v>
      </c>
      <c r="E16" s="204"/>
      <c r="F16" s="181"/>
      <c r="G16" s="178" t="s">
        <v>462</v>
      </c>
      <c r="H16" s="203"/>
      <c r="I16" s="203" t="s">
        <v>463</v>
      </c>
      <c r="J16" s="204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5.75" customHeight="1" x14ac:dyDescent="0.45">
      <c r="A17" s="82"/>
      <c r="B17" s="497" t="s">
        <v>31</v>
      </c>
      <c r="C17" s="496"/>
      <c r="D17" s="251"/>
      <c r="E17" s="252"/>
      <c r="F17" s="181"/>
      <c r="G17" s="497" t="s">
        <v>31</v>
      </c>
      <c r="H17" s="496"/>
      <c r="I17" s="251"/>
      <c r="J17" s="25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5" customHeight="1" x14ac:dyDescent="0.45">
      <c r="A18" s="82"/>
      <c r="B18" s="482"/>
      <c r="C18" s="266"/>
      <c r="D18" s="237"/>
      <c r="E18" s="261"/>
      <c r="F18" s="174"/>
      <c r="G18" s="482"/>
      <c r="H18" s="266"/>
      <c r="I18" s="237"/>
      <c r="J18" s="261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75" customHeight="1" x14ac:dyDescent="0.45">
      <c r="A19" s="82"/>
      <c r="B19" s="482"/>
      <c r="C19" s="266"/>
      <c r="D19" s="237"/>
      <c r="E19" s="261"/>
      <c r="F19" s="174"/>
      <c r="G19" s="482"/>
      <c r="H19" s="266"/>
      <c r="I19" s="237"/>
      <c r="J19" s="261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5.75" customHeight="1" x14ac:dyDescent="0.45">
      <c r="A20" s="82"/>
      <c r="B20" s="482"/>
      <c r="C20" s="266"/>
      <c r="D20" s="237"/>
      <c r="E20" s="261"/>
      <c r="F20" s="174"/>
      <c r="G20" s="483"/>
      <c r="H20" s="253"/>
      <c r="I20" s="254"/>
      <c r="J20" s="255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21" customHeight="1" x14ac:dyDescent="0.45">
      <c r="A21" s="82"/>
      <c r="B21" s="35" t="s">
        <v>86</v>
      </c>
      <c r="C21" s="503"/>
      <c r="D21" s="216"/>
      <c r="E21" s="217"/>
      <c r="F21" s="12"/>
      <c r="G21" s="35" t="s">
        <v>86</v>
      </c>
      <c r="H21" s="503"/>
      <c r="I21" s="216"/>
      <c r="J21" s="217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21.75" customHeight="1" x14ac:dyDescent="0.45">
      <c r="A22" s="82"/>
      <c r="B22" s="183" t="s">
        <v>87</v>
      </c>
      <c r="C22" s="139"/>
      <c r="D22" s="205" t="s">
        <v>67</v>
      </c>
      <c r="E22" s="206"/>
      <c r="F22" s="12"/>
      <c r="G22" s="183" t="s">
        <v>87</v>
      </c>
      <c r="H22" s="139"/>
      <c r="I22" s="205" t="s">
        <v>67</v>
      </c>
      <c r="J22" s="206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45">
      <c r="A23" s="82"/>
      <c r="B23" s="12"/>
      <c r="C23" s="12"/>
      <c r="D23" s="12"/>
      <c r="E23" s="12"/>
      <c r="F23" s="12"/>
      <c r="G23" s="12"/>
      <c r="H23" s="12"/>
      <c r="I23" s="12"/>
      <c r="J23" s="1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45">
      <c r="A24" s="82"/>
      <c r="B24" s="494"/>
      <c r="C24" s="481" t="s">
        <v>0</v>
      </c>
      <c r="D24" s="146" t="s">
        <v>1</v>
      </c>
      <c r="E24" s="146" t="s">
        <v>459</v>
      </c>
      <c r="F24" s="12"/>
      <c r="G24" s="494"/>
      <c r="H24" s="481" t="s">
        <v>0</v>
      </c>
      <c r="I24" s="146" t="s">
        <v>1</v>
      </c>
      <c r="J24" s="146" t="s">
        <v>459</v>
      </c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266"/>
      <c r="C25" s="482"/>
      <c r="D25" s="147" t="s">
        <v>3</v>
      </c>
      <c r="E25" s="166">
        <v>1</v>
      </c>
      <c r="F25" s="12"/>
      <c r="G25" s="266"/>
      <c r="H25" s="482"/>
      <c r="I25" s="147" t="s">
        <v>3</v>
      </c>
      <c r="J25" s="166">
        <v>1</v>
      </c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 x14ac:dyDescent="0.45">
      <c r="A26" s="82"/>
      <c r="B26" s="266"/>
      <c r="C26" s="483"/>
      <c r="D26" s="146" t="s">
        <v>5</v>
      </c>
      <c r="E26" s="146" t="s">
        <v>6</v>
      </c>
      <c r="F26" s="12"/>
      <c r="G26" s="266"/>
      <c r="H26" s="483"/>
      <c r="I26" s="146" t="s">
        <v>5</v>
      </c>
      <c r="J26" s="146" t="s">
        <v>6</v>
      </c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 x14ac:dyDescent="0.45">
      <c r="A27" s="82"/>
      <c r="B27" s="266"/>
      <c r="C27" s="481" t="s">
        <v>460</v>
      </c>
      <c r="D27" s="495" t="s">
        <v>7</v>
      </c>
      <c r="E27" s="169" t="s">
        <v>8</v>
      </c>
      <c r="F27" s="12"/>
      <c r="G27" s="266"/>
      <c r="H27" s="481" t="s">
        <v>460</v>
      </c>
      <c r="I27" s="495" t="s">
        <v>7</v>
      </c>
      <c r="J27" s="169" t="s">
        <v>8</v>
      </c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5.75" customHeight="1" x14ac:dyDescent="0.45">
      <c r="A28" s="82"/>
      <c r="B28" s="266"/>
      <c r="C28" s="483"/>
      <c r="D28" s="310"/>
      <c r="E28" s="171" t="s">
        <v>9</v>
      </c>
      <c r="F28" s="12"/>
      <c r="G28" s="266"/>
      <c r="H28" s="483"/>
      <c r="I28" s="310"/>
      <c r="J28" s="171" t="s">
        <v>9</v>
      </c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34.5" customHeight="1" x14ac:dyDescent="0.45">
      <c r="A29" s="82"/>
      <c r="B29" s="175" t="s">
        <v>416</v>
      </c>
      <c r="C29" s="498"/>
      <c r="D29" s="251"/>
      <c r="E29" s="252"/>
      <c r="F29" s="174"/>
      <c r="G29" s="175" t="s">
        <v>416</v>
      </c>
      <c r="H29" s="498"/>
      <c r="I29" s="251"/>
      <c r="J29" s="25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27" customHeight="1" x14ac:dyDescent="0.45">
      <c r="A30" s="82"/>
      <c r="B30" s="178" t="s">
        <v>343</v>
      </c>
      <c r="C30" s="499"/>
      <c r="D30" s="216"/>
      <c r="E30" s="217"/>
      <c r="F30" s="174"/>
      <c r="G30" s="178" t="s">
        <v>343</v>
      </c>
      <c r="H30" s="499"/>
      <c r="I30" s="216"/>
      <c r="J30" s="217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36" customHeight="1" x14ac:dyDescent="0.45">
      <c r="A31" s="82"/>
      <c r="B31" s="175" t="s">
        <v>461</v>
      </c>
      <c r="C31" s="499"/>
      <c r="D31" s="216"/>
      <c r="E31" s="217"/>
      <c r="F31" s="174"/>
      <c r="G31" s="175" t="s">
        <v>461</v>
      </c>
      <c r="H31" s="499"/>
      <c r="I31" s="216"/>
      <c r="J31" s="217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42.75" customHeight="1" x14ac:dyDescent="0.45">
      <c r="A32" s="82"/>
      <c r="B32" s="178" t="s">
        <v>462</v>
      </c>
      <c r="C32" s="203"/>
      <c r="D32" s="207" t="s">
        <v>463</v>
      </c>
      <c r="E32" s="204"/>
      <c r="F32" s="181"/>
      <c r="G32" s="178" t="s">
        <v>462</v>
      </c>
      <c r="H32" s="203"/>
      <c r="I32" s="207" t="s">
        <v>463</v>
      </c>
      <c r="J32" s="204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497" t="s">
        <v>31</v>
      </c>
      <c r="C33" s="496"/>
      <c r="D33" s="251"/>
      <c r="E33" s="252"/>
      <c r="F33" s="181"/>
      <c r="G33" s="497" t="s">
        <v>31</v>
      </c>
      <c r="H33" s="496"/>
      <c r="I33" s="251"/>
      <c r="J33" s="25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482"/>
      <c r="C34" s="266"/>
      <c r="D34" s="237"/>
      <c r="E34" s="261"/>
      <c r="F34" s="174"/>
      <c r="G34" s="482"/>
      <c r="H34" s="266"/>
      <c r="I34" s="237"/>
      <c r="J34" s="261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482"/>
      <c r="C35" s="266"/>
      <c r="D35" s="237"/>
      <c r="E35" s="261"/>
      <c r="F35" s="174"/>
      <c r="G35" s="482"/>
      <c r="H35" s="266"/>
      <c r="I35" s="237"/>
      <c r="J35" s="261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482"/>
      <c r="C36" s="266"/>
      <c r="D36" s="237"/>
      <c r="E36" s="261"/>
      <c r="F36" s="174"/>
      <c r="G36" s="483"/>
      <c r="H36" s="253"/>
      <c r="I36" s="254"/>
      <c r="J36" s="255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23.25" customHeight="1" x14ac:dyDescent="0.45">
      <c r="A37" s="82"/>
      <c r="B37" s="35" t="s">
        <v>86</v>
      </c>
      <c r="C37" s="503"/>
      <c r="D37" s="216"/>
      <c r="E37" s="217"/>
      <c r="F37" s="12"/>
      <c r="G37" s="35" t="s">
        <v>86</v>
      </c>
      <c r="H37" s="503"/>
      <c r="I37" s="216"/>
      <c r="J37" s="217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21" customHeight="1" x14ac:dyDescent="0.45">
      <c r="A38" s="82"/>
      <c r="B38" s="183" t="s">
        <v>87</v>
      </c>
      <c r="C38" s="139"/>
      <c r="D38" s="205" t="s">
        <v>67</v>
      </c>
      <c r="E38" s="206"/>
      <c r="F38" s="12"/>
      <c r="G38" s="183" t="s">
        <v>87</v>
      </c>
      <c r="H38" s="139"/>
      <c r="I38" s="205" t="s">
        <v>67</v>
      </c>
      <c r="J38" s="206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2"/>
      <c r="C39" s="12"/>
      <c r="D39" s="12"/>
      <c r="E39" s="12"/>
      <c r="F39" s="12"/>
      <c r="G39" s="12"/>
      <c r="H39" s="12"/>
      <c r="I39" s="12"/>
      <c r="J39" s="1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494"/>
      <c r="C40" s="481" t="s">
        <v>0</v>
      </c>
      <c r="D40" s="146" t="s">
        <v>1</v>
      </c>
      <c r="E40" s="146" t="s">
        <v>459</v>
      </c>
      <c r="F40" s="12"/>
      <c r="G40" s="494"/>
      <c r="H40" s="481" t="s">
        <v>0</v>
      </c>
      <c r="I40" s="146" t="s">
        <v>1</v>
      </c>
      <c r="J40" s="146" t="s">
        <v>459</v>
      </c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266"/>
      <c r="C41" s="482"/>
      <c r="D41" s="147" t="s">
        <v>3</v>
      </c>
      <c r="E41" s="166">
        <v>1</v>
      </c>
      <c r="F41" s="12"/>
      <c r="G41" s="266"/>
      <c r="H41" s="482"/>
      <c r="I41" s="147" t="s">
        <v>3</v>
      </c>
      <c r="J41" s="166">
        <v>1</v>
      </c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266"/>
      <c r="C42" s="483"/>
      <c r="D42" s="146" t="s">
        <v>5</v>
      </c>
      <c r="E42" s="146" t="s">
        <v>6</v>
      </c>
      <c r="F42" s="12"/>
      <c r="G42" s="266"/>
      <c r="H42" s="483"/>
      <c r="I42" s="146" t="s">
        <v>5</v>
      </c>
      <c r="J42" s="146" t="s">
        <v>6</v>
      </c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266"/>
      <c r="C43" s="481" t="s">
        <v>460</v>
      </c>
      <c r="D43" s="495" t="s">
        <v>7</v>
      </c>
      <c r="E43" s="169" t="s">
        <v>8</v>
      </c>
      <c r="F43" s="12"/>
      <c r="G43" s="266"/>
      <c r="H43" s="481" t="s">
        <v>460</v>
      </c>
      <c r="I43" s="495" t="s">
        <v>7</v>
      </c>
      <c r="J43" s="169" t="s">
        <v>8</v>
      </c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266"/>
      <c r="C44" s="483"/>
      <c r="D44" s="310"/>
      <c r="E44" s="171" t="s">
        <v>9</v>
      </c>
      <c r="F44" s="12"/>
      <c r="G44" s="266"/>
      <c r="H44" s="483"/>
      <c r="I44" s="310"/>
      <c r="J44" s="171" t="s">
        <v>9</v>
      </c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24.75" customHeight="1" x14ac:dyDescent="0.45">
      <c r="A45" s="82"/>
      <c r="B45" s="175" t="s">
        <v>416</v>
      </c>
      <c r="C45" s="498"/>
      <c r="D45" s="251"/>
      <c r="E45" s="252"/>
      <c r="F45" s="174"/>
      <c r="G45" s="175" t="s">
        <v>416</v>
      </c>
      <c r="H45" s="498"/>
      <c r="I45" s="251"/>
      <c r="J45" s="25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22.5" customHeight="1" x14ac:dyDescent="0.45">
      <c r="A46" s="82"/>
      <c r="B46" s="178" t="s">
        <v>343</v>
      </c>
      <c r="C46" s="499"/>
      <c r="D46" s="216"/>
      <c r="E46" s="217"/>
      <c r="F46" s="174"/>
      <c r="G46" s="178" t="s">
        <v>343</v>
      </c>
      <c r="H46" s="499"/>
      <c r="I46" s="216"/>
      <c r="J46" s="217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34.5" customHeight="1" x14ac:dyDescent="0.45">
      <c r="A47" s="82"/>
      <c r="B47" s="175" t="s">
        <v>461</v>
      </c>
      <c r="C47" s="499"/>
      <c r="D47" s="216"/>
      <c r="E47" s="217"/>
      <c r="F47" s="174"/>
      <c r="G47" s="175" t="s">
        <v>461</v>
      </c>
      <c r="H47" s="499"/>
      <c r="I47" s="216"/>
      <c r="J47" s="217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38.25" customHeight="1" x14ac:dyDescent="0.45">
      <c r="A48" s="82"/>
      <c r="B48" s="178" t="s">
        <v>462</v>
      </c>
      <c r="C48" s="203"/>
      <c r="D48" s="203" t="s">
        <v>463</v>
      </c>
      <c r="E48" s="204"/>
      <c r="F48" s="181"/>
      <c r="G48" s="178" t="s">
        <v>462</v>
      </c>
      <c r="H48" s="203"/>
      <c r="I48" s="203" t="s">
        <v>463</v>
      </c>
      <c r="J48" s="204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497" t="s">
        <v>31</v>
      </c>
      <c r="C49" s="496"/>
      <c r="D49" s="251"/>
      <c r="E49" s="252"/>
      <c r="F49" s="181"/>
      <c r="G49" s="497" t="s">
        <v>31</v>
      </c>
      <c r="H49" s="496"/>
      <c r="I49" s="251"/>
      <c r="J49" s="25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482"/>
      <c r="C50" s="266"/>
      <c r="D50" s="237"/>
      <c r="E50" s="261"/>
      <c r="F50" s="174"/>
      <c r="G50" s="482"/>
      <c r="H50" s="266"/>
      <c r="I50" s="237"/>
      <c r="J50" s="261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482"/>
      <c r="C51" s="266"/>
      <c r="D51" s="237"/>
      <c r="E51" s="261"/>
      <c r="F51" s="174"/>
      <c r="G51" s="482"/>
      <c r="H51" s="266"/>
      <c r="I51" s="237"/>
      <c r="J51" s="261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482"/>
      <c r="C52" s="266"/>
      <c r="D52" s="237"/>
      <c r="E52" s="261"/>
      <c r="F52" s="174"/>
      <c r="G52" s="483"/>
      <c r="H52" s="253"/>
      <c r="I52" s="254"/>
      <c r="J52" s="255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22.5" customHeight="1" x14ac:dyDescent="0.45">
      <c r="A53" s="82"/>
      <c r="B53" s="35" t="s">
        <v>86</v>
      </c>
      <c r="C53" s="503"/>
      <c r="D53" s="216"/>
      <c r="E53" s="217"/>
      <c r="F53" s="12"/>
      <c r="G53" s="35" t="s">
        <v>86</v>
      </c>
      <c r="H53" s="503"/>
      <c r="I53" s="216"/>
      <c r="J53" s="217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24" customHeight="1" x14ac:dyDescent="0.45">
      <c r="A54" s="82"/>
      <c r="B54" s="183" t="s">
        <v>87</v>
      </c>
      <c r="C54" s="139"/>
      <c r="D54" s="205" t="s">
        <v>67</v>
      </c>
      <c r="E54" s="206"/>
      <c r="F54" s="12"/>
      <c r="G54" s="183" t="s">
        <v>87</v>
      </c>
      <c r="H54" s="139"/>
      <c r="I54" s="205" t="s">
        <v>67</v>
      </c>
      <c r="J54" s="206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2"/>
      <c r="C55" s="12"/>
      <c r="D55" s="12"/>
      <c r="E55" s="12"/>
      <c r="F55" s="12"/>
      <c r="G55" s="12"/>
      <c r="H55" s="12"/>
      <c r="I55" s="12"/>
      <c r="J55" s="1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494"/>
      <c r="C56" s="481" t="s">
        <v>0</v>
      </c>
      <c r="D56" s="146" t="s">
        <v>1</v>
      </c>
      <c r="E56" s="146" t="s">
        <v>459</v>
      </c>
      <c r="F56" s="12"/>
      <c r="G56" s="494"/>
      <c r="H56" s="481" t="s">
        <v>0</v>
      </c>
      <c r="I56" s="146" t="s">
        <v>1</v>
      </c>
      <c r="J56" s="146" t="s">
        <v>459</v>
      </c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266"/>
      <c r="C57" s="482"/>
      <c r="D57" s="147" t="s">
        <v>3</v>
      </c>
      <c r="E57" s="166">
        <v>1</v>
      </c>
      <c r="F57" s="12"/>
      <c r="G57" s="266"/>
      <c r="H57" s="482"/>
      <c r="I57" s="147" t="s">
        <v>3</v>
      </c>
      <c r="J57" s="166">
        <v>1</v>
      </c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266"/>
      <c r="C58" s="483"/>
      <c r="D58" s="146" t="s">
        <v>5</v>
      </c>
      <c r="E58" s="146" t="s">
        <v>6</v>
      </c>
      <c r="F58" s="12"/>
      <c r="G58" s="266"/>
      <c r="H58" s="483"/>
      <c r="I58" s="146" t="s">
        <v>5</v>
      </c>
      <c r="J58" s="146" t="s">
        <v>6</v>
      </c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266"/>
      <c r="C59" s="481" t="s">
        <v>460</v>
      </c>
      <c r="D59" s="495" t="s">
        <v>7</v>
      </c>
      <c r="E59" s="169" t="s">
        <v>8</v>
      </c>
      <c r="F59" s="12"/>
      <c r="G59" s="266"/>
      <c r="H59" s="481" t="s">
        <v>460</v>
      </c>
      <c r="I59" s="495" t="s">
        <v>7</v>
      </c>
      <c r="J59" s="169" t="s">
        <v>8</v>
      </c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266"/>
      <c r="C60" s="483"/>
      <c r="D60" s="310"/>
      <c r="E60" s="171" t="s">
        <v>9</v>
      </c>
      <c r="F60" s="12"/>
      <c r="G60" s="266"/>
      <c r="H60" s="483"/>
      <c r="I60" s="310"/>
      <c r="J60" s="171" t="s">
        <v>9</v>
      </c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33" customHeight="1" x14ac:dyDescent="0.45">
      <c r="A61" s="82"/>
      <c r="B61" s="175" t="s">
        <v>416</v>
      </c>
      <c r="C61" s="498"/>
      <c r="D61" s="251"/>
      <c r="E61" s="252"/>
      <c r="F61" s="174"/>
      <c r="G61" s="175" t="s">
        <v>416</v>
      </c>
      <c r="H61" s="498"/>
      <c r="I61" s="251"/>
      <c r="J61" s="25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33" customHeight="1" x14ac:dyDescent="0.45">
      <c r="A62" s="82"/>
      <c r="B62" s="178" t="s">
        <v>343</v>
      </c>
      <c r="C62" s="499"/>
      <c r="D62" s="216"/>
      <c r="E62" s="217"/>
      <c r="F62" s="174"/>
      <c r="G62" s="178" t="s">
        <v>343</v>
      </c>
      <c r="H62" s="499"/>
      <c r="I62" s="216"/>
      <c r="J62" s="217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45" customHeight="1" x14ac:dyDescent="0.45">
      <c r="A63" s="82"/>
      <c r="B63" s="175" t="s">
        <v>461</v>
      </c>
      <c r="C63" s="499"/>
      <c r="D63" s="216"/>
      <c r="E63" s="217"/>
      <c r="F63" s="174"/>
      <c r="G63" s="175" t="s">
        <v>461</v>
      </c>
      <c r="H63" s="499"/>
      <c r="I63" s="216"/>
      <c r="J63" s="217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36" customHeight="1" x14ac:dyDescent="0.45">
      <c r="A64" s="82"/>
      <c r="B64" s="178" t="s">
        <v>462</v>
      </c>
      <c r="C64" s="203"/>
      <c r="D64" s="203" t="s">
        <v>463</v>
      </c>
      <c r="E64" s="204"/>
      <c r="F64" s="181"/>
      <c r="G64" s="178" t="s">
        <v>462</v>
      </c>
      <c r="H64" s="203"/>
      <c r="I64" s="203" t="s">
        <v>463</v>
      </c>
      <c r="J64" s="204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497" t="s">
        <v>31</v>
      </c>
      <c r="C65" s="496"/>
      <c r="D65" s="251"/>
      <c r="E65" s="252"/>
      <c r="F65" s="181"/>
      <c r="G65" s="497" t="s">
        <v>31</v>
      </c>
      <c r="H65" s="496"/>
      <c r="I65" s="251"/>
      <c r="J65" s="25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482"/>
      <c r="C66" s="266"/>
      <c r="D66" s="237"/>
      <c r="E66" s="261"/>
      <c r="F66" s="174"/>
      <c r="G66" s="482"/>
      <c r="H66" s="266"/>
      <c r="I66" s="237"/>
      <c r="J66" s="261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482"/>
      <c r="C67" s="266"/>
      <c r="D67" s="237"/>
      <c r="E67" s="261"/>
      <c r="F67" s="174"/>
      <c r="G67" s="482"/>
      <c r="H67" s="266"/>
      <c r="I67" s="237"/>
      <c r="J67" s="261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482"/>
      <c r="C68" s="266"/>
      <c r="D68" s="237"/>
      <c r="E68" s="261"/>
      <c r="F68" s="174"/>
      <c r="G68" s="483"/>
      <c r="H68" s="253"/>
      <c r="I68" s="254"/>
      <c r="J68" s="255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24" customHeight="1" x14ac:dyDescent="0.45">
      <c r="A69" s="82"/>
      <c r="B69" s="35" t="s">
        <v>86</v>
      </c>
      <c r="C69" s="503"/>
      <c r="D69" s="216"/>
      <c r="E69" s="217"/>
      <c r="F69" s="12"/>
      <c r="G69" s="35" t="s">
        <v>86</v>
      </c>
      <c r="H69" s="503"/>
      <c r="I69" s="216"/>
      <c r="J69" s="217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23.25" customHeight="1" x14ac:dyDescent="0.45">
      <c r="A70" s="82"/>
      <c r="B70" s="183" t="s">
        <v>87</v>
      </c>
      <c r="C70" s="139"/>
      <c r="D70" s="205" t="s">
        <v>67</v>
      </c>
      <c r="E70" s="206"/>
      <c r="F70" s="12"/>
      <c r="G70" s="183" t="s">
        <v>87</v>
      </c>
      <c r="H70" s="139"/>
      <c r="I70" s="205" t="s">
        <v>67</v>
      </c>
      <c r="J70" s="206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2"/>
      <c r="C71" s="12"/>
      <c r="D71" s="12"/>
      <c r="E71" s="12"/>
      <c r="F71" s="12"/>
      <c r="G71" s="12"/>
      <c r="H71" s="12"/>
      <c r="I71" s="12"/>
      <c r="J71" s="1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2"/>
      <c r="C72" s="12"/>
      <c r="D72" s="12"/>
      <c r="E72" s="12"/>
      <c r="F72" s="12"/>
      <c r="G72" s="12"/>
      <c r="H72" s="12"/>
      <c r="I72" s="12"/>
      <c r="J72" s="1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2"/>
      <c r="C73" s="12"/>
      <c r="D73" s="12"/>
      <c r="E73" s="12"/>
      <c r="F73" s="12"/>
      <c r="G73" s="12"/>
      <c r="H73" s="12"/>
      <c r="I73" s="12"/>
      <c r="J73" s="1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2"/>
      <c r="C74" s="12"/>
      <c r="D74" s="12"/>
      <c r="E74" s="12"/>
      <c r="F74" s="12"/>
      <c r="G74" s="12"/>
      <c r="H74" s="12"/>
      <c r="I74" s="12"/>
      <c r="J74" s="1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2"/>
      <c r="C75" s="12"/>
      <c r="D75" s="12"/>
      <c r="E75" s="12"/>
      <c r="F75" s="12"/>
      <c r="G75" s="12"/>
      <c r="H75" s="12"/>
      <c r="I75" s="12"/>
      <c r="J75" s="1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2"/>
      <c r="C76" s="12"/>
      <c r="D76" s="12"/>
      <c r="E76" s="12"/>
      <c r="F76" s="12"/>
      <c r="G76" s="12"/>
      <c r="H76" s="12"/>
      <c r="I76" s="12"/>
      <c r="J76" s="1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2"/>
      <c r="C77" s="12"/>
      <c r="D77" s="12"/>
      <c r="E77" s="12"/>
      <c r="F77" s="12"/>
      <c r="G77" s="12"/>
      <c r="H77" s="12"/>
      <c r="I77" s="12"/>
      <c r="J77" s="1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2"/>
      <c r="C78" s="12"/>
      <c r="D78" s="12"/>
      <c r="E78" s="12"/>
      <c r="F78" s="12"/>
      <c r="G78" s="12"/>
      <c r="H78" s="12"/>
      <c r="I78" s="12"/>
      <c r="J78" s="1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2"/>
      <c r="C79" s="12"/>
      <c r="D79" s="12"/>
      <c r="E79" s="12"/>
      <c r="F79" s="12"/>
      <c r="G79" s="12"/>
      <c r="H79" s="12"/>
      <c r="I79" s="12"/>
      <c r="J79" s="1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2"/>
      <c r="C80" s="12"/>
      <c r="D80" s="12"/>
      <c r="E80" s="12"/>
      <c r="F80" s="12"/>
      <c r="G80" s="12"/>
      <c r="H80" s="12"/>
      <c r="I80" s="12"/>
      <c r="J80" s="1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2"/>
      <c r="C81" s="12"/>
      <c r="D81" s="12"/>
      <c r="E81" s="12"/>
      <c r="F81" s="12"/>
      <c r="G81" s="12"/>
      <c r="H81" s="12"/>
      <c r="I81" s="12"/>
      <c r="J81" s="1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2"/>
      <c r="C82" s="12"/>
      <c r="D82" s="12"/>
      <c r="E82" s="12"/>
      <c r="F82" s="12"/>
      <c r="G82" s="12"/>
      <c r="H82" s="12"/>
      <c r="I82" s="12"/>
      <c r="J82" s="1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2"/>
      <c r="C83" s="12"/>
      <c r="D83" s="12"/>
      <c r="E83" s="12"/>
      <c r="F83" s="12"/>
      <c r="G83" s="12"/>
      <c r="H83" s="12"/>
      <c r="I83" s="12"/>
      <c r="J83" s="1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2"/>
      <c r="C84" s="12"/>
      <c r="D84" s="12"/>
      <c r="E84" s="12"/>
      <c r="F84" s="12"/>
      <c r="G84" s="12"/>
      <c r="H84" s="12"/>
      <c r="I84" s="12"/>
      <c r="J84" s="1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2"/>
      <c r="C85" s="12"/>
      <c r="D85" s="12"/>
      <c r="E85" s="12"/>
      <c r="F85" s="12"/>
      <c r="G85" s="12"/>
      <c r="H85" s="12"/>
      <c r="I85" s="12"/>
      <c r="J85" s="1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2"/>
      <c r="C86" s="12"/>
      <c r="D86" s="12"/>
      <c r="E86" s="12"/>
      <c r="F86" s="12"/>
      <c r="G86" s="12"/>
      <c r="H86" s="12"/>
      <c r="I86" s="12"/>
      <c r="J86" s="1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2"/>
      <c r="C87" s="12"/>
      <c r="D87" s="12"/>
      <c r="E87" s="12"/>
      <c r="F87" s="12"/>
      <c r="G87" s="12"/>
      <c r="H87" s="12"/>
      <c r="I87" s="12"/>
      <c r="J87" s="1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2"/>
      <c r="C88" s="12"/>
      <c r="D88" s="12"/>
      <c r="E88" s="12"/>
      <c r="F88" s="12"/>
      <c r="G88" s="12"/>
      <c r="H88" s="12"/>
      <c r="I88" s="12"/>
      <c r="J88" s="1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2"/>
      <c r="C89" s="12"/>
      <c r="D89" s="12"/>
      <c r="E89" s="12"/>
      <c r="F89" s="12"/>
      <c r="G89" s="12"/>
      <c r="H89" s="12"/>
      <c r="I89" s="12"/>
      <c r="J89" s="1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2"/>
      <c r="C90" s="12"/>
      <c r="D90" s="12"/>
      <c r="E90" s="12"/>
      <c r="F90" s="12"/>
      <c r="G90" s="12"/>
      <c r="H90" s="12"/>
      <c r="I90" s="12"/>
      <c r="J90" s="1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2"/>
      <c r="C91" s="12"/>
      <c r="D91" s="12"/>
      <c r="E91" s="12"/>
      <c r="F91" s="12"/>
      <c r="G91" s="12"/>
      <c r="H91" s="12"/>
      <c r="I91" s="12"/>
      <c r="J91" s="1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2"/>
      <c r="C92" s="12"/>
      <c r="D92" s="12"/>
      <c r="E92" s="12"/>
      <c r="F92" s="12"/>
      <c r="G92" s="12"/>
      <c r="H92" s="12"/>
      <c r="I92" s="12"/>
      <c r="J92" s="1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2"/>
      <c r="C93" s="12"/>
      <c r="D93" s="12"/>
      <c r="E93" s="12"/>
      <c r="F93" s="12"/>
      <c r="G93" s="12"/>
      <c r="H93" s="12"/>
      <c r="I93" s="12"/>
      <c r="J93" s="1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2"/>
      <c r="C94" s="12"/>
      <c r="D94" s="12"/>
      <c r="E94" s="12"/>
      <c r="F94" s="12"/>
      <c r="G94" s="12"/>
      <c r="H94" s="12"/>
      <c r="I94" s="12"/>
      <c r="J94" s="1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2"/>
      <c r="C95" s="12"/>
      <c r="D95" s="12"/>
      <c r="E95" s="12"/>
      <c r="F95" s="12"/>
      <c r="G95" s="12"/>
      <c r="H95" s="12"/>
      <c r="I95" s="12"/>
      <c r="J95" s="1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2"/>
      <c r="C96" s="12"/>
      <c r="D96" s="12"/>
      <c r="E96" s="12"/>
      <c r="F96" s="12"/>
      <c r="G96" s="12"/>
      <c r="H96" s="12"/>
      <c r="I96" s="12"/>
      <c r="J96" s="1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2"/>
      <c r="C97" s="12"/>
      <c r="D97" s="12"/>
      <c r="E97" s="12"/>
      <c r="F97" s="12"/>
      <c r="G97" s="12"/>
      <c r="H97" s="12"/>
      <c r="I97" s="12"/>
      <c r="J97" s="1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2"/>
      <c r="C98" s="12"/>
      <c r="D98" s="12"/>
      <c r="E98" s="12"/>
      <c r="F98" s="12"/>
      <c r="G98" s="12"/>
      <c r="H98" s="12"/>
      <c r="I98" s="12"/>
      <c r="J98" s="1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2"/>
      <c r="C99" s="12"/>
      <c r="D99" s="12"/>
      <c r="E99" s="12"/>
      <c r="F99" s="12"/>
      <c r="G99" s="12"/>
      <c r="H99" s="12"/>
      <c r="I99" s="12"/>
      <c r="J99" s="1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2"/>
      <c r="C100" s="12"/>
      <c r="D100" s="12"/>
      <c r="E100" s="12"/>
      <c r="F100" s="12"/>
      <c r="G100" s="12"/>
      <c r="H100" s="12"/>
      <c r="I100" s="12"/>
      <c r="J100" s="1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2"/>
      <c r="C101" s="12"/>
      <c r="D101" s="12"/>
      <c r="E101" s="12"/>
      <c r="F101" s="12"/>
      <c r="G101" s="12"/>
      <c r="H101" s="12"/>
      <c r="I101" s="12"/>
      <c r="J101" s="1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2"/>
      <c r="C102" s="12"/>
      <c r="D102" s="12"/>
      <c r="E102" s="12"/>
      <c r="F102" s="12"/>
      <c r="G102" s="12"/>
      <c r="H102" s="12"/>
      <c r="I102" s="12"/>
      <c r="J102" s="1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2"/>
      <c r="C103" s="12"/>
      <c r="D103" s="12"/>
      <c r="E103" s="12"/>
      <c r="F103" s="12"/>
      <c r="G103" s="12"/>
      <c r="H103" s="12"/>
      <c r="I103" s="12"/>
      <c r="J103" s="1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2"/>
      <c r="C104" s="12"/>
      <c r="D104" s="12"/>
      <c r="E104" s="12"/>
      <c r="F104" s="12"/>
      <c r="G104" s="12"/>
      <c r="H104" s="12"/>
      <c r="I104" s="12"/>
      <c r="J104" s="1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2"/>
      <c r="C105" s="12"/>
      <c r="D105" s="12"/>
      <c r="E105" s="12"/>
      <c r="F105" s="12"/>
      <c r="G105" s="12"/>
      <c r="H105" s="12"/>
      <c r="I105" s="12"/>
      <c r="J105" s="1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2"/>
      <c r="C106" s="12"/>
      <c r="D106" s="12"/>
      <c r="E106" s="12"/>
      <c r="F106" s="12"/>
      <c r="G106" s="12"/>
      <c r="H106" s="12"/>
      <c r="I106" s="12"/>
      <c r="J106" s="1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2"/>
      <c r="C107" s="12"/>
      <c r="D107" s="12"/>
      <c r="E107" s="12"/>
      <c r="F107" s="12"/>
      <c r="G107" s="12"/>
      <c r="H107" s="12"/>
      <c r="I107" s="12"/>
      <c r="J107" s="1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2"/>
      <c r="C108" s="12"/>
      <c r="D108" s="12"/>
      <c r="E108" s="12"/>
      <c r="F108" s="12"/>
      <c r="G108" s="12"/>
      <c r="H108" s="12"/>
      <c r="I108" s="12"/>
      <c r="J108" s="1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2"/>
      <c r="C109" s="12"/>
      <c r="D109" s="12"/>
      <c r="E109" s="12"/>
      <c r="F109" s="12"/>
      <c r="G109" s="12"/>
      <c r="H109" s="12"/>
      <c r="I109" s="12"/>
      <c r="J109" s="1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2"/>
      <c r="C110" s="12"/>
      <c r="D110" s="12"/>
      <c r="E110" s="12"/>
      <c r="F110" s="12"/>
      <c r="G110" s="12"/>
      <c r="H110" s="12"/>
      <c r="I110" s="12"/>
      <c r="J110" s="1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2"/>
      <c r="C111" s="12"/>
      <c r="D111" s="12"/>
      <c r="E111" s="12"/>
      <c r="F111" s="12"/>
      <c r="G111" s="12"/>
      <c r="H111" s="12"/>
      <c r="I111" s="12"/>
      <c r="J111" s="1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2"/>
      <c r="C112" s="12"/>
      <c r="D112" s="12"/>
      <c r="E112" s="12"/>
      <c r="F112" s="12"/>
      <c r="G112" s="12"/>
      <c r="H112" s="12"/>
      <c r="I112" s="12"/>
      <c r="J112" s="1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2"/>
      <c r="C113" s="12"/>
      <c r="D113" s="12"/>
      <c r="E113" s="12"/>
      <c r="F113" s="12"/>
      <c r="G113" s="12"/>
      <c r="H113" s="12"/>
      <c r="I113" s="12"/>
      <c r="J113" s="1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2"/>
      <c r="C114" s="12"/>
      <c r="D114" s="12"/>
      <c r="E114" s="12"/>
      <c r="F114" s="12"/>
      <c r="G114" s="12"/>
      <c r="H114" s="12"/>
      <c r="I114" s="12"/>
      <c r="J114" s="1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2"/>
      <c r="C115" s="12"/>
      <c r="D115" s="12"/>
      <c r="E115" s="12"/>
      <c r="F115" s="12"/>
      <c r="G115" s="12"/>
      <c r="H115" s="12"/>
      <c r="I115" s="12"/>
      <c r="J115" s="1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2"/>
      <c r="C116" s="12"/>
      <c r="D116" s="12"/>
      <c r="E116" s="12"/>
      <c r="F116" s="12"/>
      <c r="G116" s="12"/>
      <c r="H116" s="12"/>
      <c r="I116" s="12"/>
      <c r="J116" s="1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2"/>
      <c r="C117" s="12"/>
      <c r="D117" s="12"/>
      <c r="E117" s="12"/>
      <c r="F117" s="12"/>
      <c r="G117" s="12"/>
      <c r="H117" s="12"/>
      <c r="I117" s="12"/>
      <c r="J117" s="1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2"/>
      <c r="C118" s="12"/>
      <c r="D118" s="12"/>
      <c r="E118" s="12"/>
      <c r="F118" s="12"/>
      <c r="G118" s="12"/>
      <c r="H118" s="12"/>
      <c r="I118" s="12"/>
      <c r="J118" s="1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2"/>
      <c r="C119" s="12"/>
      <c r="D119" s="12"/>
      <c r="E119" s="12"/>
      <c r="F119" s="12"/>
      <c r="G119" s="12"/>
      <c r="H119" s="12"/>
      <c r="I119" s="12"/>
      <c r="J119" s="1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2"/>
      <c r="C120" s="12"/>
      <c r="D120" s="12"/>
      <c r="E120" s="12"/>
      <c r="F120" s="12"/>
      <c r="G120" s="12"/>
      <c r="H120" s="12"/>
      <c r="I120" s="12"/>
      <c r="J120" s="1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2"/>
      <c r="C121" s="12"/>
      <c r="D121" s="12"/>
      <c r="E121" s="12"/>
      <c r="F121" s="12"/>
      <c r="G121" s="12"/>
      <c r="H121" s="12"/>
      <c r="I121" s="12"/>
      <c r="J121" s="1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2"/>
      <c r="C122" s="12"/>
      <c r="D122" s="12"/>
      <c r="E122" s="12"/>
      <c r="F122" s="12"/>
      <c r="G122" s="12"/>
      <c r="H122" s="12"/>
      <c r="I122" s="12"/>
      <c r="J122" s="1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2"/>
      <c r="C123" s="12"/>
      <c r="D123" s="12"/>
      <c r="E123" s="12"/>
      <c r="F123" s="12"/>
      <c r="G123" s="12"/>
      <c r="H123" s="12"/>
      <c r="I123" s="12"/>
      <c r="J123" s="1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2"/>
      <c r="C124" s="12"/>
      <c r="D124" s="12"/>
      <c r="E124" s="12"/>
      <c r="F124" s="12"/>
      <c r="G124" s="12"/>
      <c r="H124" s="12"/>
      <c r="I124" s="12"/>
      <c r="J124" s="1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2"/>
      <c r="C125" s="12"/>
      <c r="D125" s="12"/>
      <c r="E125" s="12"/>
      <c r="F125" s="12"/>
      <c r="G125" s="12"/>
      <c r="H125" s="12"/>
      <c r="I125" s="12"/>
      <c r="J125" s="1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2"/>
      <c r="C126" s="12"/>
      <c r="D126" s="12"/>
      <c r="E126" s="12"/>
      <c r="F126" s="12"/>
      <c r="G126" s="12"/>
      <c r="H126" s="12"/>
      <c r="I126" s="12"/>
      <c r="J126" s="1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2"/>
      <c r="C127" s="12"/>
      <c r="D127" s="12"/>
      <c r="E127" s="12"/>
      <c r="F127" s="12"/>
      <c r="G127" s="12"/>
      <c r="H127" s="12"/>
      <c r="I127" s="12"/>
      <c r="J127" s="1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2"/>
      <c r="C128" s="12"/>
      <c r="D128" s="12"/>
      <c r="E128" s="12"/>
      <c r="F128" s="12"/>
      <c r="G128" s="12"/>
      <c r="H128" s="12"/>
      <c r="I128" s="12"/>
      <c r="J128" s="1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2"/>
      <c r="C129" s="12"/>
      <c r="D129" s="12"/>
      <c r="E129" s="12"/>
      <c r="F129" s="12"/>
      <c r="G129" s="12"/>
      <c r="H129" s="12"/>
      <c r="I129" s="12"/>
      <c r="J129" s="1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2"/>
      <c r="C130" s="12"/>
      <c r="D130" s="12"/>
      <c r="E130" s="12"/>
      <c r="F130" s="12"/>
      <c r="G130" s="12"/>
      <c r="H130" s="12"/>
      <c r="I130" s="12"/>
      <c r="J130" s="1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2"/>
      <c r="C131" s="12"/>
      <c r="D131" s="12"/>
      <c r="E131" s="12"/>
      <c r="F131" s="12"/>
      <c r="G131" s="12"/>
      <c r="H131" s="12"/>
      <c r="I131" s="12"/>
      <c r="J131" s="1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2"/>
      <c r="C132" s="12"/>
      <c r="D132" s="12"/>
      <c r="E132" s="12"/>
      <c r="F132" s="12"/>
      <c r="G132" s="12"/>
      <c r="H132" s="12"/>
      <c r="I132" s="12"/>
      <c r="J132" s="1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2"/>
      <c r="C133" s="12"/>
      <c r="D133" s="12"/>
      <c r="E133" s="12"/>
      <c r="F133" s="12"/>
      <c r="G133" s="12"/>
      <c r="H133" s="12"/>
      <c r="I133" s="12"/>
      <c r="J133" s="1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2"/>
      <c r="C134" s="12"/>
      <c r="D134" s="12"/>
      <c r="E134" s="12"/>
      <c r="F134" s="12"/>
      <c r="G134" s="12"/>
      <c r="H134" s="12"/>
      <c r="I134" s="12"/>
      <c r="J134" s="1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2"/>
      <c r="C135" s="12"/>
      <c r="D135" s="12"/>
      <c r="E135" s="12"/>
      <c r="F135" s="12"/>
      <c r="G135" s="12"/>
      <c r="H135" s="12"/>
      <c r="I135" s="12"/>
      <c r="J135" s="1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2"/>
      <c r="C136" s="12"/>
      <c r="D136" s="12"/>
      <c r="E136" s="12"/>
      <c r="F136" s="12"/>
      <c r="G136" s="12"/>
      <c r="H136" s="12"/>
      <c r="I136" s="12"/>
      <c r="J136" s="1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2"/>
      <c r="C137" s="12"/>
      <c r="D137" s="12"/>
      <c r="E137" s="12"/>
      <c r="F137" s="12"/>
      <c r="G137" s="12"/>
      <c r="H137" s="12"/>
      <c r="I137" s="12"/>
      <c r="J137" s="1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2"/>
      <c r="C138" s="12"/>
      <c r="D138" s="12"/>
      <c r="E138" s="12"/>
      <c r="F138" s="12"/>
      <c r="G138" s="12"/>
      <c r="H138" s="12"/>
      <c r="I138" s="12"/>
      <c r="J138" s="1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2"/>
      <c r="C139" s="12"/>
      <c r="D139" s="12"/>
      <c r="E139" s="12"/>
      <c r="F139" s="12"/>
      <c r="G139" s="12"/>
      <c r="H139" s="12"/>
      <c r="I139" s="12"/>
      <c r="J139" s="1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2"/>
      <c r="C140" s="12"/>
      <c r="D140" s="12"/>
      <c r="E140" s="12"/>
      <c r="F140" s="12"/>
      <c r="G140" s="12"/>
      <c r="H140" s="12"/>
      <c r="I140" s="12"/>
      <c r="J140" s="1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2"/>
      <c r="C141" s="12"/>
      <c r="D141" s="12"/>
      <c r="E141" s="12"/>
      <c r="F141" s="12"/>
      <c r="G141" s="12"/>
      <c r="H141" s="12"/>
      <c r="I141" s="12"/>
      <c r="J141" s="1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2"/>
      <c r="C142" s="12"/>
      <c r="D142" s="12"/>
      <c r="E142" s="12"/>
      <c r="F142" s="12"/>
      <c r="G142" s="12"/>
      <c r="H142" s="12"/>
      <c r="I142" s="12"/>
      <c r="J142" s="1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2"/>
      <c r="C143" s="12"/>
      <c r="D143" s="12"/>
      <c r="E143" s="12"/>
      <c r="F143" s="12"/>
      <c r="G143" s="12"/>
      <c r="H143" s="12"/>
      <c r="I143" s="12"/>
      <c r="J143" s="1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2"/>
      <c r="C144" s="12"/>
      <c r="D144" s="12"/>
      <c r="E144" s="12"/>
      <c r="F144" s="12"/>
      <c r="G144" s="12"/>
      <c r="H144" s="12"/>
      <c r="I144" s="12"/>
      <c r="J144" s="1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2"/>
      <c r="C145" s="12"/>
      <c r="D145" s="12"/>
      <c r="E145" s="12"/>
      <c r="F145" s="12"/>
      <c r="G145" s="12"/>
      <c r="H145" s="12"/>
      <c r="I145" s="12"/>
      <c r="J145" s="1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2"/>
      <c r="C146" s="12"/>
      <c r="D146" s="12"/>
      <c r="E146" s="12"/>
      <c r="F146" s="12"/>
      <c r="G146" s="12"/>
      <c r="H146" s="12"/>
      <c r="I146" s="12"/>
      <c r="J146" s="1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2"/>
      <c r="C147" s="12"/>
      <c r="D147" s="12"/>
      <c r="E147" s="12"/>
      <c r="F147" s="12"/>
      <c r="G147" s="12"/>
      <c r="H147" s="12"/>
      <c r="I147" s="12"/>
      <c r="J147" s="1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2"/>
      <c r="C148" s="12"/>
      <c r="D148" s="12"/>
      <c r="E148" s="12"/>
      <c r="F148" s="12"/>
      <c r="G148" s="12"/>
      <c r="H148" s="12"/>
      <c r="I148" s="12"/>
      <c r="J148" s="1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2"/>
      <c r="C149" s="12"/>
      <c r="D149" s="12"/>
      <c r="E149" s="12"/>
      <c r="F149" s="12"/>
      <c r="G149" s="12"/>
      <c r="H149" s="12"/>
      <c r="I149" s="12"/>
      <c r="J149" s="1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2"/>
      <c r="C150" s="12"/>
      <c r="D150" s="12"/>
      <c r="E150" s="12"/>
      <c r="F150" s="12"/>
      <c r="G150" s="12"/>
      <c r="H150" s="12"/>
      <c r="I150" s="12"/>
      <c r="J150" s="1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2"/>
      <c r="C151" s="12"/>
      <c r="D151" s="12"/>
      <c r="E151" s="12"/>
      <c r="F151" s="12"/>
      <c r="G151" s="12"/>
      <c r="H151" s="12"/>
      <c r="I151" s="12"/>
      <c r="J151" s="1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2"/>
      <c r="C152" s="12"/>
      <c r="D152" s="12"/>
      <c r="E152" s="12"/>
      <c r="F152" s="12"/>
      <c r="G152" s="12"/>
      <c r="H152" s="12"/>
      <c r="I152" s="12"/>
      <c r="J152" s="1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2"/>
      <c r="C153" s="12"/>
      <c r="D153" s="12"/>
      <c r="E153" s="12"/>
      <c r="F153" s="12"/>
      <c r="G153" s="12"/>
      <c r="H153" s="12"/>
      <c r="I153" s="12"/>
      <c r="J153" s="1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2"/>
      <c r="C154" s="12"/>
      <c r="D154" s="12"/>
      <c r="E154" s="12"/>
      <c r="F154" s="12"/>
      <c r="G154" s="12"/>
      <c r="H154" s="12"/>
      <c r="I154" s="12"/>
      <c r="J154" s="1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2"/>
      <c r="C155" s="12"/>
      <c r="D155" s="12"/>
      <c r="E155" s="12"/>
      <c r="F155" s="12"/>
      <c r="G155" s="12"/>
      <c r="H155" s="12"/>
      <c r="I155" s="12"/>
      <c r="J155" s="1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2"/>
      <c r="C156" s="12"/>
      <c r="D156" s="12"/>
      <c r="E156" s="12"/>
      <c r="F156" s="12"/>
      <c r="G156" s="12"/>
      <c r="H156" s="12"/>
      <c r="I156" s="12"/>
      <c r="J156" s="1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2"/>
      <c r="C157" s="12"/>
      <c r="D157" s="12"/>
      <c r="E157" s="12"/>
      <c r="F157" s="12"/>
      <c r="G157" s="12"/>
      <c r="H157" s="12"/>
      <c r="I157" s="12"/>
      <c r="J157" s="1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2"/>
      <c r="C158" s="12"/>
      <c r="D158" s="12"/>
      <c r="E158" s="12"/>
      <c r="F158" s="12"/>
      <c r="G158" s="12"/>
      <c r="H158" s="12"/>
      <c r="I158" s="12"/>
      <c r="J158" s="1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2"/>
      <c r="C159" s="12"/>
      <c r="D159" s="12"/>
      <c r="E159" s="12"/>
      <c r="F159" s="12"/>
      <c r="G159" s="12"/>
      <c r="H159" s="12"/>
      <c r="I159" s="12"/>
      <c r="J159" s="1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2"/>
      <c r="C160" s="12"/>
      <c r="D160" s="12"/>
      <c r="E160" s="12"/>
      <c r="F160" s="12"/>
      <c r="G160" s="12"/>
      <c r="H160" s="12"/>
      <c r="I160" s="12"/>
      <c r="J160" s="1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2"/>
      <c r="C161" s="12"/>
      <c r="D161" s="12"/>
      <c r="E161" s="12"/>
      <c r="F161" s="12"/>
      <c r="G161" s="12"/>
      <c r="H161" s="12"/>
      <c r="I161" s="12"/>
      <c r="J161" s="1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2"/>
      <c r="C162" s="12"/>
      <c r="D162" s="12"/>
      <c r="E162" s="12"/>
      <c r="F162" s="12"/>
      <c r="G162" s="12"/>
      <c r="H162" s="12"/>
      <c r="I162" s="12"/>
      <c r="J162" s="1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2"/>
      <c r="C163" s="12"/>
      <c r="D163" s="12"/>
      <c r="E163" s="12"/>
      <c r="F163" s="12"/>
      <c r="G163" s="12"/>
      <c r="H163" s="12"/>
      <c r="I163" s="12"/>
      <c r="J163" s="1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2"/>
      <c r="C164" s="12"/>
      <c r="D164" s="12"/>
      <c r="E164" s="12"/>
      <c r="F164" s="12"/>
      <c r="G164" s="12"/>
      <c r="H164" s="12"/>
      <c r="I164" s="12"/>
      <c r="J164" s="1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2"/>
      <c r="C165" s="12"/>
      <c r="D165" s="12"/>
      <c r="E165" s="12"/>
      <c r="F165" s="12"/>
      <c r="G165" s="12"/>
      <c r="H165" s="12"/>
      <c r="I165" s="12"/>
      <c r="J165" s="1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2"/>
      <c r="C166" s="12"/>
      <c r="D166" s="12"/>
      <c r="E166" s="12"/>
      <c r="F166" s="12"/>
      <c r="G166" s="12"/>
      <c r="H166" s="12"/>
      <c r="I166" s="12"/>
      <c r="J166" s="1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2"/>
      <c r="C167" s="12"/>
      <c r="D167" s="12"/>
      <c r="E167" s="12"/>
      <c r="F167" s="12"/>
      <c r="G167" s="12"/>
      <c r="H167" s="12"/>
      <c r="I167" s="12"/>
      <c r="J167" s="1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2"/>
      <c r="C168" s="12"/>
      <c r="D168" s="12"/>
      <c r="E168" s="12"/>
      <c r="F168" s="12"/>
      <c r="G168" s="12"/>
      <c r="H168" s="12"/>
      <c r="I168" s="12"/>
      <c r="J168" s="1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2"/>
      <c r="C169" s="12"/>
      <c r="D169" s="12"/>
      <c r="E169" s="12"/>
      <c r="F169" s="12"/>
      <c r="G169" s="12"/>
      <c r="H169" s="12"/>
      <c r="I169" s="12"/>
      <c r="J169" s="1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2"/>
      <c r="C170" s="12"/>
      <c r="D170" s="12"/>
      <c r="E170" s="12"/>
      <c r="F170" s="12"/>
      <c r="G170" s="12"/>
      <c r="H170" s="12"/>
      <c r="I170" s="12"/>
      <c r="J170" s="1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2"/>
      <c r="C171" s="12"/>
      <c r="D171" s="12"/>
      <c r="E171" s="12"/>
      <c r="F171" s="12"/>
      <c r="G171" s="12"/>
      <c r="H171" s="12"/>
      <c r="I171" s="12"/>
      <c r="J171" s="1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2"/>
      <c r="C172" s="12"/>
      <c r="D172" s="12"/>
      <c r="E172" s="12"/>
      <c r="F172" s="12"/>
      <c r="G172" s="12"/>
      <c r="H172" s="12"/>
      <c r="I172" s="12"/>
      <c r="J172" s="1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2"/>
      <c r="C173" s="12"/>
      <c r="D173" s="12"/>
      <c r="E173" s="12"/>
      <c r="F173" s="12"/>
      <c r="G173" s="12"/>
      <c r="H173" s="12"/>
      <c r="I173" s="12"/>
      <c r="J173" s="1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2"/>
      <c r="C174" s="12"/>
      <c r="D174" s="12"/>
      <c r="E174" s="12"/>
      <c r="F174" s="12"/>
      <c r="G174" s="12"/>
      <c r="H174" s="12"/>
      <c r="I174" s="12"/>
      <c r="J174" s="1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2"/>
      <c r="C175" s="12"/>
      <c r="D175" s="12"/>
      <c r="E175" s="12"/>
      <c r="F175" s="12"/>
      <c r="G175" s="12"/>
      <c r="H175" s="12"/>
      <c r="I175" s="12"/>
      <c r="J175" s="1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2"/>
      <c r="C176" s="12"/>
      <c r="D176" s="12"/>
      <c r="E176" s="12"/>
      <c r="F176" s="12"/>
      <c r="G176" s="12"/>
      <c r="H176" s="12"/>
      <c r="I176" s="12"/>
      <c r="J176" s="1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2"/>
      <c r="C177" s="12"/>
      <c r="D177" s="12"/>
      <c r="E177" s="12"/>
      <c r="F177" s="12"/>
      <c r="G177" s="12"/>
      <c r="H177" s="12"/>
      <c r="I177" s="12"/>
      <c r="J177" s="1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2"/>
      <c r="C178" s="12"/>
      <c r="D178" s="12"/>
      <c r="E178" s="12"/>
      <c r="F178" s="12"/>
      <c r="G178" s="12"/>
      <c r="H178" s="12"/>
      <c r="I178" s="12"/>
      <c r="J178" s="1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2"/>
      <c r="C179" s="12"/>
      <c r="D179" s="12"/>
      <c r="E179" s="12"/>
      <c r="F179" s="12"/>
      <c r="G179" s="12"/>
      <c r="H179" s="12"/>
      <c r="I179" s="12"/>
      <c r="J179" s="1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2"/>
      <c r="C180" s="12"/>
      <c r="D180" s="12"/>
      <c r="E180" s="12"/>
      <c r="F180" s="12"/>
      <c r="G180" s="12"/>
      <c r="H180" s="12"/>
      <c r="I180" s="12"/>
      <c r="J180" s="1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2"/>
      <c r="C181" s="12"/>
      <c r="D181" s="12"/>
      <c r="E181" s="12"/>
      <c r="F181" s="12"/>
      <c r="G181" s="12"/>
      <c r="H181" s="12"/>
      <c r="I181" s="12"/>
      <c r="J181" s="1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2"/>
      <c r="C182" s="12"/>
      <c r="D182" s="12"/>
      <c r="E182" s="12"/>
      <c r="F182" s="12"/>
      <c r="G182" s="12"/>
      <c r="H182" s="12"/>
      <c r="I182" s="12"/>
      <c r="J182" s="1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2"/>
      <c r="C183" s="12"/>
      <c r="D183" s="12"/>
      <c r="E183" s="12"/>
      <c r="F183" s="12"/>
      <c r="G183" s="12"/>
      <c r="H183" s="12"/>
      <c r="I183" s="12"/>
      <c r="J183" s="1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2"/>
      <c r="C184" s="12"/>
      <c r="D184" s="12"/>
      <c r="E184" s="12"/>
      <c r="F184" s="12"/>
      <c r="G184" s="12"/>
      <c r="H184" s="12"/>
      <c r="I184" s="12"/>
      <c r="J184" s="1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2"/>
      <c r="C185" s="12"/>
      <c r="D185" s="12"/>
      <c r="E185" s="12"/>
      <c r="F185" s="12"/>
      <c r="G185" s="12"/>
      <c r="H185" s="12"/>
      <c r="I185" s="12"/>
      <c r="J185" s="1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2"/>
      <c r="C186" s="12"/>
      <c r="D186" s="12"/>
      <c r="E186" s="12"/>
      <c r="F186" s="12"/>
      <c r="G186" s="12"/>
      <c r="H186" s="12"/>
      <c r="I186" s="12"/>
      <c r="J186" s="1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2"/>
      <c r="C187" s="12"/>
      <c r="D187" s="12"/>
      <c r="E187" s="12"/>
      <c r="F187" s="12"/>
      <c r="G187" s="12"/>
      <c r="H187" s="12"/>
      <c r="I187" s="12"/>
      <c r="J187" s="1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2"/>
      <c r="C188" s="12"/>
      <c r="D188" s="12"/>
      <c r="E188" s="12"/>
      <c r="F188" s="12"/>
      <c r="G188" s="12"/>
      <c r="H188" s="12"/>
      <c r="I188" s="12"/>
      <c r="J188" s="1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2"/>
      <c r="C189" s="12"/>
      <c r="D189" s="12"/>
      <c r="E189" s="12"/>
      <c r="F189" s="12"/>
      <c r="G189" s="12"/>
      <c r="H189" s="12"/>
      <c r="I189" s="12"/>
      <c r="J189" s="1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2"/>
      <c r="C190" s="12"/>
      <c r="D190" s="12"/>
      <c r="E190" s="12"/>
      <c r="F190" s="12"/>
      <c r="G190" s="12"/>
      <c r="H190" s="12"/>
      <c r="I190" s="12"/>
      <c r="J190" s="1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2"/>
      <c r="C191" s="12"/>
      <c r="D191" s="12"/>
      <c r="E191" s="12"/>
      <c r="F191" s="12"/>
      <c r="G191" s="12"/>
      <c r="H191" s="12"/>
      <c r="I191" s="12"/>
      <c r="J191" s="1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2"/>
      <c r="C192" s="12"/>
      <c r="D192" s="12"/>
      <c r="E192" s="12"/>
      <c r="F192" s="12"/>
      <c r="G192" s="12"/>
      <c r="H192" s="12"/>
      <c r="I192" s="12"/>
      <c r="J192" s="1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2"/>
      <c r="C193" s="12"/>
      <c r="D193" s="12"/>
      <c r="E193" s="12"/>
      <c r="F193" s="12"/>
      <c r="G193" s="12"/>
      <c r="H193" s="12"/>
      <c r="I193" s="12"/>
      <c r="J193" s="1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2"/>
      <c r="C194" s="12"/>
      <c r="D194" s="12"/>
      <c r="E194" s="12"/>
      <c r="F194" s="12"/>
      <c r="G194" s="12"/>
      <c r="H194" s="12"/>
      <c r="I194" s="12"/>
      <c r="J194" s="1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2"/>
      <c r="C195" s="12"/>
      <c r="D195" s="12"/>
      <c r="E195" s="12"/>
      <c r="F195" s="12"/>
      <c r="G195" s="12"/>
      <c r="H195" s="12"/>
      <c r="I195" s="12"/>
      <c r="J195" s="1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2"/>
      <c r="C196" s="12"/>
      <c r="D196" s="12"/>
      <c r="E196" s="12"/>
      <c r="F196" s="12"/>
      <c r="G196" s="12"/>
      <c r="H196" s="12"/>
      <c r="I196" s="12"/>
      <c r="J196" s="1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2"/>
      <c r="C197" s="12"/>
      <c r="D197" s="12"/>
      <c r="E197" s="12"/>
      <c r="F197" s="12"/>
      <c r="G197" s="12"/>
      <c r="H197" s="12"/>
      <c r="I197" s="12"/>
      <c r="J197" s="1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2"/>
      <c r="C198" s="12"/>
      <c r="D198" s="12"/>
      <c r="E198" s="12"/>
      <c r="F198" s="12"/>
      <c r="G198" s="12"/>
      <c r="H198" s="12"/>
      <c r="I198" s="12"/>
      <c r="J198" s="1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2"/>
      <c r="C199" s="12"/>
      <c r="D199" s="12"/>
      <c r="E199" s="12"/>
      <c r="F199" s="12"/>
      <c r="G199" s="12"/>
      <c r="H199" s="12"/>
      <c r="I199" s="12"/>
      <c r="J199" s="1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2"/>
      <c r="C200" s="12"/>
      <c r="D200" s="12"/>
      <c r="E200" s="12"/>
      <c r="F200" s="12"/>
      <c r="G200" s="12"/>
      <c r="H200" s="12"/>
      <c r="I200" s="12"/>
      <c r="J200" s="1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2"/>
      <c r="C201" s="12"/>
      <c r="D201" s="12"/>
      <c r="E201" s="12"/>
      <c r="F201" s="12"/>
      <c r="G201" s="12"/>
      <c r="H201" s="12"/>
      <c r="I201" s="12"/>
      <c r="J201" s="1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2"/>
      <c r="C202" s="12"/>
      <c r="D202" s="12"/>
      <c r="E202" s="12"/>
      <c r="F202" s="12"/>
      <c r="G202" s="12"/>
      <c r="H202" s="12"/>
      <c r="I202" s="12"/>
      <c r="J202" s="1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2"/>
      <c r="C203" s="12"/>
      <c r="D203" s="12"/>
      <c r="E203" s="12"/>
      <c r="F203" s="12"/>
      <c r="G203" s="12"/>
      <c r="H203" s="12"/>
      <c r="I203" s="12"/>
      <c r="J203" s="1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2"/>
      <c r="C204" s="12"/>
      <c r="D204" s="12"/>
      <c r="E204" s="12"/>
      <c r="F204" s="12"/>
      <c r="G204" s="12"/>
      <c r="H204" s="12"/>
      <c r="I204" s="12"/>
      <c r="J204" s="1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2"/>
      <c r="C205" s="12"/>
      <c r="D205" s="12"/>
      <c r="E205" s="12"/>
      <c r="F205" s="12"/>
      <c r="G205" s="12"/>
      <c r="H205" s="12"/>
      <c r="I205" s="12"/>
      <c r="J205" s="1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2"/>
      <c r="C206" s="12"/>
      <c r="D206" s="12"/>
      <c r="E206" s="12"/>
      <c r="F206" s="12"/>
      <c r="G206" s="12"/>
      <c r="H206" s="12"/>
      <c r="I206" s="12"/>
      <c r="J206" s="1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2"/>
      <c r="C207" s="12"/>
      <c r="D207" s="12"/>
      <c r="E207" s="12"/>
      <c r="F207" s="12"/>
      <c r="G207" s="12"/>
      <c r="H207" s="12"/>
      <c r="I207" s="12"/>
      <c r="J207" s="1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2"/>
      <c r="C208" s="12"/>
      <c r="D208" s="12"/>
      <c r="E208" s="12"/>
      <c r="F208" s="12"/>
      <c r="G208" s="12"/>
      <c r="H208" s="12"/>
      <c r="I208" s="12"/>
      <c r="J208" s="1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2"/>
      <c r="C209" s="12"/>
      <c r="D209" s="12"/>
      <c r="E209" s="12"/>
      <c r="F209" s="12"/>
      <c r="G209" s="12"/>
      <c r="H209" s="12"/>
      <c r="I209" s="12"/>
      <c r="J209" s="1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2"/>
      <c r="C210" s="12"/>
      <c r="D210" s="12"/>
      <c r="E210" s="12"/>
      <c r="F210" s="12"/>
      <c r="G210" s="12"/>
      <c r="H210" s="12"/>
      <c r="I210" s="12"/>
      <c r="J210" s="1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2"/>
      <c r="C211" s="12"/>
      <c r="D211" s="12"/>
      <c r="E211" s="12"/>
      <c r="F211" s="12"/>
      <c r="G211" s="12"/>
      <c r="H211" s="12"/>
      <c r="I211" s="12"/>
      <c r="J211" s="1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2"/>
      <c r="C212" s="12"/>
      <c r="D212" s="12"/>
      <c r="E212" s="12"/>
      <c r="F212" s="12"/>
      <c r="G212" s="12"/>
      <c r="H212" s="12"/>
      <c r="I212" s="12"/>
      <c r="J212" s="1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2"/>
      <c r="C213" s="12"/>
      <c r="D213" s="12"/>
      <c r="E213" s="12"/>
      <c r="F213" s="12"/>
      <c r="G213" s="12"/>
      <c r="H213" s="12"/>
      <c r="I213" s="12"/>
      <c r="J213" s="1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2"/>
      <c r="C214" s="12"/>
      <c r="D214" s="12"/>
      <c r="E214" s="12"/>
      <c r="F214" s="12"/>
      <c r="G214" s="12"/>
      <c r="H214" s="12"/>
      <c r="I214" s="12"/>
      <c r="J214" s="1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2"/>
      <c r="C215" s="12"/>
      <c r="D215" s="12"/>
      <c r="E215" s="12"/>
      <c r="F215" s="12"/>
      <c r="G215" s="12"/>
      <c r="H215" s="12"/>
      <c r="I215" s="12"/>
      <c r="J215" s="1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2"/>
      <c r="C216" s="12"/>
      <c r="D216" s="12"/>
      <c r="E216" s="12"/>
      <c r="F216" s="12"/>
      <c r="G216" s="12"/>
      <c r="H216" s="12"/>
      <c r="I216" s="12"/>
      <c r="J216" s="1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2"/>
      <c r="C217" s="12"/>
      <c r="D217" s="12"/>
      <c r="E217" s="12"/>
      <c r="F217" s="12"/>
      <c r="G217" s="12"/>
      <c r="H217" s="12"/>
      <c r="I217" s="12"/>
      <c r="J217" s="1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2"/>
      <c r="C218" s="12"/>
      <c r="D218" s="12"/>
      <c r="E218" s="12"/>
      <c r="F218" s="12"/>
      <c r="G218" s="12"/>
      <c r="H218" s="12"/>
      <c r="I218" s="12"/>
      <c r="J218" s="1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2"/>
      <c r="C219" s="12"/>
      <c r="D219" s="12"/>
      <c r="E219" s="12"/>
      <c r="F219" s="12"/>
      <c r="G219" s="12"/>
      <c r="H219" s="12"/>
      <c r="I219" s="12"/>
      <c r="J219" s="1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2"/>
      <c r="C220" s="12"/>
      <c r="D220" s="12"/>
      <c r="E220" s="12"/>
      <c r="F220" s="12"/>
      <c r="G220" s="12"/>
      <c r="H220" s="12"/>
      <c r="I220" s="12"/>
      <c r="J220" s="1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2"/>
      <c r="C221" s="12"/>
      <c r="D221" s="12"/>
      <c r="E221" s="12"/>
      <c r="F221" s="12"/>
      <c r="G221" s="12"/>
      <c r="H221" s="12"/>
      <c r="I221" s="12"/>
      <c r="J221" s="1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2"/>
      <c r="C222" s="12"/>
      <c r="D222" s="12"/>
      <c r="E222" s="12"/>
      <c r="F222" s="12"/>
      <c r="G222" s="12"/>
      <c r="H222" s="12"/>
      <c r="I222" s="12"/>
      <c r="J222" s="1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2"/>
      <c r="C223" s="12"/>
      <c r="D223" s="12"/>
      <c r="E223" s="12"/>
      <c r="F223" s="12"/>
      <c r="G223" s="12"/>
      <c r="H223" s="12"/>
      <c r="I223" s="12"/>
      <c r="J223" s="1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2"/>
      <c r="C224" s="12"/>
      <c r="D224" s="12"/>
      <c r="E224" s="12"/>
      <c r="F224" s="12"/>
      <c r="G224" s="12"/>
      <c r="H224" s="12"/>
      <c r="I224" s="12"/>
      <c r="J224" s="1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2"/>
      <c r="C225" s="12"/>
      <c r="D225" s="12"/>
      <c r="E225" s="12"/>
      <c r="F225" s="12"/>
      <c r="G225" s="12"/>
      <c r="H225" s="12"/>
      <c r="I225" s="12"/>
      <c r="J225" s="1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2"/>
      <c r="C226" s="12"/>
      <c r="D226" s="12"/>
      <c r="E226" s="12"/>
      <c r="F226" s="12"/>
      <c r="G226" s="12"/>
      <c r="H226" s="12"/>
      <c r="I226" s="12"/>
      <c r="J226" s="1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2"/>
      <c r="C227" s="12"/>
      <c r="D227" s="12"/>
      <c r="E227" s="12"/>
      <c r="F227" s="12"/>
      <c r="G227" s="12"/>
      <c r="H227" s="12"/>
      <c r="I227" s="12"/>
      <c r="J227" s="1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2"/>
      <c r="C228" s="12"/>
      <c r="D228" s="12"/>
      <c r="E228" s="12"/>
      <c r="F228" s="12"/>
      <c r="G228" s="12"/>
      <c r="H228" s="12"/>
      <c r="I228" s="12"/>
      <c r="J228" s="1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2"/>
      <c r="C229" s="12"/>
      <c r="D229" s="12"/>
      <c r="E229" s="12"/>
      <c r="F229" s="12"/>
      <c r="G229" s="12"/>
      <c r="H229" s="12"/>
      <c r="I229" s="12"/>
      <c r="J229" s="1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2"/>
      <c r="C230" s="12"/>
      <c r="D230" s="12"/>
      <c r="E230" s="12"/>
      <c r="F230" s="12"/>
      <c r="G230" s="12"/>
      <c r="H230" s="12"/>
      <c r="I230" s="12"/>
      <c r="J230" s="1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2"/>
      <c r="C231" s="12"/>
      <c r="D231" s="12"/>
      <c r="E231" s="12"/>
      <c r="F231" s="12"/>
      <c r="G231" s="12"/>
      <c r="H231" s="12"/>
      <c r="I231" s="12"/>
      <c r="J231" s="1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2"/>
      <c r="C232" s="12"/>
      <c r="D232" s="12"/>
      <c r="E232" s="12"/>
      <c r="F232" s="12"/>
      <c r="G232" s="12"/>
      <c r="H232" s="12"/>
      <c r="I232" s="12"/>
      <c r="J232" s="1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2"/>
      <c r="C233" s="12"/>
      <c r="D233" s="12"/>
      <c r="E233" s="12"/>
      <c r="F233" s="12"/>
      <c r="G233" s="12"/>
      <c r="H233" s="12"/>
      <c r="I233" s="12"/>
      <c r="J233" s="1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2"/>
      <c r="C234" s="12"/>
      <c r="D234" s="12"/>
      <c r="E234" s="12"/>
      <c r="F234" s="12"/>
      <c r="G234" s="12"/>
      <c r="H234" s="12"/>
      <c r="I234" s="12"/>
      <c r="J234" s="1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2"/>
      <c r="C235" s="12"/>
      <c r="D235" s="12"/>
      <c r="E235" s="12"/>
      <c r="F235" s="12"/>
      <c r="G235" s="12"/>
      <c r="H235" s="12"/>
      <c r="I235" s="12"/>
      <c r="J235" s="1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2"/>
      <c r="C236" s="12"/>
      <c r="D236" s="12"/>
      <c r="E236" s="12"/>
      <c r="F236" s="12"/>
      <c r="G236" s="12"/>
      <c r="H236" s="12"/>
      <c r="I236" s="12"/>
      <c r="J236" s="1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2"/>
      <c r="C237" s="12"/>
      <c r="D237" s="12"/>
      <c r="E237" s="12"/>
      <c r="F237" s="12"/>
      <c r="G237" s="12"/>
      <c r="H237" s="12"/>
      <c r="I237" s="12"/>
      <c r="J237" s="1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2"/>
      <c r="C238" s="12"/>
      <c r="D238" s="12"/>
      <c r="E238" s="12"/>
      <c r="F238" s="12"/>
      <c r="G238" s="12"/>
      <c r="H238" s="12"/>
      <c r="I238" s="12"/>
      <c r="J238" s="1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2"/>
      <c r="C239" s="12"/>
      <c r="D239" s="12"/>
      <c r="E239" s="12"/>
      <c r="F239" s="12"/>
      <c r="G239" s="12"/>
      <c r="H239" s="12"/>
      <c r="I239" s="12"/>
      <c r="J239" s="1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2"/>
      <c r="C240" s="12"/>
      <c r="D240" s="12"/>
      <c r="E240" s="12"/>
      <c r="F240" s="12"/>
      <c r="G240" s="12"/>
      <c r="H240" s="12"/>
      <c r="I240" s="12"/>
      <c r="J240" s="1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2"/>
      <c r="C241" s="12"/>
      <c r="D241" s="12"/>
      <c r="E241" s="12"/>
      <c r="F241" s="12"/>
      <c r="G241" s="12"/>
      <c r="H241" s="12"/>
      <c r="I241" s="12"/>
      <c r="J241" s="1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12"/>
      <c r="C242" s="12"/>
      <c r="D242" s="12"/>
      <c r="E242" s="12"/>
      <c r="F242" s="12"/>
      <c r="G242" s="12"/>
      <c r="H242" s="12"/>
      <c r="I242" s="12"/>
      <c r="J242" s="1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12"/>
      <c r="C243" s="12"/>
      <c r="D243" s="12"/>
      <c r="E243" s="12"/>
      <c r="F243" s="12"/>
      <c r="G243" s="12"/>
      <c r="H243" s="12"/>
      <c r="I243" s="12"/>
      <c r="J243" s="1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12"/>
      <c r="C244" s="12"/>
      <c r="D244" s="12"/>
      <c r="E244" s="12"/>
      <c r="F244" s="12"/>
      <c r="G244" s="12"/>
      <c r="H244" s="12"/>
      <c r="I244" s="12"/>
      <c r="J244" s="1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12"/>
      <c r="C245" s="12"/>
      <c r="D245" s="12"/>
      <c r="E245" s="12"/>
      <c r="F245" s="12"/>
      <c r="G245" s="12"/>
      <c r="H245" s="12"/>
      <c r="I245" s="12"/>
      <c r="J245" s="1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12"/>
      <c r="C246" s="12"/>
      <c r="D246" s="12"/>
      <c r="E246" s="12"/>
      <c r="F246" s="12"/>
      <c r="G246" s="12"/>
      <c r="H246" s="12"/>
      <c r="I246" s="12"/>
      <c r="J246" s="1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12"/>
      <c r="C247" s="12"/>
      <c r="D247" s="12"/>
      <c r="E247" s="12"/>
      <c r="F247" s="12"/>
      <c r="G247" s="12"/>
      <c r="H247" s="12"/>
      <c r="I247" s="12"/>
      <c r="J247" s="1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12"/>
      <c r="C248" s="12"/>
      <c r="D248" s="12"/>
      <c r="E248" s="12"/>
      <c r="F248" s="12"/>
      <c r="G248" s="12"/>
      <c r="H248" s="12"/>
      <c r="I248" s="12"/>
      <c r="J248" s="1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2"/>
      <c r="C249" s="12"/>
      <c r="D249" s="12"/>
      <c r="E249" s="12"/>
      <c r="F249" s="12"/>
      <c r="G249" s="12"/>
      <c r="H249" s="12"/>
      <c r="I249" s="12"/>
      <c r="J249" s="1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2"/>
      <c r="C250" s="12"/>
      <c r="D250" s="12"/>
      <c r="E250" s="12"/>
      <c r="F250" s="12"/>
      <c r="G250" s="12"/>
      <c r="H250" s="12"/>
      <c r="I250" s="12"/>
      <c r="J250" s="1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2"/>
      <c r="C251" s="12"/>
      <c r="D251" s="12"/>
      <c r="E251" s="12"/>
      <c r="F251" s="12"/>
      <c r="G251" s="12"/>
      <c r="H251" s="12"/>
      <c r="I251" s="12"/>
      <c r="J251" s="1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2"/>
      <c r="C252" s="12"/>
      <c r="D252" s="12"/>
      <c r="E252" s="12"/>
      <c r="F252" s="12"/>
      <c r="G252" s="12"/>
      <c r="H252" s="12"/>
      <c r="I252" s="12"/>
      <c r="J252" s="1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2"/>
      <c r="C253" s="12"/>
      <c r="D253" s="12"/>
      <c r="E253" s="12"/>
      <c r="F253" s="12"/>
      <c r="G253" s="12"/>
      <c r="H253" s="12"/>
      <c r="I253" s="12"/>
      <c r="J253" s="1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2"/>
      <c r="C254" s="12"/>
      <c r="D254" s="12"/>
      <c r="E254" s="12"/>
      <c r="F254" s="12"/>
      <c r="G254" s="12"/>
      <c r="H254" s="12"/>
      <c r="I254" s="12"/>
      <c r="J254" s="1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2"/>
      <c r="C255" s="12"/>
      <c r="D255" s="12"/>
      <c r="E255" s="12"/>
      <c r="F255" s="12"/>
      <c r="G255" s="12"/>
      <c r="H255" s="12"/>
      <c r="I255" s="12"/>
      <c r="J255" s="1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12"/>
      <c r="C256" s="12"/>
      <c r="D256" s="12"/>
      <c r="E256" s="12"/>
      <c r="F256" s="12"/>
      <c r="G256" s="12"/>
      <c r="H256" s="12"/>
      <c r="I256" s="12"/>
      <c r="J256" s="1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12"/>
      <c r="C257" s="12"/>
      <c r="D257" s="12"/>
      <c r="E257" s="12"/>
      <c r="F257" s="12"/>
      <c r="G257" s="12"/>
      <c r="H257" s="12"/>
      <c r="I257" s="12"/>
      <c r="J257" s="1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12"/>
      <c r="C258" s="12"/>
      <c r="D258" s="12"/>
      <c r="E258" s="12"/>
      <c r="F258" s="12"/>
      <c r="G258" s="12"/>
      <c r="H258" s="12"/>
      <c r="I258" s="12"/>
      <c r="J258" s="1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12"/>
      <c r="C259" s="12"/>
      <c r="D259" s="12"/>
      <c r="E259" s="12"/>
      <c r="F259" s="12"/>
      <c r="G259" s="12"/>
      <c r="H259" s="12"/>
      <c r="I259" s="12"/>
      <c r="J259" s="1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12"/>
      <c r="C260" s="12"/>
      <c r="D260" s="12"/>
      <c r="E260" s="12"/>
      <c r="F260" s="12"/>
      <c r="G260" s="12"/>
      <c r="H260" s="12"/>
      <c r="I260" s="12"/>
      <c r="J260" s="1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12"/>
      <c r="C261" s="12"/>
      <c r="D261" s="12"/>
      <c r="E261" s="12"/>
      <c r="F261" s="12"/>
      <c r="G261" s="12"/>
      <c r="H261" s="12"/>
      <c r="I261" s="12"/>
      <c r="J261" s="1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12"/>
      <c r="C262" s="12"/>
      <c r="D262" s="12"/>
      <c r="E262" s="12"/>
      <c r="F262" s="12"/>
      <c r="G262" s="12"/>
      <c r="H262" s="12"/>
      <c r="I262" s="12"/>
      <c r="J262" s="1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12"/>
      <c r="C263" s="12"/>
      <c r="D263" s="12"/>
      <c r="E263" s="12"/>
      <c r="F263" s="12"/>
      <c r="G263" s="12"/>
      <c r="H263" s="12"/>
      <c r="I263" s="12"/>
      <c r="J263" s="1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12"/>
      <c r="C264" s="12"/>
      <c r="D264" s="12"/>
      <c r="E264" s="12"/>
      <c r="F264" s="12"/>
      <c r="G264" s="12"/>
      <c r="H264" s="12"/>
      <c r="I264" s="12"/>
      <c r="J264" s="1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12"/>
      <c r="C265" s="12"/>
      <c r="D265" s="12"/>
      <c r="E265" s="12"/>
      <c r="F265" s="12"/>
      <c r="G265" s="12"/>
      <c r="H265" s="12"/>
      <c r="I265" s="12"/>
      <c r="J265" s="1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12"/>
      <c r="C266" s="12"/>
      <c r="D266" s="12"/>
      <c r="E266" s="12"/>
      <c r="F266" s="12"/>
      <c r="G266" s="12"/>
      <c r="H266" s="12"/>
      <c r="I266" s="12"/>
      <c r="J266" s="1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12"/>
      <c r="C267" s="12"/>
      <c r="D267" s="12"/>
      <c r="E267" s="12"/>
      <c r="F267" s="12"/>
      <c r="G267" s="12"/>
      <c r="H267" s="12"/>
      <c r="I267" s="12"/>
      <c r="J267" s="1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12"/>
      <c r="C268" s="12"/>
      <c r="D268" s="12"/>
      <c r="E268" s="12"/>
      <c r="F268" s="12"/>
      <c r="G268" s="12"/>
      <c r="H268" s="12"/>
      <c r="I268" s="12"/>
      <c r="J268" s="1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12"/>
      <c r="C269" s="12"/>
      <c r="D269" s="12"/>
      <c r="E269" s="12"/>
      <c r="F269" s="12"/>
      <c r="G269" s="12"/>
      <c r="H269" s="12"/>
      <c r="I269" s="12"/>
      <c r="J269" s="1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12"/>
      <c r="C270" s="12"/>
      <c r="D270" s="12"/>
      <c r="E270" s="12"/>
      <c r="F270" s="12"/>
      <c r="G270" s="12"/>
      <c r="H270" s="12"/>
      <c r="I270" s="12"/>
      <c r="J270" s="1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/>
    <row r="272" spans="1:26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84"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  <mergeCell ref="C33:E36"/>
    <mergeCell ref="G33:G36"/>
    <mergeCell ref="H17:J20"/>
    <mergeCell ref="H21:J21"/>
    <mergeCell ref="H24:H26"/>
    <mergeCell ref="C29:E29"/>
    <mergeCell ref="H29:J29"/>
    <mergeCell ref="H30:J30"/>
    <mergeCell ref="H31:J31"/>
    <mergeCell ref="C21:E21"/>
    <mergeCell ref="C30:E30"/>
    <mergeCell ref="C31:E31"/>
    <mergeCell ref="B1:B5"/>
    <mergeCell ref="C1:H3"/>
    <mergeCell ref="C4:H5"/>
    <mergeCell ref="I4:I5"/>
    <mergeCell ref="B8:B12"/>
    <mergeCell ref="G8:G12"/>
    <mergeCell ref="I11:I12"/>
    <mergeCell ref="D11:D12"/>
    <mergeCell ref="H8:H10"/>
    <mergeCell ref="H11:H12"/>
    <mergeCell ref="C13:E13"/>
    <mergeCell ref="C14:E14"/>
    <mergeCell ref="C15:E15"/>
    <mergeCell ref="C17:E20"/>
    <mergeCell ref="G17:G20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I43:I44"/>
    <mergeCell ref="D43:D44"/>
    <mergeCell ref="C45:E45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G49:G52"/>
    <mergeCell ref="H49:J52"/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</mergeCells>
  <pageMargins left="0.7" right="0.7" top="0.75" bottom="0.75" header="0" footer="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86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39.8632812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95"/>
      <c r="B1" s="514"/>
      <c r="C1" s="515" t="s">
        <v>0</v>
      </c>
      <c r="D1" s="251"/>
      <c r="E1" s="251"/>
      <c r="F1" s="251"/>
      <c r="G1" s="251"/>
      <c r="H1" s="252"/>
      <c r="I1" s="196" t="s">
        <v>1</v>
      </c>
      <c r="J1" s="197" t="s">
        <v>464</v>
      </c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2"/>
      <c r="X1" s="82"/>
      <c r="Y1" s="82"/>
      <c r="Z1" s="82"/>
    </row>
    <row r="2" spans="1:26" ht="24.75" customHeight="1" x14ac:dyDescent="0.45">
      <c r="A2" s="195"/>
      <c r="B2" s="237"/>
      <c r="C2" s="266"/>
      <c r="D2" s="237"/>
      <c r="E2" s="237"/>
      <c r="F2" s="237"/>
      <c r="G2" s="237"/>
      <c r="H2" s="261"/>
      <c r="I2" s="105" t="s">
        <v>3</v>
      </c>
      <c r="J2" s="198">
        <v>1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2"/>
      <c r="X2" s="82"/>
      <c r="Y2" s="82"/>
      <c r="Z2" s="82"/>
    </row>
    <row r="3" spans="1:26" ht="24.75" customHeight="1" x14ac:dyDescent="0.45">
      <c r="A3" s="195"/>
      <c r="B3" s="237"/>
      <c r="C3" s="314"/>
      <c r="D3" s="226"/>
      <c r="E3" s="226"/>
      <c r="F3" s="226"/>
      <c r="G3" s="226"/>
      <c r="H3" s="310"/>
      <c r="I3" s="199" t="s">
        <v>5</v>
      </c>
      <c r="J3" s="199" t="s">
        <v>6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2"/>
      <c r="X3" s="82"/>
      <c r="Y3" s="82"/>
      <c r="Z3" s="82"/>
    </row>
    <row r="4" spans="1:26" ht="24.75" customHeight="1" x14ac:dyDescent="0.45">
      <c r="A4" s="200"/>
      <c r="B4" s="237"/>
      <c r="C4" s="515" t="s">
        <v>465</v>
      </c>
      <c r="D4" s="251"/>
      <c r="E4" s="251"/>
      <c r="F4" s="251"/>
      <c r="G4" s="251"/>
      <c r="H4" s="252"/>
      <c r="I4" s="516" t="s">
        <v>7</v>
      </c>
      <c r="J4" s="201" t="s">
        <v>204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200"/>
      <c r="B5" s="254"/>
      <c r="C5" s="253"/>
      <c r="D5" s="254"/>
      <c r="E5" s="254"/>
      <c r="F5" s="254"/>
      <c r="G5" s="254"/>
      <c r="H5" s="255"/>
      <c r="I5" s="483"/>
      <c r="J5" s="202" t="s">
        <v>205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7"/>
      <c r="C6" s="97"/>
      <c r="D6" s="97"/>
      <c r="E6" s="97"/>
      <c r="F6" s="97"/>
      <c r="G6" s="97"/>
      <c r="H6" s="97"/>
      <c r="I6" s="97"/>
      <c r="J6" s="126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2"/>
      <c r="C7" s="12"/>
      <c r="D7" s="12"/>
      <c r="E7" s="12"/>
      <c r="F7" s="12"/>
      <c r="G7" s="12"/>
      <c r="H7" s="12"/>
      <c r="I7" s="12"/>
      <c r="J7" s="1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8.75" customHeight="1" x14ac:dyDescent="0.45">
      <c r="A8" s="82"/>
      <c r="B8" s="494"/>
      <c r="C8" s="481" t="s">
        <v>0</v>
      </c>
      <c r="D8" s="146" t="s">
        <v>1</v>
      </c>
      <c r="E8" s="146" t="s">
        <v>464</v>
      </c>
      <c r="F8" s="12"/>
      <c r="G8" s="494"/>
      <c r="H8" s="481" t="s">
        <v>0</v>
      </c>
      <c r="I8" s="146" t="s">
        <v>1</v>
      </c>
      <c r="J8" s="146" t="s">
        <v>464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0.25" customHeight="1" x14ac:dyDescent="0.45">
      <c r="A9" s="82"/>
      <c r="B9" s="266"/>
      <c r="C9" s="482"/>
      <c r="D9" s="147" t="s">
        <v>3</v>
      </c>
      <c r="E9" s="166">
        <v>1</v>
      </c>
      <c r="F9" s="12"/>
      <c r="G9" s="266"/>
      <c r="H9" s="482"/>
      <c r="I9" s="147" t="s">
        <v>3</v>
      </c>
      <c r="J9" s="166">
        <v>1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8" customHeight="1" x14ac:dyDescent="0.45">
      <c r="A10" s="82"/>
      <c r="B10" s="266"/>
      <c r="C10" s="481" t="s">
        <v>465</v>
      </c>
      <c r="D10" s="208" t="s">
        <v>5</v>
      </c>
      <c r="E10" s="146" t="s">
        <v>6</v>
      </c>
      <c r="F10" s="12"/>
      <c r="G10" s="266"/>
      <c r="H10" s="481" t="s">
        <v>465</v>
      </c>
      <c r="I10" s="208" t="s">
        <v>5</v>
      </c>
      <c r="J10" s="146" t="s">
        <v>6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8.75" customHeight="1" x14ac:dyDescent="0.45">
      <c r="A11" s="82"/>
      <c r="B11" s="266"/>
      <c r="C11" s="482"/>
      <c r="D11" s="495" t="s">
        <v>7</v>
      </c>
      <c r="E11" s="169" t="s">
        <v>204</v>
      </c>
      <c r="F11" s="12"/>
      <c r="G11" s="266"/>
      <c r="H11" s="482"/>
      <c r="I11" s="495" t="s">
        <v>7</v>
      </c>
      <c r="J11" s="169" t="s">
        <v>204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" customHeight="1" x14ac:dyDescent="0.45">
      <c r="A12" s="200"/>
      <c r="B12" s="266"/>
      <c r="C12" s="517"/>
      <c r="D12" s="310"/>
      <c r="E12" s="171" t="s">
        <v>205</v>
      </c>
      <c r="F12" s="12"/>
      <c r="G12" s="266"/>
      <c r="H12" s="517"/>
      <c r="I12" s="310"/>
      <c r="J12" s="171" t="s">
        <v>205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45" customHeight="1" x14ac:dyDescent="0.45">
      <c r="A13" s="82"/>
      <c r="B13" s="145" t="s">
        <v>416</v>
      </c>
      <c r="C13" s="520"/>
      <c r="D13" s="251"/>
      <c r="E13" s="252"/>
      <c r="F13" s="174"/>
      <c r="G13" s="145" t="s">
        <v>416</v>
      </c>
      <c r="H13" s="521"/>
      <c r="I13" s="216"/>
      <c r="J13" s="217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29.25" customHeight="1" x14ac:dyDescent="0.45">
      <c r="A14" s="82"/>
      <c r="B14" s="209" t="s">
        <v>343</v>
      </c>
      <c r="C14" s="210"/>
      <c r="D14" s="211" t="s">
        <v>466</v>
      </c>
      <c r="E14" s="210"/>
      <c r="F14" s="174"/>
      <c r="G14" s="212" t="s">
        <v>343</v>
      </c>
      <c r="H14" s="210"/>
      <c r="I14" s="211" t="s">
        <v>466</v>
      </c>
      <c r="J14" s="210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33" customHeight="1" x14ac:dyDescent="0.45">
      <c r="A15" s="82"/>
      <c r="B15" s="145" t="s">
        <v>417</v>
      </c>
      <c r="C15" s="213"/>
      <c r="D15" s="214" t="s">
        <v>467</v>
      </c>
      <c r="E15" s="213"/>
      <c r="F15" s="174"/>
      <c r="G15" s="145" t="s">
        <v>417</v>
      </c>
      <c r="H15" s="213"/>
      <c r="I15" s="214" t="s">
        <v>467</v>
      </c>
      <c r="J15" s="213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32.25" customHeight="1" x14ac:dyDescent="0.45">
      <c r="A16" s="82"/>
      <c r="B16" s="145" t="s">
        <v>468</v>
      </c>
      <c r="C16" s="210"/>
      <c r="D16" s="211" t="s">
        <v>469</v>
      </c>
      <c r="E16" s="210"/>
      <c r="F16" s="181"/>
      <c r="G16" s="145" t="s">
        <v>470</v>
      </c>
      <c r="H16" s="210"/>
      <c r="I16" s="211" t="s">
        <v>469</v>
      </c>
      <c r="J16" s="210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30" customHeight="1" x14ac:dyDescent="0.45">
      <c r="A17" s="82"/>
      <c r="B17" s="481" t="s">
        <v>471</v>
      </c>
      <c r="C17" s="520"/>
      <c r="D17" s="251"/>
      <c r="E17" s="252"/>
      <c r="F17" s="181"/>
      <c r="G17" s="481" t="s">
        <v>471</v>
      </c>
      <c r="H17" s="520"/>
      <c r="I17" s="251"/>
      <c r="J17" s="25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9.75" customHeight="1" x14ac:dyDescent="0.45">
      <c r="A18" s="82"/>
      <c r="B18" s="482"/>
      <c r="C18" s="266"/>
      <c r="D18" s="237"/>
      <c r="E18" s="261"/>
      <c r="F18" s="181"/>
      <c r="G18" s="482"/>
      <c r="H18" s="266"/>
      <c r="I18" s="237"/>
      <c r="J18" s="261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" customHeight="1" x14ac:dyDescent="0.45">
      <c r="A19" s="82"/>
      <c r="B19" s="482"/>
      <c r="C19" s="266"/>
      <c r="D19" s="237"/>
      <c r="E19" s="261"/>
      <c r="F19" s="181"/>
      <c r="G19" s="482"/>
      <c r="H19" s="266"/>
      <c r="I19" s="237"/>
      <c r="J19" s="261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3.5" customHeight="1" x14ac:dyDescent="0.45">
      <c r="A20" s="82"/>
      <c r="B20" s="483"/>
      <c r="C20" s="253"/>
      <c r="D20" s="254"/>
      <c r="E20" s="255"/>
      <c r="F20" s="181"/>
      <c r="G20" s="483"/>
      <c r="H20" s="253"/>
      <c r="I20" s="254"/>
      <c r="J20" s="255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5.75" customHeight="1" x14ac:dyDescent="0.45">
      <c r="A21" s="82"/>
      <c r="B21" s="481" t="s">
        <v>412</v>
      </c>
      <c r="C21" s="518"/>
      <c r="D21" s="519" t="s">
        <v>472</v>
      </c>
      <c r="E21" s="518"/>
      <c r="F21" s="181"/>
      <c r="G21" s="481" t="s">
        <v>412</v>
      </c>
      <c r="H21" s="518"/>
      <c r="I21" s="519" t="s">
        <v>472</v>
      </c>
      <c r="J21" s="518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5" customHeight="1" x14ac:dyDescent="0.45">
      <c r="A22" s="82"/>
      <c r="B22" s="482"/>
      <c r="C22" s="482"/>
      <c r="D22" s="261"/>
      <c r="E22" s="483"/>
      <c r="F22" s="174"/>
      <c r="G22" s="482"/>
      <c r="H22" s="482"/>
      <c r="I22" s="261"/>
      <c r="J22" s="483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45">
      <c r="A23" s="82"/>
      <c r="B23" s="482"/>
      <c r="C23" s="482"/>
      <c r="D23" s="481" t="s">
        <v>183</v>
      </c>
      <c r="E23" s="518"/>
      <c r="F23" s="174"/>
      <c r="G23" s="482"/>
      <c r="H23" s="482"/>
      <c r="I23" s="481" t="s">
        <v>183</v>
      </c>
      <c r="J23" s="518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45">
      <c r="A24" s="82"/>
      <c r="B24" s="483"/>
      <c r="C24" s="483"/>
      <c r="D24" s="483"/>
      <c r="E24" s="483"/>
      <c r="F24" s="174"/>
      <c r="G24" s="483"/>
      <c r="H24" s="483"/>
      <c r="I24" s="483"/>
      <c r="J24" s="483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12"/>
      <c r="C25" s="12"/>
      <c r="D25" s="12"/>
      <c r="E25" s="12"/>
      <c r="F25" s="12"/>
      <c r="G25" s="12"/>
      <c r="H25" s="12"/>
      <c r="I25" s="12"/>
      <c r="J25" s="1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8" customHeight="1" x14ac:dyDescent="0.45">
      <c r="A26" s="82"/>
      <c r="B26" s="494"/>
      <c r="C26" s="481" t="s">
        <v>0</v>
      </c>
      <c r="D26" s="146" t="s">
        <v>1</v>
      </c>
      <c r="E26" s="146" t="s">
        <v>464</v>
      </c>
      <c r="F26" s="12"/>
      <c r="G26" s="494"/>
      <c r="H26" s="481" t="s">
        <v>0</v>
      </c>
      <c r="I26" s="146" t="s">
        <v>1</v>
      </c>
      <c r="J26" s="146" t="s">
        <v>464</v>
      </c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8.75" customHeight="1" x14ac:dyDescent="0.45">
      <c r="A27" s="82"/>
      <c r="B27" s="266"/>
      <c r="C27" s="482"/>
      <c r="D27" s="147" t="s">
        <v>3</v>
      </c>
      <c r="E27" s="166">
        <v>1</v>
      </c>
      <c r="F27" s="12"/>
      <c r="G27" s="266"/>
      <c r="H27" s="482"/>
      <c r="I27" s="147" t="s">
        <v>3</v>
      </c>
      <c r="J27" s="166">
        <v>1</v>
      </c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7.25" customHeight="1" x14ac:dyDescent="0.45">
      <c r="A28" s="82"/>
      <c r="B28" s="266"/>
      <c r="C28" s="481" t="s">
        <v>465</v>
      </c>
      <c r="D28" s="208" t="s">
        <v>5</v>
      </c>
      <c r="E28" s="146" t="s">
        <v>6</v>
      </c>
      <c r="F28" s="12"/>
      <c r="G28" s="266"/>
      <c r="H28" s="481" t="s">
        <v>465</v>
      </c>
      <c r="I28" s="208" t="s">
        <v>5</v>
      </c>
      <c r="J28" s="146" t="s">
        <v>6</v>
      </c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7.25" customHeight="1" x14ac:dyDescent="0.45">
      <c r="A29" s="82"/>
      <c r="B29" s="266"/>
      <c r="C29" s="482"/>
      <c r="D29" s="495" t="s">
        <v>7</v>
      </c>
      <c r="E29" s="169" t="s">
        <v>204</v>
      </c>
      <c r="F29" s="12"/>
      <c r="G29" s="266"/>
      <c r="H29" s="482"/>
      <c r="I29" s="495" t="s">
        <v>7</v>
      </c>
      <c r="J29" s="169" t="s">
        <v>204</v>
      </c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5.75" customHeight="1" x14ac:dyDescent="0.45">
      <c r="A30" s="82"/>
      <c r="B30" s="266"/>
      <c r="C30" s="517"/>
      <c r="D30" s="310"/>
      <c r="E30" s="171" t="s">
        <v>205</v>
      </c>
      <c r="F30" s="12"/>
      <c r="G30" s="266"/>
      <c r="H30" s="517"/>
      <c r="I30" s="310"/>
      <c r="J30" s="171" t="s">
        <v>205</v>
      </c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43.5" customHeight="1" x14ac:dyDescent="0.45">
      <c r="A31" s="82"/>
      <c r="B31" s="145" t="s">
        <v>416</v>
      </c>
      <c r="C31" s="521"/>
      <c r="D31" s="216"/>
      <c r="E31" s="217"/>
      <c r="F31" s="174"/>
      <c r="G31" s="145" t="s">
        <v>416</v>
      </c>
      <c r="H31" s="521"/>
      <c r="I31" s="216"/>
      <c r="J31" s="217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30" customHeight="1" x14ac:dyDescent="0.45">
      <c r="A32" s="82"/>
      <c r="B32" s="212" t="s">
        <v>343</v>
      </c>
      <c r="C32" s="210"/>
      <c r="D32" s="211" t="s">
        <v>466</v>
      </c>
      <c r="E32" s="210"/>
      <c r="F32" s="174"/>
      <c r="G32" s="212" t="s">
        <v>343</v>
      </c>
      <c r="H32" s="210"/>
      <c r="I32" s="211" t="s">
        <v>466</v>
      </c>
      <c r="J32" s="210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36" customHeight="1" x14ac:dyDescent="0.45">
      <c r="A33" s="82"/>
      <c r="B33" s="145" t="s">
        <v>417</v>
      </c>
      <c r="C33" s="213"/>
      <c r="D33" s="214" t="s">
        <v>467</v>
      </c>
      <c r="E33" s="213"/>
      <c r="F33" s="174"/>
      <c r="G33" s="145" t="s">
        <v>417</v>
      </c>
      <c r="H33" s="213"/>
      <c r="I33" s="214" t="s">
        <v>467</v>
      </c>
      <c r="J33" s="213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42.75" customHeight="1" x14ac:dyDescent="0.45">
      <c r="A34" s="82"/>
      <c r="B34" s="145" t="s">
        <v>470</v>
      </c>
      <c r="C34" s="210"/>
      <c r="D34" s="211" t="s">
        <v>469</v>
      </c>
      <c r="E34" s="210"/>
      <c r="F34" s="181"/>
      <c r="G34" s="145" t="s">
        <v>470</v>
      </c>
      <c r="H34" s="210"/>
      <c r="I34" s="211" t="s">
        <v>469</v>
      </c>
      <c r="J34" s="210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2" customHeight="1" x14ac:dyDescent="0.45">
      <c r="A35" s="82"/>
      <c r="B35" s="481" t="s">
        <v>471</v>
      </c>
      <c r="C35" s="520"/>
      <c r="D35" s="251"/>
      <c r="E35" s="252"/>
      <c r="F35" s="181"/>
      <c r="G35" s="481" t="s">
        <v>471</v>
      </c>
      <c r="H35" s="520"/>
      <c r="I35" s="251"/>
      <c r="J35" s="25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2" customHeight="1" x14ac:dyDescent="0.45">
      <c r="A36" s="82"/>
      <c r="B36" s="482"/>
      <c r="C36" s="266"/>
      <c r="D36" s="237"/>
      <c r="E36" s="261"/>
      <c r="F36" s="181"/>
      <c r="G36" s="482"/>
      <c r="H36" s="266"/>
      <c r="I36" s="237"/>
      <c r="J36" s="261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9" customHeight="1" x14ac:dyDescent="0.45">
      <c r="A37" s="82"/>
      <c r="B37" s="482"/>
      <c r="C37" s="266"/>
      <c r="D37" s="237"/>
      <c r="E37" s="261"/>
      <c r="F37" s="181"/>
      <c r="G37" s="482"/>
      <c r="H37" s="266"/>
      <c r="I37" s="237"/>
      <c r="J37" s="261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24" customHeight="1" x14ac:dyDescent="0.45">
      <c r="A38" s="82"/>
      <c r="B38" s="483"/>
      <c r="C38" s="253"/>
      <c r="D38" s="254"/>
      <c r="E38" s="255"/>
      <c r="F38" s="181"/>
      <c r="G38" s="483"/>
      <c r="H38" s="253"/>
      <c r="I38" s="254"/>
      <c r="J38" s="255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481" t="s">
        <v>412</v>
      </c>
      <c r="C39" s="518"/>
      <c r="D39" s="519" t="s">
        <v>472</v>
      </c>
      <c r="E39" s="518"/>
      <c r="F39" s="181"/>
      <c r="G39" s="481" t="s">
        <v>412</v>
      </c>
      <c r="H39" s="518"/>
      <c r="I39" s="519" t="s">
        <v>472</v>
      </c>
      <c r="J39" s="518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482"/>
      <c r="C40" s="482"/>
      <c r="D40" s="261"/>
      <c r="E40" s="483"/>
      <c r="F40" s="174"/>
      <c r="G40" s="482"/>
      <c r="H40" s="482"/>
      <c r="I40" s="261"/>
      <c r="J40" s="483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482"/>
      <c r="C41" s="482"/>
      <c r="D41" s="481" t="s">
        <v>183</v>
      </c>
      <c r="E41" s="518"/>
      <c r="F41" s="174"/>
      <c r="G41" s="482"/>
      <c r="H41" s="482"/>
      <c r="I41" s="481" t="s">
        <v>183</v>
      </c>
      <c r="J41" s="518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483"/>
      <c r="C42" s="483"/>
      <c r="D42" s="483"/>
      <c r="E42" s="483"/>
      <c r="F42" s="174"/>
      <c r="G42" s="483"/>
      <c r="H42" s="483"/>
      <c r="I42" s="483"/>
      <c r="J42" s="483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2"/>
      <c r="C43" s="12"/>
      <c r="D43" s="12"/>
      <c r="E43" s="12"/>
      <c r="F43" s="12"/>
      <c r="G43" s="12"/>
      <c r="H43" s="12"/>
      <c r="I43" s="12"/>
      <c r="J43" s="1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" customHeight="1" x14ac:dyDescent="0.45">
      <c r="A44" s="82"/>
      <c r="B44" s="494"/>
      <c r="C44" s="481" t="s">
        <v>0</v>
      </c>
      <c r="D44" s="146" t="s">
        <v>1</v>
      </c>
      <c r="E44" s="146" t="s">
        <v>464</v>
      </c>
      <c r="F44" s="12"/>
      <c r="G44" s="494"/>
      <c r="H44" s="481" t="s">
        <v>0</v>
      </c>
      <c r="I44" s="146" t="s">
        <v>1</v>
      </c>
      <c r="J44" s="146" t="s">
        <v>464</v>
      </c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266"/>
      <c r="C45" s="482"/>
      <c r="D45" s="147" t="s">
        <v>3</v>
      </c>
      <c r="E45" s="166">
        <v>1</v>
      </c>
      <c r="F45" s="12"/>
      <c r="G45" s="266"/>
      <c r="H45" s="482"/>
      <c r="I45" s="147" t="s">
        <v>3</v>
      </c>
      <c r="J45" s="166">
        <v>1</v>
      </c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266"/>
      <c r="C46" s="481" t="s">
        <v>465</v>
      </c>
      <c r="D46" s="208" t="s">
        <v>5</v>
      </c>
      <c r="E46" s="146" t="s">
        <v>6</v>
      </c>
      <c r="F46" s="12"/>
      <c r="G46" s="266"/>
      <c r="H46" s="481" t="s">
        <v>465</v>
      </c>
      <c r="I46" s="208" t="s">
        <v>5</v>
      </c>
      <c r="J46" s="146" t="s">
        <v>6</v>
      </c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21" customHeight="1" x14ac:dyDescent="0.45">
      <c r="A47" s="82"/>
      <c r="B47" s="266"/>
      <c r="C47" s="482"/>
      <c r="D47" s="495" t="s">
        <v>7</v>
      </c>
      <c r="E47" s="169" t="s">
        <v>204</v>
      </c>
      <c r="F47" s="12"/>
      <c r="G47" s="266"/>
      <c r="H47" s="482"/>
      <c r="I47" s="495" t="s">
        <v>7</v>
      </c>
      <c r="J47" s="169" t="s">
        <v>204</v>
      </c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8.75" customHeight="1" x14ac:dyDescent="0.45">
      <c r="A48" s="82"/>
      <c r="B48" s="266"/>
      <c r="C48" s="517"/>
      <c r="D48" s="310"/>
      <c r="E48" s="171" t="s">
        <v>205</v>
      </c>
      <c r="F48" s="12"/>
      <c r="G48" s="266"/>
      <c r="H48" s="517"/>
      <c r="I48" s="310"/>
      <c r="J48" s="171" t="s">
        <v>205</v>
      </c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46.5" customHeight="1" x14ac:dyDescent="0.45">
      <c r="A49" s="82"/>
      <c r="B49" s="145" t="s">
        <v>416</v>
      </c>
      <c r="C49" s="521"/>
      <c r="D49" s="216"/>
      <c r="E49" s="217"/>
      <c r="F49" s="174"/>
      <c r="G49" s="145" t="s">
        <v>416</v>
      </c>
      <c r="H49" s="521"/>
      <c r="I49" s="216"/>
      <c r="J49" s="217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29.25" customHeight="1" x14ac:dyDescent="0.45">
      <c r="A50" s="82"/>
      <c r="B50" s="212" t="s">
        <v>343</v>
      </c>
      <c r="C50" s="210"/>
      <c r="D50" s="211" t="s">
        <v>466</v>
      </c>
      <c r="E50" s="210"/>
      <c r="F50" s="174"/>
      <c r="G50" s="212" t="s">
        <v>343</v>
      </c>
      <c r="H50" s="210"/>
      <c r="I50" s="211" t="s">
        <v>466</v>
      </c>
      <c r="J50" s="210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34.5" customHeight="1" x14ac:dyDescent="0.45">
      <c r="A51" s="82"/>
      <c r="B51" s="145" t="s">
        <v>417</v>
      </c>
      <c r="C51" s="213"/>
      <c r="D51" s="214" t="s">
        <v>467</v>
      </c>
      <c r="E51" s="213"/>
      <c r="F51" s="174"/>
      <c r="G51" s="145" t="s">
        <v>417</v>
      </c>
      <c r="H51" s="213"/>
      <c r="I51" s="214" t="s">
        <v>467</v>
      </c>
      <c r="J51" s="213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38.25" customHeight="1" x14ac:dyDescent="0.45">
      <c r="A52" s="82"/>
      <c r="B52" s="145" t="s">
        <v>470</v>
      </c>
      <c r="C52" s="210"/>
      <c r="D52" s="211" t="s">
        <v>469</v>
      </c>
      <c r="E52" s="210"/>
      <c r="F52" s="181"/>
      <c r="G52" s="145" t="s">
        <v>470</v>
      </c>
      <c r="H52" s="210"/>
      <c r="I52" s="211" t="s">
        <v>469</v>
      </c>
      <c r="J52" s="210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8.75" customHeight="1" x14ac:dyDescent="0.45">
      <c r="A53" s="82"/>
      <c r="B53" s="481" t="s">
        <v>471</v>
      </c>
      <c r="C53" s="520"/>
      <c r="D53" s="251"/>
      <c r="E53" s="252"/>
      <c r="F53" s="181"/>
      <c r="G53" s="481" t="s">
        <v>471</v>
      </c>
      <c r="H53" s="520"/>
      <c r="I53" s="251"/>
      <c r="J53" s="25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6.5" customHeight="1" x14ac:dyDescent="0.45">
      <c r="A54" s="82"/>
      <c r="B54" s="482"/>
      <c r="C54" s="266"/>
      <c r="D54" s="237"/>
      <c r="E54" s="261"/>
      <c r="F54" s="181"/>
      <c r="G54" s="482"/>
      <c r="H54" s="266"/>
      <c r="I54" s="237"/>
      <c r="J54" s="261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9.75" customHeight="1" x14ac:dyDescent="0.45">
      <c r="A55" s="82"/>
      <c r="B55" s="482"/>
      <c r="C55" s="266"/>
      <c r="D55" s="237"/>
      <c r="E55" s="261"/>
      <c r="F55" s="181"/>
      <c r="G55" s="482"/>
      <c r="H55" s="266"/>
      <c r="I55" s="237"/>
      <c r="J55" s="261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3.5" customHeight="1" x14ac:dyDescent="0.45">
      <c r="A56" s="82"/>
      <c r="B56" s="483"/>
      <c r="C56" s="253"/>
      <c r="D56" s="254"/>
      <c r="E56" s="255"/>
      <c r="F56" s="181"/>
      <c r="G56" s="483"/>
      <c r="H56" s="253"/>
      <c r="I56" s="254"/>
      <c r="J56" s="255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481" t="s">
        <v>412</v>
      </c>
      <c r="C57" s="518"/>
      <c r="D57" s="519" t="s">
        <v>472</v>
      </c>
      <c r="E57" s="518"/>
      <c r="F57" s="181"/>
      <c r="G57" s="481" t="s">
        <v>412</v>
      </c>
      <c r="H57" s="518"/>
      <c r="I57" s="519" t="s">
        <v>472</v>
      </c>
      <c r="J57" s="518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482"/>
      <c r="C58" s="482"/>
      <c r="D58" s="261"/>
      <c r="E58" s="483"/>
      <c r="F58" s="174"/>
      <c r="G58" s="482"/>
      <c r="H58" s="482"/>
      <c r="I58" s="261"/>
      <c r="J58" s="483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482"/>
      <c r="C59" s="482"/>
      <c r="D59" s="481" t="s">
        <v>183</v>
      </c>
      <c r="E59" s="518"/>
      <c r="F59" s="174"/>
      <c r="G59" s="482"/>
      <c r="H59" s="482"/>
      <c r="I59" s="481" t="s">
        <v>183</v>
      </c>
      <c r="J59" s="518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483"/>
      <c r="C60" s="483"/>
      <c r="D60" s="483"/>
      <c r="E60" s="483"/>
      <c r="F60" s="174"/>
      <c r="G60" s="483"/>
      <c r="H60" s="483"/>
      <c r="I60" s="483"/>
      <c r="J60" s="483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2"/>
      <c r="C61" s="12"/>
      <c r="D61" s="12"/>
      <c r="E61" s="12"/>
      <c r="F61" s="12"/>
      <c r="G61" s="12"/>
      <c r="H61" s="12"/>
      <c r="I61" s="12"/>
      <c r="J61" s="1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21" customHeight="1" x14ac:dyDescent="0.45">
      <c r="A62" s="82"/>
      <c r="B62" s="494"/>
      <c r="C62" s="481" t="s">
        <v>0</v>
      </c>
      <c r="D62" s="146" t="s">
        <v>1</v>
      </c>
      <c r="E62" s="146" t="s">
        <v>464</v>
      </c>
      <c r="F62" s="12"/>
      <c r="G62" s="494"/>
      <c r="H62" s="481" t="s">
        <v>0</v>
      </c>
      <c r="I62" s="146" t="s">
        <v>1</v>
      </c>
      <c r="J62" s="146" t="s">
        <v>464</v>
      </c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21" customHeight="1" x14ac:dyDescent="0.45">
      <c r="A63" s="82"/>
      <c r="B63" s="266"/>
      <c r="C63" s="482"/>
      <c r="D63" s="147" t="s">
        <v>3</v>
      </c>
      <c r="E63" s="166">
        <v>1</v>
      </c>
      <c r="F63" s="12"/>
      <c r="G63" s="266"/>
      <c r="H63" s="482"/>
      <c r="I63" s="147" t="s">
        <v>3</v>
      </c>
      <c r="J63" s="166">
        <v>1</v>
      </c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21" customHeight="1" x14ac:dyDescent="0.45">
      <c r="A64" s="82"/>
      <c r="B64" s="266"/>
      <c r="C64" s="481" t="s">
        <v>465</v>
      </c>
      <c r="D64" s="208" t="s">
        <v>5</v>
      </c>
      <c r="E64" s="146" t="s">
        <v>6</v>
      </c>
      <c r="F64" s="12"/>
      <c r="G64" s="266"/>
      <c r="H64" s="481" t="s">
        <v>465</v>
      </c>
      <c r="I64" s="208" t="s">
        <v>5</v>
      </c>
      <c r="J64" s="146" t="s">
        <v>6</v>
      </c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22.5" customHeight="1" x14ac:dyDescent="0.45">
      <c r="A65" s="82"/>
      <c r="B65" s="266"/>
      <c r="C65" s="482"/>
      <c r="D65" s="495" t="s">
        <v>7</v>
      </c>
      <c r="E65" s="169" t="s">
        <v>204</v>
      </c>
      <c r="F65" s="12"/>
      <c r="G65" s="266"/>
      <c r="H65" s="482"/>
      <c r="I65" s="495" t="s">
        <v>7</v>
      </c>
      <c r="J65" s="169" t="s">
        <v>204</v>
      </c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8.75" customHeight="1" x14ac:dyDescent="0.45">
      <c r="A66" s="82"/>
      <c r="B66" s="266"/>
      <c r="C66" s="517"/>
      <c r="D66" s="310"/>
      <c r="E66" s="171" t="s">
        <v>205</v>
      </c>
      <c r="F66" s="12"/>
      <c r="G66" s="266"/>
      <c r="H66" s="517"/>
      <c r="I66" s="310"/>
      <c r="J66" s="171" t="s">
        <v>205</v>
      </c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45" customHeight="1" x14ac:dyDescent="0.45">
      <c r="A67" s="82"/>
      <c r="B67" s="145" t="s">
        <v>416</v>
      </c>
      <c r="C67" s="521"/>
      <c r="D67" s="216"/>
      <c r="E67" s="217"/>
      <c r="F67" s="174"/>
      <c r="G67" s="145" t="s">
        <v>416</v>
      </c>
      <c r="H67" s="521"/>
      <c r="I67" s="216"/>
      <c r="J67" s="217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30" customHeight="1" x14ac:dyDescent="0.45">
      <c r="A68" s="82"/>
      <c r="B68" s="212" t="s">
        <v>343</v>
      </c>
      <c r="C68" s="210"/>
      <c r="D68" s="211" t="s">
        <v>466</v>
      </c>
      <c r="E68" s="210"/>
      <c r="F68" s="174"/>
      <c r="G68" s="212" t="s">
        <v>343</v>
      </c>
      <c r="H68" s="210"/>
      <c r="I68" s="211" t="s">
        <v>466</v>
      </c>
      <c r="J68" s="210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45" customHeight="1" x14ac:dyDescent="0.45">
      <c r="A69" s="82"/>
      <c r="B69" s="145" t="s">
        <v>417</v>
      </c>
      <c r="C69" s="213"/>
      <c r="D69" s="214" t="s">
        <v>467</v>
      </c>
      <c r="E69" s="213"/>
      <c r="F69" s="174"/>
      <c r="G69" s="145" t="s">
        <v>417</v>
      </c>
      <c r="H69" s="213"/>
      <c r="I69" s="214" t="s">
        <v>467</v>
      </c>
      <c r="J69" s="213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36" customHeight="1" x14ac:dyDescent="0.45">
      <c r="A70" s="82"/>
      <c r="B70" s="145" t="s">
        <v>470</v>
      </c>
      <c r="C70" s="210"/>
      <c r="D70" s="211" t="s">
        <v>469</v>
      </c>
      <c r="E70" s="210"/>
      <c r="F70" s="181"/>
      <c r="G70" s="145" t="s">
        <v>470</v>
      </c>
      <c r="H70" s="210"/>
      <c r="I70" s="211" t="s">
        <v>469</v>
      </c>
      <c r="J70" s="210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2" customHeight="1" x14ac:dyDescent="0.45">
      <c r="A71" s="82"/>
      <c r="B71" s="481" t="s">
        <v>471</v>
      </c>
      <c r="C71" s="520"/>
      <c r="D71" s="251"/>
      <c r="E71" s="252"/>
      <c r="F71" s="181"/>
      <c r="G71" s="481" t="s">
        <v>471</v>
      </c>
      <c r="H71" s="520"/>
      <c r="I71" s="251"/>
      <c r="J71" s="25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3" customHeight="1" x14ac:dyDescent="0.45">
      <c r="A72" s="82"/>
      <c r="B72" s="482"/>
      <c r="C72" s="266"/>
      <c r="D72" s="237"/>
      <c r="E72" s="261"/>
      <c r="F72" s="181"/>
      <c r="G72" s="482"/>
      <c r="H72" s="266"/>
      <c r="I72" s="237"/>
      <c r="J72" s="261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6.5" customHeight="1" x14ac:dyDescent="0.45">
      <c r="A73" s="82"/>
      <c r="B73" s="482"/>
      <c r="C73" s="266"/>
      <c r="D73" s="237"/>
      <c r="E73" s="261"/>
      <c r="F73" s="181"/>
      <c r="G73" s="482"/>
      <c r="H73" s="266"/>
      <c r="I73" s="237"/>
      <c r="J73" s="261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25.5" customHeight="1" x14ac:dyDescent="0.45">
      <c r="A74" s="82"/>
      <c r="B74" s="483"/>
      <c r="C74" s="253"/>
      <c r="D74" s="254"/>
      <c r="E74" s="255"/>
      <c r="F74" s="181"/>
      <c r="G74" s="483"/>
      <c r="H74" s="253"/>
      <c r="I74" s="254"/>
      <c r="J74" s="255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481" t="s">
        <v>412</v>
      </c>
      <c r="C75" s="518"/>
      <c r="D75" s="519" t="s">
        <v>472</v>
      </c>
      <c r="E75" s="518"/>
      <c r="F75" s="181"/>
      <c r="G75" s="481" t="s">
        <v>412</v>
      </c>
      <c r="H75" s="518"/>
      <c r="I75" s="519" t="s">
        <v>472</v>
      </c>
      <c r="J75" s="518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482"/>
      <c r="C76" s="482"/>
      <c r="D76" s="261"/>
      <c r="E76" s="483"/>
      <c r="F76" s="174"/>
      <c r="G76" s="482"/>
      <c r="H76" s="482"/>
      <c r="I76" s="261"/>
      <c r="J76" s="483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482"/>
      <c r="C77" s="482"/>
      <c r="D77" s="481" t="s">
        <v>183</v>
      </c>
      <c r="E77" s="518"/>
      <c r="F77" s="174"/>
      <c r="G77" s="482"/>
      <c r="H77" s="482"/>
      <c r="I77" s="481" t="s">
        <v>183</v>
      </c>
      <c r="J77" s="518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483"/>
      <c r="C78" s="483"/>
      <c r="D78" s="483"/>
      <c r="E78" s="483"/>
      <c r="F78" s="174"/>
      <c r="G78" s="483"/>
      <c r="H78" s="483"/>
      <c r="I78" s="483"/>
      <c r="J78" s="483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2"/>
      <c r="C79" s="12"/>
      <c r="D79" s="12"/>
      <c r="E79" s="12"/>
      <c r="F79" s="12"/>
      <c r="G79" s="12"/>
      <c r="H79" s="12"/>
      <c r="I79" s="12"/>
      <c r="J79" s="1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2"/>
      <c r="C80" s="12"/>
      <c r="D80" s="12"/>
      <c r="E80" s="12"/>
      <c r="F80" s="12"/>
      <c r="G80" s="12"/>
      <c r="H80" s="12"/>
      <c r="I80" s="12"/>
      <c r="J80" s="1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2"/>
      <c r="C81" s="12"/>
      <c r="D81" s="12"/>
      <c r="E81" s="12"/>
      <c r="F81" s="12"/>
      <c r="G81" s="12"/>
      <c r="H81" s="12"/>
      <c r="I81" s="12"/>
      <c r="J81" s="1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2"/>
      <c r="C82" s="12"/>
      <c r="D82" s="12"/>
      <c r="E82" s="12"/>
      <c r="F82" s="12"/>
      <c r="G82" s="12"/>
      <c r="H82" s="12"/>
      <c r="I82" s="12"/>
      <c r="J82" s="1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2"/>
      <c r="C83" s="12"/>
      <c r="D83" s="12"/>
      <c r="E83" s="12"/>
      <c r="F83" s="12"/>
      <c r="G83" s="12"/>
      <c r="H83" s="12"/>
      <c r="I83" s="12"/>
      <c r="J83" s="1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2"/>
      <c r="C84" s="12"/>
      <c r="D84" s="12"/>
      <c r="E84" s="12"/>
      <c r="F84" s="12"/>
      <c r="G84" s="12"/>
      <c r="H84" s="12"/>
      <c r="I84" s="12"/>
      <c r="J84" s="1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2"/>
      <c r="C85" s="12"/>
      <c r="D85" s="12"/>
      <c r="E85" s="12"/>
      <c r="F85" s="12"/>
      <c r="G85" s="12"/>
      <c r="H85" s="12"/>
      <c r="I85" s="12"/>
      <c r="J85" s="1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2"/>
      <c r="C86" s="12"/>
      <c r="D86" s="12"/>
      <c r="E86" s="12"/>
      <c r="F86" s="12"/>
      <c r="G86" s="12"/>
      <c r="H86" s="12"/>
      <c r="I86" s="12"/>
      <c r="J86" s="1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2"/>
      <c r="C87" s="12"/>
      <c r="D87" s="12"/>
      <c r="E87" s="12"/>
      <c r="F87" s="12"/>
      <c r="G87" s="12"/>
      <c r="H87" s="12"/>
      <c r="I87" s="12"/>
      <c r="J87" s="1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2"/>
      <c r="C88" s="12"/>
      <c r="D88" s="12"/>
      <c r="E88" s="12"/>
      <c r="F88" s="12"/>
      <c r="G88" s="12"/>
      <c r="H88" s="12"/>
      <c r="I88" s="12"/>
      <c r="J88" s="1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2"/>
      <c r="C89" s="12"/>
      <c r="D89" s="12"/>
      <c r="E89" s="12"/>
      <c r="F89" s="12"/>
      <c r="G89" s="12"/>
      <c r="H89" s="12"/>
      <c r="I89" s="12"/>
      <c r="J89" s="1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2"/>
      <c r="C90" s="12"/>
      <c r="D90" s="12"/>
      <c r="E90" s="12"/>
      <c r="F90" s="12"/>
      <c r="G90" s="12"/>
      <c r="H90" s="12"/>
      <c r="I90" s="12"/>
      <c r="J90" s="1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2"/>
      <c r="C91" s="12"/>
      <c r="D91" s="12"/>
      <c r="E91" s="12"/>
      <c r="F91" s="12"/>
      <c r="G91" s="12"/>
      <c r="H91" s="12"/>
      <c r="I91" s="12"/>
      <c r="J91" s="1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2"/>
      <c r="C92" s="12"/>
      <c r="D92" s="12"/>
      <c r="E92" s="12"/>
      <c r="F92" s="12"/>
      <c r="G92" s="12"/>
      <c r="H92" s="12"/>
      <c r="I92" s="12"/>
      <c r="J92" s="1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2"/>
      <c r="C93" s="12"/>
      <c r="D93" s="12"/>
      <c r="E93" s="12"/>
      <c r="F93" s="12"/>
      <c r="G93" s="12"/>
      <c r="H93" s="12"/>
      <c r="I93" s="12"/>
      <c r="J93" s="1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2"/>
      <c r="C94" s="12"/>
      <c r="D94" s="12"/>
      <c r="E94" s="12"/>
      <c r="F94" s="12"/>
      <c r="G94" s="12"/>
      <c r="H94" s="12"/>
      <c r="I94" s="12"/>
      <c r="J94" s="1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2"/>
      <c r="C95" s="12"/>
      <c r="D95" s="12"/>
      <c r="E95" s="12"/>
      <c r="F95" s="12"/>
      <c r="G95" s="12"/>
      <c r="H95" s="12"/>
      <c r="I95" s="12"/>
      <c r="J95" s="1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2"/>
      <c r="C96" s="12"/>
      <c r="D96" s="12"/>
      <c r="E96" s="12"/>
      <c r="F96" s="12"/>
      <c r="G96" s="12"/>
      <c r="H96" s="12"/>
      <c r="I96" s="12"/>
      <c r="J96" s="1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2"/>
      <c r="C97" s="12"/>
      <c r="D97" s="12"/>
      <c r="E97" s="12"/>
      <c r="F97" s="12"/>
      <c r="G97" s="12"/>
      <c r="H97" s="12"/>
      <c r="I97" s="12"/>
      <c r="J97" s="1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2"/>
      <c r="C98" s="12"/>
      <c r="D98" s="12"/>
      <c r="E98" s="12"/>
      <c r="F98" s="12"/>
      <c r="G98" s="12"/>
      <c r="H98" s="12"/>
      <c r="I98" s="12"/>
      <c r="J98" s="1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2"/>
      <c r="C99" s="12"/>
      <c r="D99" s="12"/>
      <c r="E99" s="12"/>
      <c r="F99" s="12"/>
      <c r="G99" s="12"/>
      <c r="H99" s="12"/>
      <c r="I99" s="12"/>
      <c r="J99" s="1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2"/>
      <c r="C100" s="12"/>
      <c r="D100" s="12"/>
      <c r="E100" s="12"/>
      <c r="F100" s="12"/>
      <c r="G100" s="12"/>
      <c r="H100" s="12"/>
      <c r="I100" s="12"/>
      <c r="J100" s="1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2"/>
      <c r="C101" s="12"/>
      <c r="D101" s="12"/>
      <c r="E101" s="12"/>
      <c r="F101" s="12"/>
      <c r="G101" s="12"/>
      <c r="H101" s="12"/>
      <c r="I101" s="12"/>
      <c r="J101" s="1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2"/>
      <c r="C102" s="12"/>
      <c r="D102" s="12"/>
      <c r="E102" s="12"/>
      <c r="F102" s="12"/>
      <c r="G102" s="12"/>
      <c r="H102" s="12"/>
      <c r="I102" s="12"/>
      <c r="J102" s="1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2"/>
      <c r="C103" s="12"/>
      <c r="D103" s="12"/>
      <c r="E103" s="12"/>
      <c r="F103" s="12"/>
      <c r="G103" s="12"/>
      <c r="H103" s="12"/>
      <c r="I103" s="12"/>
      <c r="J103" s="1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2"/>
      <c r="C104" s="12"/>
      <c r="D104" s="12"/>
      <c r="E104" s="12"/>
      <c r="F104" s="12"/>
      <c r="G104" s="12"/>
      <c r="H104" s="12"/>
      <c r="I104" s="12"/>
      <c r="J104" s="1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2"/>
      <c r="C105" s="12"/>
      <c r="D105" s="12"/>
      <c r="E105" s="12"/>
      <c r="F105" s="12"/>
      <c r="G105" s="12"/>
      <c r="H105" s="12"/>
      <c r="I105" s="12"/>
      <c r="J105" s="1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2"/>
      <c r="C106" s="12"/>
      <c r="D106" s="12"/>
      <c r="E106" s="12"/>
      <c r="F106" s="12"/>
      <c r="G106" s="12"/>
      <c r="H106" s="12"/>
      <c r="I106" s="12"/>
      <c r="J106" s="1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2"/>
      <c r="C107" s="12"/>
      <c r="D107" s="12"/>
      <c r="E107" s="12"/>
      <c r="F107" s="12"/>
      <c r="G107" s="12"/>
      <c r="H107" s="12"/>
      <c r="I107" s="12"/>
      <c r="J107" s="1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2"/>
      <c r="C108" s="12"/>
      <c r="D108" s="12"/>
      <c r="E108" s="12"/>
      <c r="F108" s="12"/>
      <c r="G108" s="12"/>
      <c r="H108" s="12"/>
      <c r="I108" s="12"/>
      <c r="J108" s="1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2"/>
      <c r="C109" s="12"/>
      <c r="D109" s="12"/>
      <c r="E109" s="12"/>
      <c r="F109" s="12"/>
      <c r="G109" s="12"/>
      <c r="H109" s="12"/>
      <c r="I109" s="12"/>
      <c r="J109" s="1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2"/>
      <c r="C110" s="12"/>
      <c r="D110" s="12"/>
      <c r="E110" s="12"/>
      <c r="F110" s="12"/>
      <c r="G110" s="12"/>
      <c r="H110" s="12"/>
      <c r="I110" s="12"/>
      <c r="J110" s="1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2"/>
      <c r="C111" s="12"/>
      <c r="D111" s="12"/>
      <c r="E111" s="12"/>
      <c r="F111" s="12"/>
      <c r="G111" s="12"/>
      <c r="H111" s="12"/>
      <c r="I111" s="12"/>
      <c r="J111" s="1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2"/>
      <c r="C112" s="12"/>
      <c r="D112" s="12"/>
      <c r="E112" s="12"/>
      <c r="F112" s="12"/>
      <c r="G112" s="12"/>
      <c r="H112" s="12"/>
      <c r="I112" s="12"/>
      <c r="J112" s="1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2"/>
      <c r="C113" s="12"/>
      <c r="D113" s="12"/>
      <c r="E113" s="12"/>
      <c r="F113" s="12"/>
      <c r="G113" s="12"/>
      <c r="H113" s="12"/>
      <c r="I113" s="12"/>
      <c r="J113" s="1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2"/>
      <c r="C114" s="12"/>
      <c r="D114" s="12"/>
      <c r="E114" s="12"/>
      <c r="F114" s="12"/>
      <c r="G114" s="12"/>
      <c r="H114" s="12"/>
      <c r="I114" s="12"/>
      <c r="J114" s="1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2"/>
      <c r="C115" s="12"/>
      <c r="D115" s="12"/>
      <c r="E115" s="12"/>
      <c r="F115" s="12"/>
      <c r="G115" s="12"/>
      <c r="H115" s="12"/>
      <c r="I115" s="12"/>
      <c r="J115" s="1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2"/>
      <c r="C116" s="12"/>
      <c r="D116" s="12"/>
      <c r="E116" s="12"/>
      <c r="F116" s="12"/>
      <c r="G116" s="12"/>
      <c r="H116" s="12"/>
      <c r="I116" s="12"/>
      <c r="J116" s="1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2"/>
      <c r="C117" s="12"/>
      <c r="D117" s="12"/>
      <c r="E117" s="12"/>
      <c r="F117" s="12"/>
      <c r="G117" s="12"/>
      <c r="H117" s="12"/>
      <c r="I117" s="12"/>
      <c r="J117" s="1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2"/>
      <c r="C118" s="12"/>
      <c r="D118" s="12"/>
      <c r="E118" s="12"/>
      <c r="F118" s="12"/>
      <c r="G118" s="12"/>
      <c r="H118" s="12"/>
      <c r="I118" s="12"/>
      <c r="J118" s="1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2"/>
      <c r="C119" s="12"/>
      <c r="D119" s="12"/>
      <c r="E119" s="12"/>
      <c r="F119" s="12"/>
      <c r="G119" s="12"/>
      <c r="H119" s="12"/>
      <c r="I119" s="12"/>
      <c r="J119" s="1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2"/>
      <c r="C120" s="12"/>
      <c r="D120" s="12"/>
      <c r="E120" s="12"/>
      <c r="F120" s="12"/>
      <c r="G120" s="12"/>
      <c r="H120" s="12"/>
      <c r="I120" s="12"/>
      <c r="J120" s="1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2"/>
      <c r="C121" s="12"/>
      <c r="D121" s="12"/>
      <c r="E121" s="12"/>
      <c r="F121" s="12"/>
      <c r="G121" s="12"/>
      <c r="H121" s="12"/>
      <c r="I121" s="12"/>
      <c r="J121" s="1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2"/>
      <c r="C122" s="12"/>
      <c r="D122" s="12"/>
      <c r="E122" s="12"/>
      <c r="F122" s="12"/>
      <c r="G122" s="12"/>
      <c r="H122" s="12"/>
      <c r="I122" s="12"/>
      <c r="J122" s="1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2"/>
      <c r="C123" s="12"/>
      <c r="D123" s="12"/>
      <c r="E123" s="12"/>
      <c r="F123" s="12"/>
      <c r="G123" s="12"/>
      <c r="H123" s="12"/>
      <c r="I123" s="12"/>
      <c r="J123" s="1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2"/>
      <c r="C124" s="12"/>
      <c r="D124" s="12"/>
      <c r="E124" s="12"/>
      <c r="F124" s="12"/>
      <c r="G124" s="12"/>
      <c r="H124" s="12"/>
      <c r="I124" s="12"/>
      <c r="J124" s="1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2"/>
      <c r="C125" s="12"/>
      <c r="D125" s="12"/>
      <c r="E125" s="12"/>
      <c r="F125" s="12"/>
      <c r="G125" s="12"/>
      <c r="H125" s="12"/>
      <c r="I125" s="12"/>
      <c r="J125" s="1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2"/>
      <c r="C126" s="12"/>
      <c r="D126" s="12"/>
      <c r="E126" s="12"/>
      <c r="F126" s="12"/>
      <c r="G126" s="12"/>
      <c r="H126" s="12"/>
      <c r="I126" s="12"/>
      <c r="J126" s="1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2"/>
      <c r="C127" s="12"/>
      <c r="D127" s="12"/>
      <c r="E127" s="12"/>
      <c r="F127" s="12"/>
      <c r="G127" s="12"/>
      <c r="H127" s="12"/>
      <c r="I127" s="12"/>
      <c r="J127" s="1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2"/>
      <c r="C128" s="12"/>
      <c r="D128" s="12"/>
      <c r="E128" s="12"/>
      <c r="F128" s="12"/>
      <c r="G128" s="12"/>
      <c r="H128" s="12"/>
      <c r="I128" s="12"/>
      <c r="J128" s="1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2"/>
      <c r="C129" s="12"/>
      <c r="D129" s="12"/>
      <c r="E129" s="12"/>
      <c r="F129" s="12"/>
      <c r="G129" s="12"/>
      <c r="H129" s="12"/>
      <c r="I129" s="12"/>
      <c r="J129" s="1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2"/>
      <c r="C130" s="12"/>
      <c r="D130" s="12"/>
      <c r="E130" s="12"/>
      <c r="F130" s="12"/>
      <c r="G130" s="12"/>
      <c r="H130" s="12"/>
      <c r="I130" s="12"/>
      <c r="J130" s="1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2"/>
      <c r="C131" s="12"/>
      <c r="D131" s="12"/>
      <c r="E131" s="12"/>
      <c r="F131" s="12"/>
      <c r="G131" s="12"/>
      <c r="H131" s="12"/>
      <c r="I131" s="12"/>
      <c r="J131" s="1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2"/>
      <c r="C132" s="12"/>
      <c r="D132" s="12"/>
      <c r="E132" s="12"/>
      <c r="F132" s="12"/>
      <c r="G132" s="12"/>
      <c r="H132" s="12"/>
      <c r="I132" s="12"/>
      <c r="J132" s="1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2"/>
      <c r="C133" s="12"/>
      <c r="D133" s="12"/>
      <c r="E133" s="12"/>
      <c r="F133" s="12"/>
      <c r="G133" s="12"/>
      <c r="H133" s="12"/>
      <c r="I133" s="12"/>
      <c r="J133" s="1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2"/>
      <c r="C134" s="12"/>
      <c r="D134" s="12"/>
      <c r="E134" s="12"/>
      <c r="F134" s="12"/>
      <c r="G134" s="12"/>
      <c r="H134" s="12"/>
      <c r="I134" s="12"/>
      <c r="J134" s="1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2"/>
      <c r="C135" s="12"/>
      <c r="D135" s="12"/>
      <c r="E135" s="12"/>
      <c r="F135" s="12"/>
      <c r="G135" s="12"/>
      <c r="H135" s="12"/>
      <c r="I135" s="12"/>
      <c r="J135" s="1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2"/>
      <c r="C136" s="12"/>
      <c r="D136" s="12"/>
      <c r="E136" s="12"/>
      <c r="F136" s="12"/>
      <c r="G136" s="12"/>
      <c r="H136" s="12"/>
      <c r="I136" s="12"/>
      <c r="J136" s="1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2"/>
      <c r="C137" s="12"/>
      <c r="D137" s="12"/>
      <c r="E137" s="12"/>
      <c r="F137" s="12"/>
      <c r="G137" s="12"/>
      <c r="H137" s="12"/>
      <c r="I137" s="12"/>
      <c r="J137" s="1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2"/>
      <c r="C138" s="12"/>
      <c r="D138" s="12"/>
      <c r="E138" s="12"/>
      <c r="F138" s="12"/>
      <c r="G138" s="12"/>
      <c r="H138" s="12"/>
      <c r="I138" s="12"/>
      <c r="J138" s="1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2"/>
      <c r="C139" s="12"/>
      <c r="D139" s="12"/>
      <c r="E139" s="12"/>
      <c r="F139" s="12"/>
      <c r="G139" s="12"/>
      <c r="H139" s="12"/>
      <c r="I139" s="12"/>
      <c r="J139" s="1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2"/>
      <c r="C140" s="12"/>
      <c r="D140" s="12"/>
      <c r="E140" s="12"/>
      <c r="F140" s="12"/>
      <c r="G140" s="12"/>
      <c r="H140" s="12"/>
      <c r="I140" s="12"/>
      <c r="J140" s="1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2"/>
      <c r="C141" s="12"/>
      <c r="D141" s="12"/>
      <c r="E141" s="12"/>
      <c r="F141" s="12"/>
      <c r="G141" s="12"/>
      <c r="H141" s="12"/>
      <c r="I141" s="12"/>
      <c r="J141" s="1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2"/>
      <c r="C142" s="12"/>
      <c r="D142" s="12"/>
      <c r="E142" s="12"/>
      <c r="F142" s="12"/>
      <c r="G142" s="12"/>
      <c r="H142" s="12"/>
      <c r="I142" s="12"/>
      <c r="J142" s="1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2"/>
      <c r="C143" s="12"/>
      <c r="D143" s="12"/>
      <c r="E143" s="12"/>
      <c r="F143" s="12"/>
      <c r="G143" s="12"/>
      <c r="H143" s="12"/>
      <c r="I143" s="12"/>
      <c r="J143" s="1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2"/>
      <c r="C144" s="12"/>
      <c r="D144" s="12"/>
      <c r="E144" s="12"/>
      <c r="F144" s="12"/>
      <c r="G144" s="12"/>
      <c r="H144" s="12"/>
      <c r="I144" s="12"/>
      <c r="J144" s="1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2"/>
      <c r="C145" s="12"/>
      <c r="D145" s="12"/>
      <c r="E145" s="12"/>
      <c r="F145" s="12"/>
      <c r="G145" s="12"/>
      <c r="H145" s="12"/>
      <c r="I145" s="12"/>
      <c r="J145" s="1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2"/>
      <c r="C146" s="12"/>
      <c r="D146" s="12"/>
      <c r="E146" s="12"/>
      <c r="F146" s="12"/>
      <c r="G146" s="12"/>
      <c r="H146" s="12"/>
      <c r="I146" s="12"/>
      <c r="J146" s="1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2"/>
      <c r="C147" s="12"/>
      <c r="D147" s="12"/>
      <c r="E147" s="12"/>
      <c r="F147" s="12"/>
      <c r="G147" s="12"/>
      <c r="H147" s="12"/>
      <c r="I147" s="12"/>
      <c r="J147" s="1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2"/>
      <c r="C148" s="12"/>
      <c r="D148" s="12"/>
      <c r="E148" s="12"/>
      <c r="F148" s="12"/>
      <c r="G148" s="12"/>
      <c r="H148" s="12"/>
      <c r="I148" s="12"/>
      <c r="J148" s="1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2"/>
      <c r="C149" s="12"/>
      <c r="D149" s="12"/>
      <c r="E149" s="12"/>
      <c r="F149" s="12"/>
      <c r="G149" s="12"/>
      <c r="H149" s="12"/>
      <c r="I149" s="12"/>
      <c r="J149" s="1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2"/>
      <c r="C150" s="12"/>
      <c r="D150" s="12"/>
      <c r="E150" s="12"/>
      <c r="F150" s="12"/>
      <c r="G150" s="12"/>
      <c r="H150" s="12"/>
      <c r="I150" s="12"/>
      <c r="J150" s="1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2"/>
      <c r="C151" s="12"/>
      <c r="D151" s="12"/>
      <c r="E151" s="12"/>
      <c r="F151" s="12"/>
      <c r="G151" s="12"/>
      <c r="H151" s="12"/>
      <c r="I151" s="12"/>
      <c r="J151" s="1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2"/>
      <c r="C152" s="12"/>
      <c r="D152" s="12"/>
      <c r="E152" s="12"/>
      <c r="F152" s="12"/>
      <c r="G152" s="12"/>
      <c r="H152" s="12"/>
      <c r="I152" s="12"/>
      <c r="J152" s="1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2"/>
      <c r="C153" s="12"/>
      <c r="D153" s="12"/>
      <c r="E153" s="12"/>
      <c r="F153" s="12"/>
      <c r="G153" s="12"/>
      <c r="H153" s="12"/>
      <c r="I153" s="12"/>
      <c r="J153" s="1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2"/>
      <c r="C154" s="12"/>
      <c r="D154" s="12"/>
      <c r="E154" s="12"/>
      <c r="F154" s="12"/>
      <c r="G154" s="12"/>
      <c r="H154" s="12"/>
      <c r="I154" s="12"/>
      <c r="J154" s="1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2"/>
      <c r="C155" s="12"/>
      <c r="D155" s="12"/>
      <c r="E155" s="12"/>
      <c r="F155" s="12"/>
      <c r="G155" s="12"/>
      <c r="H155" s="12"/>
      <c r="I155" s="12"/>
      <c r="J155" s="1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2"/>
      <c r="C156" s="12"/>
      <c r="D156" s="12"/>
      <c r="E156" s="12"/>
      <c r="F156" s="12"/>
      <c r="G156" s="12"/>
      <c r="H156" s="12"/>
      <c r="I156" s="12"/>
      <c r="J156" s="1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2"/>
      <c r="C157" s="12"/>
      <c r="D157" s="12"/>
      <c r="E157" s="12"/>
      <c r="F157" s="12"/>
      <c r="G157" s="12"/>
      <c r="H157" s="12"/>
      <c r="I157" s="12"/>
      <c r="J157" s="1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2"/>
      <c r="C158" s="12"/>
      <c r="D158" s="12"/>
      <c r="E158" s="12"/>
      <c r="F158" s="12"/>
      <c r="G158" s="12"/>
      <c r="H158" s="12"/>
      <c r="I158" s="12"/>
      <c r="J158" s="1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2"/>
      <c r="C159" s="12"/>
      <c r="D159" s="12"/>
      <c r="E159" s="12"/>
      <c r="F159" s="12"/>
      <c r="G159" s="12"/>
      <c r="H159" s="12"/>
      <c r="I159" s="12"/>
      <c r="J159" s="1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2"/>
      <c r="C160" s="12"/>
      <c r="D160" s="12"/>
      <c r="E160" s="12"/>
      <c r="F160" s="12"/>
      <c r="G160" s="12"/>
      <c r="H160" s="12"/>
      <c r="I160" s="12"/>
      <c r="J160" s="1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2"/>
      <c r="C161" s="12"/>
      <c r="D161" s="12"/>
      <c r="E161" s="12"/>
      <c r="F161" s="12"/>
      <c r="G161" s="12"/>
      <c r="H161" s="12"/>
      <c r="I161" s="12"/>
      <c r="J161" s="1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2"/>
      <c r="C162" s="12"/>
      <c r="D162" s="12"/>
      <c r="E162" s="12"/>
      <c r="F162" s="12"/>
      <c r="G162" s="12"/>
      <c r="H162" s="12"/>
      <c r="I162" s="12"/>
      <c r="J162" s="1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2"/>
      <c r="C163" s="12"/>
      <c r="D163" s="12"/>
      <c r="E163" s="12"/>
      <c r="F163" s="12"/>
      <c r="G163" s="12"/>
      <c r="H163" s="12"/>
      <c r="I163" s="12"/>
      <c r="J163" s="1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2"/>
      <c r="C164" s="12"/>
      <c r="D164" s="12"/>
      <c r="E164" s="12"/>
      <c r="F164" s="12"/>
      <c r="G164" s="12"/>
      <c r="H164" s="12"/>
      <c r="I164" s="12"/>
      <c r="J164" s="1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2"/>
      <c r="C165" s="12"/>
      <c r="D165" s="12"/>
      <c r="E165" s="12"/>
      <c r="F165" s="12"/>
      <c r="G165" s="12"/>
      <c r="H165" s="12"/>
      <c r="I165" s="12"/>
      <c r="J165" s="1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2"/>
      <c r="C166" s="12"/>
      <c r="D166" s="12"/>
      <c r="E166" s="12"/>
      <c r="F166" s="12"/>
      <c r="G166" s="12"/>
      <c r="H166" s="12"/>
      <c r="I166" s="12"/>
      <c r="J166" s="1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2"/>
      <c r="C167" s="12"/>
      <c r="D167" s="12"/>
      <c r="E167" s="12"/>
      <c r="F167" s="12"/>
      <c r="G167" s="12"/>
      <c r="H167" s="12"/>
      <c r="I167" s="12"/>
      <c r="J167" s="1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2"/>
      <c r="C168" s="12"/>
      <c r="D168" s="12"/>
      <c r="E168" s="12"/>
      <c r="F168" s="12"/>
      <c r="G168" s="12"/>
      <c r="H168" s="12"/>
      <c r="I168" s="12"/>
      <c r="J168" s="1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2"/>
      <c r="C169" s="12"/>
      <c r="D169" s="12"/>
      <c r="E169" s="12"/>
      <c r="F169" s="12"/>
      <c r="G169" s="12"/>
      <c r="H169" s="12"/>
      <c r="I169" s="12"/>
      <c r="J169" s="1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2"/>
      <c r="C170" s="12"/>
      <c r="D170" s="12"/>
      <c r="E170" s="12"/>
      <c r="F170" s="12"/>
      <c r="G170" s="12"/>
      <c r="H170" s="12"/>
      <c r="I170" s="12"/>
      <c r="J170" s="1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2"/>
      <c r="C171" s="12"/>
      <c r="D171" s="12"/>
      <c r="E171" s="12"/>
      <c r="F171" s="12"/>
      <c r="G171" s="12"/>
      <c r="H171" s="12"/>
      <c r="I171" s="12"/>
      <c r="J171" s="1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2"/>
      <c r="C172" s="12"/>
      <c r="D172" s="12"/>
      <c r="E172" s="12"/>
      <c r="F172" s="12"/>
      <c r="G172" s="12"/>
      <c r="H172" s="12"/>
      <c r="I172" s="12"/>
      <c r="J172" s="1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2"/>
      <c r="C173" s="12"/>
      <c r="D173" s="12"/>
      <c r="E173" s="12"/>
      <c r="F173" s="12"/>
      <c r="G173" s="12"/>
      <c r="H173" s="12"/>
      <c r="I173" s="12"/>
      <c r="J173" s="1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2"/>
      <c r="C174" s="12"/>
      <c r="D174" s="12"/>
      <c r="E174" s="12"/>
      <c r="F174" s="12"/>
      <c r="G174" s="12"/>
      <c r="H174" s="12"/>
      <c r="I174" s="12"/>
      <c r="J174" s="1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2"/>
      <c r="C175" s="12"/>
      <c r="D175" s="12"/>
      <c r="E175" s="12"/>
      <c r="F175" s="12"/>
      <c r="G175" s="12"/>
      <c r="H175" s="12"/>
      <c r="I175" s="12"/>
      <c r="J175" s="1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2"/>
      <c r="C176" s="12"/>
      <c r="D176" s="12"/>
      <c r="E176" s="12"/>
      <c r="F176" s="12"/>
      <c r="G176" s="12"/>
      <c r="H176" s="12"/>
      <c r="I176" s="12"/>
      <c r="J176" s="1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2"/>
      <c r="C177" s="12"/>
      <c r="D177" s="12"/>
      <c r="E177" s="12"/>
      <c r="F177" s="12"/>
      <c r="G177" s="12"/>
      <c r="H177" s="12"/>
      <c r="I177" s="12"/>
      <c r="J177" s="1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2"/>
      <c r="C178" s="12"/>
      <c r="D178" s="12"/>
      <c r="E178" s="12"/>
      <c r="F178" s="12"/>
      <c r="G178" s="12"/>
      <c r="H178" s="12"/>
      <c r="I178" s="12"/>
      <c r="J178" s="1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2"/>
      <c r="C179" s="12"/>
      <c r="D179" s="12"/>
      <c r="E179" s="12"/>
      <c r="F179" s="12"/>
      <c r="G179" s="12"/>
      <c r="H179" s="12"/>
      <c r="I179" s="12"/>
      <c r="J179" s="1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2"/>
      <c r="C180" s="12"/>
      <c r="D180" s="12"/>
      <c r="E180" s="12"/>
      <c r="F180" s="12"/>
      <c r="G180" s="12"/>
      <c r="H180" s="12"/>
      <c r="I180" s="12"/>
      <c r="J180" s="1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2"/>
      <c r="C181" s="12"/>
      <c r="D181" s="12"/>
      <c r="E181" s="12"/>
      <c r="F181" s="12"/>
      <c r="G181" s="12"/>
      <c r="H181" s="12"/>
      <c r="I181" s="12"/>
      <c r="J181" s="1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2"/>
      <c r="C182" s="12"/>
      <c r="D182" s="12"/>
      <c r="E182" s="12"/>
      <c r="F182" s="12"/>
      <c r="G182" s="12"/>
      <c r="H182" s="12"/>
      <c r="I182" s="12"/>
      <c r="J182" s="1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2"/>
      <c r="C183" s="12"/>
      <c r="D183" s="12"/>
      <c r="E183" s="12"/>
      <c r="F183" s="12"/>
      <c r="G183" s="12"/>
      <c r="H183" s="12"/>
      <c r="I183" s="12"/>
      <c r="J183" s="1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2"/>
      <c r="C184" s="12"/>
      <c r="D184" s="12"/>
      <c r="E184" s="12"/>
      <c r="F184" s="12"/>
      <c r="G184" s="12"/>
      <c r="H184" s="12"/>
      <c r="I184" s="12"/>
      <c r="J184" s="1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2"/>
      <c r="C185" s="12"/>
      <c r="D185" s="12"/>
      <c r="E185" s="12"/>
      <c r="F185" s="12"/>
      <c r="G185" s="12"/>
      <c r="H185" s="12"/>
      <c r="I185" s="12"/>
      <c r="J185" s="1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2"/>
      <c r="C186" s="12"/>
      <c r="D186" s="12"/>
      <c r="E186" s="12"/>
      <c r="F186" s="12"/>
      <c r="G186" s="12"/>
      <c r="H186" s="12"/>
      <c r="I186" s="12"/>
      <c r="J186" s="1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2"/>
      <c r="C187" s="12"/>
      <c r="D187" s="12"/>
      <c r="E187" s="12"/>
      <c r="F187" s="12"/>
      <c r="G187" s="12"/>
      <c r="H187" s="12"/>
      <c r="I187" s="12"/>
      <c r="J187" s="1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2"/>
      <c r="C188" s="12"/>
      <c r="D188" s="12"/>
      <c r="E188" s="12"/>
      <c r="F188" s="12"/>
      <c r="G188" s="12"/>
      <c r="H188" s="12"/>
      <c r="I188" s="12"/>
      <c r="J188" s="1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2"/>
      <c r="C189" s="12"/>
      <c r="D189" s="12"/>
      <c r="E189" s="12"/>
      <c r="F189" s="12"/>
      <c r="G189" s="12"/>
      <c r="H189" s="12"/>
      <c r="I189" s="12"/>
      <c r="J189" s="1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2"/>
      <c r="C190" s="12"/>
      <c r="D190" s="12"/>
      <c r="E190" s="12"/>
      <c r="F190" s="12"/>
      <c r="G190" s="12"/>
      <c r="H190" s="12"/>
      <c r="I190" s="12"/>
      <c r="J190" s="1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2"/>
      <c r="C191" s="12"/>
      <c r="D191" s="12"/>
      <c r="E191" s="12"/>
      <c r="F191" s="12"/>
      <c r="G191" s="12"/>
      <c r="H191" s="12"/>
      <c r="I191" s="12"/>
      <c r="J191" s="1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2"/>
      <c r="C192" s="12"/>
      <c r="D192" s="12"/>
      <c r="E192" s="12"/>
      <c r="F192" s="12"/>
      <c r="G192" s="12"/>
      <c r="H192" s="12"/>
      <c r="I192" s="12"/>
      <c r="J192" s="1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2"/>
      <c r="C193" s="12"/>
      <c r="D193" s="12"/>
      <c r="E193" s="12"/>
      <c r="F193" s="12"/>
      <c r="G193" s="12"/>
      <c r="H193" s="12"/>
      <c r="I193" s="12"/>
      <c r="J193" s="1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2"/>
      <c r="C194" s="12"/>
      <c r="D194" s="12"/>
      <c r="E194" s="12"/>
      <c r="F194" s="12"/>
      <c r="G194" s="12"/>
      <c r="H194" s="12"/>
      <c r="I194" s="12"/>
      <c r="J194" s="1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2"/>
      <c r="C195" s="12"/>
      <c r="D195" s="12"/>
      <c r="E195" s="12"/>
      <c r="F195" s="12"/>
      <c r="G195" s="12"/>
      <c r="H195" s="12"/>
      <c r="I195" s="12"/>
      <c r="J195" s="1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2"/>
      <c r="C196" s="12"/>
      <c r="D196" s="12"/>
      <c r="E196" s="12"/>
      <c r="F196" s="12"/>
      <c r="G196" s="12"/>
      <c r="H196" s="12"/>
      <c r="I196" s="12"/>
      <c r="J196" s="1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2"/>
      <c r="C197" s="12"/>
      <c r="D197" s="12"/>
      <c r="E197" s="12"/>
      <c r="F197" s="12"/>
      <c r="G197" s="12"/>
      <c r="H197" s="12"/>
      <c r="I197" s="12"/>
      <c r="J197" s="1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2"/>
      <c r="C198" s="12"/>
      <c r="D198" s="12"/>
      <c r="E198" s="12"/>
      <c r="F198" s="12"/>
      <c r="G198" s="12"/>
      <c r="H198" s="12"/>
      <c r="I198" s="12"/>
      <c r="J198" s="1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2"/>
      <c r="C199" s="12"/>
      <c r="D199" s="12"/>
      <c r="E199" s="12"/>
      <c r="F199" s="12"/>
      <c r="G199" s="12"/>
      <c r="H199" s="12"/>
      <c r="I199" s="12"/>
      <c r="J199" s="1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2"/>
      <c r="C200" s="12"/>
      <c r="D200" s="12"/>
      <c r="E200" s="12"/>
      <c r="F200" s="12"/>
      <c r="G200" s="12"/>
      <c r="H200" s="12"/>
      <c r="I200" s="12"/>
      <c r="J200" s="1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2"/>
      <c r="C201" s="12"/>
      <c r="D201" s="12"/>
      <c r="E201" s="12"/>
      <c r="F201" s="12"/>
      <c r="G201" s="12"/>
      <c r="H201" s="12"/>
      <c r="I201" s="12"/>
      <c r="J201" s="1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2"/>
      <c r="C202" s="12"/>
      <c r="D202" s="12"/>
      <c r="E202" s="12"/>
      <c r="F202" s="12"/>
      <c r="G202" s="12"/>
      <c r="H202" s="12"/>
      <c r="I202" s="12"/>
      <c r="J202" s="1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2"/>
      <c r="C203" s="12"/>
      <c r="D203" s="12"/>
      <c r="E203" s="12"/>
      <c r="F203" s="12"/>
      <c r="G203" s="12"/>
      <c r="H203" s="12"/>
      <c r="I203" s="12"/>
      <c r="J203" s="1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2"/>
      <c r="C204" s="12"/>
      <c r="D204" s="12"/>
      <c r="E204" s="12"/>
      <c r="F204" s="12"/>
      <c r="G204" s="12"/>
      <c r="H204" s="12"/>
      <c r="I204" s="12"/>
      <c r="J204" s="1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2"/>
      <c r="C205" s="12"/>
      <c r="D205" s="12"/>
      <c r="E205" s="12"/>
      <c r="F205" s="12"/>
      <c r="G205" s="12"/>
      <c r="H205" s="12"/>
      <c r="I205" s="12"/>
      <c r="J205" s="1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2"/>
      <c r="C206" s="12"/>
      <c r="D206" s="12"/>
      <c r="E206" s="12"/>
      <c r="F206" s="12"/>
      <c r="G206" s="12"/>
      <c r="H206" s="12"/>
      <c r="I206" s="12"/>
      <c r="J206" s="1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2"/>
      <c r="C207" s="12"/>
      <c r="D207" s="12"/>
      <c r="E207" s="12"/>
      <c r="F207" s="12"/>
      <c r="G207" s="12"/>
      <c r="H207" s="12"/>
      <c r="I207" s="12"/>
      <c r="J207" s="1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2"/>
      <c r="C208" s="12"/>
      <c r="D208" s="12"/>
      <c r="E208" s="12"/>
      <c r="F208" s="12"/>
      <c r="G208" s="12"/>
      <c r="H208" s="12"/>
      <c r="I208" s="12"/>
      <c r="J208" s="1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2"/>
      <c r="C209" s="12"/>
      <c r="D209" s="12"/>
      <c r="E209" s="12"/>
      <c r="F209" s="12"/>
      <c r="G209" s="12"/>
      <c r="H209" s="12"/>
      <c r="I209" s="12"/>
      <c r="J209" s="1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2"/>
      <c r="C210" s="12"/>
      <c r="D210" s="12"/>
      <c r="E210" s="12"/>
      <c r="F210" s="12"/>
      <c r="G210" s="12"/>
      <c r="H210" s="12"/>
      <c r="I210" s="12"/>
      <c r="J210" s="1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2"/>
      <c r="C211" s="12"/>
      <c r="D211" s="12"/>
      <c r="E211" s="12"/>
      <c r="F211" s="12"/>
      <c r="G211" s="12"/>
      <c r="H211" s="12"/>
      <c r="I211" s="12"/>
      <c r="J211" s="1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2"/>
      <c r="C212" s="12"/>
      <c r="D212" s="12"/>
      <c r="E212" s="12"/>
      <c r="F212" s="12"/>
      <c r="G212" s="12"/>
      <c r="H212" s="12"/>
      <c r="I212" s="12"/>
      <c r="J212" s="1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2"/>
      <c r="C213" s="12"/>
      <c r="D213" s="12"/>
      <c r="E213" s="12"/>
      <c r="F213" s="12"/>
      <c r="G213" s="12"/>
      <c r="H213" s="12"/>
      <c r="I213" s="12"/>
      <c r="J213" s="1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2"/>
      <c r="C214" s="12"/>
      <c r="D214" s="12"/>
      <c r="E214" s="12"/>
      <c r="F214" s="12"/>
      <c r="G214" s="12"/>
      <c r="H214" s="12"/>
      <c r="I214" s="12"/>
      <c r="J214" s="1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2"/>
      <c r="C215" s="12"/>
      <c r="D215" s="12"/>
      <c r="E215" s="12"/>
      <c r="F215" s="12"/>
      <c r="G215" s="12"/>
      <c r="H215" s="12"/>
      <c r="I215" s="12"/>
      <c r="J215" s="1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2"/>
      <c r="C216" s="12"/>
      <c r="D216" s="12"/>
      <c r="E216" s="12"/>
      <c r="F216" s="12"/>
      <c r="G216" s="12"/>
      <c r="H216" s="12"/>
      <c r="I216" s="12"/>
      <c r="J216" s="1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2"/>
      <c r="C217" s="12"/>
      <c r="D217" s="12"/>
      <c r="E217" s="12"/>
      <c r="F217" s="12"/>
      <c r="G217" s="12"/>
      <c r="H217" s="12"/>
      <c r="I217" s="12"/>
      <c r="J217" s="1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2"/>
      <c r="C218" s="12"/>
      <c r="D218" s="12"/>
      <c r="E218" s="12"/>
      <c r="F218" s="12"/>
      <c r="G218" s="12"/>
      <c r="H218" s="12"/>
      <c r="I218" s="12"/>
      <c r="J218" s="1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2"/>
      <c r="C219" s="12"/>
      <c r="D219" s="12"/>
      <c r="E219" s="12"/>
      <c r="F219" s="12"/>
      <c r="G219" s="12"/>
      <c r="H219" s="12"/>
      <c r="I219" s="12"/>
      <c r="J219" s="1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2"/>
      <c r="C220" s="12"/>
      <c r="D220" s="12"/>
      <c r="E220" s="12"/>
      <c r="F220" s="12"/>
      <c r="G220" s="12"/>
      <c r="H220" s="12"/>
      <c r="I220" s="12"/>
      <c r="J220" s="1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2"/>
      <c r="C221" s="12"/>
      <c r="D221" s="12"/>
      <c r="E221" s="12"/>
      <c r="F221" s="12"/>
      <c r="G221" s="12"/>
      <c r="H221" s="12"/>
      <c r="I221" s="12"/>
      <c r="J221" s="1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2"/>
      <c r="C222" s="12"/>
      <c r="D222" s="12"/>
      <c r="E222" s="12"/>
      <c r="F222" s="12"/>
      <c r="G222" s="12"/>
      <c r="H222" s="12"/>
      <c r="I222" s="12"/>
      <c r="J222" s="1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2"/>
      <c r="C223" s="12"/>
      <c r="D223" s="12"/>
      <c r="E223" s="12"/>
      <c r="F223" s="12"/>
      <c r="G223" s="12"/>
      <c r="H223" s="12"/>
      <c r="I223" s="12"/>
      <c r="J223" s="1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2"/>
      <c r="C224" s="12"/>
      <c r="D224" s="12"/>
      <c r="E224" s="12"/>
      <c r="F224" s="12"/>
      <c r="G224" s="12"/>
      <c r="H224" s="12"/>
      <c r="I224" s="12"/>
      <c r="J224" s="1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2"/>
      <c r="C225" s="12"/>
      <c r="D225" s="12"/>
      <c r="E225" s="12"/>
      <c r="F225" s="12"/>
      <c r="G225" s="12"/>
      <c r="H225" s="12"/>
      <c r="I225" s="12"/>
      <c r="J225" s="1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2"/>
      <c r="C226" s="12"/>
      <c r="D226" s="12"/>
      <c r="E226" s="12"/>
      <c r="F226" s="12"/>
      <c r="G226" s="12"/>
      <c r="H226" s="12"/>
      <c r="I226" s="12"/>
      <c r="J226" s="1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2"/>
      <c r="C227" s="12"/>
      <c r="D227" s="12"/>
      <c r="E227" s="12"/>
      <c r="F227" s="12"/>
      <c r="G227" s="12"/>
      <c r="H227" s="12"/>
      <c r="I227" s="12"/>
      <c r="J227" s="1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2"/>
      <c r="C228" s="12"/>
      <c r="D228" s="12"/>
      <c r="E228" s="12"/>
      <c r="F228" s="12"/>
      <c r="G228" s="12"/>
      <c r="H228" s="12"/>
      <c r="I228" s="12"/>
      <c r="J228" s="1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2"/>
      <c r="C229" s="12"/>
      <c r="D229" s="12"/>
      <c r="E229" s="12"/>
      <c r="F229" s="12"/>
      <c r="G229" s="12"/>
      <c r="H229" s="12"/>
      <c r="I229" s="12"/>
      <c r="J229" s="1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2"/>
      <c r="C230" s="12"/>
      <c r="D230" s="12"/>
      <c r="E230" s="12"/>
      <c r="F230" s="12"/>
      <c r="G230" s="12"/>
      <c r="H230" s="12"/>
      <c r="I230" s="12"/>
      <c r="J230" s="1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2"/>
      <c r="C231" s="12"/>
      <c r="D231" s="12"/>
      <c r="E231" s="12"/>
      <c r="F231" s="12"/>
      <c r="G231" s="12"/>
      <c r="H231" s="12"/>
      <c r="I231" s="12"/>
      <c r="J231" s="1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2"/>
      <c r="C232" s="12"/>
      <c r="D232" s="12"/>
      <c r="E232" s="12"/>
      <c r="F232" s="12"/>
      <c r="G232" s="12"/>
      <c r="H232" s="12"/>
      <c r="I232" s="12"/>
      <c r="J232" s="1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2"/>
      <c r="C233" s="12"/>
      <c r="D233" s="12"/>
      <c r="E233" s="12"/>
      <c r="F233" s="12"/>
      <c r="G233" s="12"/>
      <c r="H233" s="12"/>
      <c r="I233" s="12"/>
      <c r="J233" s="1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2"/>
      <c r="C234" s="12"/>
      <c r="D234" s="12"/>
      <c r="E234" s="12"/>
      <c r="F234" s="12"/>
      <c r="G234" s="12"/>
      <c r="H234" s="12"/>
      <c r="I234" s="12"/>
      <c r="J234" s="1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2"/>
      <c r="C235" s="12"/>
      <c r="D235" s="12"/>
      <c r="E235" s="12"/>
      <c r="F235" s="12"/>
      <c r="G235" s="12"/>
      <c r="H235" s="12"/>
      <c r="I235" s="12"/>
      <c r="J235" s="1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2"/>
      <c r="C236" s="12"/>
      <c r="D236" s="12"/>
      <c r="E236" s="12"/>
      <c r="F236" s="12"/>
      <c r="G236" s="12"/>
      <c r="H236" s="12"/>
      <c r="I236" s="12"/>
      <c r="J236" s="1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2"/>
      <c r="C237" s="12"/>
      <c r="D237" s="12"/>
      <c r="E237" s="12"/>
      <c r="F237" s="12"/>
      <c r="G237" s="12"/>
      <c r="H237" s="12"/>
      <c r="I237" s="12"/>
      <c r="J237" s="1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2"/>
      <c r="C238" s="12"/>
      <c r="D238" s="12"/>
      <c r="E238" s="12"/>
      <c r="F238" s="12"/>
      <c r="G238" s="12"/>
      <c r="H238" s="12"/>
      <c r="I238" s="12"/>
      <c r="J238" s="1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2"/>
      <c r="C239" s="12"/>
      <c r="D239" s="12"/>
      <c r="E239" s="12"/>
      <c r="F239" s="12"/>
      <c r="G239" s="12"/>
      <c r="H239" s="12"/>
      <c r="I239" s="12"/>
      <c r="J239" s="1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2"/>
      <c r="C240" s="12"/>
      <c r="D240" s="12"/>
      <c r="E240" s="12"/>
      <c r="F240" s="12"/>
      <c r="G240" s="12"/>
      <c r="H240" s="12"/>
      <c r="I240" s="12"/>
      <c r="J240" s="1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2"/>
      <c r="C241" s="12"/>
      <c r="D241" s="12"/>
      <c r="E241" s="12"/>
      <c r="F241" s="12"/>
      <c r="G241" s="12"/>
      <c r="H241" s="12"/>
      <c r="I241" s="12"/>
      <c r="J241" s="1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12"/>
      <c r="C242" s="12"/>
      <c r="D242" s="12"/>
      <c r="E242" s="12"/>
      <c r="F242" s="12"/>
      <c r="G242" s="12"/>
      <c r="H242" s="12"/>
      <c r="I242" s="12"/>
      <c r="J242" s="1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12"/>
      <c r="C243" s="12"/>
      <c r="D243" s="12"/>
      <c r="E243" s="12"/>
      <c r="F243" s="12"/>
      <c r="G243" s="12"/>
      <c r="H243" s="12"/>
      <c r="I243" s="12"/>
      <c r="J243" s="1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12"/>
      <c r="C244" s="12"/>
      <c r="D244" s="12"/>
      <c r="E244" s="12"/>
      <c r="F244" s="12"/>
      <c r="G244" s="12"/>
      <c r="H244" s="12"/>
      <c r="I244" s="12"/>
      <c r="J244" s="1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12"/>
      <c r="C245" s="12"/>
      <c r="D245" s="12"/>
      <c r="E245" s="12"/>
      <c r="F245" s="12"/>
      <c r="G245" s="12"/>
      <c r="H245" s="12"/>
      <c r="I245" s="12"/>
      <c r="J245" s="1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12"/>
      <c r="C246" s="12"/>
      <c r="D246" s="12"/>
      <c r="E246" s="12"/>
      <c r="F246" s="12"/>
      <c r="G246" s="12"/>
      <c r="H246" s="12"/>
      <c r="I246" s="12"/>
      <c r="J246" s="1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12"/>
      <c r="C247" s="12"/>
      <c r="D247" s="12"/>
      <c r="E247" s="12"/>
      <c r="F247" s="12"/>
      <c r="G247" s="12"/>
      <c r="H247" s="12"/>
      <c r="I247" s="12"/>
      <c r="J247" s="1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12"/>
      <c r="C248" s="12"/>
      <c r="D248" s="12"/>
      <c r="E248" s="12"/>
      <c r="F248" s="12"/>
      <c r="G248" s="12"/>
      <c r="H248" s="12"/>
      <c r="I248" s="12"/>
      <c r="J248" s="1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2"/>
      <c r="C249" s="12"/>
      <c r="D249" s="12"/>
      <c r="E249" s="12"/>
      <c r="F249" s="12"/>
      <c r="G249" s="12"/>
      <c r="H249" s="12"/>
      <c r="I249" s="12"/>
      <c r="J249" s="1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2"/>
      <c r="C250" s="12"/>
      <c r="D250" s="12"/>
      <c r="E250" s="12"/>
      <c r="F250" s="12"/>
      <c r="G250" s="12"/>
      <c r="H250" s="12"/>
      <c r="I250" s="12"/>
      <c r="J250" s="1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2"/>
      <c r="C251" s="12"/>
      <c r="D251" s="12"/>
      <c r="E251" s="12"/>
      <c r="F251" s="12"/>
      <c r="G251" s="12"/>
      <c r="H251" s="12"/>
      <c r="I251" s="12"/>
      <c r="J251" s="1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2"/>
      <c r="C252" s="12"/>
      <c r="D252" s="12"/>
      <c r="E252" s="12"/>
      <c r="F252" s="12"/>
      <c r="G252" s="12"/>
      <c r="H252" s="12"/>
      <c r="I252" s="12"/>
      <c r="J252" s="1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2"/>
      <c r="C253" s="12"/>
      <c r="D253" s="12"/>
      <c r="E253" s="12"/>
      <c r="F253" s="12"/>
      <c r="G253" s="12"/>
      <c r="H253" s="12"/>
      <c r="I253" s="12"/>
      <c r="J253" s="1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2"/>
      <c r="C254" s="12"/>
      <c r="D254" s="12"/>
      <c r="E254" s="12"/>
      <c r="F254" s="12"/>
      <c r="G254" s="12"/>
      <c r="H254" s="12"/>
      <c r="I254" s="12"/>
      <c r="J254" s="1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2"/>
      <c r="C255" s="12"/>
      <c r="D255" s="12"/>
      <c r="E255" s="12"/>
      <c r="F255" s="12"/>
      <c r="G255" s="12"/>
      <c r="H255" s="12"/>
      <c r="I255" s="12"/>
      <c r="J255" s="1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12"/>
      <c r="C256" s="12"/>
      <c r="D256" s="12"/>
      <c r="E256" s="12"/>
      <c r="F256" s="12"/>
      <c r="G256" s="12"/>
      <c r="H256" s="12"/>
      <c r="I256" s="12"/>
      <c r="J256" s="1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12"/>
      <c r="C257" s="12"/>
      <c r="D257" s="12"/>
      <c r="E257" s="12"/>
      <c r="F257" s="12"/>
      <c r="G257" s="12"/>
      <c r="H257" s="12"/>
      <c r="I257" s="12"/>
      <c r="J257" s="1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12"/>
      <c r="C258" s="12"/>
      <c r="D258" s="12"/>
      <c r="E258" s="12"/>
      <c r="F258" s="12"/>
      <c r="G258" s="12"/>
      <c r="H258" s="12"/>
      <c r="I258" s="12"/>
      <c r="J258" s="1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12"/>
      <c r="C259" s="12"/>
      <c r="D259" s="12"/>
      <c r="E259" s="12"/>
      <c r="F259" s="12"/>
      <c r="G259" s="12"/>
      <c r="H259" s="12"/>
      <c r="I259" s="12"/>
      <c r="J259" s="1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12"/>
      <c r="C260" s="12"/>
      <c r="D260" s="12"/>
      <c r="E260" s="12"/>
      <c r="F260" s="12"/>
      <c r="G260" s="12"/>
      <c r="H260" s="12"/>
      <c r="I260" s="12"/>
      <c r="J260" s="1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12"/>
      <c r="C261" s="12"/>
      <c r="D261" s="12"/>
      <c r="E261" s="12"/>
      <c r="F261" s="12"/>
      <c r="G261" s="12"/>
      <c r="H261" s="12"/>
      <c r="I261" s="12"/>
      <c r="J261" s="1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12"/>
      <c r="C262" s="12"/>
      <c r="D262" s="12"/>
      <c r="E262" s="12"/>
      <c r="F262" s="12"/>
      <c r="G262" s="12"/>
      <c r="H262" s="12"/>
      <c r="I262" s="12"/>
      <c r="J262" s="1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12"/>
      <c r="C263" s="12"/>
      <c r="D263" s="12"/>
      <c r="E263" s="12"/>
      <c r="F263" s="12"/>
      <c r="G263" s="12"/>
      <c r="H263" s="12"/>
      <c r="I263" s="12"/>
      <c r="J263" s="1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12"/>
      <c r="C264" s="12"/>
      <c r="D264" s="12"/>
      <c r="E264" s="12"/>
      <c r="F264" s="12"/>
      <c r="G264" s="12"/>
      <c r="H264" s="12"/>
      <c r="I264" s="12"/>
      <c r="J264" s="1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12"/>
      <c r="C265" s="12"/>
      <c r="D265" s="12"/>
      <c r="E265" s="12"/>
      <c r="F265" s="12"/>
      <c r="G265" s="12"/>
      <c r="H265" s="12"/>
      <c r="I265" s="12"/>
      <c r="J265" s="1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12"/>
      <c r="C266" s="12"/>
      <c r="D266" s="12"/>
      <c r="E266" s="12"/>
      <c r="F266" s="12"/>
      <c r="G266" s="12"/>
      <c r="H266" s="12"/>
      <c r="I266" s="12"/>
      <c r="J266" s="1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12"/>
      <c r="C267" s="12"/>
      <c r="D267" s="12"/>
      <c r="E267" s="12"/>
      <c r="F267" s="12"/>
      <c r="G267" s="12"/>
      <c r="H267" s="12"/>
      <c r="I267" s="12"/>
      <c r="J267" s="1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12"/>
      <c r="C268" s="12"/>
      <c r="D268" s="12"/>
      <c r="E268" s="12"/>
      <c r="F268" s="12"/>
      <c r="G268" s="12"/>
      <c r="H268" s="12"/>
      <c r="I268" s="12"/>
      <c r="J268" s="1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12"/>
      <c r="C269" s="12"/>
      <c r="D269" s="12"/>
      <c r="E269" s="12"/>
      <c r="F269" s="12"/>
      <c r="G269" s="12"/>
      <c r="H269" s="12"/>
      <c r="I269" s="12"/>
      <c r="J269" s="1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12"/>
      <c r="C270" s="12"/>
      <c r="D270" s="12"/>
      <c r="E270" s="12"/>
      <c r="F270" s="12"/>
      <c r="G270" s="12"/>
      <c r="H270" s="12"/>
      <c r="I270" s="12"/>
      <c r="J270" s="1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12"/>
      <c r="C271" s="12"/>
      <c r="D271" s="12"/>
      <c r="E271" s="12"/>
      <c r="F271" s="12"/>
      <c r="G271" s="12"/>
      <c r="H271" s="12"/>
      <c r="I271" s="12"/>
      <c r="J271" s="1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12"/>
      <c r="C272" s="12"/>
      <c r="D272" s="12"/>
      <c r="E272" s="12"/>
      <c r="F272" s="12"/>
      <c r="G272" s="12"/>
      <c r="H272" s="12"/>
      <c r="I272" s="12"/>
      <c r="J272" s="1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12"/>
      <c r="C273" s="12"/>
      <c r="D273" s="12"/>
      <c r="E273" s="12"/>
      <c r="F273" s="12"/>
      <c r="G273" s="12"/>
      <c r="H273" s="12"/>
      <c r="I273" s="12"/>
      <c r="J273" s="1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12"/>
      <c r="C274" s="12"/>
      <c r="D274" s="12"/>
      <c r="E274" s="12"/>
      <c r="F274" s="12"/>
      <c r="G274" s="12"/>
      <c r="H274" s="12"/>
      <c r="I274" s="12"/>
      <c r="J274" s="1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12"/>
      <c r="C275" s="12"/>
      <c r="D275" s="12"/>
      <c r="E275" s="12"/>
      <c r="F275" s="12"/>
      <c r="G275" s="12"/>
      <c r="H275" s="12"/>
      <c r="I275" s="12"/>
      <c r="J275" s="1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12"/>
      <c r="C276" s="12"/>
      <c r="D276" s="12"/>
      <c r="E276" s="12"/>
      <c r="F276" s="12"/>
      <c r="G276" s="12"/>
      <c r="H276" s="12"/>
      <c r="I276" s="12"/>
      <c r="J276" s="1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12"/>
      <c r="C277" s="12"/>
      <c r="D277" s="12"/>
      <c r="E277" s="12"/>
      <c r="F277" s="12"/>
      <c r="G277" s="12"/>
      <c r="H277" s="12"/>
      <c r="I277" s="12"/>
      <c r="J277" s="1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/>
    <row r="279" spans="1:26" ht="15.75" customHeight="1" x14ac:dyDescent="0.45"/>
    <row r="280" spans="1:26" ht="15.75" customHeight="1" x14ac:dyDescent="0.45"/>
    <row r="281" spans="1:26" ht="15.75" customHeight="1" x14ac:dyDescent="0.45"/>
    <row r="282" spans="1:26" ht="15.75" customHeight="1" x14ac:dyDescent="0.45"/>
    <row r="283" spans="1:26" ht="15.75" customHeight="1" x14ac:dyDescent="0.45"/>
    <row r="284" spans="1:26" ht="15.75" customHeight="1" x14ac:dyDescent="0.45"/>
    <row r="285" spans="1:26" ht="15.75" customHeight="1" x14ac:dyDescent="0.45"/>
    <row r="286" spans="1:26" ht="15.75" customHeight="1" x14ac:dyDescent="0.45"/>
    <row r="287" spans="1:26" ht="15.75" customHeight="1" x14ac:dyDescent="0.45"/>
    <row r="288" spans="1:26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08">
    <mergeCell ref="B57:B60"/>
    <mergeCell ref="B62:B66"/>
    <mergeCell ref="B71:B74"/>
    <mergeCell ref="B75:B78"/>
    <mergeCell ref="C39:C42"/>
    <mergeCell ref="D39:D40"/>
    <mergeCell ref="D41:D42"/>
    <mergeCell ref="C44:C45"/>
    <mergeCell ref="C46:C48"/>
    <mergeCell ref="D47:D48"/>
    <mergeCell ref="C49:E49"/>
    <mergeCell ref="B39:B42"/>
    <mergeCell ref="E39:E40"/>
    <mergeCell ref="E41:E42"/>
    <mergeCell ref="B44:B48"/>
    <mergeCell ref="B53:B56"/>
    <mergeCell ref="C53:E56"/>
    <mergeCell ref="H39:H42"/>
    <mergeCell ref="H44:H45"/>
    <mergeCell ref="H46:H48"/>
    <mergeCell ref="I47:I48"/>
    <mergeCell ref="G53:G56"/>
    <mergeCell ref="H53:J56"/>
    <mergeCell ref="G39:G42"/>
    <mergeCell ref="I39:I40"/>
    <mergeCell ref="J39:J40"/>
    <mergeCell ref="I41:I42"/>
    <mergeCell ref="J41:J42"/>
    <mergeCell ref="G44:G48"/>
    <mergeCell ref="H49:J49"/>
    <mergeCell ref="G75:G78"/>
    <mergeCell ref="H75:H78"/>
    <mergeCell ref="D77:D78"/>
    <mergeCell ref="E77:E78"/>
    <mergeCell ref="I77:I78"/>
    <mergeCell ref="J77:J78"/>
    <mergeCell ref="C67:E67"/>
    <mergeCell ref="C71:E74"/>
    <mergeCell ref="G71:G74"/>
    <mergeCell ref="H71:J74"/>
    <mergeCell ref="C75:C78"/>
    <mergeCell ref="D75:D76"/>
    <mergeCell ref="E75:E76"/>
    <mergeCell ref="I75:I76"/>
    <mergeCell ref="J75:J76"/>
    <mergeCell ref="H64:H66"/>
    <mergeCell ref="I65:I66"/>
    <mergeCell ref="H67:J67"/>
    <mergeCell ref="D57:D58"/>
    <mergeCell ref="D59:D60"/>
    <mergeCell ref="C62:C63"/>
    <mergeCell ref="G62:G66"/>
    <mergeCell ref="H62:H63"/>
    <mergeCell ref="C64:C66"/>
    <mergeCell ref="D65:D66"/>
    <mergeCell ref="I57:I58"/>
    <mergeCell ref="I59:I60"/>
    <mergeCell ref="C57:C60"/>
    <mergeCell ref="E57:E58"/>
    <mergeCell ref="G57:G60"/>
    <mergeCell ref="H57:H60"/>
    <mergeCell ref="J57:J58"/>
    <mergeCell ref="E59:E60"/>
    <mergeCell ref="J59:J60"/>
    <mergeCell ref="B26:B30"/>
    <mergeCell ref="C26:C27"/>
    <mergeCell ref="G26:G30"/>
    <mergeCell ref="H26:H27"/>
    <mergeCell ref="H28:H30"/>
    <mergeCell ref="C28:C30"/>
    <mergeCell ref="D29:D30"/>
    <mergeCell ref="C31:E31"/>
    <mergeCell ref="B35:B38"/>
    <mergeCell ref="C35:E38"/>
    <mergeCell ref="G35:G38"/>
    <mergeCell ref="C21:C24"/>
    <mergeCell ref="D21:D22"/>
    <mergeCell ref="E21:E22"/>
    <mergeCell ref="G21:G24"/>
    <mergeCell ref="I29:I30"/>
    <mergeCell ref="H31:J31"/>
    <mergeCell ref="H35:J38"/>
    <mergeCell ref="D23:D24"/>
    <mergeCell ref="E23:E24"/>
    <mergeCell ref="B1:B5"/>
    <mergeCell ref="C1:H3"/>
    <mergeCell ref="C4:H5"/>
    <mergeCell ref="I4:I5"/>
    <mergeCell ref="G8:G12"/>
    <mergeCell ref="H8:H9"/>
    <mergeCell ref="H10:H12"/>
    <mergeCell ref="H21:H24"/>
    <mergeCell ref="I21:I22"/>
    <mergeCell ref="C8:C9"/>
    <mergeCell ref="C10:C12"/>
    <mergeCell ref="B17:B20"/>
    <mergeCell ref="C17:E20"/>
    <mergeCell ref="G17:G20"/>
    <mergeCell ref="H17:J20"/>
    <mergeCell ref="I11:I12"/>
    <mergeCell ref="C13:E13"/>
    <mergeCell ref="H13:J13"/>
    <mergeCell ref="J21:J22"/>
    <mergeCell ref="I23:I24"/>
    <mergeCell ref="J23:J24"/>
    <mergeCell ref="B8:B12"/>
    <mergeCell ref="D11:D12"/>
    <mergeCell ref="B21:B2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LISTA CHEQUEO</vt:lpstr>
      <vt:lpstr>DESPEJE DE LINEA</vt:lpstr>
      <vt:lpstr>OP</vt:lpstr>
      <vt:lpstr>DISPENSACIÓN</vt:lpstr>
      <vt:lpstr>INSTRUCTIVO FAB</vt:lpstr>
      <vt:lpstr>COC GRANEL</vt:lpstr>
      <vt:lpstr>ORDEN ENVASADO</vt:lpstr>
      <vt:lpstr> ORDEN ENVASADO 1</vt:lpstr>
      <vt:lpstr>ACONDICIONAMIENTO</vt:lpstr>
      <vt:lpstr>ACONDICIONAMIENTO 1</vt:lpstr>
      <vt:lpstr>ESTADO DE LIMPIEZA DE A Y E</vt:lpstr>
      <vt:lpstr>COA PT</vt:lpstr>
      <vt:lpstr>ROTULO DE DISPENSACION</vt:lpstr>
      <vt:lpstr>INSPECCIÓN ETIQUETAS</vt:lpstr>
      <vt:lpstr>PRODUCTO EN PROCESO</vt:lpstr>
      <vt:lpstr>INSPECCIÓN DE PRODUCTO FINAL</vt:lpstr>
      <vt:lpstr>ENVASADO NO CONTINUO</vt:lpstr>
      <vt:lpstr>ROTULO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2026-03-28T01:43:52Z</dcterms:modified>
</cp:coreProperties>
</file>