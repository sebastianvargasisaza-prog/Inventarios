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27fc65cd51c771e/Desktop/Gerencia/Espagiria/Formulas Maestras/LIMPIADOR ILUMINADOR ACIDO KOJICO/"/>
    </mc:Choice>
  </mc:AlternateContent>
  <xr:revisionPtr revIDLastSave="4" documentId="11_68B4E7ED5F44B917A033E49FD5E425CD0D91CF67" xr6:coauthVersionLast="47" xr6:coauthVersionMax="47" xr10:uidLastSave="{AE15597F-BE18-4170-B35F-CFF12DEFFC2A}"/>
  <bookViews>
    <workbookView xWindow="-98" yWindow="-98" windowWidth="21795" windowHeight="12975" activeTab="2" xr2:uid="{00000000-000D-0000-FFFF-FFFF00000000}"/>
  </bookViews>
  <sheets>
    <sheet name="LISTA CHEQUEO" sheetId="1" r:id="rId1"/>
    <sheet name="DESPEJE DE LINEA" sheetId="2" r:id="rId2"/>
    <sheet name="OP" sheetId="3" r:id="rId3"/>
    <sheet name="DISPENSACIÓN" sheetId="4" r:id="rId4"/>
    <sheet name="INSTRUCTIVO FAB" sheetId="5" r:id="rId5"/>
    <sheet name="COC GRANEL" sheetId="6" r:id="rId6"/>
    <sheet name="ORDEN ENVASADO" sheetId="7" r:id="rId7"/>
    <sheet name="ESTADO DE LIMPIEZA DE A Y E" sheetId="8" r:id="rId8"/>
    <sheet name="ACONDICIONAMIENTO" sheetId="9" r:id="rId9"/>
    <sheet name="COA PT" sheetId="10" r:id="rId10"/>
    <sheet name="ROTULO DE DISPENSACION" sheetId="11" r:id="rId11"/>
    <sheet name="INSPECCIÓN ETIQUETAS" sheetId="12" r:id="rId12"/>
    <sheet name="INSPECCIÓN DE PRODUCTO FINAL" sheetId="13" r:id="rId13"/>
    <sheet name="ENVASADO NO CONTINUO" sheetId="14" r:id="rId14"/>
    <sheet name="PRODUCTO EN PROCESO" sheetId="15" r:id="rId15"/>
    <sheet name="ROTULO PT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k8C0fObCf12JSjAxeeNsFFTFwMTXHJ20VHhycnsTa5s="/>
    </ext>
  </extLst>
</workbook>
</file>

<file path=xl/calcChain.xml><?xml version="1.0" encoding="utf-8"?>
<calcChain xmlns="http://schemas.openxmlformats.org/spreadsheetml/2006/main">
  <c r="J9" i="13" l="1"/>
  <c r="F9" i="13"/>
  <c r="C9" i="13"/>
  <c r="H8" i="13"/>
  <c r="C8" i="13"/>
  <c r="H248" i="11"/>
  <c r="C248" i="11"/>
  <c r="H247" i="11"/>
  <c r="C247" i="11"/>
  <c r="C246" i="11"/>
  <c r="H234" i="11"/>
  <c r="C234" i="11"/>
  <c r="H233" i="11"/>
  <c r="C233" i="11"/>
  <c r="C232" i="11"/>
  <c r="H220" i="11"/>
  <c r="C220" i="11"/>
  <c r="H219" i="11"/>
  <c r="C219" i="11"/>
  <c r="C218" i="11"/>
  <c r="H206" i="11"/>
  <c r="C206" i="11"/>
  <c r="H205" i="11"/>
  <c r="C205" i="11"/>
  <c r="C204" i="11"/>
  <c r="H192" i="11"/>
  <c r="C192" i="11"/>
  <c r="H191" i="11"/>
  <c r="C191" i="11"/>
  <c r="C190" i="11"/>
  <c r="H178" i="11"/>
  <c r="C178" i="11"/>
  <c r="H177" i="11"/>
  <c r="C177" i="11"/>
  <c r="C176" i="11"/>
  <c r="H164" i="11"/>
  <c r="C164" i="11"/>
  <c r="H163" i="11"/>
  <c r="C163" i="11"/>
  <c r="C162" i="11"/>
  <c r="H150" i="11"/>
  <c r="C150" i="11"/>
  <c r="H149" i="11"/>
  <c r="C149" i="11"/>
  <c r="C148" i="11"/>
  <c r="H136" i="11"/>
  <c r="C136" i="11"/>
  <c r="H135" i="11"/>
  <c r="C135" i="11"/>
  <c r="C134" i="11"/>
  <c r="H122" i="11"/>
  <c r="C122" i="11"/>
  <c r="H121" i="11"/>
  <c r="C121" i="11"/>
  <c r="C120" i="11"/>
  <c r="C109" i="11"/>
  <c r="H108" i="11"/>
  <c r="C108" i="11"/>
  <c r="H107" i="11"/>
  <c r="C107" i="11"/>
  <c r="C106" i="11"/>
  <c r="H94" i="11"/>
  <c r="C94" i="11"/>
  <c r="H93" i="11"/>
  <c r="C93" i="11"/>
  <c r="C92" i="11"/>
  <c r="H80" i="11"/>
  <c r="C80" i="11"/>
  <c r="H79" i="11"/>
  <c r="C79" i="11"/>
  <c r="C78" i="11"/>
  <c r="H66" i="11"/>
  <c r="C66" i="11"/>
  <c r="H65" i="11"/>
  <c r="C65" i="11"/>
  <c r="C64" i="11"/>
  <c r="H52" i="11"/>
  <c r="C52" i="11"/>
  <c r="H51" i="11"/>
  <c r="C51" i="11"/>
  <c r="C50" i="11"/>
  <c r="H38" i="11"/>
  <c r="C38" i="11"/>
  <c r="H37" i="11"/>
  <c r="C37" i="11"/>
  <c r="C36" i="11"/>
  <c r="H23" i="11"/>
  <c r="C23" i="11"/>
  <c r="H22" i="11"/>
  <c r="C22" i="11"/>
  <c r="C21" i="11"/>
  <c r="H8" i="11"/>
  <c r="C8" i="11"/>
  <c r="H7" i="11"/>
  <c r="C7" i="11"/>
  <c r="C6" i="11"/>
  <c r="H7" i="10"/>
  <c r="D7" i="10"/>
  <c r="D6" i="10"/>
  <c r="O8" i="9"/>
  <c r="J8" i="9"/>
  <c r="F8" i="9"/>
  <c r="F7" i="9"/>
  <c r="M16" i="7"/>
  <c r="M15" i="7"/>
  <c r="M14" i="7"/>
  <c r="F8" i="7"/>
  <c r="O7" i="7"/>
  <c r="J7" i="7"/>
  <c r="F7" i="7"/>
  <c r="F6" i="7"/>
  <c r="D9" i="6"/>
  <c r="I8" i="6"/>
  <c r="D8" i="6"/>
  <c r="D7" i="6"/>
  <c r="D6" i="6"/>
  <c r="F9" i="5"/>
  <c r="F8" i="5"/>
  <c r="F7" i="5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F9" i="4"/>
  <c r="F8" i="4"/>
  <c r="F7" i="4"/>
  <c r="G49" i="3"/>
  <c r="M32" i="3"/>
  <c r="N20" i="3"/>
  <c r="C81" i="11" s="1"/>
  <c r="N19" i="3"/>
  <c r="C67" i="11" s="1"/>
  <c r="N18" i="3"/>
  <c r="C53" i="11" s="1"/>
  <c r="N26" i="3"/>
  <c r="C179" i="11" s="1"/>
  <c r="M11" i="3"/>
  <c r="G11" i="3"/>
  <c r="M10" i="3"/>
  <c r="G10" i="3"/>
  <c r="G9" i="3"/>
  <c r="G10" i="2"/>
  <c r="N9" i="2"/>
  <c r="G9" i="2"/>
  <c r="N8" i="2"/>
  <c r="G8" i="2"/>
  <c r="G7" i="2"/>
  <c r="N21" i="3" l="1"/>
  <c r="C95" i="11" s="1"/>
  <c r="N28" i="3"/>
  <c r="C207" i="11" s="1"/>
  <c r="N27" i="3"/>
  <c r="C193" i="11" s="1"/>
  <c r="N29" i="3"/>
  <c r="C221" i="11" s="1"/>
  <c r="N24" i="3"/>
  <c r="C151" i="11" s="1"/>
  <c r="N30" i="3"/>
  <c r="C235" i="11" s="1"/>
  <c r="N31" i="3"/>
  <c r="C249" i="11" s="1"/>
  <c r="N15" i="3"/>
  <c r="N16" i="3"/>
  <c r="C24" i="11" s="1"/>
  <c r="N17" i="3"/>
  <c r="C39" i="11" s="1"/>
  <c r="N22" i="3"/>
  <c r="C123" i="11" s="1"/>
  <c r="N23" i="3"/>
  <c r="C137" i="11" s="1"/>
  <c r="N25" i="3"/>
  <c r="C165" i="11" s="1"/>
  <c r="N32" i="3" l="1"/>
  <c r="C9" i="11"/>
</calcChain>
</file>

<file path=xl/sharedStrings.xml><?xml version="1.0" encoding="utf-8"?>
<sst xmlns="http://schemas.openxmlformats.org/spreadsheetml/2006/main" count="1652" uniqueCount="454">
  <si>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</si>
  <si>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</si>
  <si>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</si>
  <si>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</si>
  <si>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</si>
  <si>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</si>
  <si>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</si>
  <si>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</si>
  <si>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</si>
  <si>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</si>
  <si>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</si>
  <si>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LIMPIADOR ILUMINADOR ACIDO KOJICO</t>
  </si>
  <si>
    <t>LOTE</t>
  </si>
  <si>
    <t>252601</t>
  </si>
  <si>
    <t>OP</t>
  </si>
  <si>
    <t>OP-SS-128</t>
  </si>
  <si>
    <t>PRESENTACIÓN</t>
  </si>
  <si>
    <t>100 mL</t>
  </si>
  <si>
    <t>TAMAÑO LOTE (kg)</t>
  </si>
  <si>
    <t>CLIENTE</t>
  </si>
  <si>
    <t>ANIMUS LAB</t>
  </si>
  <si>
    <t>NOTIFICACIÓN SANITARIA</t>
  </si>
  <si>
    <t>NSOC35368-24CO</t>
  </si>
  <si>
    <t>UNIDADES APROBADAS/FABRICADAS</t>
  </si>
  <si>
    <t>FORMA COSMETICA</t>
  </si>
  <si>
    <t>GEL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</si>
  <si>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</si>
  <si>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</si>
  <si>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</si>
  <si>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</si>
  <si>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</si>
  <si>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</si>
  <si>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</si>
  <si>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</si>
  <si>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</si>
  <si>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</si>
  <si>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</si>
  <si>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</si>
  <si>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</si>
  <si>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</si>
  <si>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</si>
  <si>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</si>
  <si>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</si>
  <si>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</si>
  <si>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</si>
  <si>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</si>
  <si>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</si>
  <si>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</si>
  <si>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</si>
  <si>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</si>
  <si>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</si>
  <si>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</si>
  <si>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</si>
  <si>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</si>
  <si>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</si>
  <si>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</si>
  <si>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</si>
  <si>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</si>
  <si>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</si>
  <si>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</si>
  <si>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</si>
  <si>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</si>
  <si>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</si>
  <si>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</si>
  <si>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</si>
  <si>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</si>
  <si>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</si>
  <si>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</si>
  <si>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</si>
  <si>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</si>
  <si>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</si>
  <si>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</si>
  <si>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</si>
  <si>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</si>
  <si>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</si>
  <si>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</si>
  <si>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</si>
  <si>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</si>
  <si>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</si>
  <si>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</si>
  <si>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</si>
  <si>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</si>
  <si>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</si>
  <si>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</si>
  <si>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</si>
  <si>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</si>
  <si>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</si>
  <si>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</si>
  <si>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</si>
  <si>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</si>
  <si>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</si>
  <si>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</si>
  <si>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</si>
  <si>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</si>
  <si>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</si>
  <si>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</si>
  <si>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</si>
  <si>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</si>
  <si>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</si>
  <si>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</si>
  <si>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</si>
  <si>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>AGUA DESIONIZADA</t>
  </si>
  <si>
    <t>MPAGUALI01</t>
  </si>
  <si>
    <t>GLICERINA</t>
  </si>
  <si>
    <t>MPGLICLI01</t>
  </si>
  <si>
    <t>M429751120241</t>
  </si>
  <si>
    <t>PROPILENGLICOL</t>
  </si>
  <si>
    <t>MPPROPLI02</t>
  </si>
  <si>
    <t>D357P4J1B4</t>
  </si>
  <si>
    <t>AOS 40</t>
  </si>
  <si>
    <t>MPASCOLI01</t>
  </si>
  <si>
    <t>C24F26-874</t>
  </si>
  <si>
    <t>PROBETAINA</t>
  </si>
  <si>
    <t>MPPROBLI01</t>
  </si>
  <si>
    <t>031348-25</t>
  </si>
  <si>
    <t>TWEEN 20</t>
  </si>
  <si>
    <t>MPTWEEL01</t>
  </si>
  <si>
    <t>121556-24</t>
  </si>
  <si>
    <t>ÁCIDO KOJICO</t>
  </si>
  <si>
    <t>MPACKOSO01</t>
  </si>
  <si>
    <t>YT20250505</t>
  </si>
  <si>
    <t>GOMA XANTAN</t>
  </si>
  <si>
    <t>MPGOXASO01</t>
  </si>
  <si>
    <t>CARBOPOL</t>
  </si>
  <si>
    <t>MPCARBSO01</t>
  </si>
  <si>
    <t>ACIDO SALICILICO</t>
  </si>
  <si>
    <t>MPACSASO01</t>
  </si>
  <si>
    <t>YC2501040</t>
  </si>
  <si>
    <t>TWEEN 80</t>
  </si>
  <si>
    <t>MPTWEEL02</t>
  </si>
  <si>
    <t>ACIDO LACTICO</t>
  </si>
  <si>
    <t>MPACLALI02</t>
  </si>
  <si>
    <t>SORBATO DE POTASIO</t>
  </si>
  <si>
    <t>MPSOPOSO01</t>
  </si>
  <si>
    <t>PS20240530-03</t>
  </si>
  <si>
    <t>BENZOATO DE SODIO</t>
  </si>
  <si>
    <t>MPBESOSO01</t>
  </si>
  <si>
    <t>BETAGLUCAN</t>
  </si>
  <si>
    <t>MPBETASO02</t>
  </si>
  <si>
    <t>YT-20240219</t>
  </si>
  <si>
    <t>ÁCIDO HIALURÓNICO 1500 KD</t>
  </si>
  <si>
    <t>MPACHISO03</t>
  </si>
  <si>
    <t>YT-HA20250326</t>
  </si>
  <si>
    <t>REGALIZ</t>
  </si>
  <si>
    <t>MPREGASO01</t>
  </si>
  <si>
    <t>YT-20221015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</si>
  <si>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</si>
  <si>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</si>
  <si>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</si>
  <si>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</si>
  <si>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</si>
  <si>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</si>
  <si>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</si>
  <si>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</si>
  <si>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</si>
  <si>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</si>
  <si>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</si>
  <si>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</si>
  <si>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</si>
  <si>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</si>
  <si>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</si>
  <si>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</si>
  <si>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</si>
  <si>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</si>
  <si>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</si>
  <si>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</si>
  <si>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</si>
  <si>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</si>
  <si>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</si>
  <si>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b/>
        <sz val="12"/>
        <color theme="1"/>
        <rFont val="Times New Roman"/>
      </rPr>
      <t>NOTA:</t>
    </r>
    <r>
      <rPr>
        <sz val="12"/>
        <color theme="1"/>
        <rFont val="Times New Roman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</si>
  <si>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</si>
  <si>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</si>
  <si>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</si>
  <si>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</si>
  <si>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MPGLICCLI01</t>
  </si>
  <si>
    <t>MPPROPLI01</t>
  </si>
  <si>
    <t>Observaciones:</t>
  </si>
  <si>
    <t>Dispensado por:</t>
  </si>
  <si>
    <t>Verificado por:</t>
  </si>
  <si>
    <t>Cargo:</t>
  </si>
  <si>
    <t>Fecha:</t>
  </si>
  <si>
    <t>PRD-PRO-001-F05</t>
  </si>
  <si>
    <t>Fecha de Inicio:</t>
  </si>
  <si>
    <t>Fecha de Finalización:</t>
  </si>
  <si>
    <t>Hora de Inicio/Hora fin:</t>
  </si>
  <si>
    <t>Tiempo en Horas:</t>
  </si>
  <si>
    <t>FABRICACIÓN DE PRODUCTOS</t>
  </si>
  <si>
    <t xml:space="preserve">1.   Dispensar en una balanza analítica con capacidad de 620g y adicionar en un recipiente las siguientes materias primas:
Carbopol
Propilenglicol
Agua   
Colocar en una plancha de calentamiento el agua y calentar a 50°C +/- 5°C, medir y registrar la temperatura, una vez alcanzada la temperatura adecuada apague el calentamiento Temperatura Real _____, hidrate el carbopol con el propilenglicol y adicione el agua destilada ,con ayuda del equipo de mano  mezcle a 200 RPM  hasta formar una solución homogénea RPM Real:________. </t>
  </si>
  <si>
    <t xml:space="preserve">2.   Dispensar en una balanza analítica con capacidad de 620g y adicionar en un recipiente las siguientes materias primas:  
Goma Xanthan
Glicerina
Agua
Colocar en una plancha de calentamiento el agua y la glicerina calentar a 50°C +/- 5°C, medir y registrar la temperatura, una vez alcanzada la temperatura adecuada apague el calentamiento Temperatura Real _____, hidrate la goma xanthan  con la glicerina y poco a poco adicione agua, con ayuda del equipo de mano mezcle a 200 RPM  hasta formar una mezcla homogénea RPM Real:________. adicione la mezcla a la primera fase.  </t>
  </si>
  <si>
    <t>3. Dispensar en una balanza analítica con capacidad de 620g y adicionar en un recipiente las siguientes materias primas:                                                                                                                                                                                                                Propilenglicol                          
Ácido Hialurónico 1500 KD
Agua Destilada                                                                  Colocar en una plancha de calentamiento el agua y calentar a 50°C +/- 5°C, medir y registrar la temperatura, una vez alcanzada la temperatura adecuada apague el calentamiento Temperatura Real _____, hidrate el ácido  hialurónico con el propilenglicol y adicione el agua destilada ,con ayuda del equipo de mano  mezcle a 200 RPM  hasta formar una solución homogénea RPM Real:________, adicione la mezcla a la primera fase.</t>
  </si>
  <si>
    <t>4.   Dispensar en una balanza analítica con capacidad de 620g y adicionar en un recipiente las siguientes materias primas: 
Ácido Salicílico
Propilenglicol
Colocar en una plancha de calentamiento y calentar a 50°C +/- 5°C, medir y registrar la temperatura, una vez alcanzada la temperatura adecuada apague el calentamiento Temperatura Real _____,  mezcle de manera manual hasta formar una fase homogénea.</t>
  </si>
  <si>
    <t xml:space="preserve">5.  Dispensar en una balanza analítica con capacidad de 620g y adicionar en un recipiente las siguientes materias primas:   
Betaglucano
Ácido Kójico
Regaliz  
Agua  
Una vez dispensadas las materias primas adicione el agua y con ayuda del equipo de mano mezcle a 200 RPM  hasta observar una mezcla homogénea, RPM Real: ________ una vez disuelta en su totalidad adicione a la primera fase.     </t>
  </si>
  <si>
    <t>6.  Dispensar en una balanza analítica con capacidad de 620g y adicionar en un recipiente las siguientes materias primas:
Aos
Tween 20
Tween 80
Láctico
Probetaina
Una vez dispensadas las materias primas mezcle lentamente de manera manual y adicione a la primera fase.</t>
  </si>
  <si>
    <t>7.  Tome un recipiente metálico las 5 etapas de premezclado y deja agitando durante 60 minutos a una velocidad constante de 200 rpm con el agitador hasta que está presente una mezcla homogénea, RPM Real: ______, por último, apague el agitador hasta que la mezcla quede totalmente uniforme.</t>
  </si>
  <si>
    <r>
      <rPr>
        <b/>
        <sz val="12"/>
        <color theme="1"/>
        <rFont val="Arial"/>
      </rPr>
      <t>NOTA:</t>
    </r>
    <r>
      <rPr>
        <sz val="12"/>
        <color theme="1"/>
        <rFont val="Arial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</si>
  <si>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</si>
  <si>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</si>
  <si>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</si>
  <si>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</si>
  <si>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</si>
  <si>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</si>
  <si>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</si>
  <si>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</si>
  <si>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</si>
  <si>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</si>
  <si>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</si>
  <si>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</si>
  <si>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</si>
  <si>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</si>
  <si>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</si>
  <si>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</si>
  <si>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</si>
  <si>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</si>
  <si>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</si>
  <si>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</si>
  <si>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</si>
  <si>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Textura ligera o en gel, con un color que puede variar entre transparente, blanco o un tono ligeramente amarillo, puede generar una espuma suave al entrar en contacto con el  agua.</t>
  </si>
  <si>
    <t>Viscosidad</t>
  </si>
  <si>
    <t>INFORMATIVO</t>
  </si>
  <si>
    <t>Densidad</t>
  </si>
  <si>
    <t>0,900 - 1.100 g/cm³</t>
  </si>
  <si>
    <t>pH</t>
  </si>
  <si>
    <t>4.2 a 4.5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</si>
  <si>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</si>
  <si>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</si>
  <si>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</si>
  <si>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</si>
  <si>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</si>
  <si>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</si>
  <si>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</si>
  <si>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</si>
  <si>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</si>
  <si>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</si>
  <si>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</si>
  <si>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</si>
  <si>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</si>
  <si>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</si>
  <si>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</si>
  <si>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</si>
  <si>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</si>
  <si>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</si>
  <si>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</si>
  <si>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</si>
  <si>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EN-NE-VI-100-01</t>
  </si>
  <si>
    <t>N/A</t>
  </si>
  <si>
    <t>ENVASE VIDRIO NEGRO 100 mL</t>
  </si>
  <si>
    <t>VA-PL-BL-02</t>
  </si>
  <si>
    <t>Válvula Plástica Blanca B-20</t>
  </si>
  <si>
    <t>ETIQ-LIM-ILU-AC-KO-100mL</t>
  </si>
  <si>
    <t>ETIQUETA LIMPIADOR ILUMINADOR ACIDO KOJICO 120mL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</si>
  <si>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</si>
  <si>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</si>
  <si>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</si>
  <si>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</si>
  <si>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</si>
  <si>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</si>
  <si>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</si>
  <si>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</si>
  <si>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</si>
  <si>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</si>
  <si>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</si>
  <si>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</si>
  <si>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</si>
  <si>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</si>
  <si>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</si>
  <si>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</si>
  <si>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</si>
  <si>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</si>
  <si>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</si>
  <si>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</si>
  <si>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</si>
  <si>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</si>
  <si>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</si>
  <si>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</si>
  <si>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</si>
  <si>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</si>
  <si>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</si>
  <si>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</si>
  <si>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</si>
  <si>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</si>
  <si>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</si>
  <si>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</si>
  <si>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</si>
  <si>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</si>
  <si>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</si>
  <si>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</si>
  <si>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</si>
  <si>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</si>
  <si>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</si>
  <si>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</si>
  <si>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</si>
  <si>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</si>
  <si>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</si>
  <si>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</si>
  <si>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</si>
  <si>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</si>
  <si>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</si>
  <si>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</si>
  <si>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PRD-PRO-001-F07</t>
  </si>
  <si>
    <t>ACONDICIONAMIENTO Y EMPAQUE</t>
  </si>
  <si>
    <t>HORA INICIO</t>
  </si>
  <si>
    <t>HORA FIN</t>
  </si>
  <si>
    <r>
      <rPr>
        <b/>
        <sz val="12"/>
        <color rgb="FF000000"/>
        <rFont val="Times New Roman"/>
      </rPr>
      <t xml:space="preserve">TAREAS A REALIZAR </t>
    </r>
    <r>
      <rPr>
        <i/>
        <sz val="12"/>
        <color rgb="FF000000"/>
        <rFont val="Times New Roman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</si>
  <si>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</si>
  <si>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</si>
  <si>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</si>
  <si>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</si>
  <si>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</si>
  <si>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</si>
  <si>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</si>
  <si>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</si>
  <si>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</si>
  <si>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</si>
  <si>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</si>
  <si>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</si>
  <si>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</si>
  <si>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</si>
  <si>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</si>
  <si>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</si>
  <si>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</si>
  <si>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</si>
  <si>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</si>
  <si>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</si>
  <si>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</si>
  <si>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</si>
  <si>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</si>
  <si>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</si>
  <si>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</si>
  <si>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</si>
  <si>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</si>
  <si>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</si>
  <si>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</si>
  <si>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</si>
  <si>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</si>
  <si>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</si>
  <si>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</si>
  <si>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</si>
  <si>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</si>
  <si>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</si>
  <si>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</si>
  <si>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</si>
  <si>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</si>
  <si>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</si>
  <si>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</si>
  <si>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</si>
  <si>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</si>
  <si>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</si>
  <si>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</si>
  <si>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>Organoléptico</t>
  </si>
  <si>
    <t>Olor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</si>
  <si>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</si>
  <si>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</si>
  <si>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</si>
  <si>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</si>
  <si>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</si>
  <si>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</si>
  <si>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</si>
  <si>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</si>
  <si>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</si>
  <si>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</si>
  <si>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</si>
  <si>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</si>
  <si>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</si>
  <si>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</si>
  <si>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</si>
  <si>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</si>
  <si>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</si>
  <si>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</si>
  <si>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</si>
  <si>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</si>
  <si>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</si>
  <si>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</si>
  <si>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</si>
  <si>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</si>
  <si>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</si>
  <si>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</si>
  <si>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</si>
  <si>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</si>
  <si>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</si>
  <si>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</si>
  <si>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COC-PRO-001-F04</t>
  </si>
  <si>
    <t>INSPECCIÓN DE ETIQUETAS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</si>
  <si>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</si>
  <si>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</si>
  <si>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</si>
  <si>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</si>
  <si>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</si>
  <si>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</si>
  <si>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</si>
  <si>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</si>
  <si>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</si>
  <si>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</si>
  <si>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</si>
  <si>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</si>
  <si>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</si>
  <si>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</si>
  <si>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</si>
  <si>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</si>
  <si>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</si>
  <si>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</si>
  <si>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</si>
  <si>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</si>
  <si>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</si>
  <si>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</si>
  <si>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</si>
  <si>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</si>
  <si>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</si>
  <si>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</si>
  <si>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>ESPECIFICACIÓN</t>
  </si>
  <si>
    <r>
      <rPr>
        <sz val="14"/>
        <color theme="1"/>
        <rFont val="Times New Roman"/>
      </rPr>
      <t xml:space="preserve">ETIQUETA ACORDE A LO ESTIPULADO EN </t>
    </r>
    <r>
      <rPr>
        <b/>
        <sz val="14"/>
        <color theme="1"/>
        <rFont val="Times New Roman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</si>
  <si>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</si>
  <si>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</si>
  <si>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</si>
  <si>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</si>
  <si>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</si>
  <si>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</si>
  <si>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</si>
  <si>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</si>
  <si>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</si>
  <si>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</si>
  <si>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</si>
  <si>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</si>
  <si>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</si>
  <si>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</si>
  <si>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</si>
  <si>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</si>
  <si>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</si>
  <si>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</si>
  <si>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</si>
  <si>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</si>
  <si>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</si>
  <si>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</si>
  <si>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</si>
  <si>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</si>
  <si>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</si>
  <si>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</si>
  <si>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</si>
  <si>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</si>
  <si>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</si>
  <si>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</si>
  <si>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Nombre del producto:</t>
  </si>
  <si>
    <t>Motivo de no envasado</t>
  </si>
  <si>
    <t>Fecha de Elaboración:</t>
  </si>
  <si>
    <t>Fecha de Envasado:</t>
  </si>
  <si>
    <t>PRD-PRO-001-F10</t>
  </si>
  <si>
    <t>PRODUCTO EN PROCESO</t>
  </si>
  <si>
    <t>Numero de Op:</t>
  </si>
  <si>
    <t>Tamaño del lote:</t>
  </si>
  <si>
    <t>COC-PRO-001-F06</t>
  </si>
  <si>
    <t>ROTULO DE IDENTIFICACIÓN DE PRODUCTO TERMINADO</t>
  </si>
  <si>
    <t>Cantidad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</si>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</sst>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mmm\ yyyy"/>
  </numFmts>
  <fonts count="20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</font>
    <font>
      <b/>
      <sz val="12"/>
      <color rgb="FF000000"/>
      <name val="Times New Roman"/>
    </font>
    <font>
      <sz val="12"/>
      <color theme="1"/>
      <name val="Arial"/>
    </font>
    <font>
      <sz val="12"/>
      <color rgb="FF000000"/>
      <name val="Times New Roman"/>
    </font>
    <font>
      <b/>
      <sz val="12"/>
      <color theme="1"/>
      <name val="Arial"/>
    </font>
    <font>
      <sz val="11"/>
      <color theme="1"/>
      <name val="Times New Roman"/>
    </font>
    <font>
      <b/>
      <sz val="14"/>
      <color theme="1"/>
      <name val="Arial"/>
    </font>
    <font>
      <b/>
      <sz val="12"/>
      <color rgb="FF000000"/>
      <name val="Arial"/>
    </font>
    <font>
      <sz val="11"/>
      <color theme="1"/>
      <name val="Calibri"/>
    </font>
    <font>
      <b/>
      <sz val="10"/>
      <color rgb="FF000000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b/>
      <sz val="14"/>
      <color rgb="FF000000"/>
      <name val="Times New Roman"/>
    </font>
    <font>
      <sz val="8"/>
      <color theme="1"/>
      <name val="Arial"/>
    </font>
    <font>
      <sz val="14"/>
      <color theme="1"/>
      <name val="Arial"/>
    </font>
    <font>
      <sz val="14"/>
      <color theme="1"/>
      <name val="Calibri"/>
    </font>
    <font>
      <i/>
      <sz val="12"/>
      <color rgb="FF00000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7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9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5" fillId="0" borderId="6" xfId="0" applyFont="1" applyBorder="1"/>
    <xf numFmtId="0" fontId="5" fillId="0" borderId="0" xfId="0" applyFont="1"/>
    <xf numFmtId="168" fontId="3" fillId="0" borderId="0" xfId="0" applyNumberFormat="1" applyFont="1"/>
    <xf numFmtId="169" fontId="3" fillId="0" borderId="0" xfId="0" applyNumberFormat="1" applyFont="1"/>
    <xf numFmtId="0" fontId="3" fillId="0" borderId="7" xfId="0" applyFont="1" applyBorder="1"/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0" fontId="1" fillId="0" borderId="18" xfId="0" applyFont="1" applyBorder="1" applyAlignment="1">
      <alignment wrapText="1"/>
    </xf>
    <xf numFmtId="2" fontId="3" fillId="0" borderId="18" xfId="0" applyNumberFormat="1" applyFont="1" applyBorder="1" applyAlignment="1">
      <alignment vertical="center"/>
    </xf>
    <xf numFmtId="0" fontId="3" fillId="0" borderId="18" xfId="0" applyFont="1" applyBorder="1"/>
    <xf numFmtId="168" fontId="5" fillId="0" borderId="0" xfId="0" applyNumberFormat="1" applyFont="1"/>
    <xf numFmtId="169" fontId="5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49" fontId="6" fillId="0" borderId="18" xfId="0" applyNumberFormat="1" applyFont="1" applyBorder="1" applyAlignment="1">
      <alignment horizontal="center" vertical="center"/>
    </xf>
    <xf numFmtId="170" fontId="3" fillId="0" borderId="39" xfId="0" applyNumberFormat="1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166" fontId="3" fillId="0" borderId="44" xfId="0" applyNumberFormat="1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/>
    </xf>
    <xf numFmtId="2" fontId="5" fillId="0" borderId="48" xfId="0" applyNumberFormat="1" applyFont="1" applyBorder="1" applyAlignment="1">
      <alignment horizontal="center"/>
    </xf>
    <xf numFmtId="2" fontId="5" fillId="0" borderId="18" xfId="0" applyNumberFormat="1" applyFont="1" applyBorder="1" applyAlignment="1">
      <alignment horizontal="center"/>
    </xf>
    <xf numFmtId="2" fontId="1" fillId="7" borderId="43" xfId="0" applyNumberFormat="1" applyFont="1" applyFill="1" applyBorder="1" applyAlignment="1">
      <alignment horizontal="center" vertical="center"/>
    </xf>
    <xf numFmtId="0" fontId="3" fillId="0" borderId="38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right"/>
    </xf>
    <xf numFmtId="0" fontId="3" fillId="0" borderId="20" xfId="0" applyFont="1" applyBorder="1"/>
    <xf numFmtId="0" fontId="1" fillId="0" borderId="20" xfId="0" applyFont="1" applyBorder="1" applyAlignment="1">
      <alignment horizontal="right"/>
    </xf>
    <xf numFmtId="165" fontId="3" fillId="0" borderId="23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right"/>
    </xf>
    <xf numFmtId="0" fontId="3" fillId="0" borderId="32" xfId="0" applyFont="1" applyBorder="1"/>
    <xf numFmtId="0" fontId="1" fillId="0" borderId="24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0" xfId="0" applyFont="1" applyAlignment="1">
      <alignment horizontal="right"/>
    </xf>
    <xf numFmtId="169" fontId="3" fillId="0" borderId="51" xfId="0" applyNumberFormat="1" applyFont="1" applyBorder="1"/>
    <xf numFmtId="16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9" fontId="3" fillId="0" borderId="32" xfId="0" applyNumberFormat="1" applyFont="1" applyBorder="1"/>
    <xf numFmtId="0" fontId="8" fillId="0" borderId="32" xfId="0" applyFont="1" applyBorder="1"/>
    <xf numFmtId="0" fontId="8" fillId="0" borderId="44" xfId="0" applyFont="1" applyBorder="1"/>
    <xf numFmtId="0" fontId="1" fillId="0" borderId="39" xfId="0" applyFont="1" applyBorder="1" applyAlignment="1">
      <alignment horizontal="center" vertical="center" wrapText="1"/>
    </xf>
    <xf numFmtId="0" fontId="3" fillId="0" borderId="39" xfId="0" applyFont="1" applyBorder="1" applyAlignment="1">
      <alignment vertical="center" wrapText="1"/>
    </xf>
    <xf numFmtId="0" fontId="3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0" borderId="20" xfId="0" applyFont="1" applyBorder="1"/>
    <xf numFmtId="0" fontId="9" fillId="0" borderId="0" xfId="0" applyFont="1"/>
    <xf numFmtId="165" fontId="3" fillId="0" borderId="18" xfId="0" applyNumberFormat="1" applyFont="1" applyBorder="1" applyAlignment="1">
      <alignment horizontal="center" vertical="center"/>
    </xf>
    <xf numFmtId="0" fontId="7" fillId="0" borderId="43" xfId="0" applyFont="1" applyBorder="1" applyAlignment="1">
      <alignment vertical="center"/>
    </xf>
    <xf numFmtId="0" fontId="5" fillId="0" borderId="16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" fontId="4" fillId="0" borderId="18" xfId="0" applyNumberFormat="1" applyFont="1" applyBorder="1" applyAlignment="1">
      <alignment horizontal="center" vertical="center" wrapText="1"/>
    </xf>
    <xf numFmtId="1" fontId="4" fillId="0" borderId="18" xfId="0" applyNumberFormat="1" applyFont="1" applyBorder="1" applyAlignment="1">
      <alignment horizontal="center" vertical="center"/>
    </xf>
    <xf numFmtId="1" fontId="4" fillId="0" borderId="18" xfId="0" applyNumberFormat="1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1" fontId="4" fillId="0" borderId="53" xfId="0" applyNumberFormat="1" applyFont="1" applyBorder="1" applyAlignment="1">
      <alignment horizontal="center" vertical="center" wrapText="1"/>
    </xf>
    <xf numFmtId="1" fontId="4" fillId="0" borderId="48" xfId="0" applyNumberFormat="1" applyFont="1" applyBorder="1" applyAlignment="1">
      <alignment horizontal="center" vertical="center" wrapText="1"/>
    </xf>
    <xf numFmtId="1" fontId="12" fillId="0" borderId="54" xfId="0" applyNumberFormat="1" applyFont="1" applyBorder="1" applyAlignment="1">
      <alignment horizontal="center" vertical="center" wrapText="1"/>
    </xf>
    <xf numFmtId="1" fontId="4" fillId="0" borderId="14" xfId="0" applyNumberFormat="1" applyFont="1" applyBorder="1" applyAlignment="1">
      <alignment horizontal="center" vertical="center" wrapText="1"/>
    </xf>
    <xf numFmtId="1" fontId="4" fillId="0" borderId="43" xfId="0" applyNumberFormat="1" applyFont="1" applyBorder="1" applyAlignment="1">
      <alignment horizontal="center" vertical="center" wrapText="1"/>
    </xf>
    <xf numFmtId="1" fontId="4" fillId="0" borderId="44" xfId="0" applyNumberFormat="1" applyFont="1" applyBorder="1" applyAlignment="1">
      <alignment horizontal="center" vertical="center" wrapText="1"/>
    </xf>
    <xf numFmtId="1" fontId="4" fillId="0" borderId="39" xfId="0" applyNumberFormat="1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164" fontId="13" fillId="0" borderId="18" xfId="0" applyNumberFormat="1" applyFont="1" applyBorder="1" applyAlignment="1">
      <alignment horizontal="center" vertical="center"/>
    </xf>
    <xf numFmtId="165" fontId="13" fillId="0" borderId="18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13" fillId="0" borderId="4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3" fillId="0" borderId="41" xfId="0" applyFont="1" applyBorder="1" applyAlignment="1">
      <alignment vertical="center" wrapText="1"/>
    </xf>
    <xf numFmtId="0" fontId="3" fillId="0" borderId="24" xfId="0" applyFont="1" applyBorder="1" applyAlignment="1">
      <alignment vertical="center"/>
    </xf>
    <xf numFmtId="0" fontId="3" fillId="0" borderId="35" xfId="0" applyFont="1" applyBorder="1" applyAlignment="1">
      <alignment vertical="center" wrapText="1"/>
    </xf>
    <xf numFmtId="0" fontId="13" fillId="0" borderId="0" xfId="0" applyFont="1" applyAlignment="1">
      <alignment horizontal="right" wrapText="1"/>
    </xf>
    <xf numFmtId="0" fontId="14" fillId="0" borderId="0" xfId="0" applyFont="1" applyAlignment="1">
      <alignment wrapText="1"/>
    </xf>
    <xf numFmtId="0" fontId="14" fillId="0" borderId="24" xfId="0" applyFont="1" applyBorder="1"/>
    <xf numFmtId="0" fontId="13" fillId="0" borderId="4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5" xfId="0" applyFont="1" applyBorder="1"/>
    <xf numFmtId="0" fontId="15" fillId="0" borderId="40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6" fillId="0" borderId="47" xfId="0" applyFont="1" applyBorder="1" applyAlignment="1">
      <alignment horizontal="right" vertical="center" wrapText="1"/>
    </xf>
    <xf numFmtId="0" fontId="16" fillId="0" borderId="10" xfId="0" applyFont="1" applyBorder="1" applyAlignment="1">
      <alignment horizontal="right" wrapText="1"/>
    </xf>
    <xf numFmtId="0" fontId="11" fillId="0" borderId="0" xfId="0" applyFont="1" applyAlignment="1">
      <alignment wrapText="1"/>
    </xf>
    <xf numFmtId="0" fontId="16" fillId="0" borderId="62" xfId="0" applyFont="1" applyBorder="1" applyAlignment="1">
      <alignment horizontal="right" wrapText="1"/>
    </xf>
    <xf numFmtId="0" fontId="16" fillId="0" borderId="5" xfId="0" applyFont="1" applyBorder="1" applyAlignment="1">
      <alignment horizontal="right" wrapText="1"/>
    </xf>
    <xf numFmtId="0" fontId="16" fillId="0" borderId="5" xfId="0" applyFont="1" applyBorder="1" applyAlignment="1">
      <alignment horizontal="right" vertical="center" wrapText="1"/>
    </xf>
    <xf numFmtId="0" fontId="16" fillId="0" borderId="24" xfId="0" applyFont="1" applyBorder="1" applyAlignment="1">
      <alignment horizontal="right" wrapText="1"/>
    </xf>
    <xf numFmtId="0" fontId="16" fillId="0" borderId="0" xfId="0" applyFont="1" applyAlignment="1">
      <alignment horizontal="right" wrapText="1"/>
    </xf>
    <xf numFmtId="0" fontId="11" fillId="0" borderId="32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51" xfId="0" applyFont="1" applyBorder="1" applyAlignment="1">
      <alignment wrapText="1"/>
    </xf>
    <xf numFmtId="0" fontId="16" fillId="0" borderId="33" xfId="0" applyFont="1" applyBorder="1" applyAlignment="1">
      <alignment horizontal="left" vertical="center"/>
    </xf>
    <xf numFmtId="0" fontId="11" fillId="0" borderId="34" xfId="0" applyFont="1" applyBorder="1" applyAlignment="1">
      <alignment wrapText="1"/>
    </xf>
    <xf numFmtId="0" fontId="5" fillId="0" borderId="34" xfId="0" applyFont="1" applyBorder="1"/>
    <xf numFmtId="0" fontId="11" fillId="0" borderId="35" xfId="0" applyFont="1" applyBorder="1" applyAlignment="1">
      <alignment wrapText="1"/>
    </xf>
    <xf numFmtId="167" fontId="5" fillId="0" borderId="0" xfId="0" applyNumberFormat="1" applyFont="1"/>
    <xf numFmtId="2" fontId="11" fillId="0" borderId="34" xfId="0" applyNumberFormat="1" applyFont="1" applyBorder="1" applyAlignment="1">
      <alignment wrapText="1"/>
    </xf>
    <xf numFmtId="2" fontId="5" fillId="0" borderId="34" xfId="0" applyNumberFormat="1" applyFont="1" applyBorder="1"/>
    <xf numFmtId="2" fontId="5" fillId="0" borderId="0" xfId="0" applyNumberFormat="1" applyFont="1"/>
    <xf numFmtId="0" fontId="1" fillId="0" borderId="63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5" fillId="0" borderId="7" xfId="0" applyFont="1" applyBorder="1"/>
    <xf numFmtId="0" fontId="17" fillId="0" borderId="6" xfId="0" applyFont="1" applyBorder="1"/>
    <xf numFmtId="0" fontId="17" fillId="0" borderId="0" xfId="0" applyFont="1"/>
    <xf numFmtId="0" fontId="17" fillId="0" borderId="7" xfId="0" applyFont="1" applyBorder="1"/>
    <xf numFmtId="0" fontId="13" fillId="0" borderId="4" xfId="0" applyFont="1" applyBorder="1" applyAlignment="1">
      <alignment horizontal="center" wrapText="1"/>
    </xf>
    <xf numFmtId="0" fontId="15" fillId="0" borderId="48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wrapText="1"/>
    </xf>
    <xf numFmtId="0" fontId="13" fillId="0" borderId="6" xfId="0" applyFont="1" applyBorder="1" applyAlignment="1">
      <alignment horizontal="right"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3" fillId="0" borderId="4" xfId="0" applyFont="1" applyBorder="1" applyAlignment="1">
      <alignment vertical="center" wrapText="1"/>
    </xf>
    <xf numFmtId="0" fontId="13" fillId="0" borderId="18" xfId="0" applyFont="1" applyBorder="1" applyAlignment="1">
      <alignment vertical="center" wrapText="1"/>
    </xf>
    <xf numFmtId="0" fontId="13" fillId="0" borderId="18" xfId="0" applyFont="1" applyBorder="1" applyAlignment="1">
      <alignment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vertical="center" wrapText="1"/>
    </xf>
    <xf numFmtId="0" fontId="13" fillId="0" borderId="8" xfId="0" applyFont="1" applyBorder="1" applyAlignment="1">
      <alignment wrapText="1"/>
    </xf>
    <xf numFmtId="0" fontId="13" fillId="0" borderId="10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3" fillId="0" borderId="68" xfId="0" applyFont="1" applyBorder="1" applyAlignment="1">
      <alignment horizontal="center" vertical="center"/>
    </xf>
    <xf numFmtId="164" fontId="13" fillId="0" borderId="64" xfId="0" applyNumberFormat="1" applyFont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1" fillId="0" borderId="32" xfId="0" applyFont="1" applyBorder="1"/>
    <xf numFmtId="0" fontId="13" fillId="0" borderId="28" xfId="0" applyFont="1" applyBorder="1" applyAlignment="1">
      <alignment horizontal="center" vertical="center"/>
    </xf>
    <xf numFmtId="165" fontId="13" fillId="0" borderId="64" xfId="0" applyNumberFormat="1" applyFont="1" applyBorder="1" applyAlignment="1">
      <alignment horizontal="center" vertical="center"/>
    </xf>
    <xf numFmtId="164" fontId="1" fillId="0" borderId="6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165" fontId="1" fillId="0" borderId="63" xfId="0" applyNumberFormat="1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32" xfId="0" applyFont="1" applyBorder="1"/>
    <xf numFmtId="0" fontId="5" fillId="0" borderId="64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wrapText="1"/>
    </xf>
    <xf numFmtId="0" fontId="5" fillId="0" borderId="66" xfId="0" applyFont="1" applyBorder="1" applyAlignment="1">
      <alignment wrapText="1"/>
    </xf>
    <xf numFmtId="0" fontId="5" fillId="0" borderId="65" xfId="0" applyFont="1" applyBorder="1" applyAlignment="1">
      <alignment wrapText="1"/>
    </xf>
    <xf numFmtId="0" fontId="5" fillId="0" borderId="65" xfId="0" applyFont="1" applyBorder="1"/>
    <xf numFmtId="0" fontId="7" fillId="0" borderId="29" xfId="0" applyFont="1" applyBorder="1" applyAlignment="1">
      <alignment horizontal="center" vertical="center" wrapText="1"/>
    </xf>
    <xf numFmtId="0" fontId="7" fillId="0" borderId="64" xfId="0" applyFont="1" applyBorder="1" applyAlignment="1">
      <alignment horizontal="center" vertical="center" wrapText="1"/>
    </xf>
    <xf numFmtId="0" fontId="7" fillId="0" borderId="64" xfId="0" applyFont="1" applyBorder="1" applyAlignment="1">
      <alignment vertical="center" wrapText="1"/>
    </xf>
    <xf numFmtId="0" fontId="5" fillId="0" borderId="64" xfId="0" applyFont="1" applyBorder="1" applyAlignment="1">
      <alignment wrapText="1"/>
    </xf>
    <xf numFmtId="0" fontId="5" fillId="0" borderId="66" xfId="0" applyFont="1" applyBorder="1" applyAlignment="1">
      <alignment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wrapText="1"/>
    </xf>
    <xf numFmtId="0" fontId="1" fillId="0" borderId="31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 wrapText="1"/>
    </xf>
    <xf numFmtId="0" fontId="3" fillId="0" borderId="64" xfId="0" applyFont="1" applyBorder="1" applyAlignment="1">
      <alignment wrapText="1"/>
    </xf>
    <xf numFmtId="2" fontId="5" fillId="0" borderId="4" xfId="0" applyNumberFormat="1" applyFont="1" applyBorder="1" applyAlignment="1">
      <alignment horizontal="center"/>
    </xf>
    <xf numFmtId="0" fontId="2" fillId="0" borderId="11" xfId="0" applyFont="1" applyBorder="1"/>
    <xf numFmtId="0" fontId="2" fillId="0" borderId="25" xfId="0" applyFont="1" applyBorder="1"/>
    <xf numFmtId="0" fontId="5" fillId="0" borderId="4" xfId="0" applyFont="1" applyBorder="1" applyAlignment="1">
      <alignment horizontal="left"/>
    </xf>
    <xf numFmtId="0" fontId="2" fillId="0" borderId="5" xfId="0" applyFont="1" applyBorder="1"/>
    <xf numFmtId="0" fontId="6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/>
    <xf numFmtId="0" fontId="3" fillId="0" borderId="9" xfId="0" applyFont="1" applyBorder="1" applyAlignment="1">
      <alignment horizontal="center"/>
    </xf>
    <xf numFmtId="0" fontId="2" fillId="0" borderId="9" xfId="0" applyFont="1" applyBorder="1"/>
    <xf numFmtId="0" fontId="1" fillId="0" borderId="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/>
    </xf>
    <xf numFmtId="0" fontId="2" fillId="0" borderId="34" xfId="0" applyFont="1" applyBorder="1"/>
    <xf numFmtId="0" fontId="2" fillId="0" borderId="35" xfId="0" applyFont="1" applyBorder="1"/>
    <xf numFmtId="0" fontId="1" fillId="0" borderId="22" xfId="0" applyFont="1" applyBorder="1" applyAlignment="1">
      <alignment horizontal="right"/>
    </xf>
    <xf numFmtId="0" fontId="2" fillId="0" borderId="20" xfId="0" applyFont="1" applyBorder="1"/>
    <xf numFmtId="0" fontId="3" fillId="0" borderId="24" xfId="0" applyFont="1" applyBorder="1" applyAlignment="1">
      <alignment horizontal="center"/>
    </xf>
    <xf numFmtId="0" fontId="0" fillId="0" borderId="0" xfId="0"/>
    <xf numFmtId="0" fontId="1" fillId="0" borderId="24" xfId="0" applyFont="1" applyBorder="1" applyAlignment="1">
      <alignment horizontal="right"/>
    </xf>
    <xf numFmtId="0" fontId="1" fillId="6" borderId="4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2" fontId="1" fillId="7" borderId="12" xfId="0" applyNumberFormat="1" applyFont="1" applyFill="1" applyBorder="1" applyAlignment="1">
      <alignment horizontal="center" vertical="center"/>
    </xf>
    <xf numFmtId="0" fontId="2" fillId="0" borderId="49" xfId="0" applyFont="1" applyBorder="1"/>
    <xf numFmtId="0" fontId="1" fillId="0" borderId="37" xfId="0" applyFont="1" applyBorder="1" applyAlignment="1">
      <alignment horizontal="left" vertical="center"/>
    </xf>
    <xf numFmtId="0" fontId="2" fillId="0" borderId="16" xfId="0" applyFont="1" applyBorder="1"/>
    <xf numFmtId="0" fontId="2" fillId="0" borderId="23" xfId="0" applyFont="1" applyBorder="1"/>
    <xf numFmtId="0" fontId="3" fillId="0" borderId="38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2" fillId="0" borderId="50" xfId="0" applyFont="1" applyBorder="1"/>
    <xf numFmtId="0" fontId="1" fillId="0" borderId="22" xfId="0" applyFont="1" applyBorder="1" applyAlignment="1">
      <alignment horizontal="left" vertical="top" wrapText="1"/>
    </xf>
    <xf numFmtId="0" fontId="2" fillId="0" borderId="28" xfId="0" applyFont="1" applyBorder="1"/>
    <xf numFmtId="0" fontId="2" fillId="0" borderId="33" xfId="0" applyFont="1" applyBorder="1"/>
    <xf numFmtId="0" fontId="3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167" fontId="6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2" fillId="0" borderId="36" xfId="0" applyFont="1" applyBorder="1"/>
    <xf numFmtId="0" fontId="1" fillId="0" borderId="42" xfId="0" applyFont="1" applyBorder="1" applyAlignment="1">
      <alignment horizontal="center" vertical="center"/>
    </xf>
    <xf numFmtId="0" fontId="2" fillId="0" borderId="17" xfId="0" applyFont="1" applyBorder="1"/>
    <xf numFmtId="0" fontId="5" fillId="0" borderId="6" xfId="0" applyFont="1" applyBorder="1" applyAlignment="1">
      <alignment horizontal="center" wrapText="1"/>
    </xf>
    <xf numFmtId="0" fontId="2" fillId="0" borderId="7" xfId="0" applyFont="1" applyBorder="1"/>
    <xf numFmtId="0" fontId="3" fillId="0" borderId="22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2" fillId="0" borderId="32" xfId="0" applyFont="1" applyBorder="1"/>
    <xf numFmtId="0" fontId="1" fillId="0" borderId="36" xfId="0" applyFont="1" applyBorder="1" applyAlignment="1">
      <alignment horizontal="center" vertical="center"/>
    </xf>
    <xf numFmtId="0" fontId="2" fillId="0" borderId="31" xfId="0" applyFont="1" applyBorder="1"/>
    <xf numFmtId="0" fontId="1" fillId="0" borderId="2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2" fillId="0" borderId="24" xfId="0" applyFont="1" applyBorder="1"/>
    <xf numFmtId="0" fontId="1" fillId="0" borderId="29" xfId="0" applyFont="1" applyBorder="1" applyAlignment="1">
      <alignment horizontal="center" vertical="center"/>
    </xf>
    <xf numFmtId="0" fontId="2" fillId="0" borderId="30" xfId="0" applyFont="1" applyBorder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2" fillId="0" borderId="10" xfId="0" applyFont="1" applyBorder="1"/>
    <xf numFmtId="0" fontId="3" fillId="0" borderId="4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top"/>
    </xf>
    <xf numFmtId="0" fontId="2" fillId="0" borderId="21" xfId="0" applyFont="1" applyBorder="1"/>
    <xf numFmtId="0" fontId="1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167" fontId="3" fillId="0" borderId="12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6" xfId="0" applyFont="1" applyBorder="1"/>
    <xf numFmtId="0" fontId="2" fillId="0" borderId="8" xfId="0" applyFont="1" applyBorder="1"/>
    <xf numFmtId="0" fontId="1" fillId="0" borderId="8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 wrapText="1"/>
    </xf>
    <xf numFmtId="170" fontId="3" fillId="0" borderId="4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  <xf numFmtId="0" fontId="1" fillId="0" borderId="26" xfId="0" applyFont="1" applyBorder="1" applyAlignment="1">
      <alignment horizontal="center" vertical="center"/>
    </xf>
    <xf numFmtId="0" fontId="2" fillId="0" borderId="26" xfId="0" applyFont="1" applyBorder="1"/>
    <xf numFmtId="0" fontId="1" fillId="0" borderId="19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 wrapText="1"/>
    </xf>
    <xf numFmtId="2" fontId="6" fillId="0" borderId="8" xfId="0" applyNumberFormat="1" applyFont="1" applyBorder="1" applyAlignment="1">
      <alignment horizontal="center"/>
    </xf>
    <xf numFmtId="0" fontId="1" fillId="0" borderId="1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left" vertical="center" wrapText="1"/>
    </xf>
    <xf numFmtId="0" fontId="1" fillId="0" borderId="4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165" fontId="3" fillId="0" borderId="12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1" fillId="0" borderId="42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wrapText="1"/>
    </xf>
    <xf numFmtId="0" fontId="5" fillId="0" borderId="29" xfId="0" applyFont="1" applyBorder="1" applyAlignment="1">
      <alignment horizontal="center" vertical="center" wrapText="1"/>
    </xf>
    <xf numFmtId="1" fontId="10" fillId="0" borderId="22" xfId="0" applyNumberFormat="1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14" fontId="7" fillId="0" borderId="12" xfId="0" applyNumberFormat="1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51" xfId="0" applyFont="1" applyBorder="1"/>
    <xf numFmtId="0" fontId="5" fillId="0" borderId="12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wrapText="1"/>
    </xf>
    <xf numFmtId="0" fontId="7" fillId="0" borderId="22" xfId="0" applyFont="1" applyBorder="1" applyAlignment="1">
      <alignment horizontal="left" vertical="top" wrapText="1"/>
    </xf>
    <xf numFmtId="0" fontId="7" fillId="0" borderId="52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42" xfId="0" applyFont="1" applyBorder="1" applyAlignment="1">
      <alignment horizontal="left" vertical="center" wrapText="1"/>
    </xf>
    <xf numFmtId="0" fontId="1" fillId="8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0" fontId="2" fillId="0" borderId="53" xfId="0" applyFont="1" applyBorder="1"/>
    <xf numFmtId="0" fontId="2" fillId="0" borderId="48" xfId="0" applyFont="1" applyBorder="1"/>
    <xf numFmtId="170" fontId="3" fillId="0" borderId="4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" fillId="0" borderId="4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 readingOrder="1"/>
    </xf>
    <xf numFmtId="165" fontId="3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 vertical="center" wrapText="1"/>
    </xf>
    <xf numFmtId="1" fontId="4" fillId="0" borderId="38" xfId="0" applyNumberFormat="1" applyFont="1" applyBorder="1" applyAlignment="1">
      <alignment horizontal="center" vertical="center" wrapText="1"/>
    </xf>
    <xf numFmtId="1" fontId="4" fillId="0" borderId="22" xfId="0" applyNumberFormat="1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2" fontId="3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4" fillId="0" borderId="38" xfId="0" applyNumberFormat="1" applyFont="1" applyBorder="1" applyAlignment="1">
      <alignment horizontal="left" vertical="center" wrapText="1"/>
    </xf>
    <xf numFmtId="1" fontId="4" fillId="0" borderId="42" xfId="0" applyNumberFormat="1" applyFont="1" applyBorder="1" applyAlignment="1">
      <alignment horizontal="center" vertical="center" wrapText="1"/>
    </xf>
    <xf numFmtId="1" fontId="4" fillId="0" borderId="29" xfId="0" applyNumberFormat="1" applyFont="1" applyBorder="1" applyAlignment="1">
      <alignment horizontal="center" vertical="center" wrapText="1"/>
    </xf>
    <xf numFmtId="1" fontId="4" fillId="0" borderId="22" xfId="0" applyNumberFormat="1" applyFont="1" applyBorder="1" applyAlignment="1">
      <alignment horizontal="right" vertical="center" wrapText="1"/>
    </xf>
    <xf numFmtId="1" fontId="4" fillId="0" borderId="20" xfId="0" applyNumberFormat="1" applyFont="1" applyBorder="1" applyAlignment="1">
      <alignment horizontal="center" vertical="center" wrapText="1"/>
    </xf>
    <xf numFmtId="1" fontId="4" fillId="0" borderId="20" xfId="0" applyNumberFormat="1" applyFont="1" applyBorder="1" applyAlignment="1">
      <alignment horizontal="right" vertical="center" wrapText="1"/>
    </xf>
    <xf numFmtId="1" fontId="4" fillId="0" borderId="16" xfId="0" applyNumberFormat="1" applyFont="1" applyBorder="1" applyAlignment="1">
      <alignment horizontal="center" vertical="center" wrapText="1"/>
    </xf>
    <xf numFmtId="1" fontId="4" fillId="0" borderId="1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1" fontId="4" fillId="0" borderId="0" xfId="0" applyNumberFormat="1" applyFont="1" applyAlignment="1">
      <alignment horizontal="right" vertical="center" wrapText="1"/>
    </xf>
    <xf numFmtId="1" fontId="4" fillId="0" borderId="34" xfId="0" applyNumberFormat="1" applyFont="1" applyBorder="1" applyAlignment="1">
      <alignment horizontal="center" vertical="center" wrapText="1"/>
    </xf>
    <xf numFmtId="1" fontId="4" fillId="0" borderId="34" xfId="0" applyNumberFormat="1" applyFont="1" applyBorder="1" applyAlignment="1">
      <alignment horizontal="right" vertical="center" wrapText="1"/>
    </xf>
    <xf numFmtId="1" fontId="4" fillId="0" borderId="24" xfId="0" applyNumberFormat="1" applyFont="1" applyBorder="1" applyAlignment="1">
      <alignment horizontal="right" vertical="center" wrapText="1"/>
    </xf>
    <xf numFmtId="1" fontId="4" fillId="0" borderId="33" xfId="0" applyNumberFormat="1" applyFont="1" applyBorder="1" applyAlignment="1">
      <alignment horizontal="right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" fontId="4" fillId="0" borderId="12" xfId="0" applyNumberFormat="1" applyFont="1" applyBorder="1" applyAlignment="1">
      <alignment horizontal="center" vertical="center" wrapText="1"/>
    </xf>
    <xf numFmtId="1" fontId="4" fillId="0" borderId="37" xfId="0" applyNumberFormat="1" applyFont="1" applyBorder="1" applyAlignment="1">
      <alignment horizontal="center" vertical="center" wrapText="1"/>
    </xf>
    <xf numFmtId="1" fontId="4" fillId="0" borderId="9" xfId="0" applyNumberFormat="1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wrapText="1"/>
    </xf>
    <xf numFmtId="0" fontId="1" fillId="0" borderId="38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/>
    </xf>
    <xf numFmtId="1" fontId="6" fillId="0" borderId="38" xfId="0" applyNumberFormat="1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 wrapText="1"/>
    </xf>
    <xf numFmtId="1" fontId="4" fillId="0" borderId="26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165" fontId="13" fillId="0" borderId="4" xfId="0" applyNumberFormat="1" applyFont="1" applyBorder="1" applyAlignment="1">
      <alignment horizontal="center" vertical="center"/>
    </xf>
    <xf numFmtId="0" fontId="11" fillId="0" borderId="0" xfId="0" applyFont="1"/>
    <xf numFmtId="0" fontId="1" fillId="0" borderId="4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55" xfId="0" applyFont="1" applyBorder="1"/>
    <xf numFmtId="0" fontId="3" fillId="0" borderId="4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center"/>
    </xf>
    <xf numFmtId="0" fontId="14" fillId="0" borderId="0" xfId="0" applyFont="1" applyAlignment="1">
      <alignment horizontal="center" wrapText="1"/>
    </xf>
    <xf numFmtId="0" fontId="13" fillId="0" borderId="4" xfId="0" applyFont="1" applyBorder="1" applyAlignment="1">
      <alignment horizontal="left" vertical="center" wrapText="1"/>
    </xf>
    <xf numFmtId="0" fontId="14" fillId="0" borderId="1" xfId="0" applyFont="1" applyBorder="1"/>
    <xf numFmtId="0" fontId="14" fillId="0" borderId="4" xfId="0" applyFont="1" applyBorder="1" applyAlignment="1">
      <alignment horizontal="center"/>
    </xf>
    <xf numFmtId="0" fontId="13" fillId="0" borderId="24" xfId="0" applyFont="1" applyBorder="1" applyAlignment="1">
      <alignment horizontal="center" vertical="center" textRotation="90" wrapText="1"/>
    </xf>
    <xf numFmtId="0" fontId="13" fillId="0" borderId="0" xfId="0" applyFont="1" applyAlignment="1">
      <alignment horizontal="right" wrapText="1"/>
    </xf>
    <xf numFmtId="0" fontId="14" fillId="0" borderId="9" xfId="0" applyFont="1" applyBorder="1" applyAlignment="1">
      <alignment horizontal="center" wrapText="1"/>
    </xf>
    <xf numFmtId="0" fontId="14" fillId="0" borderId="4" xfId="0" applyFont="1" applyBorder="1" applyAlignment="1">
      <alignment vertical="center" wrapText="1"/>
    </xf>
    <xf numFmtId="49" fontId="14" fillId="0" borderId="4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right" vertical="center" wrapText="1"/>
    </xf>
    <xf numFmtId="0" fontId="14" fillId="0" borderId="11" xfId="0" applyFont="1" applyBorder="1" applyAlignment="1">
      <alignment horizontal="center" vertical="center"/>
    </xf>
    <xf numFmtId="0" fontId="13" fillId="0" borderId="56" xfId="0" applyFont="1" applyBorder="1" applyAlignment="1">
      <alignment horizontal="center" vertical="center" textRotation="90" wrapText="1"/>
    </xf>
    <xf numFmtId="0" fontId="2" fillId="0" borderId="57" xfId="0" applyFont="1" applyBorder="1"/>
    <xf numFmtId="0" fontId="14" fillId="0" borderId="9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2" fontId="8" fillId="0" borderId="9" xfId="0" applyNumberFormat="1" applyFont="1" applyBorder="1" applyAlignment="1">
      <alignment horizontal="center" wrapText="1"/>
    </xf>
    <xf numFmtId="0" fontId="11" fillId="0" borderId="9" xfId="0" applyFont="1" applyBorder="1" applyAlignment="1">
      <alignment wrapText="1"/>
    </xf>
    <xf numFmtId="0" fontId="1" fillId="0" borderId="58" xfId="0" applyFont="1" applyBorder="1" applyAlignment="1">
      <alignment horizontal="center" vertical="center" wrapText="1"/>
    </xf>
    <xf numFmtId="0" fontId="2" fillId="0" borderId="59" xfId="0" applyFont="1" applyBorder="1"/>
    <xf numFmtId="0" fontId="1" fillId="0" borderId="19" xfId="0" applyFont="1" applyBorder="1" applyAlignment="1">
      <alignment horizontal="center" vertical="center" wrapText="1"/>
    </xf>
    <xf numFmtId="0" fontId="2" fillId="0" borderId="60" xfId="0" applyFont="1" applyBorder="1"/>
    <xf numFmtId="0" fontId="8" fillId="0" borderId="8" xfId="0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165" fontId="1" fillId="0" borderId="12" xfId="0" applyNumberFormat="1" applyFont="1" applyBorder="1" applyAlignment="1">
      <alignment horizontal="center" vertical="center"/>
    </xf>
    <xf numFmtId="167" fontId="8" fillId="0" borderId="8" xfId="0" applyNumberFormat="1" applyFont="1" applyBorder="1" applyAlignment="1">
      <alignment horizontal="center" vertical="center" wrapText="1"/>
    </xf>
    <xf numFmtId="0" fontId="2" fillId="0" borderId="61" xfId="0" applyFont="1" applyBorder="1"/>
    <xf numFmtId="2" fontId="11" fillId="0" borderId="9" xfId="0" applyNumberFormat="1" applyFont="1" applyBorder="1" applyAlignment="1">
      <alignment wrapText="1"/>
    </xf>
    <xf numFmtId="2" fontId="1" fillId="0" borderId="19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5" fontId="1" fillId="0" borderId="29" xfId="0" applyNumberFormat="1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 wrapText="1"/>
    </xf>
    <xf numFmtId="0" fontId="2" fillId="0" borderId="65" xfId="0" applyFont="1" applyBorder="1"/>
    <xf numFmtId="0" fontId="2" fillId="0" borderId="66" xfId="0" applyFont="1" applyBorder="1"/>
    <xf numFmtId="2" fontId="1" fillId="0" borderId="22" xfId="0" applyNumberFormat="1" applyFont="1" applyBorder="1" applyAlignment="1">
      <alignment horizontal="center" vertical="center" wrapText="1"/>
    </xf>
    <xf numFmtId="164" fontId="1" fillId="0" borderId="29" xfId="0" applyNumberFormat="1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5" fillId="0" borderId="4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17" fontId="14" fillId="0" borderId="4" xfId="0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7" fillId="0" borderId="6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wrapText="1"/>
    </xf>
    <xf numFmtId="0" fontId="5" fillId="0" borderId="29" xfId="0" applyFont="1" applyBorder="1" applyAlignment="1">
      <alignment horizontal="center" wrapText="1"/>
    </xf>
    <xf numFmtId="0" fontId="1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wrapText="1"/>
    </xf>
    <xf numFmtId="0" fontId="11" fillId="0" borderId="29" xfId="0" applyFont="1" applyBorder="1" applyAlignment="1">
      <alignment horizontal="center" wrapText="1"/>
    </xf>
    <xf numFmtId="0" fontId="1" fillId="0" borderId="2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2" fillId="0" borderId="69" xfId="0" applyFont="1" applyBorder="1"/>
    <xf numFmtId="0" fontId="3" fillId="0" borderId="29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3" fillId="0" borderId="63" xfId="0" applyFont="1" applyBorder="1" applyAlignment="1">
      <alignment horizontal="center" wrapText="1"/>
    </xf>
    <xf numFmtId="0" fontId="1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33</xdr:row>
      <xdr:rowOff>0</xdr:rowOff>
    </xdr:from>
    <xdr:ext cx="257175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33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57175" cy="32385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32</xdr:row>
      <xdr:rowOff>0</xdr:rowOff>
    </xdr:from>
    <xdr:ext cx="25717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32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57175" cy="323850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46</xdr:row>
      <xdr:rowOff>0</xdr:rowOff>
    </xdr:from>
    <xdr:ext cx="257175" cy="3238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46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46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46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46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46</xdr:row>
      <xdr:rowOff>0</xdr:rowOff>
    </xdr:from>
    <xdr:ext cx="257175" cy="3238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46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46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39</xdr:row>
      <xdr:rowOff>0</xdr:rowOff>
    </xdr:from>
    <xdr:ext cx="257175" cy="3238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39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39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39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39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39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39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39</xdr:row>
      <xdr:rowOff>0</xdr:rowOff>
    </xdr:from>
    <xdr:ext cx="257175" cy="323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39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39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39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39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39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39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39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30</xdr:row>
      <xdr:rowOff>0</xdr:rowOff>
    </xdr:from>
    <xdr:ext cx="257175" cy="3238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30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30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30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30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30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30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30</xdr:row>
      <xdr:rowOff>0</xdr:rowOff>
    </xdr:from>
    <xdr:ext cx="257175" cy="3238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30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30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30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30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30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30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30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47</xdr:row>
      <xdr:rowOff>0</xdr:rowOff>
    </xdr:from>
    <xdr:ext cx="257175" cy="3238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47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57175" cy="3238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40</xdr:row>
      <xdr:rowOff>0</xdr:rowOff>
    </xdr:from>
    <xdr:ext cx="257175" cy="3238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86</xdr:row>
      <xdr:rowOff>104775</xdr:rowOff>
    </xdr:from>
    <xdr:ext cx="1028700" cy="733425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100</xdr:row>
      <xdr:rowOff>104775</xdr:rowOff>
    </xdr:from>
    <xdr:ext cx="1028700" cy="733425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114</xdr:row>
      <xdr:rowOff>104775</xdr:rowOff>
    </xdr:from>
    <xdr:ext cx="1028700" cy="733425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128</xdr:row>
      <xdr:rowOff>104775</xdr:rowOff>
    </xdr:from>
    <xdr:ext cx="1028700" cy="733425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142</xdr:row>
      <xdr:rowOff>104775</xdr:rowOff>
    </xdr:from>
    <xdr:ext cx="1028700" cy="733425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156</xdr:row>
      <xdr:rowOff>104775</xdr:rowOff>
    </xdr:from>
    <xdr:ext cx="1028700" cy="733425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170</xdr:row>
      <xdr:rowOff>104775</xdr:rowOff>
    </xdr:from>
    <xdr:ext cx="1028700" cy="733425"/>
    <xdr:pic>
      <xdr:nvPicPr>
        <xdr:cNvPr id="14" name="image1.png" title="Image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184</xdr:row>
      <xdr:rowOff>104775</xdr:rowOff>
    </xdr:from>
    <xdr:ext cx="1028700" cy="733425"/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198</xdr:row>
      <xdr:rowOff>104775</xdr:rowOff>
    </xdr:from>
    <xdr:ext cx="1028700" cy="733425"/>
    <xdr:pic>
      <xdr:nvPicPr>
        <xdr:cNvPr id="16" name="image1.png" title="Image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212</xdr:row>
      <xdr:rowOff>104775</xdr:rowOff>
    </xdr:from>
    <xdr:ext cx="1028700" cy="733425"/>
    <xdr:pic>
      <xdr:nvPicPr>
        <xdr:cNvPr id="17" name="image1.png" title="Image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226</xdr:row>
      <xdr:rowOff>104775</xdr:rowOff>
    </xdr:from>
    <xdr:ext cx="1028700" cy="733425"/>
    <xdr:pic>
      <xdr:nvPicPr>
        <xdr:cNvPr id="18" name="image1.png" title="Image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240</xdr:row>
      <xdr:rowOff>104775</xdr:rowOff>
    </xdr:from>
    <xdr:ext cx="1028700" cy="733425"/>
    <xdr:pic>
      <xdr:nvPicPr>
        <xdr:cNvPr id="19" name="image1.png" title="Image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sqref="A1:C5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3.73046875" customWidth="1"/>
    <col min="12" max="12" width="16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26" ht="18.75" customHeight="1" x14ac:dyDescent="0.45">
      <c r="A1" s="223"/>
      <c r="B1" s="193"/>
      <c r="C1" s="224"/>
      <c r="D1" s="223" t="s">
        <v>0</v>
      </c>
      <c r="E1" s="193"/>
      <c r="F1" s="193"/>
      <c r="G1" s="193"/>
      <c r="H1" s="193"/>
      <c r="I1" s="193"/>
      <c r="J1" s="193"/>
      <c r="K1" s="193"/>
      <c r="L1" s="224"/>
      <c r="M1" s="235" t="s">
        <v>1</v>
      </c>
      <c r="N1" s="189"/>
      <c r="O1" s="235" t="s">
        <v>2</v>
      </c>
      <c r="P1" s="189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5" customHeight="1" x14ac:dyDescent="0.45">
      <c r="A2" s="266"/>
      <c r="B2" s="203"/>
      <c r="C2" s="232"/>
      <c r="D2" s="267"/>
      <c r="E2" s="195"/>
      <c r="F2" s="195"/>
      <c r="G2" s="195"/>
      <c r="H2" s="195"/>
      <c r="I2" s="195"/>
      <c r="J2" s="195"/>
      <c r="K2" s="195"/>
      <c r="L2" s="252"/>
      <c r="M2" s="268" t="s">
        <v>3</v>
      </c>
      <c r="N2" s="252"/>
      <c r="O2" s="269">
        <v>1</v>
      </c>
      <c r="P2" s="224"/>
      <c r="Q2" s="3"/>
      <c r="R2" s="3"/>
      <c r="S2" s="3"/>
      <c r="T2" s="2"/>
      <c r="U2" s="2"/>
      <c r="V2" s="2"/>
      <c r="W2" s="2"/>
      <c r="X2" s="2"/>
      <c r="Y2" s="2"/>
      <c r="Z2" s="2"/>
    </row>
    <row r="3" spans="1:26" ht="21" customHeight="1" x14ac:dyDescent="0.45">
      <c r="A3" s="266"/>
      <c r="B3" s="203"/>
      <c r="C3" s="232"/>
      <c r="D3" s="270" t="s">
        <v>4</v>
      </c>
      <c r="E3" s="193"/>
      <c r="F3" s="193"/>
      <c r="G3" s="193"/>
      <c r="H3" s="193"/>
      <c r="I3" s="193"/>
      <c r="J3" s="193"/>
      <c r="K3" s="193"/>
      <c r="L3" s="224"/>
      <c r="M3" s="268" t="s">
        <v>5</v>
      </c>
      <c r="N3" s="252"/>
      <c r="O3" s="235" t="s">
        <v>6</v>
      </c>
      <c r="P3" s="189"/>
      <c r="Q3" s="3"/>
      <c r="R3" s="3"/>
      <c r="S3" s="3"/>
      <c r="T3" s="2"/>
      <c r="U3" s="2"/>
      <c r="V3" s="2"/>
      <c r="W3" s="2"/>
      <c r="X3" s="2"/>
      <c r="Y3" s="2"/>
      <c r="Z3" s="2"/>
    </row>
    <row r="4" spans="1:26" ht="21" customHeight="1" x14ac:dyDescent="0.45">
      <c r="A4" s="266"/>
      <c r="B4" s="203"/>
      <c r="C4" s="232"/>
      <c r="D4" s="266"/>
      <c r="E4" s="203"/>
      <c r="F4" s="203"/>
      <c r="G4" s="203"/>
      <c r="H4" s="203"/>
      <c r="I4" s="203"/>
      <c r="J4" s="203"/>
      <c r="K4" s="203"/>
      <c r="L4" s="232"/>
      <c r="M4" s="223" t="s">
        <v>7</v>
      </c>
      <c r="N4" s="224"/>
      <c r="O4" s="242" t="s">
        <v>8</v>
      </c>
      <c r="P4" s="189"/>
      <c r="Q4" s="3"/>
      <c r="R4" s="3"/>
      <c r="S4" s="3"/>
      <c r="T4" s="2"/>
      <c r="U4" s="2"/>
      <c r="V4" s="2"/>
      <c r="W4" s="2"/>
      <c r="X4" s="2"/>
      <c r="Y4" s="2"/>
      <c r="Z4" s="2"/>
    </row>
    <row r="5" spans="1:26" ht="21" customHeight="1" x14ac:dyDescent="0.45">
      <c r="A5" s="267"/>
      <c r="B5" s="195"/>
      <c r="C5" s="252"/>
      <c r="D5" s="267"/>
      <c r="E5" s="195"/>
      <c r="F5" s="195"/>
      <c r="G5" s="195"/>
      <c r="H5" s="195"/>
      <c r="I5" s="195"/>
      <c r="J5" s="195"/>
      <c r="K5" s="195"/>
      <c r="L5" s="252"/>
      <c r="M5" s="267"/>
      <c r="N5" s="252"/>
      <c r="O5" s="243" t="s">
        <v>9</v>
      </c>
      <c r="P5" s="189"/>
      <c r="Q5" s="3"/>
      <c r="R5" s="3"/>
      <c r="S5" s="3"/>
      <c r="T5" s="2"/>
      <c r="U5" s="2"/>
      <c r="V5" s="2"/>
      <c r="W5" s="2"/>
      <c r="X5" s="2"/>
      <c r="Y5" s="2"/>
      <c r="Z5" s="2"/>
    </row>
    <row r="6" spans="1:26" ht="12" customHeight="1" x14ac:dyDescent="0.45">
      <c r="A6" s="4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5"/>
      <c r="O6" s="5"/>
      <c r="P6" s="7"/>
      <c r="Q6" s="3"/>
      <c r="R6" s="3"/>
      <c r="S6" s="3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63" t="s">
        <v>10</v>
      </c>
      <c r="B7" s="186"/>
      <c r="C7" s="186"/>
      <c r="D7" s="186"/>
      <c r="E7" s="189"/>
      <c r="F7" s="191" t="s">
        <v>11</v>
      </c>
      <c r="G7" s="186"/>
      <c r="H7" s="186"/>
      <c r="I7" s="186"/>
      <c r="J7" s="186"/>
      <c r="K7" s="186"/>
      <c r="L7" s="186"/>
      <c r="M7" s="186"/>
      <c r="N7" s="186"/>
      <c r="O7" s="186"/>
      <c r="P7" s="189"/>
      <c r="Q7" s="3"/>
      <c r="R7" s="3"/>
      <c r="S7" s="3"/>
      <c r="T7" s="2"/>
      <c r="U7" s="2"/>
      <c r="V7" s="2"/>
      <c r="W7" s="2"/>
      <c r="X7" s="2"/>
      <c r="Y7" s="2"/>
      <c r="Z7" s="2"/>
    </row>
    <row r="8" spans="1:26" ht="21.75" customHeight="1" x14ac:dyDescent="0.45">
      <c r="A8" s="263" t="s">
        <v>12</v>
      </c>
      <c r="B8" s="186"/>
      <c r="C8" s="186"/>
      <c r="D8" s="186"/>
      <c r="E8" s="189"/>
      <c r="F8" s="264" t="s">
        <v>13</v>
      </c>
      <c r="G8" s="186"/>
      <c r="H8" s="186"/>
      <c r="I8" s="186"/>
      <c r="J8" s="189"/>
      <c r="K8" s="235" t="s">
        <v>14</v>
      </c>
      <c r="L8" s="189"/>
      <c r="M8" s="191" t="s">
        <v>15</v>
      </c>
      <c r="N8" s="186"/>
      <c r="O8" s="186"/>
      <c r="P8" s="189"/>
      <c r="Q8" s="3"/>
      <c r="R8" s="3"/>
      <c r="S8" s="3"/>
      <c r="T8" s="2"/>
      <c r="U8" s="2"/>
      <c r="V8" s="2"/>
      <c r="W8" s="2"/>
      <c r="X8" s="2"/>
      <c r="Y8" s="2"/>
      <c r="Z8" s="2"/>
    </row>
    <row r="9" spans="1:26" ht="24" customHeight="1" x14ac:dyDescent="0.45">
      <c r="A9" s="263" t="s">
        <v>16</v>
      </c>
      <c r="B9" s="186"/>
      <c r="C9" s="186"/>
      <c r="D9" s="186"/>
      <c r="E9" s="189"/>
      <c r="F9" s="191" t="s">
        <v>17</v>
      </c>
      <c r="G9" s="186"/>
      <c r="H9" s="186"/>
      <c r="I9" s="186"/>
      <c r="J9" s="189"/>
      <c r="K9" s="235" t="s">
        <v>18</v>
      </c>
      <c r="L9" s="189"/>
      <c r="M9" s="262">
        <v>90</v>
      </c>
      <c r="N9" s="186"/>
      <c r="O9" s="186"/>
      <c r="P9" s="189"/>
      <c r="Q9" s="3"/>
      <c r="R9" s="3"/>
      <c r="S9" s="3"/>
      <c r="T9" s="2"/>
      <c r="U9" s="2"/>
      <c r="V9" s="2"/>
      <c r="W9" s="2"/>
      <c r="X9" s="2"/>
      <c r="Y9" s="2"/>
      <c r="Z9" s="2"/>
    </row>
    <row r="10" spans="1:26" ht="24.75" customHeight="1" x14ac:dyDescent="0.45">
      <c r="A10" s="263" t="s">
        <v>19</v>
      </c>
      <c r="B10" s="186"/>
      <c r="C10" s="186"/>
      <c r="D10" s="186"/>
      <c r="E10" s="189"/>
      <c r="F10" s="191" t="s">
        <v>20</v>
      </c>
      <c r="G10" s="186"/>
      <c r="H10" s="186"/>
      <c r="I10" s="186"/>
      <c r="J10" s="186"/>
      <c r="K10" s="186"/>
      <c r="L10" s="186"/>
      <c r="M10" s="186"/>
      <c r="N10" s="186"/>
      <c r="O10" s="186"/>
      <c r="P10" s="189"/>
      <c r="Q10" s="3"/>
      <c r="R10" s="3"/>
      <c r="S10" s="3"/>
      <c r="T10" s="2"/>
      <c r="U10" s="2"/>
      <c r="V10" s="2"/>
      <c r="W10" s="2"/>
      <c r="X10" s="2"/>
      <c r="Y10" s="2"/>
      <c r="Z10" s="2"/>
    </row>
    <row r="11" spans="1:26" ht="31.5" customHeight="1" x14ac:dyDescent="0.45">
      <c r="A11" s="263" t="s">
        <v>21</v>
      </c>
      <c r="B11" s="186"/>
      <c r="C11" s="186"/>
      <c r="D11" s="186"/>
      <c r="E11" s="189"/>
      <c r="F11" s="222" t="s">
        <v>22</v>
      </c>
      <c r="G11" s="206"/>
      <c r="H11" s="206"/>
      <c r="I11" s="206"/>
      <c r="J11" s="207"/>
      <c r="K11" s="236" t="s">
        <v>23</v>
      </c>
      <c r="L11" s="189"/>
      <c r="M11" s="262"/>
      <c r="N11" s="186"/>
      <c r="O11" s="186"/>
      <c r="P11" s="189"/>
      <c r="Q11" s="3"/>
      <c r="R11" s="3"/>
      <c r="S11" s="3"/>
      <c r="T11" s="2"/>
      <c r="U11" s="2"/>
      <c r="V11" s="2"/>
      <c r="W11" s="2"/>
      <c r="X11" s="2"/>
      <c r="Y11" s="2"/>
      <c r="Z11" s="2"/>
    </row>
    <row r="12" spans="1:26" ht="34.5" customHeight="1" x14ac:dyDescent="0.45">
      <c r="A12" s="265" t="s">
        <v>24</v>
      </c>
      <c r="B12" s="206"/>
      <c r="C12" s="206"/>
      <c r="D12" s="206"/>
      <c r="E12" s="207"/>
      <c r="F12" s="222" t="s">
        <v>25</v>
      </c>
      <c r="G12" s="206"/>
      <c r="H12" s="206"/>
      <c r="I12" s="206"/>
      <c r="J12" s="207"/>
      <c r="K12" s="226" t="s">
        <v>26</v>
      </c>
      <c r="L12" s="207"/>
      <c r="M12" s="259"/>
      <c r="N12" s="206"/>
      <c r="O12" s="206"/>
      <c r="P12" s="207"/>
      <c r="Q12" s="3"/>
      <c r="R12" s="3"/>
      <c r="S12" s="3"/>
      <c r="T12" s="2"/>
      <c r="U12" s="2"/>
      <c r="V12" s="2"/>
      <c r="W12" s="2"/>
      <c r="X12" s="2"/>
      <c r="Y12" s="2"/>
      <c r="Z12" s="2"/>
    </row>
    <row r="13" spans="1:26" ht="12" customHeight="1" x14ac:dyDescent="0.45">
      <c r="A13" s="260"/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32"/>
      <c r="Q13" s="3"/>
      <c r="R13" s="3"/>
      <c r="S13" s="3"/>
      <c r="T13" s="2"/>
      <c r="U13" s="2"/>
      <c r="V13" s="2"/>
      <c r="W13" s="2"/>
      <c r="X13" s="2"/>
      <c r="Y13" s="2"/>
      <c r="Z13" s="2"/>
    </row>
    <row r="14" spans="1:26" ht="27" customHeight="1" x14ac:dyDescent="0.45">
      <c r="A14" s="261" t="s">
        <v>27</v>
      </c>
      <c r="B14" s="211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30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45">
      <c r="A15" s="9" t="s">
        <v>28</v>
      </c>
      <c r="B15" s="235" t="s">
        <v>29</v>
      </c>
      <c r="C15" s="186"/>
      <c r="D15" s="186"/>
      <c r="E15" s="186"/>
      <c r="F15" s="186"/>
      <c r="G15" s="186"/>
      <c r="H15" s="186"/>
      <c r="I15" s="186"/>
      <c r="J15" s="186"/>
      <c r="K15" s="189"/>
      <c r="L15" s="235" t="s">
        <v>30</v>
      </c>
      <c r="M15" s="189"/>
      <c r="N15" s="235" t="s">
        <v>31</v>
      </c>
      <c r="O15" s="186"/>
      <c r="P15" s="189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4.5" customHeight="1" x14ac:dyDescent="0.45">
      <c r="A16" s="10">
        <v>1</v>
      </c>
      <c r="B16" s="253" t="s">
        <v>32</v>
      </c>
      <c r="C16" s="186"/>
      <c r="D16" s="186"/>
      <c r="E16" s="186"/>
      <c r="F16" s="186"/>
      <c r="G16" s="186"/>
      <c r="H16" s="186"/>
      <c r="I16" s="186"/>
      <c r="J16" s="186"/>
      <c r="K16" s="189"/>
      <c r="L16" s="235"/>
      <c r="M16" s="189"/>
      <c r="N16" s="235"/>
      <c r="O16" s="186"/>
      <c r="P16" s="189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4.5" customHeight="1" x14ac:dyDescent="0.45">
      <c r="A17" s="10">
        <v>2</v>
      </c>
      <c r="B17" s="253" t="s">
        <v>33</v>
      </c>
      <c r="C17" s="186"/>
      <c r="D17" s="186"/>
      <c r="E17" s="186"/>
      <c r="F17" s="186"/>
      <c r="G17" s="186"/>
      <c r="H17" s="186"/>
      <c r="I17" s="186"/>
      <c r="J17" s="186"/>
      <c r="K17" s="189"/>
      <c r="L17" s="235"/>
      <c r="M17" s="189"/>
      <c r="N17" s="235"/>
      <c r="O17" s="186"/>
      <c r="P17" s="189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4.5" customHeight="1" x14ac:dyDescent="0.45">
      <c r="A18" s="10">
        <v>3</v>
      </c>
      <c r="B18" s="253" t="s">
        <v>34</v>
      </c>
      <c r="C18" s="186"/>
      <c r="D18" s="186"/>
      <c r="E18" s="186"/>
      <c r="F18" s="186"/>
      <c r="G18" s="186"/>
      <c r="H18" s="186"/>
      <c r="I18" s="186"/>
      <c r="J18" s="186"/>
      <c r="K18" s="189"/>
      <c r="L18" s="235"/>
      <c r="M18" s="189"/>
      <c r="N18" s="235"/>
      <c r="O18" s="186"/>
      <c r="P18" s="189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4.5" customHeight="1" x14ac:dyDescent="0.45">
      <c r="A19" s="10">
        <v>4</v>
      </c>
      <c r="B19" s="253" t="s">
        <v>35</v>
      </c>
      <c r="C19" s="186"/>
      <c r="D19" s="186"/>
      <c r="E19" s="186"/>
      <c r="F19" s="186"/>
      <c r="G19" s="186"/>
      <c r="H19" s="186"/>
      <c r="I19" s="186"/>
      <c r="J19" s="186"/>
      <c r="K19" s="189"/>
      <c r="L19" s="235"/>
      <c r="M19" s="189"/>
      <c r="N19" s="235"/>
      <c r="O19" s="186"/>
      <c r="P19" s="189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4.5" customHeight="1" x14ac:dyDescent="0.45">
      <c r="A20" s="10">
        <v>5</v>
      </c>
      <c r="B20" s="253" t="s">
        <v>36</v>
      </c>
      <c r="C20" s="186"/>
      <c r="D20" s="186"/>
      <c r="E20" s="186"/>
      <c r="F20" s="186"/>
      <c r="G20" s="186"/>
      <c r="H20" s="186"/>
      <c r="I20" s="186"/>
      <c r="J20" s="186"/>
      <c r="K20" s="189"/>
      <c r="L20" s="235"/>
      <c r="M20" s="189"/>
      <c r="N20" s="235"/>
      <c r="O20" s="186"/>
      <c r="P20" s="189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4.5" customHeight="1" x14ac:dyDescent="0.45">
      <c r="A21" s="10">
        <v>6</v>
      </c>
      <c r="B21" s="253" t="s">
        <v>37</v>
      </c>
      <c r="C21" s="186"/>
      <c r="D21" s="186"/>
      <c r="E21" s="186"/>
      <c r="F21" s="186"/>
      <c r="G21" s="186"/>
      <c r="H21" s="186"/>
      <c r="I21" s="186"/>
      <c r="J21" s="186"/>
      <c r="K21" s="189"/>
      <c r="L21" s="235"/>
      <c r="M21" s="189"/>
      <c r="N21" s="235"/>
      <c r="O21" s="186"/>
      <c r="P21" s="189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4.5" customHeight="1" x14ac:dyDescent="0.45">
      <c r="A22" s="10">
        <v>7</v>
      </c>
      <c r="B22" s="253" t="s">
        <v>38</v>
      </c>
      <c r="C22" s="186"/>
      <c r="D22" s="186"/>
      <c r="E22" s="186"/>
      <c r="F22" s="186"/>
      <c r="G22" s="186"/>
      <c r="H22" s="186"/>
      <c r="I22" s="186"/>
      <c r="J22" s="186"/>
      <c r="K22" s="189"/>
      <c r="L22" s="235"/>
      <c r="M22" s="189"/>
      <c r="N22" s="235"/>
      <c r="O22" s="186"/>
      <c r="P22" s="189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4.5" customHeight="1" x14ac:dyDescent="0.45">
      <c r="A23" s="10">
        <v>8</v>
      </c>
      <c r="B23" s="253" t="s">
        <v>39</v>
      </c>
      <c r="C23" s="186"/>
      <c r="D23" s="186"/>
      <c r="E23" s="186"/>
      <c r="F23" s="186"/>
      <c r="G23" s="186"/>
      <c r="H23" s="186"/>
      <c r="I23" s="186"/>
      <c r="J23" s="186"/>
      <c r="K23" s="189"/>
      <c r="L23" s="235"/>
      <c r="M23" s="189"/>
      <c r="N23" s="235"/>
      <c r="O23" s="186"/>
      <c r="P23" s="189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4.5" customHeight="1" x14ac:dyDescent="0.45">
      <c r="A24" s="10">
        <v>9</v>
      </c>
      <c r="B24" s="253" t="s">
        <v>40</v>
      </c>
      <c r="C24" s="186"/>
      <c r="D24" s="186"/>
      <c r="E24" s="186"/>
      <c r="F24" s="186"/>
      <c r="G24" s="186"/>
      <c r="H24" s="186"/>
      <c r="I24" s="186"/>
      <c r="J24" s="186"/>
      <c r="K24" s="189"/>
      <c r="L24" s="235"/>
      <c r="M24" s="189"/>
      <c r="N24" s="235"/>
      <c r="O24" s="186"/>
      <c r="P24" s="189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4.5" customHeight="1" x14ac:dyDescent="0.45">
      <c r="A25" s="10">
        <v>10</v>
      </c>
      <c r="B25" s="253" t="s">
        <v>41</v>
      </c>
      <c r="C25" s="186"/>
      <c r="D25" s="186"/>
      <c r="E25" s="186"/>
      <c r="F25" s="186"/>
      <c r="G25" s="186"/>
      <c r="H25" s="186"/>
      <c r="I25" s="186"/>
      <c r="J25" s="186"/>
      <c r="K25" s="189"/>
      <c r="L25" s="235"/>
      <c r="M25" s="189"/>
      <c r="N25" s="235"/>
      <c r="O25" s="186"/>
      <c r="P25" s="189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4.5" customHeight="1" x14ac:dyDescent="0.45">
      <c r="A26" s="10">
        <v>11</v>
      </c>
      <c r="B26" s="253" t="s">
        <v>42</v>
      </c>
      <c r="C26" s="186"/>
      <c r="D26" s="186"/>
      <c r="E26" s="186"/>
      <c r="F26" s="186"/>
      <c r="G26" s="186"/>
      <c r="H26" s="186"/>
      <c r="I26" s="186"/>
      <c r="J26" s="186"/>
      <c r="K26" s="189"/>
      <c r="L26" s="235"/>
      <c r="M26" s="189"/>
      <c r="N26" s="235"/>
      <c r="O26" s="186"/>
      <c r="P26" s="189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4.5" customHeight="1" x14ac:dyDescent="0.45">
      <c r="A27" s="10">
        <v>12</v>
      </c>
      <c r="B27" s="253" t="s">
        <v>43</v>
      </c>
      <c r="C27" s="186"/>
      <c r="D27" s="186"/>
      <c r="E27" s="186"/>
      <c r="F27" s="186"/>
      <c r="G27" s="186"/>
      <c r="H27" s="186"/>
      <c r="I27" s="186"/>
      <c r="J27" s="186"/>
      <c r="K27" s="189"/>
      <c r="L27" s="235"/>
      <c r="M27" s="189"/>
      <c r="N27" s="235"/>
      <c r="O27" s="186"/>
      <c r="P27" s="189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4.5" customHeight="1" x14ac:dyDescent="0.45">
      <c r="A28" s="10">
        <v>13</v>
      </c>
      <c r="B28" s="253" t="s">
        <v>44</v>
      </c>
      <c r="C28" s="186"/>
      <c r="D28" s="186"/>
      <c r="E28" s="186"/>
      <c r="F28" s="186"/>
      <c r="G28" s="186"/>
      <c r="H28" s="186"/>
      <c r="I28" s="186"/>
      <c r="J28" s="186"/>
      <c r="K28" s="189"/>
      <c r="L28" s="235"/>
      <c r="M28" s="189"/>
      <c r="N28" s="235"/>
      <c r="O28" s="186"/>
      <c r="P28" s="189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3.75" customHeight="1" x14ac:dyDescent="0.45">
      <c r="A29" s="254" t="s">
        <v>45</v>
      </c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55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45">
      <c r="A30" s="256" t="s">
        <v>46</v>
      </c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9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 customHeight="1" x14ac:dyDescent="0.45">
      <c r="A31" s="250"/>
      <c r="B31" s="186"/>
      <c r="C31" s="186"/>
      <c r="D31" s="186"/>
      <c r="E31" s="186"/>
      <c r="F31" s="186"/>
      <c r="G31" s="186"/>
      <c r="H31" s="186"/>
      <c r="I31" s="186"/>
      <c r="J31" s="189"/>
      <c r="K31" s="257"/>
      <c r="L31" s="186"/>
      <c r="M31" s="186"/>
      <c r="N31" s="186"/>
      <c r="O31" s="186"/>
      <c r="P31" s="189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" customHeight="1" x14ac:dyDescent="0.45">
      <c r="A32" s="249" t="s">
        <v>47</v>
      </c>
      <c r="B32" s="186"/>
      <c r="C32" s="186"/>
      <c r="D32" s="186"/>
      <c r="E32" s="186"/>
      <c r="F32" s="186"/>
      <c r="G32" s="186"/>
      <c r="H32" s="186"/>
      <c r="I32" s="186"/>
      <c r="J32" s="189"/>
      <c r="K32" s="235" t="s">
        <v>48</v>
      </c>
      <c r="L32" s="186"/>
      <c r="M32" s="186"/>
      <c r="N32" s="186"/>
      <c r="O32" s="186"/>
      <c r="P32" s="189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45">
      <c r="A33" s="256" t="s">
        <v>49</v>
      </c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9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 x14ac:dyDescent="0.45">
      <c r="A34" s="236" t="s">
        <v>50</v>
      </c>
      <c r="B34" s="186"/>
      <c r="C34" s="186"/>
      <c r="D34" s="186"/>
      <c r="E34" s="186"/>
      <c r="F34" s="186"/>
      <c r="G34" s="189"/>
      <c r="H34" s="258"/>
      <c r="I34" s="186"/>
      <c r="J34" s="186"/>
      <c r="K34" s="186"/>
      <c r="L34" s="186"/>
      <c r="M34" s="186"/>
      <c r="N34" s="186"/>
      <c r="O34" s="186"/>
      <c r="P34" s="189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.25" customHeight="1" x14ac:dyDescent="0.45">
      <c r="A35" s="249" t="s">
        <v>51</v>
      </c>
      <c r="B35" s="186"/>
      <c r="C35" s="186"/>
      <c r="D35" s="186"/>
      <c r="E35" s="186"/>
      <c r="F35" s="186"/>
      <c r="G35" s="189"/>
      <c r="H35" s="250"/>
      <c r="I35" s="186"/>
      <c r="J35" s="186"/>
      <c r="K35" s="186"/>
      <c r="L35" s="186"/>
      <c r="M35" s="186"/>
      <c r="N35" s="186"/>
      <c r="O35" s="186"/>
      <c r="P35" s="189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5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2"/>
      <c r="L36" s="2"/>
      <c r="M36" s="13"/>
      <c r="N36" s="14"/>
      <c r="O36" s="14"/>
      <c r="P36" s="15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5">
      <c r="A37" s="251" t="s">
        <v>52</v>
      </c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25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3"/>
      <c r="N38" s="14"/>
      <c r="O38" s="14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3"/>
      <c r="N39" s="14"/>
      <c r="O39" s="1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3"/>
      <c r="N40" s="14"/>
      <c r="O40" s="14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8"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9:E9"/>
    <mergeCell ref="A10:E10"/>
    <mergeCell ref="A11:E11"/>
    <mergeCell ref="A12:E12"/>
    <mergeCell ref="A7:E7"/>
    <mergeCell ref="F7:P7"/>
    <mergeCell ref="A8:E8"/>
    <mergeCell ref="F8:J8"/>
    <mergeCell ref="K8:L8"/>
    <mergeCell ref="M8:P8"/>
    <mergeCell ref="M9:P9"/>
    <mergeCell ref="F9:J9"/>
    <mergeCell ref="K9:L9"/>
    <mergeCell ref="F10:P10"/>
    <mergeCell ref="F11:J11"/>
    <mergeCell ref="K11:L11"/>
    <mergeCell ref="M11:P11"/>
    <mergeCell ref="F12:J12"/>
    <mergeCell ref="K12:L12"/>
    <mergeCell ref="M12:P12"/>
    <mergeCell ref="A13:P13"/>
    <mergeCell ref="A14:P14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N16:P16"/>
    <mergeCell ref="B17:K17"/>
    <mergeCell ref="L17:M17"/>
    <mergeCell ref="N17:P17"/>
    <mergeCell ref="B18:K18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  <mergeCell ref="A32:J32"/>
    <mergeCell ref="K32:P32"/>
    <mergeCell ref="A33:P33"/>
    <mergeCell ref="A34:G34"/>
    <mergeCell ref="H34:P3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1" customWidth="1"/>
    <col min="7" max="7" width="12.1328125" customWidth="1"/>
    <col min="8" max="8" width="9.53125" customWidth="1"/>
    <col min="9" max="9" width="8.265625" customWidth="1"/>
    <col min="10" max="10" width="11.73046875" customWidth="1"/>
    <col min="11" max="11" width="12" customWidth="1"/>
    <col min="12" max="12" width="13.265625" customWidth="1"/>
    <col min="13" max="13" width="11.265625" customWidth="1"/>
    <col min="14" max="14" width="10.265625" customWidth="1"/>
    <col min="15" max="15" width="14.265625" customWidth="1"/>
    <col min="16" max="16" width="13.86328125" customWidth="1"/>
    <col min="17" max="19" width="19" customWidth="1"/>
  </cols>
  <sheetData>
    <row r="1" spans="1:19" ht="15" customHeight="1" x14ac:dyDescent="0.45">
      <c r="A1" s="241"/>
      <c r="B1" s="201"/>
      <c r="C1" s="255"/>
      <c r="D1" s="277" t="s">
        <v>0</v>
      </c>
      <c r="E1" s="201"/>
      <c r="F1" s="201"/>
      <c r="G1" s="201"/>
      <c r="H1" s="201"/>
      <c r="I1" s="201"/>
      <c r="J1" s="201"/>
      <c r="K1" s="201"/>
      <c r="L1" s="255"/>
      <c r="M1" s="261" t="s">
        <v>1</v>
      </c>
      <c r="N1" s="230"/>
      <c r="O1" s="261" t="s">
        <v>53</v>
      </c>
      <c r="P1" s="212"/>
    </row>
    <row r="2" spans="1:19" ht="15" customHeight="1" x14ac:dyDescent="0.45">
      <c r="A2" s="244"/>
      <c r="B2" s="203"/>
      <c r="C2" s="232"/>
      <c r="D2" s="267"/>
      <c r="E2" s="195"/>
      <c r="F2" s="195"/>
      <c r="G2" s="195"/>
      <c r="H2" s="195"/>
      <c r="I2" s="195"/>
      <c r="J2" s="195"/>
      <c r="K2" s="195"/>
      <c r="L2" s="252"/>
      <c r="M2" s="235" t="s">
        <v>3</v>
      </c>
      <c r="N2" s="189"/>
      <c r="O2" s="278">
        <v>1</v>
      </c>
      <c r="P2" s="187"/>
    </row>
    <row r="3" spans="1:19" ht="15.75" customHeight="1" x14ac:dyDescent="0.45">
      <c r="A3" s="244"/>
      <c r="B3" s="203"/>
      <c r="C3" s="232"/>
      <c r="D3" s="270" t="s">
        <v>54</v>
      </c>
      <c r="E3" s="193"/>
      <c r="F3" s="193"/>
      <c r="G3" s="193"/>
      <c r="H3" s="193"/>
      <c r="I3" s="193"/>
      <c r="J3" s="193"/>
      <c r="K3" s="193"/>
      <c r="L3" s="224"/>
      <c r="M3" s="235" t="s">
        <v>5</v>
      </c>
      <c r="N3" s="189"/>
      <c r="O3" s="235" t="s">
        <v>6</v>
      </c>
      <c r="P3" s="187"/>
      <c r="Q3" s="12"/>
      <c r="R3" s="12"/>
      <c r="S3" s="12"/>
    </row>
    <row r="4" spans="1:19" ht="15.75" customHeight="1" x14ac:dyDescent="0.45">
      <c r="A4" s="244"/>
      <c r="B4" s="203"/>
      <c r="C4" s="232"/>
      <c r="D4" s="266"/>
      <c r="E4" s="203"/>
      <c r="F4" s="203"/>
      <c r="G4" s="203"/>
      <c r="H4" s="203"/>
      <c r="I4" s="203"/>
      <c r="J4" s="203"/>
      <c r="K4" s="203"/>
      <c r="L4" s="232"/>
      <c r="M4" s="260" t="s">
        <v>7</v>
      </c>
      <c r="N4" s="232"/>
      <c r="O4" s="242" t="s">
        <v>8</v>
      </c>
      <c r="P4" s="187"/>
      <c r="Q4" s="12"/>
      <c r="R4" s="12"/>
      <c r="S4" s="12"/>
    </row>
    <row r="5" spans="1:19" ht="15.75" customHeight="1" x14ac:dyDescent="0.45">
      <c r="A5" s="276"/>
      <c r="B5" s="195"/>
      <c r="C5" s="252"/>
      <c r="D5" s="267"/>
      <c r="E5" s="195"/>
      <c r="F5" s="195"/>
      <c r="G5" s="195"/>
      <c r="H5" s="195"/>
      <c r="I5" s="195"/>
      <c r="J5" s="195"/>
      <c r="K5" s="195"/>
      <c r="L5" s="252"/>
      <c r="M5" s="267"/>
      <c r="N5" s="252"/>
      <c r="O5" s="243" t="s">
        <v>9</v>
      </c>
      <c r="P5" s="187"/>
      <c r="Q5" s="12"/>
      <c r="R5" s="12"/>
      <c r="S5" s="12"/>
    </row>
    <row r="6" spans="1:19" ht="12" customHeight="1" x14ac:dyDescent="0.45">
      <c r="A6" s="274"/>
      <c r="B6" s="203"/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32"/>
      <c r="Q6" s="12"/>
      <c r="R6" s="12"/>
      <c r="S6" s="12"/>
    </row>
    <row r="7" spans="1:19" ht="30" customHeight="1" x14ac:dyDescent="0.45">
      <c r="A7" s="235" t="s">
        <v>10</v>
      </c>
      <c r="B7" s="186"/>
      <c r="C7" s="186"/>
      <c r="D7" s="186"/>
      <c r="E7" s="186"/>
      <c r="F7" s="189"/>
      <c r="G7" s="191" t="str">
        <f>'LISTA CHEQUEO'!F7</f>
        <v>LIMPIADOR ILUMINADOR ACIDO KOJICO</v>
      </c>
      <c r="H7" s="186"/>
      <c r="I7" s="186"/>
      <c r="J7" s="186"/>
      <c r="K7" s="186"/>
      <c r="L7" s="186"/>
      <c r="M7" s="186"/>
      <c r="N7" s="186"/>
      <c r="O7" s="186"/>
      <c r="P7" s="187"/>
      <c r="Q7" s="12"/>
      <c r="R7" s="12"/>
      <c r="S7" s="12"/>
    </row>
    <row r="8" spans="1:19" ht="30" customHeight="1" x14ac:dyDescent="0.45">
      <c r="A8" s="275" t="s">
        <v>21</v>
      </c>
      <c r="B8" s="195"/>
      <c r="C8" s="195"/>
      <c r="D8" s="195"/>
      <c r="E8" s="195"/>
      <c r="F8" s="195"/>
      <c r="G8" s="222" t="str">
        <f>'LISTA CHEQUEO'!F11</f>
        <v>NSOC35368-24CO</v>
      </c>
      <c r="H8" s="206"/>
      <c r="I8" s="206"/>
      <c r="J8" s="206"/>
      <c r="K8" s="207"/>
      <c r="L8" s="268" t="s">
        <v>55</v>
      </c>
      <c r="M8" s="252"/>
      <c r="N8" s="264" t="str">
        <f>'LISTA CHEQUEO'!F8</f>
        <v>252601</v>
      </c>
      <c r="O8" s="186"/>
      <c r="P8" s="189"/>
      <c r="Q8" s="12"/>
      <c r="R8" s="12"/>
      <c r="S8" s="12"/>
    </row>
    <row r="9" spans="1:19" ht="30" customHeight="1" x14ac:dyDescent="0.45">
      <c r="A9" s="271" t="s">
        <v>56</v>
      </c>
      <c r="B9" s="193"/>
      <c r="C9" s="193"/>
      <c r="D9" s="193"/>
      <c r="E9" s="193"/>
      <c r="F9" s="193"/>
      <c r="G9" s="222" t="str">
        <f>'LISTA CHEQUEO'!F12</f>
        <v>GEL</v>
      </c>
      <c r="H9" s="206"/>
      <c r="I9" s="206"/>
      <c r="J9" s="206"/>
      <c r="K9" s="207"/>
      <c r="L9" s="223" t="s">
        <v>57</v>
      </c>
      <c r="M9" s="224"/>
      <c r="N9" s="191" t="str">
        <f>'LISTA CHEQUEO'!M8</f>
        <v>OP-SS-128</v>
      </c>
      <c r="O9" s="186"/>
      <c r="P9" s="187"/>
      <c r="Q9" s="12"/>
      <c r="R9" s="12"/>
      <c r="S9" s="12"/>
    </row>
    <row r="10" spans="1:19" ht="30" customHeight="1" x14ac:dyDescent="0.45">
      <c r="A10" s="235" t="s">
        <v>58</v>
      </c>
      <c r="B10" s="186"/>
      <c r="C10" s="186"/>
      <c r="D10" s="186"/>
      <c r="E10" s="186"/>
      <c r="F10" s="189"/>
      <c r="G10" s="272">
        <f>'LISTA CHEQUEO'!M9</f>
        <v>90</v>
      </c>
      <c r="H10" s="186"/>
      <c r="I10" s="186"/>
      <c r="J10" s="186"/>
      <c r="K10" s="189"/>
      <c r="L10" s="256" t="s">
        <v>59</v>
      </c>
      <c r="M10" s="189"/>
      <c r="N10" s="273"/>
      <c r="O10" s="186"/>
      <c r="P10" s="189"/>
      <c r="Q10" s="12"/>
      <c r="R10" s="12"/>
      <c r="S10" s="12"/>
    </row>
    <row r="11" spans="1:19" ht="12" customHeight="1" x14ac:dyDescent="0.45">
      <c r="A11" s="236"/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9"/>
      <c r="Q11" s="12"/>
      <c r="R11" s="12"/>
      <c r="S11" s="12"/>
    </row>
    <row r="12" spans="1:19" ht="42.75" customHeight="1" x14ac:dyDescent="0.45">
      <c r="A12" s="284" t="s">
        <v>60</v>
      </c>
      <c r="B12" s="195"/>
      <c r="C12" s="195"/>
      <c r="D12" s="195"/>
      <c r="E12" s="195"/>
      <c r="F12" s="195"/>
      <c r="G12" s="284"/>
      <c r="H12" s="195"/>
      <c r="I12" s="195"/>
      <c r="J12" s="195"/>
      <c r="K12" s="195"/>
      <c r="L12" s="195"/>
      <c r="M12" s="195"/>
      <c r="N12" s="195"/>
      <c r="O12" s="195"/>
      <c r="P12" s="252"/>
      <c r="Q12" s="12"/>
      <c r="R12" s="12"/>
      <c r="S12" s="12"/>
    </row>
    <row r="13" spans="1:19" ht="43.5" customHeight="1" x14ac:dyDescent="0.45">
      <c r="A13" s="236" t="s">
        <v>61</v>
      </c>
      <c r="B13" s="186"/>
      <c r="C13" s="186"/>
      <c r="D13" s="186"/>
      <c r="E13" s="186"/>
      <c r="F13" s="189"/>
      <c r="G13" s="236" t="s">
        <v>62</v>
      </c>
      <c r="H13" s="189"/>
      <c r="I13" s="236" t="s">
        <v>63</v>
      </c>
      <c r="J13" s="189"/>
      <c r="K13" s="236" t="s">
        <v>64</v>
      </c>
      <c r="L13" s="189"/>
      <c r="M13" s="236" t="s">
        <v>65</v>
      </c>
      <c r="N13" s="189"/>
      <c r="O13" s="236" t="s">
        <v>66</v>
      </c>
      <c r="P13" s="189"/>
      <c r="Q13" s="12"/>
      <c r="R13" s="12"/>
      <c r="S13" s="12"/>
    </row>
    <row r="14" spans="1:19" ht="24.75" customHeight="1" x14ac:dyDescent="0.45">
      <c r="A14" s="249" t="s">
        <v>67</v>
      </c>
      <c r="B14" s="186"/>
      <c r="C14" s="186"/>
      <c r="D14" s="186"/>
      <c r="E14" s="186"/>
      <c r="F14" s="189"/>
      <c r="G14" s="236"/>
      <c r="H14" s="189"/>
      <c r="I14" s="236"/>
      <c r="J14" s="189"/>
      <c r="K14" s="236"/>
      <c r="L14" s="189"/>
      <c r="M14" s="236"/>
      <c r="N14" s="189"/>
      <c r="O14" s="236"/>
      <c r="P14" s="189"/>
      <c r="Q14" s="12"/>
      <c r="R14" s="12"/>
      <c r="S14" s="12"/>
    </row>
    <row r="15" spans="1:19" ht="27.75" customHeight="1" x14ac:dyDescent="0.45">
      <c r="A15" s="249" t="s">
        <v>68</v>
      </c>
      <c r="B15" s="186"/>
      <c r="C15" s="186"/>
      <c r="D15" s="186"/>
      <c r="E15" s="186"/>
      <c r="F15" s="189"/>
      <c r="G15" s="258"/>
      <c r="H15" s="189"/>
      <c r="I15" s="258"/>
      <c r="J15" s="189"/>
      <c r="K15" s="258"/>
      <c r="L15" s="189"/>
      <c r="M15" s="258"/>
      <c r="N15" s="189"/>
      <c r="O15" s="258"/>
      <c r="P15" s="189"/>
      <c r="Q15" s="12"/>
      <c r="R15" s="12"/>
      <c r="S15" s="12"/>
    </row>
    <row r="16" spans="1:19" ht="16.5" customHeight="1" x14ac:dyDescent="0.45">
      <c r="A16" s="283" t="s">
        <v>69</v>
      </c>
      <c r="B16" s="193"/>
      <c r="C16" s="193"/>
      <c r="D16" s="193"/>
      <c r="E16" s="193"/>
      <c r="F16" s="224"/>
      <c r="G16" s="16" t="s">
        <v>70</v>
      </c>
      <c r="H16" s="16" t="s">
        <v>71</v>
      </c>
      <c r="I16" s="16" t="s">
        <v>70</v>
      </c>
      <c r="J16" s="16" t="s">
        <v>71</v>
      </c>
      <c r="K16" s="16" t="s">
        <v>70</v>
      </c>
      <c r="L16" s="16" t="s">
        <v>71</v>
      </c>
      <c r="M16" s="16" t="s">
        <v>70</v>
      </c>
      <c r="N16" s="16" t="s">
        <v>71</v>
      </c>
      <c r="O16" s="16" t="s">
        <v>70</v>
      </c>
      <c r="P16" s="16" t="s">
        <v>71</v>
      </c>
      <c r="Q16" s="12"/>
      <c r="R16" s="12"/>
      <c r="S16" s="12"/>
    </row>
    <row r="17" spans="1:19" ht="16.5" customHeight="1" x14ac:dyDescent="0.45">
      <c r="A17" s="266"/>
      <c r="B17" s="203"/>
      <c r="C17" s="203"/>
      <c r="D17" s="203"/>
      <c r="E17" s="203"/>
      <c r="F17" s="232"/>
      <c r="G17" s="17"/>
      <c r="H17" s="17"/>
      <c r="I17" s="17"/>
      <c r="J17" s="17"/>
      <c r="K17" s="17"/>
      <c r="L17" s="17"/>
      <c r="M17" s="16"/>
      <c r="N17" s="16"/>
      <c r="O17" s="16"/>
      <c r="P17" s="16"/>
      <c r="Q17" s="12"/>
      <c r="R17" s="12"/>
      <c r="S17" s="12"/>
    </row>
    <row r="18" spans="1:19" ht="16.5" customHeight="1" x14ac:dyDescent="0.45">
      <c r="A18" s="267"/>
      <c r="B18" s="195"/>
      <c r="C18" s="195"/>
      <c r="D18" s="195"/>
      <c r="E18" s="195"/>
      <c r="F18" s="252"/>
      <c r="G18" s="17" t="s">
        <v>72</v>
      </c>
      <c r="H18" s="17" t="s">
        <v>73</v>
      </c>
      <c r="I18" s="17" t="s">
        <v>72</v>
      </c>
      <c r="J18" s="17" t="s">
        <v>73</v>
      </c>
      <c r="K18" s="17" t="s">
        <v>72</v>
      </c>
      <c r="L18" s="17" t="s">
        <v>73</v>
      </c>
      <c r="M18" s="16" t="s">
        <v>72</v>
      </c>
      <c r="N18" s="16" t="s">
        <v>73</v>
      </c>
      <c r="O18" s="16" t="s">
        <v>72</v>
      </c>
      <c r="P18" s="16" t="s">
        <v>73</v>
      </c>
      <c r="Q18" s="12"/>
      <c r="R18" s="12"/>
      <c r="S18" s="12"/>
    </row>
    <row r="19" spans="1:19" ht="54" customHeight="1" x14ac:dyDescent="0.45">
      <c r="A19" s="282" t="s">
        <v>74</v>
      </c>
      <c r="B19" s="186"/>
      <c r="C19" s="186"/>
      <c r="D19" s="186"/>
      <c r="E19" s="186"/>
      <c r="F19" s="189"/>
      <c r="G19" s="17"/>
      <c r="H19" s="17"/>
      <c r="I19" s="17"/>
      <c r="J19" s="17"/>
      <c r="K19" s="17"/>
      <c r="L19" s="17"/>
      <c r="M19" s="16"/>
      <c r="N19" s="16"/>
      <c r="O19" s="16"/>
      <c r="P19" s="16"/>
      <c r="Q19" s="12"/>
      <c r="R19" s="12"/>
      <c r="S19" s="12"/>
    </row>
    <row r="20" spans="1:19" ht="30.75" customHeight="1" x14ac:dyDescent="0.45">
      <c r="A20" s="282" t="s">
        <v>75</v>
      </c>
      <c r="B20" s="186"/>
      <c r="C20" s="186"/>
      <c r="D20" s="186"/>
      <c r="E20" s="186"/>
      <c r="F20" s="189"/>
      <c r="G20" s="18"/>
      <c r="H20" s="18"/>
      <c r="I20" s="16"/>
      <c r="J20" s="16"/>
      <c r="K20" s="16"/>
      <c r="L20" s="16"/>
      <c r="M20" s="16"/>
      <c r="N20" s="19"/>
      <c r="O20" s="20"/>
      <c r="P20" s="20"/>
      <c r="Q20" s="12"/>
      <c r="R20" s="12"/>
      <c r="S20" s="12"/>
    </row>
    <row r="21" spans="1:19" ht="39" customHeight="1" x14ac:dyDescent="0.45">
      <c r="A21" s="282" t="s">
        <v>76</v>
      </c>
      <c r="B21" s="186"/>
      <c r="C21" s="186"/>
      <c r="D21" s="186"/>
      <c r="E21" s="186"/>
      <c r="F21" s="189"/>
      <c r="G21" s="18"/>
      <c r="H21" s="18"/>
      <c r="I21" s="16"/>
      <c r="J21" s="16"/>
      <c r="K21" s="16"/>
      <c r="L21" s="16"/>
      <c r="M21" s="16"/>
      <c r="N21" s="19"/>
      <c r="O21" s="20"/>
      <c r="P21" s="20"/>
      <c r="Q21" s="12"/>
      <c r="R21" s="12"/>
      <c r="S21" s="12"/>
    </row>
    <row r="22" spans="1:19" ht="36.75" customHeight="1" x14ac:dyDescent="0.45">
      <c r="A22" s="282" t="s">
        <v>77</v>
      </c>
      <c r="B22" s="186"/>
      <c r="C22" s="186"/>
      <c r="D22" s="186"/>
      <c r="E22" s="186"/>
      <c r="F22" s="189"/>
      <c r="G22" s="18"/>
      <c r="H22" s="18"/>
      <c r="I22" s="16"/>
      <c r="J22" s="16"/>
      <c r="K22" s="16"/>
      <c r="L22" s="16"/>
      <c r="M22" s="16"/>
      <c r="N22" s="19"/>
      <c r="O22" s="20"/>
      <c r="P22" s="20"/>
      <c r="Q22" s="12"/>
      <c r="R22" s="12"/>
      <c r="S22" s="12"/>
    </row>
    <row r="23" spans="1:19" ht="45" customHeight="1" x14ac:dyDescent="0.45">
      <c r="A23" s="282" t="s">
        <v>78</v>
      </c>
      <c r="B23" s="186"/>
      <c r="C23" s="186"/>
      <c r="D23" s="186"/>
      <c r="E23" s="186"/>
      <c r="F23" s="189"/>
      <c r="G23" s="18"/>
      <c r="H23" s="18"/>
      <c r="I23" s="16"/>
      <c r="J23" s="16"/>
      <c r="K23" s="16"/>
      <c r="L23" s="16"/>
      <c r="M23" s="16"/>
      <c r="N23" s="19"/>
      <c r="O23" s="20"/>
      <c r="P23" s="20"/>
      <c r="Q23" s="12"/>
      <c r="R23" s="12"/>
      <c r="S23" s="12"/>
    </row>
    <row r="24" spans="1:19" ht="54" customHeight="1" x14ac:dyDescent="0.45">
      <c r="A24" s="282" t="s">
        <v>79</v>
      </c>
      <c r="B24" s="186"/>
      <c r="C24" s="186"/>
      <c r="D24" s="186"/>
      <c r="E24" s="186"/>
      <c r="F24" s="189"/>
      <c r="G24" s="18"/>
      <c r="H24" s="18"/>
      <c r="I24" s="16"/>
      <c r="J24" s="16"/>
      <c r="K24" s="16"/>
      <c r="L24" s="16"/>
      <c r="M24" s="16"/>
      <c r="N24" s="19"/>
      <c r="O24" s="20"/>
      <c r="P24" s="20"/>
      <c r="Q24" s="12"/>
      <c r="R24" s="12"/>
      <c r="S24" s="12"/>
    </row>
    <row r="25" spans="1:19" ht="42" customHeight="1" x14ac:dyDescent="0.45">
      <c r="A25" s="282" t="s">
        <v>80</v>
      </c>
      <c r="B25" s="186"/>
      <c r="C25" s="186"/>
      <c r="D25" s="186"/>
      <c r="E25" s="186"/>
      <c r="F25" s="189"/>
      <c r="G25" s="18"/>
      <c r="H25" s="18"/>
      <c r="I25" s="16"/>
      <c r="J25" s="16"/>
      <c r="K25" s="16"/>
      <c r="L25" s="16"/>
      <c r="M25" s="16"/>
      <c r="N25" s="19"/>
      <c r="O25" s="20"/>
      <c r="P25" s="20"/>
      <c r="Q25" s="12"/>
      <c r="R25" s="12"/>
      <c r="S25" s="12"/>
    </row>
    <row r="26" spans="1:19" ht="57.75" customHeight="1" x14ac:dyDescent="0.45">
      <c r="A26" s="282" t="s">
        <v>81</v>
      </c>
      <c r="B26" s="186"/>
      <c r="C26" s="186"/>
      <c r="D26" s="186"/>
      <c r="E26" s="186"/>
      <c r="F26" s="189"/>
      <c r="G26" s="18"/>
      <c r="H26" s="18"/>
      <c r="I26" s="16"/>
      <c r="J26" s="16"/>
      <c r="K26" s="16"/>
      <c r="L26" s="16"/>
      <c r="M26" s="16"/>
      <c r="N26" s="19"/>
      <c r="O26" s="20"/>
      <c r="P26" s="20"/>
      <c r="Q26" s="12"/>
      <c r="R26" s="12"/>
      <c r="S26" s="12"/>
    </row>
    <row r="27" spans="1:19" ht="37.5" customHeight="1" x14ac:dyDescent="0.45">
      <c r="A27" s="282" t="s">
        <v>82</v>
      </c>
      <c r="B27" s="186"/>
      <c r="C27" s="186"/>
      <c r="D27" s="186"/>
      <c r="E27" s="186"/>
      <c r="F27" s="189"/>
      <c r="G27" s="18"/>
      <c r="H27" s="18"/>
      <c r="I27" s="16"/>
      <c r="J27" s="16"/>
      <c r="K27" s="16"/>
      <c r="L27" s="16"/>
      <c r="M27" s="16"/>
      <c r="N27" s="19"/>
      <c r="O27" s="20"/>
      <c r="P27" s="20"/>
      <c r="Q27" s="12"/>
      <c r="R27" s="12"/>
      <c r="S27" s="12"/>
    </row>
    <row r="28" spans="1:19" ht="41.25" customHeight="1" x14ac:dyDescent="0.45">
      <c r="A28" s="282" t="s">
        <v>83</v>
      </c>
      <c r="B28" s="186"/>
      <c r="C28" s="186"/>
      <c r="D28" s="186"/>
      <c r="E28" s="186"/>
      <c r="F28" s="189"/>
      <c r="G28" s="18"/>
      <c r="H28" s="18"/>
      <c r="I28" s="16"/>
      <c r="J28" s="16"/>
      <c r="K28" s="16"/>
      <c r="L28" s="16"/>
      <c r="M28" s="16"/>
      <c r="N28" s="19"/>
      <c r="O28" s="20"/>
      <c r="P28" s="20"/>
      <c r="Q28" s="12"/>
      <c r="R28" s="12"/>
      <c r="S28" s="12"/>
    </row>
    <row r="29" spans="1:19" ht="49.5" customHeight="1" x14ac:dyDescent="0.45">
      <c r="A29" s="282" t="s">
        <v>84</v>
      </c>
      <c r="B29" s="186"/>
      <c r="C29" s="186"/>
      <c r="D29" s="186"/>
      <c r="E29" s="186"/>
      <c r="F29" s="189"/>
      <c r="G29" s="18"/>
      <c r="H29" s="18"/>
      <c r="I29" s="16"/>
      <c r="J29" s="16"/>
      <c r="K29" s="16"/>
      <c r="L29" s="16"/>
      <c r="M29" s="16"/>
      <c r="N29" s="19"/>
      <c r="O29" s="20"/>
      <c r="P29" s="20"/>
      <c r="Q29" s="12"/>
      <c r="R29" s="12"/>
      <c r="S29" s="12"/>
    </row>
    <row r="30" spans="1:19" ht="27" customHeight="1" x14ac:dyDescent="0.45">
      <c r="A30" s="282" t="s">
        <v>85</v>
      </c>
      <c r="B30" s="186"/>
      <c r="C30" s="186"/>
      <c r="D30" s="186"/>
      <c r="E30" s="186"/>
      <c r="F30" s="189"/>
      <c r="G30" s="18"/>
      <c r="H30" s="18"/>
      <c r="I30" s="16"/>
      <c r="J30" s="16"/>
      <c r="K30" s="16"/>
      <c r="L30" s="16"/>
      <c r="M30" s="16"/>
      <c r="N30" s="19"/>
      <c r="O30" s="20"/>
      <c r="P30" s="20"/>
      <c r="Q30" s="12"/>
      <c r="R30" s="12"/>
      <c r="S30" s="12"/>
    </row>
    <row r="31" spans="1:19" ht="21.75" customHeight="1" x14ac:dyDescent="0.45">
      <c r="A31" s="249" t="s">
        <v>86</v>
      </c>
      <c r="B31" s="186"/>
      <c r="C31" s="186"/>
      <c r="D31" s="186"/>
      <c r="E31" s="186"/>
      <c r="F31" s="189"/>
      <c r="G31" s="258"/>
      <c r="H31" s="189"/>
      <c r="I31" s="258"/>
      <c r="J31" s="189"/>
      <c r="K31" s="258"/>
      <c r="L31" s="189"/>
      <c r="M31" s="258"/>
      <c r="N31" s="189"/>
      <c r="O31" s="258"/>
      <c r="P31" s="189"/>
      <c r="Q31" s="12"/>
      <c r="R31" s="12"/>
      <c r="S31" s="12"/>
    </row>
    <row r="32" spans="1:19" ht="21" customHeight="1" x14ac:dyDescent="0.45">
      <c r="A32" s="236" t="s">
        <v>87</v>
      </c>
      <c r="B32" s="186"/>
      <c r="C32" s="186"/>
      <c r="D32" s="186"/>
      <c r="E32" s="186"/>
      <c r="F32" s="189"/>
      <c r="G32" s="258"/>
      <c r="H32" s="189"/>
      <c r="I32" s="258"/>
      <c r="J32" s="189"/>
      <c r="K32" s="258"/>
      <c r="L32" s="189"/>
      <c r="M32" s="258"/>
      <c r="N32" s="189"/>
      <c r="O32" s="258"/>
      <c r="P32" s="189"/>
      <c r="Q32" s="12"/>
      <c r="R32" s="12"/>
      <c r="S32" s="12"/>
    </row>
    <row r="33" spans="1:19" ht="15.75" customHeigh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3"/>
      <c r="N33" s="14"/>
      <c r="O33" s="14"/>
      <c r="P33" s="2"/>
      <c r="Q33" s="12"/>
      <c r="R33" s="12"/>
      <c r="S33" s="12"/>
    </row>
    <row r="34" spans="1:19" ht="42" customHeight="1" x14ac:dyDescent="0.45">
      <c r="A34" s="281" t="s">
        <v>45</v>
      </c>
      <c r="B34" s="193"/>
      <c r="C34" s="193"/>
      <c r="D34" s="193"/>
      <c r="E34" s="193"/>
      <c r="F34" s="224"/>
      <c r="G34" s="279"/>
      <c r="H34" s="193"/>
      <c r="I34" s="193"/>
      <c r="J34" s="193"/>
      <c r="K34" s="193"/>
      <c r="L34" s="193"/>
      <c r="M34" s="193"/>
      <c r="N34" s="193"/>
      <c r="O34" s="193"/>
      <c r="P34" s="224"/>
      <c r="Q34" s="12"/>
      <c r="R34" s="12"/>
      <c r="S34" s="12"/>
    </row>
    <row r="35" spans="1:19" ht="45.75" customHeight="1" x14ac:dyDescent="0.45">
      <c r="A35" s="266"/>
      <c r="B35" s="203"/>
      <c r="C35" s="203"/>
      <c r="D35" s="203"/>
      <c r="E35" s="203"/>
      <c r="F35" s="232"/>
      <c r="G35" s="266"/>
      <c r="H35" s="203"/>
      <c r="I35" s="203"/>
      <c r="J35" s="203"/>
      <c r="K35" s="203"/>
      <c r="L35" s="203"/>
      <c r="M35" s="203"/>
      <c r="N35" s="203"/>
      <c r="O35" s="203"/>
      <c r="P35" s="232"/>
      <c r="Q35" s="12"/>
      <c r="R35" s="12"/>
      <c r="S35" s="12"/>
    </row>
    <row r="36" spans="1:19" ht="15.75" customHeight="1" x14ac:dyDescent="0.45">
      <c r="A36" s="267"/>
      <c r="B36" s="195"/>
      <c r="C36" s="195"/>
      <c r="D36" s="195"/>
      <c r="E36" s="195"/>
      <c r="F36" s="252"/>
      <c r="G36" s="267"/>
      <c r="H36" s="195"/>
      <c r="I36" s="195"/>
      <c r="J36" s="195"/>
      <c r="K36" s="195"/>
      <c r="L36" s="195"/>
      <c r="M36" s="195"/>
      <c r="N36" s="195"/>
      <c r="O36" s="195"/>
      <c r="P36" s="252"/>
      <c r="Q36" s="12"/>
      <c r="R36" s="12"/>
      <c r="S36" s="12"/>
    </row>
    <row r="37" spans="1:19" ht="15.75" customHeight="1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4"/>
      <c r="O37" s="14"/>
      <c r="P37" s="2"/>
      <c r="Q37" s="12"/>
      <c r="R37" s="12"/>
      <c r="S37" s="12"/>
    </row>
    <row r="38" spans="1:19" ht="15.75" customHeight="1" x14ac:dyDescent="0.45">
      <c r="A38" s="280" t="s">
        <v>88</v>
      </c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12"/>
      <c r="R38" s="12"/>
      <c r="S38" s="12"/>
    </row>
    <row r="39" spans="1:19" ht="15.75" customHeight="1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1"/>
      <c r="N39" s="22"/>
      <c r="O39" s="22"/>
      <c r="P39" s="12"/>
      <c r="Q39" s="12"/>
      <c r="R39" s="12"/>
      <c r="S39" s="12"/>
    </row>
    <row r="40" spans="1:19" ht="15.75" customHeight="1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1"/>
      <c r="N40" s="22"/>
      <c r="O40" s="22"/>
      <c r="P40" s="12"/>
      <c r="Q40" s="12"/>
      <c r="R40" s="12"/>
      <c r="S40" s="12"/>
    </row>
    <row r="41" spans="1:19" ht="15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1"/>
      <c r="N41" s="22"/>
      <c r="O41" s="22"/>
      <c r="P41" s="12"/>
      <c r="Q41" s="12"/>
      <c r="R41" s="12"/>
      <c r="S41" s="12"/>
    </row>
    <row r="42" spans="1:19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1"/>
      <c r="N42" s="22"/>
      <c r="O42" s="22"/>
      <c r="P42" s="12"/>
      <c r="Q42" s="12"/>
      <c r="R42" s="12"/>
      <c r="S42" s="12"/>
    </row>
    <row r="43" spans="1:19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1"/>
      <c r="N43" s="22"/>
      <c r="O43" s="22"/>
      <c r="P43" s="12"/>
      <c r="Q43" s="12"/>
      <c r="R43" s="12"/>
      <c r="S43" s="12"/>
    </row>
    <row r="44" spans="1:19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1"/>
      <c r="N44" s="22"/>
      <c r="O44" s="22"/>
      <c r="P44" s="12"/>
      <c r="Q44" s="12"/>
      <c r="R44" s="12"/>
      <c r="S44" s="12"/>
    </row>
    <row r="45" spans="1:19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1"/>
      <c r="N45" s="22"/>
      <c r="O45" s="22"/>
      <c r="P45" s="12"/>
      <c r="Q45" s="12"/>
      <c r="R45" s="12"/>
      <c r="S45" s="12"/>
    </row>
    <row r="46" spans="1:19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1"/>
      <c r="N46" s="22"/>
      <c r="O46" s="22"/>
      <c r="P46" s="12"/>
      <c r="Q46" s="12"/>
      <c r="R46" s="12"/>
      <c r="S46" s="12"/>
    </row>
    <row r="47" spans="1:19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1"/>
      <c r="N47" s="22"/>
      <c r="O47" s="22"/>
      <c r="P47" s="12"/>
      <c r="Q47" s="12"/>
      <c r="R47" s="12"/>
      <c r="S47" s="12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1"/>
      <c r="N48" s="22"/>
      <c r="O48" s="22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1"/>
      <c r="N49" s="22"/>
      <c r="O49" s="22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1"/>
      <c r="N50" s="22"/>
      <c r="O50" s="22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1"/>
      <c r="N51" s="22"/>
      <c r="O51" s="22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1"/>
      <c r="N52" s="22"/>
      <c r="O52" s="22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1"/>
      <c r="N53" s="22"/>
      <c r="O53" s="22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1"/>
      <c r="N54" s="22"/>
      <c r="O54" s="22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1"/>
      <c r="N55" s="22"/>
      <c r="O55" s="22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1"/>
      <c r="N56" s="22"/>
      <c r="O56" s="22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1"/>
      <c r="N57" s="22"/>
      <c r="O57" s="22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1"/>
      <c r="N58" s="22"/>
      <c r="O58" s="22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1"/>
      <c r="N59" s="22"/>
      <c r="O59" s="22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1"/>
      <c r="N60" s="22"/>
      <c r="O60" s="22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1"/>
      <c r="N61" s="22"/>
      <c r="O61" s="22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1"/>
      <c r="N62" s="22"/>
      <c r="O62" s="22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1"/>
      <c r="N63" s="22"/>
      <c r="O63" s="22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1"/>
      <c r="N64" s="22"/>
      <c r="O64" s="22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1"/>
      <c r="N65" s="22"/>
      <c r="O65" s="22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1"/>
      <c r="N66" s="22"/>
      <c r="O66" s="22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1"/>
      <c r="N67" s="22"/>
      <c r="O67" s="22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1"/>
      <c r="N68" s="22"/>
      <c r="O68" s="22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1"/>
      <c r="N69" s="22"/>
      <c r="O69" s="22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1"/>
      <c r="N70" s="22"/>
      <c r="O70" s="22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1"/>
      <c r="N71" s="22"/>
      <c r="O71" s="22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1"/>
      <c r="N72" s="22"/>
      <c r="O72" s="22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1"/>
      <c r="N73" s="22"/>
      <c r="O73" s="22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1"/>
      <c r="N74" s="22"/>
      <c r="O74" s="22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1"/>
      <c r="N75" s="22"/>
      <c r="O75" s="22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1"/>
      <c r="N76" s="22"/>
      <c r="O76" s="22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1"/>
      <c r="N77" s="22"/>
      <c r="O77" s="22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1"/>
      <c r="N78" s="22"/>
      <c r="O78" s="22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1"/>
      <c r="N79" s="22"/>
      <c r="O79" s="22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1"/>
      <c r="N80" s="22"/>
      <c r="O80" s="22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1"/>
      <c r="N81" s="22"/>
      <c r="O81" s="22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1"/>
      <c r="N82" s="22"/>
      <c r="O82" s="22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1"/>
      <c r="N83" s="22"/>
      <c r="O83" s="22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1"/>
      <c r="N84" s="22"/>
      <c r="O84" s="22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1"/>
      <c r="N85" s="22"/>
      <c r="O85" s="22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1"/>
      <c r="N86" s="22"/>
      <c r="O86" s="22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1"/>
      <c r="N87" s="22"/>
      <c r="O87" s="22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1"/>
      <c r="N88" s="22"/>
      <c r="O88" s="22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1"/>
      <c r="N89" s="22"/>
      <c r="O89" s="22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1"/>
      <c r="N90" s="22"/>
      <c r="O90" s="22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1"/>
      <c r="N91" s="22"/>
      <c r="O91" s="22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1"/>
      <c r="N92" s="22"/>
      <c r="O92" s="22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1"/>
      <c r="N93" s="22"/>
      <c r="O93" s="22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1"/>
      <c r="N94" s="22"/>
      <c r="O94" s="22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1"/>
      <c r="N95" s="22"/>
      <c r="O95" s="22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1"/>
      <c r="N96" s="22"/>
      <c r="O96" s="22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1"/>
      <c r="N97" s="22"/>
      <c r="O97" s="22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1"/>
      <c r="N98" s="22"/>
      <c r="O98" s="22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1"/>
      <c r="N99" s="22"/>
      <c r="O99" s="22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1"/>
      <c r="N100" s="22"/>
      <c r="O100" s="22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1"/>
      <c r="N101" s="22"/>
      <c r="O101" s="22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1"/>
      <c r="N102" s="22"/>
      <c r="O102" s="22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1"/>
      <c r="N103" s="22"/>
      <c r="O103" s="22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1"/>
      <c r="N104" s="22"/>
      <c r="O104" s="22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1"/>
      <c r="N105" s="22"/>
      <c r="O105" s="22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1"/>
      <c r="N106" s="22"/>
      <c r="O106" s="22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1"/>
      <c r="N107" s="22"/>
      <c r="O107" s="22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1"/>
      <c r="N108" s="22"/>
      <c r="O108" s="22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1"/>
      <c r="N109" s="22"/>
      <c r="O109" s="22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1"/>
      <c r="N110" s="22"/>
      <c r="O110" s="22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1"/>
      <c r="N111" s="22"/>
      <c r="O111" s="22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1"/>
      <c r="N112" s="22"/>
      <c r="O112" s="22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1"/>
      <c r="N113" s="22"/>
      <c r="O113" s="22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1"/>
      <c r="N114" s="22"/>
      <c r="O114" s="22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1"/>
      <c r="N115" s="22"/>
      <c r="O115" s="22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1"/>
      <c r="N116" s="22"/>
      <c r="O116" s="22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1"/>
      <c r="N117" s="22"/>
      <c r="O117" s="22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1"/>
      <c r="N118" s="22"/>
      <c r="O118" s="22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1"/>
      <c r="N119" s="22"/>
      <c r="O119" s="22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1"/>
      <c r="N120" s="22"/>
      <c r="O120" s="22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1"/>
      <c r="N121" s="22"/>
      <c r="O121" s="22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1"/>
      <c r="N122" s="22"/>
      <c r="O122" s="22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1"/>
      <c r="N123" s="22"/>
      <c r="O123" s="22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1"/>
      <c r="N124" s="22"/>
      <c r="O124" s="22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1"/>
      <c r="N125" s="22"/>
      <c r="O125" s="22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1"/>
      <c r="N126" s="22"/>
      <c r="O126" s="22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1"/>
      <c r="N127" s="22"/>
      <c r="O127" s="22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1"/>
      <c r="N128" s="22"/>
      <c r="O128" s="22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1"/>
      <c r="N129" s="22"/>
      <c r="O129" s="22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1"/>
      <c r="N130" s="22"/>
      <c r="O130" s="22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1"/>
      <c r="N131" s="22"/>
      <c r="O131" s="22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1"/>
      <c r="N132" s="22"/>
      <c r="O132" s="22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1"/>
      <c r="N133" s="22"/>
      <c r="O133" s="22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1"/>
      <c r="N134" s="22"/>
      <c r="O134" s="22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1"/>
      <c r="N135" s="22"/>
      <c r="O135" s="22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1"/>
      <c r="N136" s="22"/>
      <c r="O136" s="22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1"/>
      <c r="N137" s="22"/>
      <c r="O137" s="22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1"/>
      <c r="N138" s="22"/>
      <c r="O138" s="22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1"/>
      <c r="N139" s="22"/>
      <c r="O139" s="22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1"/>
      <c r="N140" s="22"/>
      <c r="O140" s="22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1"/>
      <c r="N141" s="22"/>
      <c r="O141" s="22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1"/>
      <c r="N142" s="22"/>
      <c r="O142" s="22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1"/>
      <c r="N143" s="22"/>
      <c r="O143" s="22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1"/>
      <c r="N144" s="22"/>
      <c r="O144" s="22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1"/>
      <c r="N145" s="22"/>
      <c r="O145" s="22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1"/>
      <c r="N146" s="22"/>
      <c r="O146" s="22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1"/>
      <c r="N147" s="22"/>
      <c r="O147" s="22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1"/>
      <c r="N148" s="22"/>
      <c r="O148" s="22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1"/>
      <c r="N149" s="22"/>
      <c r="O149" s="22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1"/>
      <c r="N150" s="22"/>
      <c r="O150" s="22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1"/>
      <c r="N151" s="22"/>
      <c r="O151" s="22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1"/>
      <c r="N152" s="22"/>
      <c r="O152" s="22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1"/>
      <c r="N153" s="22"/>
      <c r="O153" s="22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1"/>
      <c r="N154" s="22"/>
      <c r="O154" s="22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1"/>
      <c r="N155" s="22"/>
      <c r="O155" s="22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1"/>
      <c r="N156" s="22"/>
      <c r="O156" s="22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1"/>
      <c r="N157" s="22"/>
      <c r="O157" s="22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1"/>
      <c r="N158" s="22"/>
      <c r="O158" s="22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1"/>
      <c r="N159" s="22"/>
      <c r="O159" s="22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1"/>
      <c r="N160" s="22"/>
      <c r="O160" s="22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1"/>
      <c r="N161" s="22"/>
      <c r="O161" s="22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1"/>
      <c r="N162" s="22"/>
      <c r="O162" s="22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1"/>
      <c r="N163" s="22"/>
      <c r="O163" s="22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1"/>
      <c r="N164" s="22"/>
      <c r="O164" s="22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1"/>
      <c r="N165" s="22"/>
      <c r="O165" s="22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1"/>
      <c r="N166" s="22"/>
      <c r="O166" s="22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1"/>
      <c r="N167" s="22"/>
      <c r="O167" s="22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1"/>
      <c r="N168" s="22"/>
      <c r="O168" s="22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1"/>
      <c r="N169" s="22"/>
      <c r="O169" s="22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1"/>
      <c r="N170" s="22"/>
      <c r="O170" s="22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1"/>
      <c r="N171" s="22"/>
      <c r="O171" s="22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1"/>
      <c r="N172" s="22"/>
      <c r="O172" s="22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1"/>
      <c r="N173" s="22"/>
      <c r="O173" s="22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1"/>
      <c r="N174" s="22"/>
      <c r="O174" s="22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1"/>
      <c r="N175" s="22"/>
      <c r="O175" s="22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1"/>
      <c r="N176" s="22"/>
      <c r="O176" s="22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1"/>
      <c r="N177" s="22"/>
      <c r="O177" s="22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1"/>
      <c r="N178" s="22"/>
      <c r="O178" s="22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1"/>
      <c r="N179" s="22"/>
      <c r="O179" s="22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1"/>
      <c r="N180" s="22"/>
      <c r="O180" s="22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1"/>
      <c r="N181" s="22"/>
      <c r="O181" s="22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1"/>
      <c r="N182" s="22"/>
      <c r="O182" s="22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1"/>
      <c r="N183" s="22"/>
      <c r="O183" s="22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1"/>
      <c r="N184" s="22"/>
      <c r="O184" s="22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1"/>
      <c r="N185" s="22"/>
      <c r="O185" s="22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1"/>
      <c r="N186" s="22"/>
      <c r="O186" s="22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1"/>
      <c r="N187" s="22"/>
      <c r="O187" s="22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1"/>
      <c r="N188" s="22"/>
      <c r="O188" s="22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1"/>
      <c r="N189" s="22"/>
      <c r="O189" s="22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1"/>
      <c r="N190" s="22"/>
      <c r="O190" s="22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1"/>
      <c r="N191" s="22"/>
      <c r="O191" s="22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1"/>
      <c r="N192" s="22"/>
      <c r="O192" s="22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1"/>
      <c r="N193" s="22"/>
      <c r="O193" s="22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1"/>
      <c r="N194" s="22"/>
      <c r="O194" s="22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1"/>
      <c r="N195" s="22"/>
      <c r="O195" s="22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1"/>
      <c r="N196" s="22"/>
      <c r="O196" s="22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1"/>
      <c r="N197" s="22"/>
      <c r="O197" s="22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1"/>
      <c r="N198" s="22"/>
      <c r="O198" s="22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1"/>
      <c r="N199" s="22"/>
      <c r="O199" s="22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1"/>
      <c r="N200" s="22"/>
      <c r="O200" s="22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1"/>
      <c r="N201" s="22"/>
      <c r="O201" s="22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1"/>
      <c r="N202" s="22"/>
      <c r="O202" s="22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1"/>
      <c r="N203" s="22"/>
      <c r="O203" s="22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1"/>
      <c r="N204" s="22"/>
      <c r="O204" s="22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1"/>
      <c r="N205" s="22"/>
      <c r="O205" s="22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1"/>
      <c r="N206" s="22"/>
      <c r="O206" s="22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1"/>
      <c r="N207" s="22"/>
      <c r="O207" s="22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1"/>
      <c r="N208" s="22"/>
      <c r="O208" s="22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1"/>
      <c r="N209" s="22"/>
      <c r="O209" s="22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1"/>
      <c r="N210" s="22"/>
      <c r="O210" s="22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1"/>
      <c r="N211" s="22"/>
      <c r="O211" s="22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1"/>
      <c r="N212" s="22"/>
      <c r="O212" s="22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1"/>
      <c r="N213" s="22"/>
      <c r="O213" s="22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1"/>
      <c r="N214" s="22"/>
      <c r="O214" s="22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1"/>
      <c r="N215" s="22"/>
      <c r="O215" s="22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1"/>
      <c r="N216" s="22"/>
      <c r="O216" s="22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1"/>
      <c r="N217" s="22"/>
      <c r="O217" s="22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1"/>
      <c r="N218" s="22"/>
      <c r="O218" s="22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1"/>
      <c r="N219" s="22"/>
      <c r="O219" s="22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1"/>
      <c r="N220" s="22"/>
      <c r="O220" s="22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1"/>
      <c r="N221" s="22"/>
      <c r="O221" s="22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1"/>
      <c r="N222" s="22"/>
      <c r="O222" s="22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1"/>
      <c r="N223" s="22"/>
      <c r="O223" s="22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1"/>
      <c r="N224" s="22"/>
      <c r="O224" s="22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1"/>
      <c r="N225" s="22"/>
      <c r="O225" s="22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1"/>
      <c r="N226" s="22"/>
      <c r="O226" s="22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1"/>
      <c r="N227" s="22"/>
      <c r="O227" s="22"/>
      <c r="P227" s="12"/>
      <c r="Q227" s="12"/>
      <c r="R227" s="12"/>
      <c r="S227" s="12"/>
    </row>
    <row r="228" spans="1:19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1"/>
      <c r="N228" s="22"/>
      <c r="O228" s="22"/>
      <c r="P228" s="12"/>
      <c r="Q228" s="12"/>
      <c r="R228" s="12"/>
      <c r="S228" s="12"/>
    </row>
    <row r="229" spans="1:19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1"/>
      <c r="N229" s="22"/>
      <c r="O229" s="22"/>
      <c r="P229" s="12"/>
      <c r="Q229" s="12"/>
      <c r="R229" s="12"/>
      <c r="S229" s="12"/>
    </row>
    <row r="230" spans="1:19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1"/>
      <c r="N230" s="22"/>
      <c r="O230" s="22"/>
      <c r="P230" s="12"/>
      <c r="Q230" s="12"/>
      <c r="R230" s="12"/>
      <c r="S230" s="12"/>
    </row>
    <row r="231" spans="1:19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1"/>
      <c r="N231" s="22"/>
      <c r="O231" s="22"/>
      <c r="P231" s="12"/>
      <c r="Q231" s="12"/>
      <c r="R231" s="12"/>
      <c r="S231" s="12"/>
    </row>
    <row r="232" spans="1:19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1"/>
      <c r="N232" s="22"/>
      <c r="O232" s="22"/>
      <c r="P232" s="12"/>
      <c r="Q232" s="12"/>
      <c r="R232" s="12"/>
      <c r="S232" s="12"/>
    </row>
    <row r="233" spans="1:19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1"/>
      <c r="N233" s="22"/>
      <c r="O233" s="22"/>
      <c r="P233" s="12"/>
      <c r="Q233" s="12"/>
      <c r="R233" s="12"/>
      <c r="S233" s="12"/>
    </row>
    <row r="234" spans="1:19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1"/>
      <c r="N234" s="22"/>
      <c r="O234" s="22"/>
      <c r="P234" s="12"/>
      <c r="Q234" s="12"/>
      <c r="R234" s="12"/>
      <c r="S234" s="12"/>
    </row>
    <row r="235" spans="1:19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1"/>
      <c r="N235" s="22"/>
      <c r="O235" s="22"/>
      <c r="P235" s="12"/>
      <c r="Q235" s="12"/>
      <c r="R235" s="12"/>
      <c r="S235" s="12"/>
    </row>
    <row r="236" spans="1:19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1"/>
      <c r="N236" s="22"/>
      <c r="O236" s="22"/>
      <c r="P236" s="12"/>
      <c r="Q236" s="12"/>
      <c r="R236" s="12"/>
      <c r="S236" s="12"/>
    </row>
    <row r="237" spans="1:19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1"/>
      <c r="N237" s="22"/>
      <c r="O237" s="22"/>
      <c r="P237" s="12"/>
      <c r="Q237" s="12"/>
      <c r="R237" s="12"/>
      <c r="S237" s="12"/>
    </row>
    <row r="238" spans="1:19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1"/>
      <c r="N238" s="22"/>
      <c r="O238" s="22"/>
      <c r="P238" s="12"/>
      <c r="Q238" s="12"/>
      <c r="R238" s="12"/>
      <c r="S238" s="12"/>
    </row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76">
    <mergeCell ref="M14:N14"/>
    <mergeCell ref="A10:F10"/>
    <mergeCell ref="A11:P11"/>
    <mergeCell ref="A12:F12"/>
    <mergeCell ref="G12:P12"/>
    <mergeCell ref="G13:H13"/>
    <mergeCell ref="I13:J13"/>
    <mergeCell ref="O13:P13"/>
    <mergeCell ref="A13:F13"/>
    <mergeCell ref="K13:L13"/>
    <mergeCell ref="M13:N13"/>
    <mergeCell ref="O14:P14"/>
    <mergeCell ref="A14:F14"/>
    <mergeCell ref="G14:H14"/>
    <mergeCell ref="I14:J14"/>
    <mergeCell ref="K14:L14"/>
    <mergeCell ref="A19:F19"/>
    <mergeCell ref="A20:F20"/>
    <mergeCell ref="A21:F21"/>
    <mergeCell ref="A22:F22"/>
    <mergeCell ref="A15:F15"/>
    <mergeCell ref="A16:F18"/>
    <mergeCell ref="G15:H15"/>
    <mergeCell ref="I15:J15"/>
    <mergeCell ref="K15:L15"/>
    <mergeCell ref="M15:N15"/>
    <mergeCell ref="O15:P15"/>
    <mergeCell ref="A23:F23"/>
    <mergeCell ref="A24:F24"/>
    <mergeCell ref="A25:F25"/>
    <mergeCell ref="I31:J31"/>
    <mergeCell ref="K31:L31"/>
    <mergeCell ref="A26:F26"/>
    <mergeCell ref="A27:F27"/>
    <mergeCell ref="A28:F28"/>
    <mergeCell ref="A29:F29"/>
    <mergeCell ref="A30:F30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31:F31"/>
    <mergeCell ref="G31:H31"/>
    <mergeCell ref="A34:F36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F7"/>
    <mergeCell ref="G7:P7"/>
    <mergeCell ref="A8:F8"/>
    <mergeCell ref="G8:K8"/>
    <mergeCell ref="L8:M8"/>
    <mergeCell ref="N8:P8"/>
    <mergeCell ref="A9:F9"/>
    <mergeCell ref="G9:K9"/>
    <mergeCell ref="L9:M9"/>
    <mergeCell ref="N9:P9"/>
    <mergeCell ref="G10:K10"/>
    <mergeCell ref="L10:M10"/>
    <mergeCell ref="N10:P10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997"/>
  <sheetViews>
    <sheetView tabSelected="1" topLeftCell="A21" workbookViewId="0">
      <selection activeCell="A14" sqref="A14:P32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19" customWidth="1"/>
  </cols>
  <sheetData>
    <row r="1" spans="1:17" ht="15" customHeight="1" x14ac:dyDescent="0.45">
      <c r="A1" s="241"/>
      <c r="B1" s="201"/>
      <c r="C1" s="217"/>
      <c r="D1" s="241" t="s">
        <v>0</v>
      </c>
      <c r="E1" s="201"/>
      <c r="F1" s="201"/>
      <c r="G1" s="201"/>
      <c r="H1" s="201"/>
      <c r="I1" s="201"/>
      <c r="J1" s="201"/>
      <c r="K1" s="201"/>
      <c r="L1" s="217"/>
      <c r="M1" s="245" t="s">
        <v>1</v>
      </c>
      <c r="N1" s="246"/>
      <c r="O1" s="245" t="s">
        <v>89</v>
      </c>
      <c r="P1" s="240"/>
    </row>
    <row r="2" spans="1:17" ht="15" customHeight="1" x14ac:dyDescent="0.45">
      <c r="A2" s="244"/>
      <c r="B2" s="203"/>
      <c r="C2" s="238"/>
      <c r="D2" s="218"/>
      <c r="E2" s="198"/>
      <c r="F2" s="198"/>
      <c r="G2" s="198"/>
      <c r="H2" s="198"/>
      <c r="I2" s="198"/>
      <c r="J2" s="198"/>
      <c r="K2" s="198"/>
      <c r="L2" s="199"/>
      <c r="M2" s="245" t="s">
        <v>3</v>
      </c>
      <c r="N2" s="240"/>
      <c r="O2" s="247">
        <v>1</v>
      </c>
      <c r="P2" s="238"/>
    </row>
    <row r="3" spans="1:17" ht="15.75" customHeight="1" x14ac:dyDescent="0.45">
      <c r="A3" s="244"/>
      <c r="B3" s="203"/>
      <c r="C3" s="238"/>
      <c r="D3" s="248" t="s">
        <v>90</v>
      </c>
      <c r="E3" s="203"/>
      <c r="F3" s="203"/>
      <c r="G3" s="203"/>
      <c r="H3" s="203"/>
      <c r="I3" s="203"/>
      <c r="J3" s="203"/>
      <c r="K3" s="203"/>
      <c r="L3" s="238"/>
      <c r="M3" s="237" t="s">
        <v>5</v>
      </c>
      <c r="N3" s="238"/>
      <c r="O3" s="239" t="s">
        <v>6</v>
      </c>
      <c r="P3" s="240"/>
      <c r="Q3" s="12"/>
    </row>
    <row r="4" spans="1:17" ht="15.75" customHeight="1" x14ac:dyDescent="0.45">
      <c r="A4" s="244"/>
      <c r="B4" s="203"/>
      <c r="C4" s="238"/>
      <c r="D4" s="203"/>
      <c r="E4" s="203"/>
      <c r="F4" s="203"/>
      <c r="G4" s="203"/>
      <c r="H4" s="203"/>
      <c r="I4" s="203"/>
      <c r="J4" s="203"/>
      <c r="K4" s="203"/>
      <c r="L4" s="238"/>
      <c r="M4" s="241" t="s">
        <v>7</v>
      </c>
      <c r="N4" s="217"/>
      <c r="O4" s="242" t="s">
        <v>8</v>
      </c>
      <c r="P4" s="187"/>
      <c r="Q4" s="12"/>
    </row>
    <row r="5" spans="1:17" ht="15.75" customHeight="1" x14ac:dyDescent="0.45">
      <c r="A5" s="218"/>
      <c r="B5" s="198"/>
      <c r="C5" s="199"/>
      <c r="D5" s="198"/>
      <c r="E5" s="198"/>
      <c r="F5" s="198"/>
      <c r="G5" s="198"/>
      <c r="H5" s="198"/>
      <c r="I5" s="198"/>
      <c r="J5" s="198"/>
      <c r="K5" s="198"/>
      <c r="L5" s="199"/>
      <c r="M5" s="218"/>
      <c r="N5" s="199"/>
      <c r="O5" s="243" t="s">
        <v>9</v>
      </c>
      <c r="P5" s="187"/>
      <c r="Q5" s="12"/>
    </row>
    <row r="6" spans="1:17" ht="12" customHeight="1" x14ac:dyDescent="0.45">
      <c r="A6" s="231"/>
      <c r="B6" s="203"/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32"/>
      <c r="Q6" s="12"/>
    </row>
    <row r="7" spans="1:17" ht="26.25" customHeight="1" x14ac:dyDescent="0.45">
      <c r="A7" s="233" t="s">
        <v>91</v>
      </c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17"/>
      <c r="Q7" s="12"/>
    </row>
    <row r="8" spans="1:17" ht="26.25" customHeight="1" x14ac:dyDescent="0.45">
      <c r="A8" s="218"/>
      <c r="B8" s="198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9"/>
      <c r="Q8" s="12"/>
    </row>
    <row r="9" spans="1:17" ht="36" customHeight="1" x14ac:dyDescent="0.45">
      <c r="A9" s="234" t="s">
        <v>10</v>
      </c>
      <c r="B9" s="211"/>
      <c r="C9" s="211"/>
      <c r="D9" s="211"/>
      <c r="E9" s="211"/>
      <c r="F9" s="230"/>
      <c r="G9" s="191" t="str">
        <f>'LISTA CHEQUEO'!F7</f>
        <v>LIMPIADOR ILUMINADOR ACIDO KOJICO</v>
      </c>
      <c r="H9" s="186"/>
      <c r="I9" s="186"/>
      <c r="J9" s="186"/>
      <c r="K9" s="186"/>
      <c r="L9" s="186"/>
      <c r="M9" s="186"/>
      <c r="N9" s="186"/>
      <c r="O9" s="186"/>
      <c r="P9" s="187"/>
      <c r="Q9" s="12"/>
    </row>
    <row r="10" spans="1:17" ht="36" customHeight="1" x14ac:dyDescent="0.45">
      <c r="A10" s="221" t="s">
        <v>21</v>
      </c>
      <c r="B10" s="186"/>
      <c r="C10" s="186"/>
      <c r="D10" s="186"/>
      <c r="E10" s="186"/>
      <c r="F10" s="189"/>
      <c r="G10" s="191" t="str">
        <f>'LISTA CHEQUEO'!F11</f>
        <v>NSOC35368-24CO</v>
      </c>
      <c r="H10" s="186"/>
      <c r="I10" s="186"/>
      <c r="J10" s="189"/>
      <c r="K10" s="235" t="s">
        <v>55</v>
      </c>
      <c r="L10" s="189"/>
      <c r="M10" s="24" t="str">
        <f>'LISTA CHEQUEO'!F8</f>
        <v>252601</v>
      </c>
      <c r="N10" s="236" t="s">
        <v>59</v>
      </c>
      <c r="O10" s="189"/>
      <c r="P10" s="25"/>
      <c r="Q10" s="12"/>
    </row>
    <row r="11" spans="1:17" ht="36" customHeight="1" x14ac:dyDescent="0.45">
      <c r="A11" s="221" t="s">
        <v>56</v>
      </c>
      <c r="B11" s="186"/>
      <c r="C11" s="186"/>
      <c r="D11" s="186"/>
      <c r="E11" s="186"/>
      <c r="F11" s="189"/>
      <c r="G11" s="222" t="str">
        <f>'LISTA CHEQUEO'!F12</f>
        <v>GEL</v>
      </c>
      <c r="H11" s="206"/>
      <c r="I11" s="206"/>
      <c r="J11" s="207"/>
      <c r="K11" s="223" t="s">
        <v>92</v>
      </c>
      <c r="L11" s="224"/>
      <c r="M11" s="26" t="str">
        <f>'LISTA CHEQUEO'!M8</f>
        <v>OP-SS-128</v>
      </c>
      <c r="N11" s="236" t="s">
        <v>93</v>
      </c>
      <c r="O11" s="189"/>
      <c r="P11" s="27"/>
      <c r="Q11" s="12"/>
    </row>
    <row r="12" spans="1:17" ht="36" customHeight="1" x14ac:dyDescent="0.45">
      <c r="A12" s="229" t="s">
        <v>94</v>
      </c>
      <c r="B12" s="206"/>
      <c r="C12" s="206"/>
      <c r="D12" s="206"/>
      <c r="E12" s="206"/>
      <c r="F12" s="207"/>
      <c r="G12" s="225"/>
      <c r="H12" s="206"/>
      <c r="I12" s="206"/>
      <c r="J12" s="207"/>
      <c r="K12" s="226" t="s">
        <v>95</v>
      </c>
      <c r="L12" s="207"/>
      <c r="M12" s="28">
        <v>900</v>
      </c>
      <c r="N12" s="226" t="s">
        <v>58</v>
      </c>
      <c r="O12" s="207"/>
      <c r="P12" s="29">
        <v>200</v>
      </c>
      <c r="Q12" s="12"/>
    </row>
    <row r="13" spans="1:17" ht="12" customHeight="1" x14ac:dyDescent="0.45">
      <c r="A13" s="227"/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  <c r="P13" s="228"/>
      <c r="Q13" s="12"/>
    </row>
    <row r="14" spans="1:17" ht="42.75" customHeight="1" x14ac:dyDescent="0.45">
      <c r="A14" s="30" t="s">
        <v>96</v>
      </c>
      <c r="B14" s="220" t="s">
        <v>97</v>
      </c>
      <c r="C14" s="211"/>
      <c r="D14" s="211"/>
      <c r="E14" s="211"/>
      <c r="F14" s="230"/>
      <c r="G14" s="220" t="s">
        <v>98</v>
      </c>
      <c r="H14" s="211"/>
      <c r="I14" s="230"/>
      <c r="J14" s="220" t="s">
        <v>12</v>
      </c>
      <c r="K14" s="211"/>
      <c r="L14" s="230"/>
      <c r="M14" s="31" t="s">
        <v>99</v>
      </c>
      <c r="N14" s="220" t="s">
        <v>100</v>
      </c>
      <c r="O14" s="211"/>
      <c r="P14" s="212"/>
      <c r="Q14" s="12"/>
    </row>
    <row r="15" spans="1:17" ht="16.5" customHeight="1" x14ac:dyDescent="0.45">
      <c r="A15" s="32">
        <v>1</v>
      </c>
      <c r="B15" s="188" t="s">
        <v>101</v>
      </c>
      <c r="C15" s="186"/>
      <c r="D15" s="186"/>
      <c r="E15" s="186"/>
      <c r="F15" s="189"/>
      <c r="G15" s="190" t="s">
        <v>102</v>
      </c>
      <c r="H15" s="186"/>
      <c r="I15" s="189"/>
      <c r="J15" s="191">
        <v>20250917</v>
      </c>
      <c r="K15" s="186"/>
      <c r="L15" s="189"/>
      <c r="M15" s="33">
        <v>71.150000000000006</v>
      </c>
      <c r="N15" s="185">
        <f t="shared" ref="N15:N31" si="0">(+$P$12*M15/100)*1000</f>
        <v>142300</v>
      </c>
      <c r="O15" s="186"/>
      <c r="P15" s="187"/>
      <c r="Q15" s="12"/>
    </row>
    <row r="16" spans="1:17" ht="15" customHeight="1" x14ac:dyDescent="0.45">
      <c r="A16" s="32">
        <v>2</v>
      </c>
      <c r="B16" s="188" t="s">
        <v>103</v>
      </c>
      <c r="C16" s="186"/>
      <c r="D16" s="186"/>
      <c r="E16" s="186"/>
      <c r="F16" s="189"/>
      <c r="G16" s="190" t="s">
        <v>104</v>
      </c>
      <c r="H16" s="186"/>
      <c r="I16" s="189"/>
      <c r="J16" s="191" t="s">
        <v>105</v>
      </c>
      <c r="K16" s="186"/>
      <c r="L16" s="189"/>
      <c r="M16" s="34">
        <v>10</v>
      </c>
      <c r="N16" s="185">
        <f t="shared" si="0"/>
        <v>20000</v>
      </c>
      <c r="O16" s="186"/>
      <c r="P16" s="187"/>
      <c r="Q16" s="12"/>
    </row>
    <row r="17" spans="1:17" ht="15" customHeight="1" x14ac:dyDescent="0.45">
      <c r="A17" s="32">
        <v>3</v>
      </c>
      <c r="B17" s="188" t="s">
        <v>106</v>
      </c>
      <c r="C17" s="186"/>
      <c r="D17" s="186"/>
      <c r="E17" s="186"/>
      <c r="F17" s="189"/>
      <c r="G17" s="190" t="s">
        <v>107</v>
      </c>
      <c r="H17" s="186"/>
      <c r="I17" s="189"/>
      <c r="J17" s="191" t="s">
        <v>108</v>
      </c>
      <c r="K17" s="186"/>
      <c r="L17" s="189"/>
      <c r="M17" s="34">
        <v>5</v>
      </c>
      <c r="N17" s="185">
        <f t="shared" si="0"/>
        <v>10000</v>
      </c>
      <c r="O17" s="186"/>
      <c r="P17" s="187"/>
      <c r="Q17" s="12"/>
    </row>
    <row r="18" spans="1:17" ht="16.5" customHeight="1" x14ac:dyDescent="0.45">
      <c r="A18" s="32">
        <v>4</v>
      </c>
      <c r="B18" s="188" t="s">
        <v>109</v>
      </c>
      <c r="C18" s="186"/>
      <c r="D18" s="186"/>
      <c r="E18" s="186"/>
      <c r="F18" s="189"/>
      <c r="G18" s="190" t="s">
        <v>110</v>
      </c>
      <c r="H18" s="186"/>
      <c r="I18" s="189"/>
      <c r="J18" s="191" t="s">
        <v>111</v>
      </c>
      <c r="K18" s="186"/>
      <c r="L18" s="189"/>
      <c r="M18" s="34">
        <v>4</v>
      </c>
      <c r="N18" s="185">
        <f t="shared" si="0"/>
        <v>8000</v>
      </c>
      <c r="O18" s="186"/>
      <c r="P18" s="187"/>
      <c r="Q18" s="12"/>
    </row>
    <row r="19" spans="1:17" ht="16.5" customHeight="1" x14ac:dyDescent="0.45">
      <c r="A19" s="32">
        <v>5</v>
      </c>
      <c r="B19" s="188" t="s">
        <v>112</v>
      </c>
      <c r="C19" s="186"/>
      <c r="D19" s="186"/>
      <c r="E19" s="186"/>
      <c r="F19" s="189"/>
      <c r="G19" s="190" t="s">
        <v>113</v>
      </c>
      <c r="H19" s="186"/>
      <c r="I19" s="189"/>
      <c r="J19" s="191" t="s">
        <v>114</v>
      </c>
      <c r="K19" s="186"/>
      <c r="L19" s="189"/>
      <c r="M19" s="34">
        <v>3</v>
      </c>
      <c r="N19" s="185">
        <f t="shared" si="0"/>
        <v>6000</v>
      </c>
      <c r="O19" s="186"/>
      <c r="P19" s="187"/>
      <c r="Q19" s="12"/>
    </row>
    <row r="20" spans="1:17" ht="16.5" customHeight="1" x14ac:dyDescent="0.45">
      <c r="A20" s="32">
        <v>6</v>
      </c>
      <c r="B20" s="188" t="s">
        <v>115</v>
      </c>
      <c r="C20" s="186"/>
      <c r="D20" s="186"/>
      <c r="E20" s="186"/>
      <c r="F20" s="189"/>
      <c r="G20" s="190" t="s">
        <v>116</v>
      </c>
      <c r="H20" s="186"/>
      <c r="I20" s="189"/>
      <c r="J20" s="191" t="s">
        <v>117</v>
      </c>
      <c r="K20" s="186"/>
      <c r="L20" s="189"/>
      <c r="M20" s="34">
        <v>2</v>
      </c>
      <c r="N20" s="185">
        <f t="shared" si="0"/>
        <v>4000</v>
      </c>
      <c r="O20" s="186"/>
      <c r="P20" s="187"/>
      <c r="Q20" s="12"/>
    </row>
    <row r="21" spans="1:17" ht="16.5" customHeight="1" x14ac:dyDescent="0.45">
      <c r="A21" s="32">
        <v>7</v>
      </c>
      <c r="B21" s="188" t="s">
        <v>118</v>
      </c>
      <c r="C21" s="186"/>
      <c r="D21" s="186"/>
      <c r="E21" s="186"/>
      <c r="F21" s="189"/>
      <c r="G21" s="190" t="s">
        <v>119</v>
      </c>
      <c r="H21" s="186"/>
      <c r="I21" s="189"/>
      <c r="J21" s="191" t="s">
        <v>120</v>
      </c>
      <c r="K21" s="186"/>
      <c r="L21" s="189"/>
      <c r="M21" s="34">
        <v>1</v>
      </c>
      <c r="N21" s="185">
        <f t="shared" si="0"/>
        <v>2000</v>
      </c>
      <c r="O21" s="186"/>
      <c r="P21" s="187"/>
      <c r="Q21" s="12"/>
    </row>
    <row r="22" spans="1:17" ht="16.5" customHeight="1" x14ac:dyDescent="0.45">
      <c r="A22" s="32">
        <v>8</v>
      </c>
      <c r="B22" s="188" t="s">
        <v>121</v>
      </c>
      <c r="C22" s="186"/>
      <c r="D22" s="186"/>
      <c r="E22" s="186"/>
      <c r="F22" s="189"/>
      <c r="G22" s="190" t="s">
        <v>122</v>
      </c>
      <c r="H22" s="186"/>
      <c r="I22" s="189"/>
      <c r="J22" s="191">
        <v>520241101004</v>
      </c>
      <c r="K22" s="186"/>
      <c r="L22" s="189"/>
      <c r="M22" s="34">
        <v>1</v>
      </c>
      <c r="N22" s="185">
        <f t="shared" si="0"/>
        <v>2000</v>
      </c>
      <c r="O22" s="186"/>
      <c r="P22" s="187"/>
      <c r="Q22" s="12"/>
    </row>
    <row r="23" spans="1:17" ht="15" customHeight="1" x14ac:dyDescent="0.45">
      <c r="A23" s="32">
        <v>9</v>
      </c>
      <c r="B23" s="188" t="s">
        <v>123</v>
      </c>
      <c r="C23" s="186"/>
      <c r="D23" s="186"/>
      <c r="E23" s="186"/>
      <c r="F23" s="189"/>
      <c r="G23" s="190" t="s">
        <v>124</v>
      </c>
      <c r="H23" s="186"/>
      <c r="I23" s="189"/>
      <c r="J23" s="191">
        <v>214012</v>
      </c>
      <c r="K23" s="186"/>
      <c r="L23" s="189"/>
      <c r="M23" s="34">
        <v>0.5</v>
      </c>
      <c r="N23" s="185">
        <f t="shared" si="0"/>
        <v>1000</v>
      </c>
      <c r="O23" s="186"/>
      <c r="P23" s="187"/>
      <c r="Q23" s="12"/>
    </row>
    <row r="24" spans="1:17" ht="15" customHeight="1" x14ac:dyDescent="0.45">
      <c r="A24" s="32">
        <v>10</v>
      </c>
      <c r="B24" s="188" t="s">
        <v>125</v>
      </c>
      <c r="C24" s="186"/>
      <c r="D24" s="186"/>
      <c r="E24" s="186"/>
      <c r="F24" s="189"/>
      <c r="G24" s="190" t="s">
        <v>126</v>
      </c>
      <c r="H24" s="186"/>
      <c r="I24" s="189"/>
      <c r="J24" s="191" t="s">
        <v>127</v>
      </c>
      <c r="K24" s="186"/>
      <c r="L24" s="189"/>
      <c r="M24" s="34">
        <v>0.5</v>
      </c>
      <c r="N24" s="185">
        <f t="shared" si="0"/>
        <v>1000</v>
      </c>
      <c r="O24" s="186"/>
      <c r="P24" s="187"/>
      <c r="Q24" s="12"/>
    </row>
    <row r="25" spans="1:17" ht="15" customHeight="1" x14ac:dyDescent="0.45">
      <c r="A25" s="32">
        <v>11</v>
      </c>
      <c r="B25" s="188" t="s">
        <v>128</v>
      </c>
      <c r="C25" s="186"/>
      <c r="D25" s="186"/>
      <c r="E25" s="186"/>
      <c r="F25" s="189"/>
      <c r="G25" s="190" t="s">
        <v>129</v>
      </c>
      <c r="H25" s="186"/>
      <c r="I25" s="189"/>
      <c r="J25" s="191">
        <v>36149</v>
      </c>
      <c r="K25" s="186"/>
      <c r="L25" s="189"/>
      <c r="M25" s="34">
        <v>0.5</v>
      </c>
      <c r="N25" s="185">
        <f t="shared" si="0"/>
        <v>1000</v>
      </c>
      <c r="O25" s="186"/>
      <c r="P25" s="187"/>
      <c r="Q25" s="12"/>
    </row>
    <row r="26" spans="1:17" ht="15" customHeight="1" x14ac:dyDescent="0.45">
      <c r="A26" s="32">
        <v>12</v>
      </c>
      <c r="B26" s="188" t="s">
        <v>130</v>
      </c>
      <c r="C26" s="186"/>
      <c r="D26" s="186"/>
      <c r="E26" s="186"/>
      <c r="F26" s="189"/>
      <c r="G26" s="190" t="s">
        <v>131</v>
      </c>
      <c r="H26" s="186"/>
      <c r="I26" s="189"/>
      <c r="J26" s="191">
        <v>2203300727</v>
      </c>
      <c r="K26" s="186"/>
      <c r="L26" s="189"/>
      <c r="M26" s="34">
        <v>0.3</v>
      </c>
      <c r="N26" s="185">
        <f t="shared" si="0"/>
        <v>600</v>
      </c>
      <c r="O26" s="186"/>
      <c r="P26" s="187"/>
      <c r="Q26" s="12"/>
    </row>
    <row r="27" spans="1:17" ht="15" customHeight="1" x14ac:dyDescent="0.45">
      <c r="A27" s="32">
        <v>13</v>
      </c>
      <c r="B27" s="188" t="s">
        <v>132</v>
      </c>
      <c r="C27" s="186"/>
      <c r="D27" s="186"/>
      <c r="E27" s="186"/>
      <c r="F27" s="189"/>
      <c r="G27" s="190" t="s">
        <v>133</v>
      </c>
      <c r="H27" s="186"/>
      <c r="I27" s="189"/>
      <c r="J27" s="191" t="s">
        <v>134</v>
      </c>
      <c r="K27" s="186"/>
      <c r="L27" s="189"/>
      <c r="M27" s="34">
        <v>0.3</v>
      </c>
      <c r="N27" s="185">
        <f t="shared" si="0"/>
        <v>600</v>
      </c>
      <c r="O27" s="186"/>
      <c r="P27" s="187"/>
      <c r="Q27" s="12"/>
    </row>
    <row r="28" spans="1:17" ht="15" customHeight="1" x14ac:dyDescent="0.45">
      <c r="A28" s="32">
        <v>14</v>
      </c>
      <c r="B28" s="188" t="s">
        <v>135</v>
      </c>
      <c r="C28" s="186"/>
      <c r="D28" s="186"/>
      <c r="E28" s="186"/>
      <c r="F28" s="189"/>
      <c r="G28" s="190" t="s">
        <v>136</v>
      </c>
      <c r="H28" s="186"/>
      <c r="I28" s="189"/>
      <c r="J28" s="191">
        <v>20240217</v>
      </c>
      <c r="K28" s="186"/>
      <c r="L28" s="189"/>
      <c r="M28" s="34">
        <v>0.3</v>
      </c>
      <c r="N28" s="185">
        <f t="shared" si="0"/>
        <v>600</v>
      </c>
      <c r="O28" s="186"/>
      <c r="P28" s="187"/>
      <c r="Q28" s="12"/>
    </row>
    <row r="29" spans="1:17" ht="15" customHeight="1" x14ac:dyDescent="0.45">
      <c r="A29" s="32">
        <v>15</v>
      </c>
      <c r="B29" s="188" t="s">
        <v>137</v>
      </c>
      <c r="C29" s="186"/>
      <c r="D29" s="186"/>
      <c r="E29" s="186"/>
      <c r="F29" s="189"/>
      <c r="G29" s="190" t="s">
        <v>138</v>
      </c>
      <c r="H29" s="186"/>
      <c r="I29" s="189"/>
      <c r="J29" s="191" t="s">
        <v>139</v>
      </c>
      <c r="K29" s="186"/>
      <c r="L29" s="189"/>
      <c r="M29" s="34">
        <v>0.3</v>
      </c>
      <c r="N29" s="185">
        <f t="shared" si="0"/>
        <v>600</v>
      </c>
      <c r="O29" s="186"/>
      <c r="P29" s="187"/>
      <c r="Q29" s="12"/>
    </row>
    <row r="30" spans="1:17" ht="15" customHeight="1" x14ac:dyDescent="0.45">
      <c r="A30" s="32">
        <v>16</v>
      </c>
      <c r="B30" s="188" t="s">
        <v>140</v>
      </c>
      <c r="C30" s="186"/>
      <c r="D30" s="186"/>
      <c r="E30" s="186"/>
      <c r="F30" s="189"/>
      <c r="G30" s="190" t="s">
        <v>141</v>
      </c>
      <c r="H30" s="186"/>
      <c r="I30" s="189"/>
      <c r="J30" s="191" t="s">
        <v>142</v>
      </c>
      <c r="K30" s="186"/>
      <c r="L30" s="189"/>
      <c r="M30" s="34">
        <v>0.1</v>
      </c>
      <c r="N30" s="185">
        <f t="shared" si="0"/>
        <v>200</v>
      </c>
      <c r="O30" s="186"/>
      <c r="P30" s="187"/>
      <c r="Q30" s="12"/>
    </row>
    <row r="31" spans="1:17" ht="15" customHeight="1" x14ac:dyDescent="0.45">
      <c r="A31" s="32">
        <v>17</v>
      </c>
      <c r="B31" s="188" t="s">
        <v>143</v>
      </c>
      <c r="C31" s="186"/>
      <c r="D31" s="186"/>
      <c r="E31" s="186"/>
      <c r="F31" s="189"/>
      <c r="G31" s="190" t="s">
        <v>144</v>
      </c>
      <c r="H31" s="186"/>
      <c r="I31" s="189"/>
      <c r="J31" s="191" t="s">
        <v>145</v>
      </c>
      <c r="K31" s="186"/>
      <c r="L31" s="189"/>
      <c r="M31" s="34">
        <v>0.05</v>
      </c>
      <c r="N31" s="185">
        <f t="shared" si="0"/>
        <v>100</v>
      </c>
      <c r="O31" s="186"/>
      <c r="P31" s="187"/>
      <c r="Q31" s="12"/>
    </row>
    <row r="32" spans="1:17" ht="21" customHeight="1" x14ac:dyDescent="0.45">
      <c r="A32" s="205" t="s">
        <v>146</v>
      </c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L32" s="207"/>
      <c r="M32" s="35">
        <f>SUM(M15:M31)</f>
        <v>99.999999999999986</v>
      </c>
      <c r="N32" s="208">
        <f>SUM(N15:P31)</f>
        <v>200000</v>
      </c>
      <c r="O32" s="206"/>
      <c r="P32" s="209"/>
      <c r="Q32" s="12"/>
    </row>
    <row r="33" spans="1:17" ht="18" customHeight="1" x14ac:dyDescent="0.45">
      <c r="A33" s="210" t="s">
        <v>147</v>
      </c>
      <c r="B33" s="211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2"/>
      <c r="Q33" s="12"/>
    </row>
    <row r="34" spans="1:17" ht="51" customHeight="1" x14ac:dyDescent="0.45">
      <c r="A34" s="213" t="s">
        <v>148</v>
      </c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7"/>
      <c r="Q34" s="12"/>
    </row>
    <row r="35" spans="1:17" ht="33" customHeight="1" x14ac:dyDescent="0.45">
      <c r="A35" s="213" t="s">
        <v>149</v>
      </c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7"/>
      <c r="Q35" s="12"/>
    </row>
    <row r="36" spans="1:17" ht="30.75" customHeight="1" x14ac:dyDescent="0.45">
      <c r="A36" s="213" t="s">
        <v>150</v>
      </c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7"/>
      <c r="Q36" s="12"/>
    </row>
    <row r="37" spans="1:17" ht="18" customHeight="1" x14ac:dyDescent="0.45">
      <c r="A37" s="214" t="s">
        <v>151</v>
      </c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215"/>
      <c r="Q37" s="12"/>
    </row>
    <row r="38" spans="1:17" ht="34.5" customHeight="1" x14ac:dyDescent="0.45">
      <c r="A38" s="216" t="s">
        <v>45</v>
      </c>
      <c r="B38" s="201"/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17"/>
      <c r="Q38" s="12"/>
    </row>
    <row r="39" spans="1:17" ht="27" customHeight="1" x14ac:dyDescent="0.45">
      <c r="A39" s="218"/>
      <c r="B39" s="198"/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9"/>
      <c r="Q39" s="12"/>
    </row>
    <row r="40" spans="1:17" ht="19.5" customHeight="1" x14ac:dyDescent="0.45">
      <c r="A40" s="200" t="s">
        <v>152</v>
      </c>
      <c r="B40" s="201"/>
      <c r="C40" s="201"/>
      <c r="D40" s="201"/>
      <c r="E40" s="201"/>
      <c r="F40" s="37"/>
      <c r="G40" s="219"/>
      <c r="H40" s="211"/>
      <c r="I40" s="211"/>
      <c r="J40" s="211"/>
      <c r="K40" s="211"/>
      <c r="L40" s="211"/>
      <c r="M40" s="38"/>
      <c r="N40" s="39" t="s">
        <v>67</v>
      </c>
      <c r="O40" s="37"/>
      <c r="P40" s="40"/>
      <c r="Q40" s="12"/>
    </row>
    <row r="41" spans="1:17" ht="18" customHeight="1" x14ac:dyDescent="0.45">
      <c r="A41" s="202"/>
      <c r="B41" s="203"/>
      <c r="C41" s="203"/>
      <c r="D41" s="203"/>
      <c r="E41" s="203"/>
      <c r="F41" s="2"/>
      <c r="G41" s="196" t="s">
        <v>153</v>
      </c>
      <c r="H41" s="193"/>
      <c r="I41" s="193"/>
      <c r="J41" s="193"/>
      <c r="K41" s="193"/>
      <c r="L41" s="193"/>
      <c r="M41" s="2"/>
      <c r="N41" s="42"/>
      <c r="O41" s="42"/>
      <c r="P41" s="43"/>
      <c r="Q41" s="12"/>
    </row>
    <row r="42" spans="1:17" ht="19.5" customHeight="1" x14ac:dyDescent="0.45">
      <c r="A42" s="204" t="s">
        <v>154</v>
      </c>
      <c r="B42" s="203"/>
      <c r="C42" s="203"/>
      <c r="D42" s="203"/>
      <c r="E42" s="203"/>
      <c r="F42" s="45"/>
      <c r="G42" s="194"/>
      <c r="H42" s="195"/>
      <c r="I42" s="195"/>
      <c r="J42" s="195"/>
      <c r="K42" s="195"/>
      <c r="L42" s="195"/>
      <c r="M42" s="2"/>
      <c r="N42" s="46" t="s">
        <v>67</v>
      </c>
      <c r="O42" s="45"/>
      <c r="P42" s="47"/>
      <c r="Q42" s="12"/>
    </row>
    <row r="43" spans="1:17" ht="33.75" customHeight="1" x14ac:dyDescent="0.45">
      <c r="A43" s="202"/>
      <c r="B43" s="203"/>
      <c r="C43" s="203"/>
      <c r="D43" s="203"/>
      <c r="E43" s="203"/>
      <c r="F43" s="2"/>
      <c r="G43" s="192" t="s">
        <v>155</v>
      </c>
      <c r="H43" s="193"/>
      <c r="I43" s="193"/>
      <c r="J43" s="193"/>
      <c r="K43" s="193"/>
      <c r="L43" s="193"/>
      <c r="M43" s="48"/>
      <c r="N43" s="49"/>
      <c r="O43" s="49"/>
      <c r="P43" s="43"/>
      <c r="Q43" s="12"/>
    </row>
    <row r="44" spans="1:17" ht="19.5" customHeight="1" x14ac:dyDescent="0.45">
      <c r="A44" s="204" t="s">
        <v>156</v>
      </c>
      <c r="B44" s="203"/>
      <c r="C44" s="203"/>
      <c r="D44" s="203"/>
      <c r="E44" s="203"/>
      <c r="F44" s="45"/>
      <c r="G44" s="194"/>
      <c r="H44" s="195"/>
      <c r="I44" s="195"/>
      <c r="J44" s="195"/>
      <c r="K44" s="195"/>
      <c r="L44" s="195"/>
      <c r="M44" s="2"/>
      <c r="N44" s="46" t="s">
        <v>67</v>
      </c>
      <c r="O44" s="45"/>
      <c r="P44" s="47"/>
      <c r="Q44" s="12"/>
    </row>
    <row r="45" spans="1:17" ht="19.5" customHeight="1" x14ac:dyDescent="0.45">
      <c r="A45" s="44"/>
      <c r="B45" s="46"/>
      <c r="C45" s="46"/>
      <c r="D45" s="46"/>
      <c r="E45" s="46"/>
      <c r="F45" s="196" t="s">
        <v>157</v>
      </c>
      <c r="G45" s="193"/>
      <c r="H45" s="193"/>
      <c r="I45" s="193"/>
      <c r="J45" s="193"/>
      <c r="K45" s="193"/>
      <c r="L45" s="193"/>
      <c r="M45" s="2"/>
      <c r="N45" s="46"/>
      <c r="O45" s="46"/>
      <c r="P45" s="50"/>
      <c r="Q45" s="12"/>
    </row>
    <row r="46" spans="1:17" ht="19.5" customHeight="1" x14ac:dyDescent="0.45">
      <c r="A46" s="197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9"/>
      <c r="Q46" s="12"/>
    </row>
    <row r="47" spans="1:17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1"/>
      <c r="N47" s="22"/>
      <c r="O47" s="22"/>
      <c r="P47" s="12"/>
      <c r="Q47" s="12"/>
    </row>
    <row r="48" spans="1:17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1"/>
      <c r="N48" s="22"/>
      <c r="O48" s="22"/>
      <c r="P48" s="12"/>
      <c r="Q48" s="12"/>
    </row>
    <row r="49" spans="1:17" ht="15.75" customHeight="1" x14ac:dyDescent="0.45">
      <c r="A49" s="12"/>
      <c r="B49" s="12"/>
      <c r="C49" s="12"/>
      <c r="D49" s="12"/>
      <c r="E49" s="12"/>
      <c r="F49" s="12"/>
      <c r="G49" s="12">
        <f>30000/100</f>
        <v>300</v>
      </c>
      <c r="H49" s="12"/>
      <c r="I49" s="12"/>
      <c r="J49" s="12"/>
      <c r="K49" s="12"/>
      <c r="L49" s="12"/>
      <c r="M49" s="21"/>
      <c r="N49" s="22"/>
      <c r="O49" s="22"/>
      <c r="P49" s="12"/>
      <c r="Q49" s="12"/>
    </row>
    <row r="50" spans="1:17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1"/>
      <c r="N50" s="22"/>
      <c r="O50" s="22"/>
      <c r="P50" s="12"/>
      <c r="Q50" s="12"/>
    </row>
    <row r="51" spans="1:17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1"/>
      <c r="N51" s="22"/>
      <c r="O51" s="22"/>
      <c r="P51" s="12"/>
      <c r="Q51" s="12"/>
    </row>
    <row r="52" spans="1:17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1"/>
      <c r="N52" s="22"/>
      <c r="O52" s="22"/>
      <c r="P52" s="12"/>
      <c r="Q52" s="12"/>
    </row>
    <row r="53" spans="1:17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1"/>
      <c r="N53" s="22"/>
      <c r="O53" s="22"/>
      <c r="P53" s="12"/>
      <c r="Q53" s="12"/>
    </row>
    <row r="54" spans="1:17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1"/>
      <c r="N54" s="22"/>
      <c r="O54" s="22"/>
      <c r="P54" s="12"/>
      <c r="Q54" s="12"/>
    </row>
    <row r="55" spans="1:17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1"/>
      <c r="N55" s="22"/>
      <c r="O55" s="22"/>
      <c r="P55" s="12"/>
      <c r="Q55" s="12"/>
    </row>
    <row r="56" spans="1:17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1"/>
      <c r="N56" s="22"/>
      <c r="O56" s="22"/>
      <c r="P56" s="12"/>
      <c r="Q56" s="12"/>
    </row>
    <row r="57" spans="1:17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1"/>
      <c r="N57" s="22"/>
      <c r="O57" s="22"/>
      <c r="P57" s="12"/>
      <c r="Q57" s="12"/>
    </row>
    <row r="58" spans="1:17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1"/>
      <c r="N58" s="22"/>
      <c r="O58" s="22"/>
      <c r="P58" s="12"/>
      <c r="Q58" s="12"/>
    </row>
    <row r="59" spans="1:17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1"/>
      <c r="N59" s="22"/>
      <c r="O59" s="22"/>
      <c r="P59" s="12"/>
      <c r="Q59" s="12"/>
    </row>
    <row r="60" spans="1:17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1"/>
      <c r="N60" s="22"/>
      <c r="O60" s="22"/>
      <c r="P60" s="12"/>
      <c r="Q60" s="12"/>
    </row>
    <row r="61" spans="1:17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1"/>
      <c r="N61" s="22"/>
      <c r="O61" s="22"/>
      <c r="P61" s="12"/>
      <c r="Q61" s="12"/>
    </row>
    <row r="62" spans="1:17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1"/>
      <c r="N62" s="22"/>
      <c r="O62" s="22"/>
      <c r="P62" s="12"/>
      <c r="Q62" s="12"/>
    </row>
    <row r="63" spans="1:17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1"/>
      <c r="N63" s="22"/>
      <c r="O63" s="22"/>
      <c r="P63" s="12"/>
      <c r="Q63" s="12"/>
    </row>
    <row r="64" spans="1:17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1"/>
      <c r="N64" s="22"/>
      <c r="O64" s="22"/>
      <c r="P64" s="12"/>
      <c r="Q64" s="12"/>
    </row>
    <row r="65" spans="1:17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1"/>
      <c r="N65" s="22"/>
      <c r="O65" s="22"/>
      <c r="P65" s="12"/>
      <c r="Q65" s="12"/>
    </row>
    <row r="66" spans="1:17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1"/>
      <c r="N66" s="22"/>
      <c r="O66" s="22"/>
      <c r="P66" s="12"/>
      <c r="Q66" s="12"/>
    </row>
    <row r="67" spans="1:17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1"/>
      <c r="N67" s="22"/>
      <c r="O67" s="22"/>
      <c r="P67" s="12"/>
      <c r="Q67" s="12"/>
    </row>
    <row r="68" spans="1:17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1"/>
      <c r="N68" s="22"/>
      <c r="O68" s="22"/>
      <c r="P68" s="12"/>
      <c r="Q68" s="12"/>
    </row>
    <row r="69" spans="1:17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1"/>
      <c r="N69" s="22"/>
      <c r="O69" s="22"/>
      <c r="P69" s="12"/>
      <c r="Q69" s="12"/>
    </row>
    <row r="70" spans="1:17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1"/>
      <c r="N70" s="22"/>
      <c r="O70" s="22"/>
      <c r="P70" s="12"/>
      <c r="Q70" s="12"/>
    </row>
    <row r="71" spans="1:17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1"/>
      <c r="N71" s="22"/>
      <c r="O71" s="22"/>
      <c r="P71" s="12"/>
      <c r="Q71" s="12"/>
    </row>
    <row r="72" spans="1:17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1"/>
      <c r="N72" s="22"/>
      <c r="O72" s="22"/>
      <c r="P72" s="12"/>
      <c r="Q72" s="12"/>
    </row>
    <row r="73" spans="1:17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1"/>
      <c r="N73" s="22"/>
      <c r="O73" s="22"/>
      <c r="P73" s="12"/>
      <c r="Q73" s="12"/>
    </row>
    <row r="74" spans="1:17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1"/>
      <c r="N74" s="22"/>
      <c r="O74" s="22"/>
      <c r="P74" s="12"/>
      <c r="Q74" s="12"/>
    </row>
    <row r="75" spans="1:17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1"/>
      <c r="N75" s="22"/>
      <c r="O75" s="22"/>
      <c r="P75" s="12"/>
      <c r="Q75" s="12"/>
    </row>
    <row r="76" spans="1:17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1"/>
      <c r="N76" s="22"/>
      <c r="O76" s="22"/>
      <c r="P76" s="12"/>
      <c r="Q76" s="12"/>
    </row>
    <row r="77" spans="1:17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1"/>
      <c r="N77" s="22"/>
      <c r="O77" s="22"/>
      <c r="P77" s="12"/>
      <c r="Q77" s="12"/>
    </row>
    <row r="78" spans="1:17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1"/>
      <c r="N78" s="22"/>
      <c r="O78" s="22"/>
      <c r="P78" s="12"/>
      <c r="Q78" s="12"/>
    </row>
    <row r="79" spans="1:17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1"/>
      <c r="N79" s="22"/>
      <c r="O79" s="22"/>
      <c r="P79" s="12"/>
      <c r="Q79" s="12"/>
    </row>
    <row r="80" spans="1:17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1"/>
      <c r="N80" s="22"/>
      <c r="O80" s="22"/>
      <c r="P80" s="12"/>
      <c r="Q80" s="12"/>
    </row>
    <row r="81" spans="1:17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1"/>
      <c r="N81" s="22"/>
      <c r="O81" s="22"/>
      <c r="P81" s="12"/>
      <c r="Q81" s="12"/>
    </row>
    <row r="82" spans="1:17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1"/>
      <c r="N82" s="22"/>
      <c r="O82" s="22"/>
      <c r="P82" s="12"/>
      <c r="Q82" s="12"/>
    </row>
    <row r="83" spans="1:17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1"/>
      <c r="N83" s="22"/>
      <c r="O83" s="22"/>
      <c r="P83" s="12"/>
      <c r="Q83" s="12"/>
    </row>
    <row r="84" spans="1:17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1"/>
      <c r="N84" s="22"/>
      <c r="O84" s="22"/>
      <c r="P84" s="12"/>
      <c r="Q84" s="12"/>
    </row>
    <row r="85" spans="1:17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1"/>
      <c r="N85" s="22"/>
      <c r="O85" s="22"/>
      <c r="P85" s="12"/>
      <c r="Q85" s="12"/>
    </row>
    <row r="86" spans="1:17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1"/>
      <c r="N86" s="22"/>
      <c r="O86" s="22"/>
      <c r="P86" s="12"/>
      <c r="Q86" s="12"/>
    </row>
    <row r="87" spans="1:17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1"/>
      <c r="N87" s="22"/>
      <c r="O87" s="22"/>
      <c r="P87" s="12"/>
      <c r="Q87" s="12"/>
    </row>
    <row r="88" spans="1:17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1"/>
      <c r="N88" s="22"/>
      <c r="O88" s="22"/>
      <c r="P88" s="12"/>
      <c r="Q88" s="12"/>
    </row>
    <row r="89" spans="1:17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1"/>
      <c r="N89" s="22"/>
      <c r="O89" s="22"/>
      <c r="P89" s="12"/>
      <c r="Q89" s="12"/>
    </row>
    <row r="90" spans="1:17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1"/>
      <c r="N90" s="22"/>
      <c r="O90" s="22"/>
      <c r="P90" s="12"/>
      <c r="Q90" s="12"/>
    </row>
    <row r="91" spans="1:17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1"/>
      <c r="N91" s="22"/>
      <c r="O91" s="22"/>
      <c r="P91" s="12"/>
      <c r="Q91" s="12"/>
    </row>
    <row r="92" spans="1:17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1"/>
      <c r="N92" s="22"/>
      <c r="O92" s="22"/>
      <c r="P92" s="12"/>
      <c r="Q92" s="12"/>
    </row>
    <row r="93" spans="1:17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1"/>
      <c r="N93" s="22"/>
      <c r="O93" s="22"/>
      <c r="P93" s="12"/>
      <c r="Q93" s="12"/>
    </row>
    <row r="94" spans="1:17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1"/>
      <c r="N94" s="22"/>
      <c r="O94" s="22"/>
      <c r="P94" s="12"/>
      <c r="Q94" s="12"/>
    </row>
    <row r="95" spans="1:17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1"/>
      <c r="N95" s="22"/>
      <c r="O95" s="22"/>
      <c r="P95" s="12"/>
      <c r="Q95" s="12"/>
    </row>
    <row r="96" spans="1:17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1"/>
      <c r="N96" s="22"/>
      <c r="O96" s="22"/>
      <c r="P96" s="12"/>
      <c r="Q96" s="12"/>
    </row>
    <row r="97" spans="1:17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1"/>
      <c r="N97" s="22"/>
      <c r="O97" s="22"/>
      <c r="P97" s="12"/>
      <c r="Q97" s="12"/>
    </row>
    <row r="98" spans="1:17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1"/>
      <c r="N98" s="22"/>
      <c r="O98" s="22"/>
      <c r="P98" s="12"/>
      <c r="Q98" s="12"/>
    </row>
    <row r="99" spans="1:17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1"/>
      <c r="N99" s="22"/>
      <c r="O99" s="22"/>
      <c r="P99" s="12"/>
      <c r="Q99" s="12"/>
    </row>
    <row r="100" spans="1:17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1"/>
      <c r="N100" s="22"/>
      <c r="O100" s="22"/>
      <c r="P100" s="12"/>
      <c r="Q100" s="12"/>
    </row>
    <row r="101" spans="1:17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1"/>
      <c r="N101" s="22"/>
      <c r="O101" s="22"/>
      <c r="P101" s="12"/>
      <c r="Q101" s="12"/>
    </row>
    <row r="102" spans="1:17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1"/>
      <c r="N102" s="22"/>
      <c r="O102" s="22"/>
      <c r="P102" s="12"/>
      <c r="Q102" s="12"/>
    </row>
    <row r="103" spans="1:17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1"/>
      <c r="N103" s="22"/>
      <c r="O103" s="22"/>
      <c r="P103" s="12"/>
      <c r="Q103" s="12"/>
    </row>
    <row r="104" spans="1:17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1"/>
      <c r="N104" s="22"/>
      <c r="O104" s="22"/>
      <c r="P104" s="12"/>
      <c r="Q104" s="12"/>
    </row>
    <row r="105" spans="1:17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1"/>
      <c r="N105" s="22"/>
      <c r="O105" s="22"/>
      <c r="P105" s="12"/>
      <c r="Q105" s="12"/>
    </row>
    <row r="106" spans="1:17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1"/>
      <c r="N106" s="22"/>
      <c r="O106" s="22"/>
      <c r="P106" s="12"/>
      <c r="Q106" s="12"/>
    </row>
    <row r="107" spans="1:17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1"/>
      <c r="N107" s="22"/>
      <c r="O107" s="22"/>
      <c r="P107" s="12"/>
      <c r="Q107" s="12"/>
    </row>
    <row r="108" spans="1:17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1"/>
      <c r="N108" s="22"/>
      <c r="O108" s="22"/>
      <c r="P108" s="12"/>
      <c r="Q108" s="12"/>
    </row>
    <row r="109" spans="1:17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1"/>
      <c r="N109" s="22"/>
      <c r="O109" s="22"/>
      <c r="P109" s="12"/>
      <c r="Q109" s="12"/>
    </row>
    <row r="110" spans="1:17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1"/>
      <c r="N110" s="22"/>
      <c r="O110" s="22"/>
      <c r="P110" s="12"/>
      <c r="Q110" s="12"/>
    </row>
    <row r="111" spans="1:17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1"/>
      <c r="N111" s="22"/>
      <c r="O111" s="22"/>
      <c r="P111" s="12"/>
      <c r="Q111" s="12"/>
    </row>
    <row r="112" spans="1:17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1"/>
      <c r="N112" s="22"/>
      <c r="O112" s="22"/>
      <c r="P112" s="12"/>
      <c r="Q112" s="12"/>
    </row>
    <row r="113" spans="1:17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1"/>
      <c r="N113" s="22"/>
      <c r="O113" s="22"/>
      <c r="P113" s="12"/>
      <c r="Q113" s="12"/>
    </row>
    <row r="114" spans="1:17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1"/>
      <c r="N114" s="22"/>
      <c r="O114" s="22"/>
      <c r="P114" s="12"/>
      <c r="Q114" s="12"/>
    </row>
    <row r="115" spans="1:17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1"/>
      <c r="N115" s="22"/>
      <c r="O115" s="22"/>
      <c r="P115" s="12"/>
      <c r="Q115" s="12"/>
    </row>
    <row r="116" spans="1:17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1"/>
      <c r="N116" s="22"/>
      <c r="O116" s="22"/>
      <c r="P116" s="12"/>
      <c r="Q116" s="12"/>
    </row>
    <row r="117" spans="1:17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1"/>
      <c r="N117" s="22"/>
      <c r="O117" s="22"/>
      <c r="P117" s="12"/>
      <c r="Q117" s="12"/>
    </row>
    <row r="118" spans="1:17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1"/>
      <c r="N118" s="22"/>
      <c r="O118" s="22"/>
      <c r="P118" s="12"/>
      <c r="Q118" s="12"/>
    </row>
    <row r="119" spans="1:17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1"/>
      <c r="N119" s="22"/>
      <c r="O119" s="22"/>
      <c r="P119" s="12"/>
      <c r="Q119" s="12"/>
    </row>
    <row r="120" spans="1:17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1"/>
      <c r="N120" s="22"/>
      <c r="O120" s="22"/>
      <c r="P120" s="12"/>
      <c r="Q120" s="12"/>
    </row>
    <row r="121" spans="1:17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1"/>
      <c r="N121" s="22"/>
      <c r="O121" s="22"/>
      <c r="P121" s="12"/>
      <c r="Q121" s="12"/>
    </row>
    <row r="122" spans="1:17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1"/>
      <c r="N122" s="22"/>
      <c r="O122" s="22"/>
      <c r="P122" s="12"/>
      <c r="Q122" s="12"/>
    </row>
    <row r="123" spans="1:17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1"/>
      <c r="N123" s="22"/>
      <c r="O123" s="22"/>
      <c r="P123" s="12"/>
      <c r="Q123" s="12"/>
    </row>
    <row r="124" spans="1:17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1"/>
      <c r="N124" s="22"/>
      <c r="O124" s="22"/>
      <c r="P124" s="12"/>
      <c r="Q124" s="12"/>
    </row>
    <row r="125" spans="1:17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1"/>
      <c r="N125" s="22"/>
      <c r="O125" s="22"/>
      <c r="P125" s="12"/>
      <c r="Q125" s="12"/>
    </row>
    <row r="126" spans="1:17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1"/>
      <c r="N126" s="22"/>
      <c r="O126" s="22"/>
      <c r="P126" s="12"/>
      <c r="Q126" s="12"/>
    </row>
    <row r="127" spans="1:17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1"/>
      <c r="N127" s="22"/>
      <c r="O127" s="22"/>
      <c r="P127" s="12"/>
      <c r="Q127" s="12"/>
    </row>
    <row r="128" spans="1:17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1"/>
      <c r="N128" s="22"/>
      <c r="O128" s="22"/>
      <c r="P128" s="12"/>
      <c r="Q128" s="12"/>
    </row>
    <row r="129" spans="1:17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1"/>
      <c r="N129" s="22"/>
      <c r="O129" s="22"/>
      <c r="P129" s="12"/>
      <c r="Q129" s="12"/>
    </row>
    <row r="130" spans="1:17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1"/>
      <c r="N130" s="22"/>
      <c r="O130" s="22"/>
      <c r="P130" s="12"/>
      <c r="Q130" s="12"/>
    </row>
    <row r="131" spans="1:17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1"/>
      <c r="N131" s="22"/>
      <c r="O131" s="22"/>
      <c r="P131" s="12"/>
      <c r="Q131" s="12"/>
    </row>
    <row r="132" spans="1:17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1"/>
      <c r="N132" s="22"/>
      <c r="O132" s="22"/>
      <c r="P132" s="12"/>
      <c r="Q132" s="12"/>
    </row>
    <row r="133" spans="1:17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1"/>
      <c r="N133" s="22"/>
      <c r="O133" s="22"/>
      <c r="P133" s="12"/>
      <c r="Q133" s="12"/>
    </row>
    <row r="134" spans="1:17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1"/>
      <c r="N134" s="22"/>
      <c r="O134" s="22"/>
      <c r="P134" s="12"/>
      <c r="Q134" s="12"/>
    </row>
    <row r="135" spans="1:17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1"/>
      <c r="N135" s="22"/>
      <c r="O135" s="22"/>
      <c r="P135" s="12"/>
      <c r="Q135" s="12"/>
    </row>
    <row r="136" spans="1:17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1"/>
      <c r="N136" s="22"/>
      <c r="O136" s="22"/>
      <c r="P136" s="12"/>
      <c r="Q136" s="12"/>
    </row>
    <row r="137" spans="1:17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1"/>
      <c r="N137" s="22"/>
      <c r="O137" s="22"/>
      <c r="P137" s="12"/>
      <c r="Q137" s="12"/>
    </row>
    <row r="138" spans="1:17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1"/>
      <c r="N138" s="22"/>
      <c r="O138" s="22"/>
      <c r="P138" s="12"/>
      <c r="Q138" s="12"/>
    </row>
    <row r="139" spans="1:17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1"/>
      <c r="N139" s="22"/>
      <c r="O139" s="22"/>
      <c r="P139" s="12"/>
      <c r="Q139" s="12"/>
    </row>
    <row r="140" spans="1:17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1"/>
      <c r="N140" s="22"/>
      <c r="O140" s="22"/>
      <c r="P140" s="12"/>
      <c r="Q140" s="12"/>
    </row>
    <row r="141" spans="1:17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1"/>
      <c r="N141" s="22"/>
      <c r="O141" s="22"/>
      <c r="P141" s="12"/>
      <c r="Q141" s="12"/>
    </row>
    <row r="142" spans="1:17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1"/>
      <c r="N142" s="22"/>
      <c r="O142" s="22"/>
      <c r="P142" s="12"/>
      <c r="Q142" s="12"/>
    </row>
    <row r="143" spans="1:17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1"/>
      <c r="N143" s="22"/>
      <c r="O143" s="22"/>
      <c r="P143" s="12"/>
      <c r="Q143" s="12"/>
    </row>
    <row r="144" spans="1:17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1"/>
      <c r="N144" s="22"/>
      <c r="O144" s="22"/>
      <c r="P144" s="12"/>
      <c r="Q144" s="12"/>
    </row>
    <row r="145" spans="1:17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1"/>
      <c r="N145" s="22"/>
      <c r="O145" s="22"/>
      <c r="P145" s="12"/>
      <c r="Q145" s="12"/>
    </row>
    <row r="146" spans="1:17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1"/>
      <c r="N146" s="22"/>
      <c r="O146" s="22"/>
      <c r="P146" s="12"/>
      <c r="Q146" s="12"/>
    </row>
    <row r="147" spans="1:17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1"/>
      <c r="N147" s="22"/>
      <c r="O147" s="22"/>
      <c r="P147" s="12"/>
      <c r="Q147" s="12"/>
    </row>
    <row r="148" spans="1:17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1"/>
      <c r="N148" s="22"/>
      <c r="O148" s="22"/>
      <c r="P148" s="12"/>
      <c r="Q148" s="12"/>
    </row>
    <row r="149" spans="1:17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1"/>
      <c r="N149" s="22"/>
      <c r="O149" s="22"/>
      <c r="P149" s="12"/>
      <c r="Q149" s="12"/>
    </row>
    <row r="150" spans="1:17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1"/>
      <c r="N150" s="22"/>
      <c r="O150" s="22"/>
      <c r="P150" s="12"/>
      <c r="Q150" s="12"/>
    </row>
    <row r="151" spans="1:17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1"/>
      <c r="N151" s="22"/>
      <c r="O151" s="22"/>
      <c r="P151" s="12"/>
      <c r="Q151" s="12"/>
    </row>
    <row r="152" spans="1:17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1"/>
      <c r="N152" s="22"/>
      <c r="O152" s="22"/>
      <c r="P152" s="12"/>
      <c r="Q152" s="12"/>
    </row>
    <row r="153" spans="1:17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1"/>
      <c r="N153" s="22"/>
      <c r="O153" s="22"/>
      <c r="P153" s="12"/>
      <c r="Q153" s="12"/>
    </row>
    <row r="154" spans="1:17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1"/>
      <c r="N154" s="22"/>
      <c r="O154" s="22"/>
      <c r="P154" s="12"/>
      <c r="Q154" s="12"/>
    </row>
    <row r="155" spans="1:17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1"/>
      <c r="N155" s="22"/>
      <c r="O155" s="22"/>
      <c r="P155" s="12"/>
      <c r="Q155" s="12"/>
    </row>
    <row r="156" spans="1:17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1"/>
      <c r="N156" s="22"/>
      <c r="O156" s="22"/>
      <c r="P156" s="12"/>
      <c r="Q156" s="12"/>
    </row>
    <row r="157" spans="1:17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1"/>
      <c r="N157" s="22"/>
      <c r="O157" s="22"/>
      <c r="P157" s="12"/>
      <c r="Q157" s="12"/>
    </row>
    <row r="158" spans="1:17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1"/>
      <c r="N158" s="22"/>
      <c r="O158" s="22"/>
      <c r="P158" s="12"/>
      <c r="Q158" s="12"/>
    </row>
    <row r="159" spans="1:17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1"/>
      <c r="N159" s="22"/>
      <c r="O159" s="22"/>
      <c r="P159" s="12"/>
      <c r="Q159" s="12"/>
    </row>
    <row r="160" spans="1:17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1"/>
      <c r="N160" s="22"/>
      <c r="O160" s="22"/>
      <c r="P160" s="12"/>
      <c r="Q160" s="12"/>
    </row>
    <row r="161" spans="1:17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1"/>
      <c r="N161" s="22"/>
      <c r="O161" s="22"/>
      <c r="P161" s="12"/>
      <c r="Q161" s="12"/>
    </row>
    <row r="162" spans="1:17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1"/>
      <c r="N162" s="22"/>
      <c r="O162" s="22"/>
      <c r="P162" s="12"/>
      <c r="Q162" s="12"/>
    </row>
    <row r="163" spans="1:17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1"/>
      <c r="N163" s="22"/>
      <c r="O163" s="22"/>
      <c r="P163" s="12"/>
      <c r="Q163" s="12"/>
    </row>
    <row r="164" spans="1:17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1"/>
      <c r="N164" s="22"/>
      <c r="O164" s="22"/>
      <c r="P164" s="12"/>
      <c r="Q164" s="12"/>
    </row>
    <row r="165" spans="1:17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1"/>
      <c r="N165" s="22"/>
      <c r="O165" s="22"/>
      <c r="P165" s="12"/>
      <c r="Q165" s="12"/>
    </row>
    <row r="166" spans="1:17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1"/>
      <c r="N166" s="22"/>
      <c r="O166" s="22"/>
      <c r="P166" s="12"/>
      <c r="Q166" s="12"/>
    </row>
    <row r="167" spans="1:17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1"/>
      <c r="N167" s="22"/>
      <c r="O167" s="22"/>
      <c r="P167" s="12"/>
      <c r="Q167" s="12"/>
    </row>
    <row r="168" spans="1:17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1"/>
      <c r="N168" s="22"/>
      <c r="O168" s="22"/>
      <c r="P168" s="12"/>
      <c r="Q168" s="12"/>
    </row>
    <row r="169" spans="1:17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1"/>
      <c r="N169" s="22"/>
      <c r="O169" s="22"/>
      <c r="P169" s="12"/>
      <c r="Q169" s="12"/>
    </row>
    <row r="170" spans="1:17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1"/>
      <c r="N170" s="22"/>
      <c r="O170" s="22"/>
      <c r="P170" s="12"/>
      <c r="Q170" s="12"/>
    </row>
    <row r="171" spans="1:17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1"/>
      <c r="N171" s="22"/>
      <c r="O171" s="22"/>
      <c r="P171" s="12"/>
      <c r="Q171" s="12"/>
    </row>
    <row r="172" spans="1:17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1"/>
      <c r="N172" s="22"/>
      <c r="O172" s="22"/>
      <c r="P172" s="12"/>
      <c r="Q172" s="12"/>
    </row>
    <row r="173" spans="1:17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1"/>
      <c r="N173" s="22"/>
      <c r="O173" s="22"/>
      <c r="P173" s="12"/>
      <c r="Q173" s="12"/>
    </row>
    <row r="174" spans="1:17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1"/>
      <c r="N174" s="22"/>
      <c r="O174" s="22"/>
      <c r="P174" s="12"/>
      <c r="Q174" s="12"/>
    </row>
    <row r="175" spans="1:17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1"/>
      <c r="N175" s="22"/>
      <c r="O175" s="22"/>
      <c r="P175" s="12"/>
      <c r="Q175" s="12"/>
    </row>
    <row r="176" spans="1:17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1"/>
      <c r="N176" s="22"/>
      <c r="O176" s="22"/>
      <c r="P176" s="12"/>
      <c r="Q176" s="12"/>
    </row>
    <row r="177" spans="1:17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1"/>
      <c r="N177" s="22"/>
      <c r="O177" s="22"/>
      <c r="P177" s="12"/>
      <c r="Q177" s="12"/>
    </row>
    <row r="178" spans="1:17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1"/>
      <c r="N178" s="22"/>
      <c r="O178" s="22"/>
      <c r="P178" s="12"/>
      <c r="Q178" s="12"/>
    </row>
    <row r="179" spans="1:17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1"/>
      <c r="N179" s="22"/>
      <c r="O179" s="22"/>
      <c r="P179" s="12"/>
      <c r="Q179" s="12"/>
    </row>
    <row r="180" spans="1:17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1"/>
      <c r="N180" s="22"/>
      <c r="O180" s="22"/>
      <c r="P180" s="12"/>
      <c r="Q180" s="12"/>
    </row>
    <row r="181" spans="1:17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1"/>
      <c r="N181" s="22"/>
      <c r="O181" s="22"/>
      <c r="P181" s="12"/>
      <c r="Q181" s="12"/>
    </row>
    <row r="182" spans="1:17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1"/>
      <c r="N182" s="22"/>
      <c r="O182" s="22"/>
      <c r="P182" s="12"/>
      <c r="Q182" s="12"/>
    </row>
    <row r="183" spans="1:17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1"/>
      <c r="N183" s="22"/>
      <c r="O183" s="22"/>
      <c r="P183" s="12"/>
      <c r="Q183" s="12"/>
    </row>
    <row r="184" spans="1:17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1"/>
      <c r="N184" s="22"/>
      <c r="O184" s="22"/>
      <c r="P184" s="12"/>
      <c r="Q184" s="12"/>
    </row>
    <row r="185" spans="1:17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1"/>
      <c r="N185" s="22"/>
      <c r="O185" s="22"/>
      <c r="P185" s="12"/>
      <c r="Q185" s="12"/>
    </row>
    <row r="186" spans="1:17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1"/>
      <c r="N186" s="22"/>
      <c r="O186" s="22"/>
      <c r="P186" s="12"/>
      <c r="Q186" s="12"/>
    </row>
    <row r="187" spans="1:17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1"/>
      <c r="N187" s="22"/>
      <c r="O187" s="22"/>
      <c r="P187" s="12"/>
      <c r="Q187" s="12"/>
    </row>
    <row r="188" spans="1:17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1"/>
      <c r="N188" s="22"/>
      <c r="O188" s="22"/>
      <c r="P188" s="12"/>
      <c r="Q188" s="12"/>
    </row>
    <row r="189" spans="1:17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1"/>
      <c r="N189" s="22"/>
      <c r="O189" s="22"/>
      <c r="P189" s="12"/>
      <c r="Q189" s="12"/>
    </row>
    <row r="190" spans="1:17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1"/>
      <c r="N190" s="22"/>
      <c r="O190" s="22"/>
      <c r="P190" s="12"/>
      <c r="Q190" s="12"/>
    </row>
    <row r="191" spans="1:17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1"/>
      <c r="N191" s="22"/>
      <c r="O191" s="22"/>
      <c r="P191" s="12"/>
      <c r="Q191" s="12"/>
    </row>
    <row r="192" spans="1:17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1"/>
      <c r="N192" s="22"/>
      <c r="O192" s="22"/>
      <c r="P192" s="12"/>
      <c r="Q192" s="12"/>
    </row>
    <row r="193" spans="1:17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1"/>
      <c r="N193" s="22"/>
      <c r="O193" s="22"/>
      <c r="P193" s="12"/>
      <c r="Q193" s="12"/>
    </row>
    <row r="194" spans="1:17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1"/>
      <c r="N194" s="22"/>
      <c r="O194" s="22"/>
      <c r="P194" s="12"/>
      <c r="Q194" s="12"/>
    </row>
    <row r="195" spans="1:17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1"/>
      <c r="N195" s="22"/>
      <c r="O195" s="22"/>
      <c r="P195" s="12"/>
      <c r="Q195" s="12"/>
    </row>
    <row r="196" spans="1:17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1"/>
      <c r="N196" s="22"/>
      <c r="O196" s="22"/>
      <c r="P196" s="12"/>
      <c r="Q196" s="12"/>
    </row>
    <row r="197" spans="1:17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1"/>
      <c r="N197" s="22"/>
      <c r="O197" s="22"/>
      <c r="P197" s="12"/>
      <c r="Q197" s="12"/>
    </row>
    <row r="198" spans="1:17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1"/>
      <c r="N198" s="22"/>
      <c r="O198" s="22"/>
      <c r="P198" s="12"/>
      <c r="Q198" s="12"/>
    </row>
    <row r="199" spans="1:17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1"/>
      <c r="N199" s="22"/>
      <c r="O199" s="22"/>
      <c r="P199" s="12"/>
      <c r="Q199" s="12"/>
    </row>
    <row r="200" spans="1:17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1"/>
      <c r="N200" s="22"/>
      <c r="O200" s="22"/>
      <c r="P200" s="12"/>
      <c r="Q200" s="12"/>
    </row>
    <row r="201" spans="1:17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1"/>
      <c r="N201" s="22"/>
      <c r="O201" s="22"/>
      <c r="P201" s="12"/>
      <c r="Q201" s="12"/>
    </row>
    <row r="202" spans="1:17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1"/>
      <c r="N202" s="22"/>
      <c r="O202" s="22"/>
      <c r="P202" s="12"/>
      <c r="Q202" s="12"/>
    </row>
    <row r="203" spans="1:17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1"/>
      <c r="N203" s="22"/>
      <c r="O203" s="22"/>
      <c r="P203" s="12"/>
      <c r="Q203" s="12"/>
    </row>
    <row r="204" spans="1:17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1"/>
      <c r="N204" s="22"/>
      <c r="O204" s="22"/>
      <c r="P204" s="12"/>
      <c r="Q204" s="12"/>
    </row>
    <row r="205" spans="1:17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1"/>
      <c r="N205" s="22"/>
      <c r="O205" s="22"/>
      <c r="P205" s="12"/>
      <c r="Q205" s="12"/>
    </row>
    <row r="206" spans="1:17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1"/>
      <c r="N206" s="22"/>
      <c r="O206" s="22"/>
      <c r="P206" s="12"/>
      <c r="Q206" s="12"/>
    </row>
    <row r="207" spans="1:17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1"/>
      <c r="N207" s="22"/>
      <c r="O207" s="22"/>
      <c r="P207" s="12"/>
      <c r="Q207" s="12"/>
    </row>
    <row r="208" spans="1:17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1"/>
      <c r="N208" s="22"/>
      <c r="O208" s="22"/>
      <c r="P208" s="12"/>
      <c r="Q208" s="12"/>
    </row>
    <row r="209" spans="1:17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1"/>
      <c r="N209" s="22"/>
      <c r="O209" s="22"/>
      <c r="P209" s="12"/>
      <c r="Q209" s="12"/>
    </row>
    <row r="210" spans="1:17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1"/>
      <c r="N210" s="22"/>
      <c r="O210" s="22"/>
      <c r="P210" s="12"/>
      <c r="Q210" s="12"/>
    </row>
    <row r="211" spans="1:17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1"/>
      <c r="N211" s="22"/>
      <c r="O211" s="22"/>
      <c r="P211" s="12"/>
      <c r="Q211" s="12"/>
    </row>
    <row r="212" spans="1:17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1"/>
      <c r="N212" s="22"/>
      <c r="O212" s="22"/>
      <c r="P212" s="12"/>
      <c r="Q212" s="12"/>
    </row>
    <row r="213" spans="1:17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1"/>
      <c r="N213" s="22"/>
      <c r="O213" s="22"/>
      <c r="P213" s="12"/>
      <c r="Q213" s="12"/>
    </row>
    <row r="214" spans="1:17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1"/>
      <c r="N214" s="22"/>
      <c r="O214" s="22"/>
      <c r="P214" s="12"/>
      <c r="Q214" s="12"/>
    </row>
    <row r="215" spans="1:17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1"/>
      <c r="N215" s="22"/>
      <c r="O215" s="22"/>
      <c r="P215" s="12"/>
      <c r="Q215" s="12"/>
    </row>
    <row r="216" spans="1:17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1"/>
      <c r="N216" s="22"/>
      <c r="O216" s="22"/>
      <c r="P216" s="12"/>
      <c r="Q216" s="12"/>
    </row>
    <row r="217" spans="1:17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1"/>
      <c r="N217" s="22"/>
      <c r="O217" s="22"/>
      <c r="P217" s="12"/>
      <c r="Q217" s="12"/>
    </row>
    <row r="218" spans="1:17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1"/>
      <c r="N218" s="22"/>
      <c r="O218" s="22"/>
      <c r="P218" s="12"/>
      <c r="Q218" s="12"/>
    </row>
    <row r="219" spans="1:17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1"/>
      <c r="N219" s="22"/>
      <c r="O219" s="22"/>
      <c r="P219" s="12"/>
      <c r="Q219" s="12"/>
    </row>
    <row r="220" spans="1:17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1"/>
      <c r="N220" s="22"/>
      <c r="O220" s="22"/>
      <c r="P220" s="12"/>
      <c r="Q220" s="12"/>
    </row>
    <row r="221" spans="1:17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1"/>
      <c r="N221" s="22"/>
      <c r="O221" s="22"/>
      <c r="P221" s="12"/>
      <c r="Q221" s="12"/>
    </row>
    <row r="222" spans="1:17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1"/>
      <c r="N222" s="22"/>
      <c r="O222" s="22"/>
      <c r="P222" s="12"/>
      <c r="Q222" s="12"/>
    </row>
    <row r="223" spans="1:17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1"/>
      <c r="N223" s="22"/>
      <c r="O223" s="22"/>
      <c r="P223" s="12"/>
      <c r="Q223" s="12"/>
    </row>
    <row r="224" spans="1:17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1"/>
      <c r="N224" s="22"/>
      <c r="O224" s="22"/>
      <c r="P224" s="12"/>
      <c r="Q224" s="12"/>
    </row>
    <row r="225" spans="1:17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1"/>
      <c r="N225" s="22"/>
      <c r="O225" s="22"/>
      <c r="P225" s="12"/>
      <c r="Q225" s="12"/>
    </row>
    <row r="226" spans="1:17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1"/>
      <c r="N226" s="22"/>
      <c r="O226" s="22"/>
      <c r="P226" s="12"/>
      <c r="Q226" s="12"/>
    </row>
    <row r="227" spans="1:17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1"/>
      <c r="N227" s="22"/>
      <c r="O227" s="22"/>
      <c r="P227" s="12"/>
      <c r="Q227" s="12"/>
    </row>
    <row r="228" spans="1:17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1"/>
      <c r="N228" s="22"/>
      <c r="O228" s="22"/>
      <c r="P228" s="12"/>
      <c r="Q228" s="12"/>
    </row>
    <row r="229" spans="1:17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1"/>
      <c r="N229" s="22"/>
      <c r="O229" s="22"/>
      <c r="P229" s="12"/>
      <c r="Q229" s="12"/>
    </row>
    <row r="230" spans="1:17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1"/>
      <c r="N230" s="22"/>
      <c r="O230" s="22"/>
      <c r="P230" s="12"/>
      <c r="Q230" s="12"/>
    </row>
    <row r="231" spans="1:17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1"/>
      <c r="N231" s="22"/>
      <c r="O231" s="22"/>
      <c r="P231" s="12"/>
      <c r="Q231" s="12"/>
    </row>
    <row r="232" spans="1:17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1"/>
      <c r="N232" s="22"/>
      <c r="O232" s="22"/>
      <c r="P232" s="12"/>
      <c r="Q232" s="12"/>
    </row>
    <row r="233" spans="1:17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1"/>
      <c r="N233" s="22"/>
      <c r="O233" s="22"/>
      <c r="P233" s="12"/>
      <c r="Q233" s="12"/>
    </row>
    <row r="234" spans="1:17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1"/>
      <c r="N234" s="22"/>
      <c r="O234" s="22"/>
      <c r="P234" s="12"/>
      <c r="Q234" s="12"/>
    </row>
    <row r="235" spans="1:17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1"/>
      <c r="N235" s="22"/>
      <c r="O235" s="22"/>
      <c r="P235" s="12"/>
      <c r="Q235" s="12"/>
    </row>
    <row r="236" spans="1:17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1"/>
      <c r="N236" s="22"/>
      <c r="O236" s="22"/>
      <c r="P236" s="12"/>
      <c r="Q236" s="12"/>
    </row>
    <row r="237" spans="1:17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1"/>
      <c r="N237" s="22"/>
      <c r="O237" s="22"/>
      <c r="P237" s="12"/>
      <c r="Q237" s="12"/>
    </row>
    <row r="238" spans="1:17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1"/>
      <c r="N238" s="22"/>
      <c r="O238" s="22"/>
      <c r="P238" s="12"/>
      <c r="Q238" s="12"/>
    </row>
    <row r="239" spans="1:17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1"/>
      <c r="N239" s="22"/>
      <c r="O239" s="22"/>
      <c r="P239" s="12"/>
      <c r="Q239" s="12"/>
    </row>
    <row r="240" spans="1:17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1"/>
      <c r="N240" s="22"/>
      <c r="O240" s="22"/>
      <c r="P240" s="12"/>
      <c r="Q240" s="12"/>
    </row>
    <row r="241" spans="1:17" ht="15.75" customHeight="1" x14ac:dyDescent="0.4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1"/>
      <c r="N241" s="22"/>
      <c r="O241" s="22"/>
      <c r="P241" s="12"/>
      <c r="Q241" s="12"/>
    </row>
    <row r="242" spans="1:17" ht="15.75" customHeight="1" x14ac:dyDescent="0.4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1"/>
      <c r="N242" s="22"/>
      <c r="O242" s="22"/>
      <c r="P242" s="12"/>
      <c r="Q242" s="12"/>
    </row>
    <row r="243" spans="1:17" ht="15.75" customHeight="1" x14ac:dyDescent="0.4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1"/>
      <c r="N243" s="22"/>
      <c r="O243" s="22"/>
      <c r="P243" s="12"/>
      <c r="Q243" s="12"/>
    </row>
    <row r="244" spans="1:17" ht="15.75" customHeight="1" x14ac:dyDescent="0.4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1"/>
      <c r="N244" s="22"/>
      <c r="O244" s="22"/>
      <c r="P244" s="12"/>
      <c r="Q244" s="12"/>
    </row>
    <row r="245" spans="1:17" ht="15.75" customHeight="1" x14ac:dyDescent="0.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21"/>
      <c r="N245" s="22"/>
      <c r="O245" s="22"/>
      <c r="P245" s="12"/>
      <c r="Q245" s="12"/>
    </row>
    <row r="246" spans="1:17" ht="15.75" customHeight="1" x14ac:dyDescent="0.45"/>
    <row r="247" spans="1:17" ht="15.75" customHeight="1" x14ac:dyDescent="0.45"/>
    <row r="248" spans="1:17" ht="15.75" customHeight="1" x14ac:dyDescent="0.45"/>
    <row r="249" spans="1:17" ht="15.75" customHeight="1" x14ac:dyDescent="0.45"/>
    <row r="250" spans="1:17" ht="15.75" customHeight="1" x14ac:dyDescent="0.45"/>
    <row r="251" spans="1:17" ht="15.75" customHeight="1" x14ac:dyDescent="0.45"/>
    <row r="252" spans="1:17" ht="15.75" customHeight="1" x14ac:dyDescent="0.45"/>
    <row r="253" spans="1:17" ht="15.75" customHeight="1" x14ac:dyDescent="0.45"/>
    <row r="254" spans="1:17" ht="15.75" customHeight="1" x14ac:dyDescent="0.45"/>
    <row r="255" spans="1:17" ht="15.75" customHeight="1" x14ac:dyDescent="0.45"/>
    <row r="256" spans="1:17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</sheetData>
  <mergeCells count="121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N14:P14"/>
    <mergeCell ref="N15:P15"/>
    <mergeCell ref="N16:P16"/>
    <mergeCell ref="N17:P17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G28:I28"/>
    <mergeCell ref="J28:L28"/>
    <mergeCell ref="N28:P28"/>
    <mergeCell ref="B26:F26"/>
    <mergeCell ref="G26:I26"/>
    <mergeCell ref="J26:L26"/>
    <mergeCell ref="B27:F27"/>
    <mergeCell ref="G27:I27"/>
    <mergeCell ref="J27:L27"/>
    <mergeCell ref="B28:F28"/>
    <mergeCell ref="B29:F29"/>
    <mergeCell ref="G29:I29"/>
    <mergeCell ref="J29:L29"/>
    <mergeCell ref="N29:P29"/>
    <mergeCell ref="G30:I30"/>
    <mergeCell ref="J30:L30"/>
    <mergeCell ref="N30:P30"/>
    <mergeCell ref="B30:F30"/>
    <mergeCell ref="B31:F31"/>
    <mergeCell ref="G31:I31"/>
    <mergeCell ref="J31:L31"/>
    <mergeCell ref="N31:P31"/>
    <mergeCell ref="A32:L32"/>
    <mergeCell ref="N32:P32"/>
    <mergeCell ref="A33:P33"/>
    <mergeCell ref="A34:P34"/>
    <mergeCell ref="A35:P35"/>
    <mergeCell ref="A36:P36"/>
    <mergeCell ref="A37:P37"/>
    <mergeCell ref="A38:P39"/>
    <mergeCell ref="G40:L40"/>
    <mergeCell ref="G43:L43"/>
    <mergeCell ref="G44:L44"/>
    <mergeCell ref="F45:L45"/>
    <mergeCell ref="A46:P46"/>
    <mergeCell ref="A40:E40"/>
    <mergeCell ref="A41:E41"/>
    <mergeCell ref="G41:L41"/>
    <mergeCell ref="A42:E42"/>
    <mergeCell ref="G42:L42"/>
    <mergeCell ref="A43:E43"/>
    <mergeCell ref="A44:E44"/>
    <mergeCell ref="G18:I18"/>
    <mergeCell ref="J18:L18"/>
    <mergeCell ref="N18:P18"/>
    <mergeCell ref="B16:F16"/>
    <mergeCell ref="G16:I16"/>
    <mergeCell ref="J16:L16"/>
    <mergeCell ref="B17:F17"/>
    <mergeCell ref="G17:I17"/>
    <mergeCell ref="J17:L17"/>
    <mergeCell ref="B18:F18"/>
    <mergeCell ref="B19:F19"/>
    <mergeCell ref="G19:I19"/>
    <mergeCell ref="J19:L19"/>
    <mergeCell ref="N19:P19"/>
    <mergeCell ref="G20:I20"/>
    <mergeCell ref="J20:L20"/>
    <mergeCell ref="N20:P20"/>
    <mergeCell ref="N21:P21"/>
    <mergeCell ref="N22:P22"/>
    <mergeCell ref="N23:P23"/>
    <mergeCell ref="N24:P24"/>
    <mergeCell ref="N25:P25"/>
    <mergeCell ref="N26:P26"/>
    <mergeCell ref="N27:P27"/>
    <mergeCell ref="B20:F20"/>
    <mergeCell ref="B21:F21"/>
    <mergeCell ref="G21:I21"/>
    <mergeCell ref="J21:L21"/>
    <mergeCell ref="B22:F22"/>
    <mergeCell ref="G22:I22"/>
    <mergeCell ref="J22:L22"/>
    <mergeCell ref="G25:I25"/>
    <mergeCell ref="J25:L25"/>
    <mergeCell ref="B23:F23"/>
    <mergeCell ref="G23:I23"/>
    <mergeCell ref="J23:L23"/>
    <mergeCell ref="B24:F24"/>
    <mergeCell ref="G24:I24"/>
    <mergeCell ref="J24:L24"/>
    <mergeCell ref="B25:F2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996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5.53125" customWidth="1"/>
    <col min="6" max="6" width="6.86328125" customWidth="1"/>
    <col min="7" max="7" width="14.86328125" customWidth="1"/>
    <col min="8" max="8" width="9.1328125" customWidth="1"/>
    <col min="9" max="9" width="3.265625" customWidth="1"/>
    <col min="10" max="10" width="3.398437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</cols>
  <sheetData>
    <row r="1" spans="1:16" ht="19.5" customHeight="1" x14ac:dyDescent="0.45">
      <c r="A1" s="241"/>
      <c r="B1" s="201"/>
      <c r="C1" s="255"/>
      <c r="D1" s="277" t="s">
        <v>0</v>
      </c>
      <c r="E1" s="201"/>
      <c r="F1" s="201"/>
      <c r="G1" s="201"/>
      <c r="H1" s="201"/>
      <c r="I1" s="201"/>
      <c r="J1" s="201"/>
      <c r="K1" s="201"/>
      <c r="L1" s="255"/>
      <c r="M1" s="261" t="s">
        <v>1</v>
      </c>
      <c r="N1" s="230"/>
      <c r="O1" s="261" t="s">
        <v>158</v>
      </c>
      <c r="P1" s="212"/>
    </row>
    <row r="2" spans="1:16" ht="21" customHeight="1" x14ac:dyDescent="0.45">
      <c r="A2" s="244"/>
      <c r="B2" s="203"/>
      <c r="C2" s="232"/>
      <c r="D2" s="267"/>
      <c r="E2" s="195"/>
      <c r="F2" s="195"/>
      <c r="G2" s="195"/>
      <c r="H2" s="195"/>
      <c r="I2" s="195"/>
      <c r="J2" s="195"/>
      <c r="K2" s="195"/>
      <c r="L2" s="252"/>
      <c r="M2" s="268" t="s">
        <v>3</v>
      </c>
      <c r="N2" s="252"/>
      <c r="O2" s="269">
        <v>1</v>
      </c>
      <c r="P2" s="215"/>
    </row>
    <row r="3" spans="1:16" ht="18.75" customHeight="1" x14ac:dyDescent="0.45">
      <c r="A3" s="244"/>
      <c r="B3" s="203"/>
      <c r="C3" s="232"/>
      <c r="D3" s="270" t="s">
        <v>159</v>
      </c>
      <c r="E3" s="193"/>
      <c r="F3" s="193"/>
      <c r="G3" s="193"/>
      <c r="H3" s="193"/>
      <c r="I3" s="193"/>
      <c r="J3" s="193"/>
      <c r="K3" s="193"/>
      <c r="L3" s="193"/>
      <c r="M3" s="268" t="s">
        <v>5</v>
      </c>
      <c r="N3" s="252"/>
      <c r="O3" s="235" t="s">
        <v>6</v>
      </c>
      <c r="P3" s="187"/>
    </row>
    <row r="4" spans="1:16" ht="15.75" customHeight="1" x14ac:dyDescent="0.45">
      <c r="A4" s="244"/>
      <c r="B4" s="203"/>
      <c r="C4" s="232"/>
      <c r="D4" s="266"/>
      <c r="E4" s="203"/>
      <c r="F4" s="203"/>
      <c r="G4" s="203"/>
      <c r="H4" s="203"/>
      <c r="I4" s="203"/>
      <c r="J4" s="203"/>
      <c r="K4" s="203"/>
      <c r="L4" s="203"/>
      <c r="M4" s="223" t="s">
        <v>7</v>
      </c>
      <c r="N4" s="224"/>
      <c r="O4" s="242" t="s">
        <v>8</v>
      </c>
      <c r="P4" s="187"/>
    </row>
    <row r="5" spans="1:16" ht="15.75" customHeight="1" x14ac:dyDescent="0.45">
      <c r="A5" s="276"/>
      <c r="B5" s="195"/>
      <c r="C5" s="252"/>
      <c r="D5" s="267"/>
      <c r="E5" s="195"/>
      <c r="F5" s="195"/>
      <c r="G5" s="195"/>
      <c r="H5" s="195"/>
      <c r="I5" s="195"/>
      <c r="J5" s="195"/>
      <c r="K5" s="195"/>
      <c r="L5" s="195"/>
      <c r="M5" s="267"/>
      <c r="N5" s="252"/>
      <c r="O5" s="243" t="s">
        <v>9</v>
      </c>
      <c r="P5" s="187"/>
    </row>
    <row r="6" spans="1:16" ht="12" customHeight="1" x14ac:dyDescent="0.45">
      <c r="A6" s="300"/>
      <c r="B6" s="195"/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</row>
    <row r="7" spans="1:16" ht="36" customHeight="1" x14ac:dyDescent="0.45">
      <c r="A7" s="275" t="s">
        <v>10</v>
      </c>
      <c r="B7" s="195"/>
      <c r="C7" s="195"/>
      <c r="D7" s="195"/>
      <c r="E7" s="252"/>
      <c r="F7" s="191" t="str">
        <f>'LISTA CHEQUEO'!F7</f>
        <v>LIMPIADOR ILUMINADOR ACIDO KOJICO</v>
      </c>
      <c r="G7" s="186"/>
      <c r="H7" s="186"/>
      <c r="I7" s="186"/>
      <c r="J7" s="186"/>
      <c r="K7" s="186"/>
      <c r="L7" s="186"/>
      <c r="M7" s="186"/>
      <c r="N7" s="186"/>
      <c r="O7" s="186"/>
      <c r="P7" s="187"/>
    </row>
    <row r="8" spans="1:16" ht="36" customHeight="1" x14ac:dyDescent="0.45">
      <c r="A8" s="299" t="s">
        <v>55</v>
      </c>
      <c r="B8" s="186"/>
      <c r="C8" s="186"/>
      <c r="D8" s="186"/>
      <c r="E8" s="189"/>
      <c r="F8" s="264" t="str">
        <f>'LISTA CHEQUEO'!F8</f>
        <v>252601</v>
      </c>
      <c r="G8" s="189"/>
      <c r="H8" s="268" t="s">
        <v>160</v>
      </c>
      <c r="I8" s="195"/>
      <c r="J8" s="195"/>
      <c r="K8" s="195"/>
      <c r="L8" s="259"/>
      <c r="M8" s="209"/>
      <c r="N8" s="236" t="s">
        <v>161</v>
      </c>
      <c r="O8" s="189"/>
      <c r="P8" s="51"/>
    </row>
    <row r="9" spans="1:16" ht="36" customHeight="1" x14ac:dyDescent="0.45">
      <c r="A9" s="301" t="s">
        <v>162</v>
      </c>
      <c r="B9" s="206"/>
      <c r="C9" s="206"/>
      <c r="D9" s="206"/>
      <c r="E9" s="207"/>
      <c r="F9" s="191" t="str">
        <f>'LISTA CHEQUEO'!M8</f>
        <v>OP-SS-128</v>
      </c>
      <c r="G9" s="187"/>
      <c r="H9" s="265" t="s">
        <v>163</v>
      </c>
      <c r="I9" s="206"/>
      <c r="J9" s="206"/>
      <c r="K9" s="207"/>
      <c r="L9" s="265"/>
      <c r="M9" s="207"/>
      <c r="N9" s="302" t="s">
        <v>164</v>
      </c>
      <c r="O9" s="198"/>
      <c r="P9" s="52"/>
    </row>
    <row r="10" spans="1:16" ht="12" customHeight="1" x14ac:dyDescent="0.45">
      <c r="A10" s="295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32"/>
    </row>
    <row r="11" spans="1:16" ht="21" customHeight="1" x14ac:dyDescent="0.45">
      <c r="A11" s="291" t="s">
        <v>165</v>
      </c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9"/>
      <c r="N11" s="256" t="s">
        <v>166</v>
      </c>
      <c r="O11" s="189"/>
      <c r="P11" s="53" t="s">
        <v>167</v>
      </c>
    </row>
    <row r="12" spans="1:16" ht="36.75" customHeight="1" x14ac:dyDescent="0.45">
      <c r="A12" s="213" t="s">
        <v>168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9"/>
      <c r="N12" s="250"/>
      <c r="O12" s="189"/>
      <c r="P12" s="54"/>
    </row>
    <row r="13" spans="1:16" ht="12" customHeight="1" x14ac:dyDescent="0.45">
      <c r="A13" s="36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6"/>
      <c r="O13" s="56"/>
      <c r="P13" s="57"/>
    </row>
    <row r="14" spans="1:16" ht="18.75" customHeight="1" x14ac:dyDescent="0.45">
      <c r="A14" s="303" t="s">
        <v>169</v>
      </c>
      <c r="B14" s="206"/>
      <c r="C14" s="206"/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9"/>
    </row>
    <row r="15" spans="1:16" ht="24.75" customHeight="1" x14ac:dyDescent="0.45">
      <c r="A15" s="304" t="s">
        <v>170</v>
      </c>
      <c r="B15" s="211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2"/>
    </row>
    <row r="16" spans="1:16" ht="27" customHeight="1" x14ac:dyDescent="0.45">
      <c r="A16" s="299" t="s">
        <v>171</v>
      </c>
      <c r="B16" s="189"/>
      <c r="C16" s="236" t="s">
        <v>172</v>
      </c>
      <c r="D16" s="186"/>
      <c r="E16" s="186"/>
      <c r="F16" s="186"/>
      <c r="G16" s="189"/>
      <c r="H16" s="236" t="s">
        <v>99</v>
      </c>
      <c r="I16" s="186"/>
      <c r="J16" s="189"/>
      <c r="K16" s="236" t="s">
        <v>100</v>
      </c>
      <c r="L16" s="189"/>
      <c r="M16" s="236" t="s">
        <v>12</v>
      </c>
      <c r="N16" s="189"/>
      <c r="O16" s="236" t="s">
        <v>173</v>
      </c>
      <c r="P16" s="187"/>
    </row>
    <row r="17" spans="1:16" ht="20.25" customHeight="1" x14ac:dyDescent="0.45">
      <c r="A17" s="286" t="s">
        <v>102</v>
      </c>
      <c r="B17" s="189"/>
      <c r="C17" s="188" t="s">
        <v>101</v>
      </c>
      <c r="D17" s="186"/>
      <c r="E17" s="186"/>
      <c r="F17" s="186"/>
      <c r="G17" s="189"/>
      <c r="H17" s="287">
        <v>71.150000000000006</v>
      </c>
      <c r="I17" s="195"/>
      <c r="J17" s="252"/>
      <c r="K17" s="285">
        <v>128070</v>
      </c>
      <c r="L17" s="189"/>
      <c r="M17" s="250">
        <f>OP!J15</f>
        <v>20250917</v>
      </c>
      <c r="N17" s="189"/>
      <c r="O17" s="250"/>
      <c r="P17" s="187"/>
    </row>
    <row r="18" spans="1:16" ht="20.25" customHeight="1" x14ac:dyDescent="0.45">
      <c r="A18" s="286" t="s">
        <v>174</v>
      </c>
      <c r="B18" s="189"/>
      <c r="C18" s="188" t="s">
        <v>103</v>
      </c>
      <c r="D18" s="186"/>
      <c r="E18" s="186"/>
      <c r="F18" s="186"/>
      <c r="G18" s="189"/>
      <c r="H18" s="287">
        <v>10</v>
      </c>
      <c r="I18" s="195"/>
      <c r="J18" s="252"/>
      <c r="K18" s="285">
        <v>18000</v>
      </c>
      <c r="L18" s="189"/>
      <c r="M18" s="250" t="str">
        <f>OP!J16</f>
        <v>M429751120241</v>
      </c>
      <c r="N18" s="189"/>
      <c r="O18" s="250"/>
      <c r="P18" s="187"/>
    </row>
    <row r="19" spans="1:16" ht="20.25" customHeight="1" x14ac:dyDescent="0.45">
      <c r="A19" s="286" t="s">
        <v>175</v>
      </c>
      <c r="B19" s="189"/>
      <c r="C19" s="188" t="s">
        <v>106</v>
      </c>
      <c r="D19" s="186"/>
      <c r="E19" s="186"/>
      <c r="F19" s="186"/>
      <c r="G19" s="189"/>
      <c r="H19" s="287">
        <v>5</v>
      </c>
      <c r="I19" s="195"/>
      <c r="J19" s="252"/>
      <c r="K19" s="285">
        <v>9000</v>
      </c>
      <c r="L19" s="189"/>
      <c r="M19" s="250" t="str">
        <f>OP!J17</f>
        <v>D357P4J1B4</v>
      </c>
      <c r="N19" s="189"/>
      <c r="O19" s="250"/>
      <c r="P19" s="187"/>
    </row>
    <row r="20" spans="1:16" ht="20.25" customHeight="1" x14ac:dyDescent="0.45">
      <c r="A20" s="286" t="s">
        <v>110</v>
      </c>
      <c r="B20" s="189"/>
      <c r="C20" s="188" t="s">
        <v>109</v>
      </c>
      <c r="D20" s="186"/>
      <c r="E20" s="186"/>
      <c r="F20" s="186"/>
      <c r="G20" s="189"/>
      <c r="H20" s="287">
        <v>4</v>
      </c>
      <c r="I20" s="195"/>
      <c r="J20" s="252"/>
      <c r="K20" s="285">
        <v>7200</v>
      </c>
      <c r="L20" s="189"/>
      <c r="M20" s="250" t="str">
        <f>OP!J18</f>
        <v>C24F26-874</v>
      </c>
      <c r="N20" s="189"/>
      <c r="O20" s="250"/>
      <c r="P20" s="187"/>
    </row>
    <row r="21" spans="1:16" ht="20.25" customHeight="1" x14ac:dyDescent="0.45">
      <c r="A21" s="286" t="s">
        <v>113</v>
      </c>
      <c r="B21" s="189"/>
      <c r="C21" s="188" t="s">
        <v>112</v>
      </c>
      <c r="D21" s="186"/>
      <c r="E21" s="186"/>
      <c r="F21" s="186"/>
      <c r="G21" s="189"/>
      <c r="H21" s="287">
        <v>3</v>
      </c>
      <c r="I21" s="195"/>
      <c r="J21" s="252"/>
      <c r="K21" s="285">
        <v>5400</v>
      </c>
      <c r="L21" s="189"/>
      <c r="M21" s="250" t="str">
        <f>OP!J19</f>
        <v>031348-25</v>
      </c>
      <c r="N21" s="189"/>
      <c r="O21" s="250"/>
      <c r="P21" s="187"/>
    </row>
    <row r="22" spans="1:16" ht="20.25" customHeight="1" x14ac:dyDescent="0.45">
      <c r="A22" s="286" t="s">
        <v>116</v>
      </c>
      <c r="B22" s="189"/>
      <c r="C22" s="188" t="s">
        <v>115</v>
      </c>
      <c r="D22" s="186"/>
      <c r="E22" s="186"/>
      <c r="F22" s="186"/>
      <c r="G22" s="189"/>
      <c r="H22" s="287">
        <v>2</v>
      </c>
      <c r="I22" s="195"/>
      <c r="J22" s="252"/>
      <c r="K22" s="285">
        <v>3600</v>
      </c>
      <c r="L22" s="189"/>
      <c r="M22" s="250" t="str">
        <f>OP!J20</f>
        <v>121556-24</v>
      </c>
      <c r="N22" s="189"/>
      <c r="O22" s="250"/>
      <c r="P22" s="187"/>
    </row>
    <row r="23" spans="1:16" ht="20.25" customHeight="1" x14ac:dyDescent="0.45">
      <c r="A23" s="286" t="s">
        <v>119</v>
      </c>
      <c r="B23" s="189"/>
      <c r="C23" s="188" t="s">
        <v>118</v>
      </c>
      <c r="D23" s="186"/>
      <c r="E23" s="186"/>
      <c r="F23" s="186"/>
      <c r="G23" s="189"/>
      <c r="H23" s="287">
        <v>1</v>
      </c>
      <c r="I23" s="195"/>
      <c r="J23" s="252"/>
      <c r="K23" s="285">
        <v>1800</v>
      </c>
      <c r="L23" s="189"/>
      <c r="M23" s="250" t="str">
        <f>OP!J21</f>
        <v>YT20250505</v>
      </c>
      <c r="N23" s="189"/>
      <c r="O23" s="250"/>
      <c r="P23" s="187"/>
    </row>
    <row r="24" spans="1:16" ht="20.25" customHeight="1" x14ac:dyDescent="0.45">
      <c r="A24" s="286" t="s">
        <v>122</v>
      </c>
      <c r="B24" s="189"/>
      <c r="C24" s="188" t="s">
        <v>121</v>
      </c>
      <c r="D24" s="186"/>
      <c r="E24" s="186"/>
      <c r="F24" s="186"/>
      <c r="G24" s="189"/>
      <c r="H24" s="287">
        <v>1</v>
      </c>
      <c r="I24" s="195"/>
      <c r="J24" s="252"/>
      <c r="K24" s="285">
        <v>1800</v>
      </c>
      <c r="L24" s="189"/>
      <c r="M24" s="250">
        <f>OP!J22</f>
        <v>520241101004</v>
      </c>
      <c r="N24" s="189"/>
      <c r="O24" s="250"/>
      <c r="P24" s="187"/>
    </row>
    <row r="25" spans="1:16" ht="20.25" customHeight="1" x14ac:dyDescent="0.45">
      <c r="A25" s="286" t="s">
        <v>124</v>
      </c>
      <c r="B25" s="189"/>
      <c r="C25" s="188" t="s">
        <v>123</v>
      </c>
      <c r="D25" s="186"/>
      <c r="E25" s="186"/>
      <c r="F25" s="186"/>
      <c r="G25" s="189"/>
      <c r="H25" s="287">
        <v>0.5</v>
      </c>
      <c r="I25" s="195"/>
      <c r="J25" s="252"/>
      <c r="K25" s="285">
        <v>900</v>
      </c>
      <c r="L25" s="189"/>
      <c r="M25" s="250">
        <f>OP!J23</f>
        <v>214012</v>
      </c>
      <c r="N25" s="189"/>
      <c r="O25" s="250"/>
      <c r="P25" s="187"/>
    </row>
    <row r="26" spans="1:16" ht="20.25" customHeight="1" x14ac:dyDescent="0.45">
      <c r="A26" s="286" t="s">
        <v>126</v>
      </c>
      <c r="B26" s="189"/>
      <c r="C26" s="188" t="s">
        <v>125</v>
      </c>
      <c r="D26" s="186"/>
      <c r="E26" s="186"/>
      <c r="F26" s="186"/>
      <c r="G26" s="189"/>
      <c r="H26" s="287">
        <v>0.5</v>
      </c>
      <c r="I26" s="195"/>
      <c r="J26" s="252"/>
      <c r="K26" s="285">
        <v>900</v>
      </c>
      <c r="L26" s="189"/>
      <c r="M26" s="250" t="str">
        <f>OP!J24</f>
        <v>YC2501040</v>
      </c>
      <c r="N26" s="189"/>
      <c r="O26" s="250"/>
      <c r="P26" s="187"/>
    </row>
    <row r="27" spans="1:16" ht="20.25" customHeight="1" x14ac:dyDescent="0.45">
      <c r="A27" s="286" t="s">
        <v>129</v>
      </c>
      <c r="B27" s="189"/>
      <c r="C27" s="188" t="s">
        <v>128</v>
      </c>
      <c r="D27" s="186"/>
      <c r="E27" s="186"/>
      <c r="F27" s="186"/>
      <c r="G27" s="189"/>
      <c r="H27" s="287">
        <v>0.5</v>
      </c>
      <c r="I27" s="195"/>
      <c r="J27" s="252"/>
      <c r="K27" s="285">
        <v>900</v>
      </c>
      <c r="L27" s="189"/>
      <c r="M27" s="250">
        <f>OP!J25</f>
        <v>36149</v>
      </c>
      <c r="N27" s="189"/>
      <c r="O27" s="250"/>
      <c r="P27" s="187"/>
    </row>
    <row r="28" spans="1:16" ht="20.25" customHeight="1" x14ac:dyDescent="0.45">
      <c r="A28" s="286" t="s">
        <v>131</v>
      </c>
      <c r="B28" s="189"/>
      <c r="C28" s="188" t="s">
        <v>130</v>
      </c>
      <c r="D28" s="186"/>
      <c r="E28" s="186"/>
      <c r="F28" s="186"/>
      <c r="G28" s="189"/>
      <c r="H28" s="287">
        <v>0.3</v>
      </c>
      <c r="I28" s="195"/>
      <c r="J28" s="252"/>
      <c r="K28" s="285">
        <v>540</v>
      </c>
      <c r="L28" s="189"/>
      <c r="M28" s="250">
        <f>OP!J26</f>
        <v>2203300727</v>
      </c>
      <c r="N28" s="189"/>
      <c r="O28" s="250"/>
      <c r="P28" s="187"/>
    </row>
    <row r="29" spans="1:16" ht="20.25" customHeight="1" x14ac:dyDescent="0.45">
      <c r="A29" s="286" t="s">
        <v>133</v>
      </c>
      <c r="B29" s="189"/>
      <c r="C29" s="188" t="s">
        <v>132</v>
      </c>
      <c r="D29" s="186"/>
      <c r="E29" s="186"/>
      <c r="F29" s="186"/>
      <c r="G29" s="189"/>
      <c r="H29" s="287">
        <v>0.3</v>
      </c>
      <c r="I29" s="195"/>
      <c r="J29" s="252"/>
      <c r="K29" s="285">
        <v>540</v>
      </c>
      <c r="L29" s="189"/>
      <c r="M29" s="250" t="str">
        <f>OP!J27</f>
        <v>PS20240530-03</v>
      </c>
      <c r="N29" s="189"/>
      <c r="O29" s="250"/>
      <c r="P29" s="187"/>
    </row>
    <row r="30" spans="1:16" ht="20.25" customHeight="1" x14ac:dyDescent="0.45">
      <c r="A30" s="286" t="s">
        <v>136</v>
      </c>
      <c r="B30" s="189"/>
      <c r="C30" s="188" t="s">
        <v>135</v>
      </c>
      <c r="D30" s="186"/>
      <c r="E30" s="186"/>
      <c r="F30" s="186"/>
      <c r="G30" s="189"/>
      <c r="H30" s="287">
        <v>0.3</v>
      </c>
      <c r="I30" s="195"/>
      <c r="J30" s="252"/>
      <c r="K30" s="285">
        <v>540</v>
      </c>
      <c r="L30" s="189"/>
      <c r="M30" s="250">
        <f>OP!J28</f>
        <v>20240217</v>
      </c>
      <c r="N30" s="189"/>
      <c r="O30" s="250"/>
      <c r="P30" s="187"/>
    </row>
    <row r="31" spans="1:16" ht="20.25" customHeight="1" x14ac:dyDescent="0.45">
      <c r="A31" s="286" t="s">
        <v>138</v>
      </c>
      <c r="B31" s="189"/>
      <c r="C31" s="188" t="s">
        <v>137</v>
      </c>
      <c r="D31" s="186"/>
      <c r="E31" s="186"/>
      <c r="F31" s="186"/>
      <c r="G31" s="189"/>
      <c r="H31" s="287">
        <v>0.3</v>
      </c>
      <c r="I31" s="195"/>
      <c r="J31" s="252"/>
      <c r="K31" s="285">
        <v>540</v>
      </c>
      <c r="L31" s="189"/>
      <c r="M31" s="250" t="str">
        <f>OP!J29</f>
        <v>YT-20240219</v>
      </c>
      <c r="N31" s="189"/>
      <c r="O31" s="250"/>
      <c r="P31" s="187"/>
    </row>
    <row r="32" spans="1:16" ht="20.25" customHeight="1" x14ac:dyDescent="0.45">
      <c r="A32" s="286" t="s">
        <v>141</v>
      </c>
      <c r="B32" s="189"/>
      <c r="C32" s="188" t="s">
        <v>140</v>
      </c>
      <c r="D32" s="186"/>
      <c r="E32" s="186"/>
      <c r="F32" s="186"/>
      <c r="G32" s="189"/>
      <c r="H32" s="287">
        <v>0.1</v>
      </c>
      <c r="I32" s="195"/>
      <c r="J32" s="252"/>
      <c r="K32" s="285">
        <v>180</v>
      </c>
      <c r="L32" s="189"/>
      <c r="M32" s="250" t="str">
        <f>OP!J30</f>
        <v>YT-HA20250326</v>
      </c>
      <c r="N32" s="189"/>
      <c r="O32" s="250"/>
      <c r="P32" s="187"/>
    </row>
    <row r="33" spans="1:16" ht="20.25" customHeight="1" x14ac:dyDescent="0.45">
      <c r="A33" s="286" t="s">
        <v>144</v>
      </c>
      <c r="B33" s="189"/>
      <c r="C33" s="188" t="s">
        <v>143</v>
      </c>
      <c r="D33" s="186"/>
      <c r="E33" s="186"/>
      <c r="F33" s="186"/>
      <c r="G33" s="189"/>
      <c r="H33" s="287">
        <v>0.05</v>
      </c>
      <c r="I33" s="195"/>
      <c r="J33" s="252"/>
      <c r="K33" s="285">
        <v>90</v>
      </c>
      <c r="L33" s="189"/>
      <c r="M33" s="250"/>
      <c r="N33" s="189"/>
      <c r="O33" s="250"/>
      <c r="P33" s="187"/>
    </row>
    <row r="34" spans="1:16" ht="42.75" customHeight="1" x14ac:dyDescent="0.45">
      <c r="A34" s="216" t="s">
        <v>176</v>
      </c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17"/>
    </row>
    <row r="35" spans="1:16" ht="38.25" customHeight="1" x14ac:dyDescent="0.45">
      <c r="A35" s="21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9"/>
    </row>
    <row r="36" spans="1:16" ht="12" customHeight="1" x14ac:dyDescent="0.45">
      <c r="A36" s="295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32"/>
    </row>
    <row r="37" spans="1:16" ht="36" customHeight="1" x14ac:dyDescent="0.45">
      <c r="A37" s="296" t="s">
        <v>177</v>
      </c>
      <c r="B37" s="211"/>
      <c r="C37" s="230"/>
      <c r="D37" s="297"/>
      <c r="E37" s="211"/>
      <c r="F37" s="211"/>
      <c r="G37" s="211"/>
      <c r="H37" s="58"/>
      <c r="I37" s="58"/>
      <c r="J37" s="58"/>
      <c r="K37" s="288" t="s">
        <v>178</v>
      </c>
      <c r="L37" s="230"/>
      <c r="M37" s="298"/>
      <c r="N37" s="211"/>
      <c r="O37" s="211"/>
      <c r="P37" s="212"/>
    </row>
    <row r="38" spans="1:16" ht="36" customHeight="1" x14ac:dyDescent="0.45">
      <c r="A38" s="291" t="s">
        <v>179</v>
      </c>
      <c r="B38" s="186"/>
      <c r="C38" s="189"/>
      <c r="D38" s="59"/>
      <c r="E38" s="59"/>
      <c r="F38" s="59"/>
      <c r="G38" s="59"/>
      <c r="H38" s="55"/>
      <c r="I38" s="55"/>
      <c r="J38" s="55"/>
      <c r="K38" s="289" t="s">
        <v>179</v>
      </c>
      <c r="L38" s="189"/>
      <c r="M38" s="250"/>
      <c r="N38" s="186"/>
      <c r="O38" s="186"/>
      <c r="P38" s="187"/>
    </row>
    <row r="39" spans="1:16" ht="36" customHeight="1" x14ac:dyDescent="0.45">
      <c r="A39" s="292" t="s">
        <v>180</v>
      </c>
      <c r="B39" s="206"/>
      <c r="C39" s="207"/>
      <c r="D39" s="293"/>
      <c r="E39" s="206"/>
      <c r="F39" s="206"/>
      <c r="G39" s="206"/>
      <c r="H39" s="206"/>
      <c r="I39" s="206"/>
      <c r="J39" s="207"/>
      <c r="K39" s="290" t="s">
        <v>180</v>
      </c>
      <c r="L39" s="224"/>
      <c r="M39" s="294"/>
      <c r="N39" s="206"/>
      <c r="O39" s="206"/>
      <c r="P39" s="209"/>
    </row>
    <row r="40" spans="1:16" ht="15.75" customHeight="1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60"/>
      <c r="L40" s="60"/>
      <c r="M40" s="21"/>
      <c r="N40" s="22"/>
      <c r="O40" s="22"/>
      <c r="P40" s="12"/>
    </row>
    <row r="41" spans="1:16" ht="15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1"/>
      <c r="N41" s="22"/>
      <c r="O41" s="22"/>
      <c r="P41" s="12"/>
    </row>
    <row r="42" spans="1:16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1"/>
      <c r="N42" s="22"/>
      <c r="O42" s="22"/>
      <c r="P42" s="12"/>
    </row>
    <row r="43" spans="1:16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1"/>
      <c r="N43" s="22"/>
      <c r="O43" s="22"/>
      <c r="P43" s="12"/>
    </row>
    <row r="44" spans="1:16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1"/>
      <c r="N44" s="22"/>
      <c r="O44" s="22"/>
      <c r="P44" s="12"/>
    </row>
    <row r="45" spans="1:16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1"/>
      <c r="N45" s="22"/>
      <c r="O45" s="22"/>
      <c r="P45" s="12"/>
    </row>
    <row r="46" spans="1:16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1"/>
      <c r="N46" s="22"/>
      <c r="O46" s="22"/>
      <c r="P46" s="12"/>
    </row>
    <row r="47" spans="1:16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1"/>
      <c r="N47" s="22"/>
      <c r="O47" s="22"/>
      <c r="P47" s="12"/>
    </row>
    <row r="48" spans="1:16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1"/>
      <c r="N48" s="22"/>
      <c r="O48" s="22"/>
      <c r="P48" s="12"/>
    </row>
    <row r="49" spans="1:16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1"/>
      <c r="N49" s="22"/>
      <c r="O49" s="22"/>
      <c r="P49" s="12"/>
    </row>
    <row r="50" spans="1:16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1"/>
      <c r="N50" s="22"/>
      <c r="O50" s="22"/>
      <c r="P50" s="12"/>
    </row>
    <row r="51" spans="1:16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1"/>
      <c r="N51" s="22"/>
      <c r="O51" s="22"/>
      <c r="P51" s="12"/>
    </row>
    <row r="52" spans="1:16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1"/>
      <c r="N52" s="22"/>
      <c r="O52" s="22"/>
      <c r="P52" s="12"/>
    </row>
    <row r="53" spans="1:16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1"/>
      <c r="N53" s="22"/>
      <c r="O53" s="22"/>
      <c r="P53" s="12"/>
    </row>
    <row r="54" spans="1:16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1"/>
      <c r="N54" s="22"/>
      <c r="O54" s="22"/>
      <c r="P54" s="12"/>
    </row>
    <row r="55" spans="1:16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1"/>
      <c r="N55" s="22"/>
      <c r="O55" s="22"/>
      <c r="P55" s="12"/>
    </row>
    <row r="56" spans="1:16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1"/>
      <c r="N56" s="22"/>
      <c r="O56" s="22"/>
      <c r="P56" s="12"/>
    </row>
    <row r="57" spans="1:16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1"/>
      <c r="N57" s="22"/>
      <c r="O57" s="22"/>
      <c r="P57" s="12"/>
    </row>
    <row r="58" spans="1:16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1"/>
      <c r="N58" s="22"/>
      <c r="O58" s="22"/>
      <c r="P58" s="12"/>
    </row>
    <row r="59" spans="1:16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1"/>
      <c r="N59" s="22"/>
      <c r="O59" s="22"/>
      <c r="P59" s="12"/>
    </row>
    <row r="60" spans="1:16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1"/>
      <c r="N60" s="22"/>
      <c r="O60" s="22"/>
      <c r="P60" s="12"/>
    </row>
    <row r="61" spans="1:16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1"/>
      <c r="N61" s="22"/>
      <c r="O61" s="22"/>
      <c r="P61" s="12"/>
    </row>
    <row r="62" spans="1:16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1"/>
      <c r="N62" s="22"/>
      <c r="O62" s="22"/>
      <c r="P62" s="12"/>
    </row>
    <row r="63" spans="1:16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1"/>
      <c r="N63" s="22"/>
      <c r="O63" s="22"/>
      <c r="P63" s="12"/>
    </row>
    <row r="64" spans="1:16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1"/>
      <c r="N64" s="22"/>
      <c r="O64" s="22"/>
      <c r="P64" s="12"/>
    </row>
    <row r="65" spans="1:16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1"/>
      <c r="N65" s="22"/>
      <c r="O65" s="22"/>
      <c r="P65" s="12"/>
    </row>
    <row r="66" spans="1:16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1"/>
      <c r="N66" s="22"/>
      <c r="O66" s="22"/>
      <c r="P66" s="12"/>
    </row>
    <row r="67" spans="1:16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1"/>
      <c r="N67" s="22"/>
      <c r="O67" s="22"/>
      <c r="P67" s="12"/>
    </row>
    <row r="68" spans="1:16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1"/>
      <c r="N68" s="22"/>
      <c r="O68" s="22"/>
      <c r="P68" s="12"/>
    </row>
    <row r="69" spans="1:16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1"/>
      <c r="N69" s="22"/>
      <c r="O69" s="22"/>
      <c r="P69" s="12"/>
    </row>
    <row r="70" spans="1:16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1"/>
      <c r="N70" s="22"/>
      <c r="O70" s="22"/>
      <c r="P70" s="12"/>
    </row>
    <row r="71" spans="1:16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1"/>
      <c r="N71" s="22"/>
      <c r="O71" s="22"/>
      <c r="P71" s="12"/>
    </row>
    <row r="72" spans="1:16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1"/>
      <c r="N72" s="22"/>
      <c r="O72" s="22"/>
      <c r="P72" s="12"/>
    </row>
    <row r="73" spans="1:16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1"/>
      <c r="N73" s="22"/>
      <c r="O73" s="22"/>
      <c r="P73" s="12"/>
    </row>
    <row r="74" spans="1:16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1"/>
      <c r="N74" s="22"/>
      <c r="O74" s="22"/>
      <c r="P74" s="12"/>
    </row>
    <row r="75" spans="1:16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1"/>
      <c r="N75" s="22"/>
      <c r="O75" s="22"/>
      <c r="P75" s="12"/>
    </row>
    <row r="76" spans="1:16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1"/>
      <c r="N76" s="22"/>
      <c r="O76" s="22"/>
      <c r="P76" s="12"/>
    </row>
    <row r="77" spans="1:16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1"/>
      <c r="N77" s="22"/>
      <c r="O77" s="22"/>
      <c r="P77" s="12"/>
    </row>
    <row r="78" spans="1:16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1"/>
      <c r="N78" s="22"/>
      <c r="O78" s="22"/>
      <c r="P78" s="12"/>
    </row>
    <row r="79" spans="1:16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1"/>
      <c r="N79" s="22"/>
      <c r="O79" s="22"/>
      <c r="P79" s="12"/>
    </row>
    <row r="80" spans="1:16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1"/>
      <c r="N80" s="22"/>
      <c r="O80" s="22"/>
      <c r="P80" s="12"/>
    </row>
    <row r="81" spans="1:16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1"/>
      <c r="N81" s="22"/>
      <c r="O81" s="22"/>
      <c r="P81" s="12"/>
    </row>
    <row r="82" spans="1:16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1"/>
      <c r="N82" s="22"/>
      <c r="O82" s="22"/>
      <c r="P82" s="12"/>
    </row>
    <row r="83" spans="1:16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1"/>
      <c r="N83" s="22"/>
      <c r="O83" s="22"/>
      <c r="P83" s="12"/>
    </row>
    <row r="84" spans="1:16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1"/>
      <c r="N84" s="22"/>
      <c r="O84" s="22"/>
      <c r="P84" s="12"/>
    </row>
    <row r="85" spans="1:16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1"/>
      <c r="N85" s="22"/>
      <c r="O85" s="22"/>
      <c r="P85" s="12"/>
    </row>
    <row r="86" spans="1:16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1"/>
      <c r="N86" s="22"/>
      <c r="O86" s="22"/>
      <c r="P86" s="12"/>
    </row>
    <row r="87" spans="1:16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1"/>
      <c r="N87" s="22"/>
      <c r="O87" s="22"/>
      <c r="P87" s="12"/>
    </row>
    <row r="88" spans="1:16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1"/>
      <c r="N88" s="22"/>
      <c r="O88" s="22"/>
      <c r="P88" s="12"/>
    </row>
    <row r="89" spans="1:16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1"/>
      <c r="N89" s="22"/>
      <c r="O89" s="22"/>
      <c r="P89" s="12"/>
    </row>
    <row r="90" spans="1:16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1"/>
      <c r="N90" s="22"/>
      <c r="O90" s="22"/>
      <c r="P90" s="12"/>
    </row>
    <row r="91" spans="1:16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1"/>
      <c r="N91" s="22"/>
      <c r="O91" s="22"/>
      <c r="P91" s="12"/>
    </row>
    <row r="92" spans="1:16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1"/>
      <c r="N92" s="22"/>
      <c r="O92" s="22"/>
      <c r="P92" s="12"/>
    </row>
    <row r="93" spans="1:16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1"/>
      <c r="N93" s="22"/>
      <c r="O93" s="22"/>
      <c r="P93" s="12"/>
    </row>
    <row r="94" spans="1:16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1"/>
      <c r="N94" s="22"/>
      <c r="O94" s="22"/>
      <c r="P94" s="12"/>
    </row>
    <row r="95" spans="1:16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1"/>
      <c r="N95" s="22"/>
      <c r="O95" s="22"/>
      <c r="P95" s="12"/>
    </row>
    <row r="96" spans="1:16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1"/>
      <c r="N96" s="22"/>
      <c r="O96" s="22"/>
      <c r="P96" s="12"/>
    </row>
    <row r="97" spans="1:16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1"/>
      <c r="N97" s="22"/>
      <c r="O97" s="22"/>
      <c r="P97" s="12"/>
    </row>
    <row r="98" spans="1:16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1"/>
      <c r="N98" s="22"/>
      <c r="O98" s="22"/>
      <c r="P98" s="12"/>
    </row>
    <row r="99" spans="1:16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1"/>
      <c r="N99" s="22"/>
      <c r="O99" s="22"/>
      <c r="P99" s="12"/>
    </row>
    <row r="100" spans="1:16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1"/>
      <c r="N100" s="22"/>
      <c r="O100" s="22"/>
      <c r="P100" s="12"/>
    </row>
    <row r="101" spans="1:16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1"/>
      <c r="N101" s="22"/>
      <c r="O101" s="22"/>
      <c r="P101" s="12"/>
    </row>
    <row r="102" spans="1:16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1"/>
      <c r="N102" s="22"/>
      <c r="O102" s="22"/>
      <c r="P102" s="12"/>
    </row>
    <row r="103" spans="1:16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1"/>
      <c r="N103" s="22"/>
      <c r="O103" s="22"/>
      <c r="P103" s="12"/>
    </row>
    <row r="104" spans="1:16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1"/>
      <c r="N104" s="22"/>
      <c r="O104" s="22"/>
      <c r="P104" s="12"/>
    </row>
    <row r="105" spans="1:16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1"/>
      <c r="N105" s="22"/>
      <c r="O105" s="22"/>
      <c r="P105" s="12"/>
    </row>
    <row r="106" spans="1:16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1"/>
      <c r="N106" s="22"/>
      <c r="O106" s="22"/>
      <c r="P106" s="12"/>
    </row>
    <row r="107" spans="1:16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1"/>
      <c r="N107" s="22"/>
      <c r="O107" s="22"/>
      <c r="P107" s="12"/>
    </row>
    <row r="108" spans="1:16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1"/>
      <c r="N108" s="22"/>
      <c r="O108" s="22"/>
      <c r="P108" s="12"/>
    </row>
    <row r="109" spans="1:16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1"/>
      <c r="N109" s="22"/>
      <c r="O109" s="22"/>
      <c r="P109" s="12"/>
    </row>
    <row r="110" spans="1:16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1"/>
      <c r="N110" s="22"/>
      <c r="O110" s="22"/>
      <c r="P110" s="12"/>
    </row>
    <row r="111" spans="1:16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1"/>
      <c r="N111" s="22"/>
      <c r="O111" s="22"/>
      <c r="P111" s="12"/>
    </row>
    <row r="112" spans="1:16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1"/>
      <c r="N112" s="22"/>
      <c r="O112" s="22"/>
      <c r="P112" s="12"/>
    </row>
    <row r="113" spans="1:16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1"/>
      <c r="N113" s="22"/>
      <c r="O113" s="22"/>
      <c r="P113" s="12"/>
    </row>
    <row r="114" spans="1:16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1"/>
      <c r="N114" s="22"/>
      <c r="O114" s="22"/>
      <c r="P114" s="12"/>
    </row>
    <row r="115" spans="1:16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1"/>
      <c r="N115" s="22"/>
      <c r="O115" s="22"/>
      <c r="P115" s="12"/>
    </row>
    <row r="116" spans="1:16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1"/>
      <c r="N116" s="22"/>
      <c r="O116" s="22"/>
      <c r="P116" s="12"/>
    </row>
    <row r="117" spans="1:16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1"/>
      <c r="N117" s="22"/>
      <c r="O117" s="22"/>
      <c r="P117" s="12"/>
    </row>
    <row r="118" spans="1:16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1"/>
      <c r="N118" s="22"/>
      <c r="O118" s="22"/>
      <c r="P118" s="12"/>
    </row>
    <row r="119" spans="1:16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1"/>
      <c r="N119" s="22"/>
      <c r="O119" s="22"/>
      <c r="P119" s="12"/>
    </row>
    <row r="120" spans="1:16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1"/>
      <c r="N120" s="22"/>
      <c r="O120" s="22"/>
      <c r="P120" s="12"/>
    </row>
    <row r="121" spans="1:16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1"/>
      <c r="N121" s="22"/>
      <c r="O121" s="22"/>
      <c r="P121" s="12"/>
    </row>
    <row r="122" spans="1:16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1"/>
      <c r="N122" s="22"/>
      <c r="O122" s="22"/>
      <c r="P122" s="12"/>
    </row>
    <row r="123" spans="1:16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1"/>
      <c r="N123" s="22"/>
      <c r="O123" s="22"/>
      <c r="P123" s="12"/>
    </row>
    <row r="124" spans="1:16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1"/>
      <c r="N124" s="22"/>
      <c r="O124" s="22"/>
      <c r="P124" s="12"/>
    </row>
    <row r="125" spans="1:16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1"/>
      <c r="N125" s="22"/>
      <c r="O125" s="22"/>
      <c r="P125" s="12"/>
    </row>
    <row r="126" spans="1:16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1"/>
      <c r="N126" s="22"/>
      <c r="O126" s="22"/>
      <c r="P126" s="12"/>
    </row>
    <row r="127" spans="1:16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1"/>
      <c r="N127" s="22"/>
      <c r="O127" s="22"/>
      <c r="P127" s="12"/>
    </row>
    <row r="128" spans="1:16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1"/>
      <c r="N128" s="22"/>
      <c r="O128" s="22"/>
      <c r="P128" s="12"/>
    </row>
    <row r="129" spans="1:16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1"/>
      <c r="N129" s="22"/>
      <c r="O129" s="22"/>
      <c r="P129" s="12"/>
    </row>
    <row r="130" spans="1:16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1"/>
      <c r="N130" s="22"/>
      <c r="O130" s="22"/>
      <c r="P130" s="12"/>
    </row>
    <row r="131" spans="1:16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1"/>
      <c r="N131" s="22"/>
      <c r="O131" s="22"/>
      <c r="P131" s="12"/>
    </row>
    <row r="132" spans="1:16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1"/>
      <c r="N132" s="22"/>
      <c r="O132" s="22"/>
      <c r="P132" s="12"/>
    </row>
    <row r="133" spans="1:16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1"/>
      <c r="N133" s="22"/>
      <c r="O133" s="22"/>
      <c r="P133" s="12"/>
    </row>
    <row r="134" spans="1:16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1"/>
      <c r="N134" s="22"/>
      <c r="O134" s="22"/>
      <c r="P134" s="12"/>
    </row>
    <row r="135" spans="1:16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1"/>
      <c r="N135" s="22"/>
      <c r="O135" s="22"/>
      <c r="P135" s="12"/>
    </row>
    <row r="136" spans="1:16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1"/>
      <c r="N136" s="22"/>
      <c r="O136" s="22"/>
      <c r="P136" s="12"/>
    </row>
    <row r="137" spans="1:16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1"/>
      <c r="N137" s="22"/>
      <c r="O137" s="22"/>
      <c r="P137" s="12"/>
    </row>
    <row r="138" spans="1:16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1"/>
      <c r="N138" s="22"/>
      <c r="O138" s="22"/>
      <c r="P138" s="12"/>
    </row>
    <row r="139" spans="1:16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1"/>
      <c r="N139" s="22"/>
      <c r="O139" s="22"/>
      <c r="P139" s="12"/>
    </row>
    <row r="140" spans="1:16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1"/>
      <c r="N140" s="22"/>
      <c r="O140" s="22"/>
      <c r="P140" s="12"/>
    </row>
    <row r="141" spans="1:16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1"/>
      <c r="N141" s="22"/>
      <c r="O141" s="22"/>
      <c r="P141" s="12"/>
    </row>
    <row r="142" spans="1:16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1"/>
      <c r="N142" s="22"/>
      <c r="O142" s="22"/>
      <c r="P142" s="12"/>
    </row>
    <row r="143" spans="1:16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1"/>
      <c r="N143" s="22"/>
      <c r="O143" s="22"/>
      <c r="P143" s="12"/>
    </row>
    <row r="144" spans="1:16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1"/>
      <c r="N144" s="22"/>
      <c r="O144" s="22"/>
      <c r="P144" s="12"/>
    </row>
    <row r="145" spans="1:16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1"/>
      <c r="N145" s="22"/>
      <c r="O145" s="22"/>
      <c r="P145" s="12"/>
    </row>
    <row r="146" spans="1:16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1"/>
      <c r="N146" s="22"/>
      <c r="O146" s="22"/>
      <c r="P146" s="12"/>
    </row>
    <row r="147" spans="1:16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1"/>
      <c r="N147" s="22"/>
      <c r="O147" s="22"/>
      <c r="P147" s="12"/>
    </row>
    <row r="148" spans="1:16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1"/>
      <c r="N148" s="22"/>
      <c r="O148" s="22"/>
      <c r="P148" s="12"/>
    </row>
    <row r="149" spans="1:16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1"/>
      <c r="N149" s="22"/>
      <c r="O149" s="22"/>
      <c r="P149" s="12"/>
    </row>
    <row r="150" spans="1:16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1"/>
      <c r="N150" s="22"/>
      <c r="O150" s="22"/>
      <c r="P150" s="12"/>
    </row>
    <row r="151" spans="1:16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1"/>
      <c r="N151" s="22"/>
      <c r="O151" s="22"/>
      <c r="P151" s="12"/>
    </row>
    <row r="152" spans="1:16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1"/>
      <c r="N152" s="22"/>
      <c r="O152" s="22"/>
      <c r="P152" s="12"/>
    </row>
    <row r="153" spans="1:16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1"/>
      <c r="N153" s="22"/>
      <c r="O153" s="22"/>
      <c r="P153" s="12"/>
    </row>
    <row r="154" spans="1:16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1"/>
      <c r="N154" s="22"/>
      <c r="O154" s="22"/>
      <c r="P154" s="12"/>
    </row>
    <row r="155" spans="1:16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1"/>
      <c r="N155" s="22"/>
      <c r="O155" s="22"/>
      <c r="P155" s="12"/>
    </row>
    <row r="156" spans="1:16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1"/>
      <c r="N156" s="22"/>
      <c r="O156" s="22"/>
      <c r="P156" s="12"/>
    </row>
    <row r="157" spans="1:16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1"/>
      <c r="N157" s="22"/>
      <c r="O157" s="22"/>
      <c r="P157" s="12"/>
    </row>
    <row r="158" spans="1:16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1"/>
      <c r="N158" s="22"/>
      <c r="O158" s="22"/>
      <c r="P158" s="12"/>
    </row>
    <row r="159" spans="1:16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1"/>
      <c r="N159" s="22"/>
      <c r="O159" s="22"/>
      <c r="P159" s="12"/>
    </row>
    <row r="160" spans="1:16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1"/>
      <c r="N160" s="22"/>
      <c r="O160" s="22"/>
      <c r="P160" s="12"/>
    </row>
    <row r="161" spans="1:16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1"/>
      <c r="N161" s="22"/>
      <c r="O161" s="22"/>
      <c r="P161" s="12"/>
    </row>
    <row r="162" spans="1:16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1"/>
      <c r="N162" s="22"/>
      <c r="O162" s="22"/>
      <c r="P162" s="12"/>
    </row>
    <row r="163" spans="1:16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1"/>
      <c r="N163" s="22"/>
      <c r="O163" s="22"/>
      <c r="P163" s="12"/>
    </row>
    <row r="164" spans="1:16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1"/>
      <c r="N164" s="22"/>
      <c r="O164" s="22"/>
      <c r="P164" s="12"/>
    </row>
    <row r="165" spans="1:16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1"/>
      <c r="N165" s="22"/>
      <c r="O165" s="22"/>
      <c r="P165" s="12"/>
    </row>
    <row r="166" spans="1:16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1"/>
      <c r="N166" s="22"/>
      <c r="O166" s="22"/>
      <c r="P166" s="12"/>
    </row>
    <row r="167" spans="1:16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1"/>
      <c r="N167" s="22"/>
      <c r="O167" s="22"/>
      <c r="P167" s="12"/>
    </row>
    <row r="168" spans="1:16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1"/>
      <c r="N168" s="22"/>
      <c r="O168" s="22"/>
      <c r="P168" s="12"/>
    </row>
    <row r="169" spans="1:16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1"/>
      <c r="N169" s="22"/>
      <c r="O169" s="22"/>
      <c r="P169" s="12"/>
    </row>
    <row r="170" spans="1:16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1"/>
      <c r="N170" s="22"/>
      <c r="O170" s="22"/>
      <c r="P170" s="12"/>
    </row>
    <row r="171" spans="1:16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1"/>
      <c r="N171" s="22"/>
      <c r="O171" s="22"/>
      <c r="P171" s="12"/>
    </row>
    <row r="172" spans="1:16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1"/>
      <c r="N172" s="22"/>
      <c r="O172" s="22"/>
      <c r="P172" s="12"/>
    </row>
    <row r="173" spans="1:16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1"/>
      <c r="N173" s="22"/>
      <c r="O173" s="22"/>
      <c r="P173" s="12"/>
    </row>
    <row r="174" spans="1:16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1"/>
      <c r="N174" s="22"/>
      <c r="O174" s="22"/>
      <c r="P174" s="12"/>
    </row>
    <row r="175" spans="1:16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1"/>
      <c r="N175" s="22"/>
      <c r="O175" s="22"/>
      <c r="P175" s="12"/>
    </row>
    <row r="176" spans="1:16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1"/>
      <c r="N176" s="22"/>
      <c r="O176" s="22"/>
      <c r="P176" s="12"/>
    </row>
    <row r="177" spans="1:16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1"/>
      <c r="N177" s="22"/>
      <c r="O177" s="22"/>
      <c r="P177" s="12"/>
    </row>
    <row r="178" spans="1:16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1"/>
      <c r="N178" s="22"/>
      <c r="O178" s="22"/>
      <c r="P178" s="12"/>
    </row>
    <row r="179" spans="1:16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1"/>
      <c r="N179" s="22"/>
      <c r="O179" s="22"/>
      <c r="P179" s="12"/>
    </row>
    <row r="180" spans="1:16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1"/>
      <c r="N180" s="22"/>
      <c r="O180" s="22"/>
      <c r="P180" s="12"/>
    </row>
    <row r="181" spans="1:16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1"/>
      <c r="N181" s="22"/>
      <c r="O181" s="22"/>
      <c r="P181" s="12"/>
    </row>
    <row r="182" spans="1:16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1"/>
      <c r="N182" s="22"/>
      <c r="O182" s="22"/>
      <c r="P182" s="12"/>
    </row>
    <row r="183" spans="1:16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1"/>
      <c r="N183" s="22"/>
      <c r="O183" s="22"/>
      <c r="P183" s="12"/>
    </row>
    <row r="184" spans="1:16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1"/>
      <c r="N184" s="22"/>
      <c r="O184" s="22"/>
      <c r="P184" s="12"/>
    </row>
    <row r="185" spans="1:16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1"/>
      <c r="N185" s="22"/>
      <c r="O185" s="22"/>
      <c r="P185" s="12"/>
    </row>
    <row r="186" spans="1:16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1"/>
      <c r="N186" s="22"/>
      <c r="O186" s="22"/>
      <c r="P186" s="12"/>
    </row>
    <row r="187" spans="1:16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1"/>
      <c r="N187" s="22"/>
      <c r="O187" s="22"/>
      <c r="P187" s="12"/>
    </row>
    <row r="188" spans="1:16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1"/>
      <c r="N188" s="22"/>
      <c r="O188" s="22"/>
      <c r="P188" s="12"/>
    </row>
    <row r="189" spans="1:16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1"/>
      <c r="N189" s="22"/>
      <c r="O189" s="22"/>
      <c r="P189" s="12"/>
    </row>
    <row r="190" spans="1:16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1"/>
      <c r="N190" s="22"/>
      <c r="O190" s="22"/>
      <c r="P190" s="12"/>
    </row>
    <row r="191" spans="1:16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1"/>
      <c r="N191" s="22"/>
      <c r="O191" s="22"/>
      <c r="P191" s="12"/>
    </row>
    <row r="192" spans="1:16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1"/>
      <c r="N192" s="22"/>
      <c r="O192" s="22"/>
      <c r="P192" s="12"/>
    </row>
    <row r="193" spans="1:16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1"/>
      <c r="N193" s="22"/>
      <c r="O193" s="22"/>
      <c r="P193" s="12"/>
    </row>
    <row r="194" spans="1:16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1"/>
      <c r="N194" s="22"/>
      <c r="O194" s="22"/>
      <c r="P194" s="12"/>
    </row>
    <row r="195" spans="1:16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1"/>
      <c r="N195" s="22"/>
      <c r="O195" s="22"/>
      <c r="P195" s="12"/>
    </row>
    <row r="196" spans="1:16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1"/>
      <c r="N196" s="22"/>
      <c r="O196" s="22"/>
      <c r="P196" s="12"/>
    </row>
    <row r="197" spans="1:16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1"/>
      <c r="N197" s="22"/>
      <c r="O197" s="22"/>
      <c r="P197" s="12"/>
    </row>
    <row r="198" spans="1:16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1"/>
      <c r="N198" s="22"/>
      <c r="O198" s="22"/>
      <c r="P198" s="12"/>
    </row>
    <row r="199" spans="1:16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1"/>
      <c r="N199" s="22"/>
      <c r="O199" s="22"/>
      <c r="P199" s="12"/>
    </row>
    <row r="200" spans="1:16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1"/>
      <c r="N200" s="22"/>
      <c r="O200" s="22"/>
      <c r="P200" s="12"/>
    </row>
    <row r="201" spans="1:16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1"/>
      <c r="N201" s="22"/>
      <c r="O201" s="22"/>
      <c r="P201" s="12"/>
    </row>
    <row r="202" spans="1:16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1"/>
      <c r="N202" s="22"/>
      <c r="O202" s="22"/>
      <c r="P202" s="12"/>
    </row>
    <row r="203" spans="1:16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1"/>
      <c r="N203" s="22"/>
      <c r="O203" s="22"/>
      <c r="P203" s="12"/>
    </row>
    <row r="204" spans="1:16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1"/>
      <c r="N204" s="22"/>
      <c r="O204" s="22"/>
      <c r="P204" s="12"/>
    </row>
    <row r="205" spans="1:16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1"/>
      <c r="N205" s="22"/>
      <c r="O205" s="22"/>
      <c r="P205" s="12"/>
    </row>
    <row r="206" spans="1:16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1"/>
      <c r="N206" s="22"/>
      <c r="O206" s="22"/>
      <c r="P206" s="12"/>
    </row>
    <row r="207" spans="1:16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1"/>
      <c r="N207" s="22"/>
      <c r="O207" s="22"/>
      <c r="P207" s="12"/>
    </row>
    <row r="208" spans="1:16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1"/>
      <c r="N208" s="22"/>
      <c r="O208" s="22"/>
      <c r="P208" s="12"/>
    </row>
    <row r="209" spans="1:16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1"/>
      <c r="N209" s="22"/>
      <c r="O209" s="22"/>
      <c r="P209" s="12"/>
    </row>
    <row r="210" spans="1:16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1"/>
      <c r="N210" s="22"/>
      <c r="O210" s="22"/>
      <c r="P210" s="12"/>
    </row>
    <row r="211" spans="1:16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1"/>
      <c r="N211" s="22"/>
      <c r="O211" s="22"/>
      <c r="P211" s="12"/>
    </row>
    <row r="212" spans="1:16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1"/>
      <c r="N212" s="22"/>
      <c r="O212" s="22"/>
      <c r="P212" s="12"/>
    </row>
    <row r="213" spans="1:16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1"/>
      <c r="N213" s="22"/>
      <c r="O213" s="22"/>
      <c r="P213" s="12"/>
    </row>
    <row r="214" spans="1:16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1"/>
      <c r="N214" s="22"/>
      <c r="O214" s="22"/>
      <c r="P214" s="12"/>
    </row>
    <row r="215" spans="1:16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1"/>
      <c r="N215" s="22"/>
      <c r="O215" s="22"/>
      <c r="P215" s="12"/>
    </row>
    <row r="216" spans="1:16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1"/>
      <c r="N216" s="22"/>
      <c r="O216" s="22"/>
      <c r="P216" s="12"/>
    </row>
    <row r="217" spans="1:16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1"/>
      <c r="N217" s="22"/>
      <c r="O217" s="22"/>
      <c r="P217" s="12"/>
    </row>
    <row r="218" spans="1:16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1"/>
      <c r="N218" s="22"/>
      <c r="O218" s="22"/>
      <c r="P218" s="12"/>
    </row>
    <row r="219" spans="1:16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1"/>
      <c r="N219" s="22"/>
      <c r="O219" s="22"/>
      <c r="P219" s="12"/>
    </row>
    <row r="220" spans="1:16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1"/>
      <c r="N220" s="22"/>
      <c r="O220" s="22"/>
      <c r="P220" s="12"/>
    </row>
    <row r="221" spans="1:16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1"/>
      <c r="N221" s="22"/>
      <c r="O221" s="22"/>
      <c r="P221" s="12"/>
    </row>
    <row r="222" spans="1:16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1"/>
      <c r="N222" s="22"/>
      <c r="O222" s="22"/>
      <c r="P222" s="12"/>
    </row>
    <row r="223" spans="1:16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1"/>
      <c r="N223" s="22"/>
      <c r="O223" s="22"/>
      <c r="P223" s="12"/>
    </row>
    <row r="224" spans="1:16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1"/>
      <c r="N224" s="22"/>
      <c r="O224" s="22"/>
      <c r="P224" s="12"/>
    </row>
    <row r="225" spans="1:16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1"/>
      <c r="N225" s="22"/>
      <c r="O225" s="22"/>
      <c r="P225" s="12"/>
    </row>
    <row r="226" spans="1:16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1"/>
      <c r="N226" s="22"/>
      <c r="O226" s="22"/>
      <c r="P226" s="12"/>
    </row>
    <row r="227" spans="1:16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1"/>
      <c r="N227" s="22"/>
      <c r="O227" s="22"/>
      <c r="P227" s="12"/>
    </row>
    <row r="228" spans="1:16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1"/>
      <c r="N228" s="22"/>
      <c r="O228" s="22"/>
      <c r="P228" s="12"/>
    </row>
    <row r="229" spans="1:16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1"/>
      <c r="N229" s="22"/>
      <c r="O229" s="22"/>
      <c r="P229" s="12"/>
    </row>
    <row r="230" spans="1:16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1"/>
      <c r="N230" s="22"/>
      <c r="O230" s="22"/>
      <c r="P230" s="12"/>
    </row>
    <row r="231" spans="1:16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1"/>
      <c r="N231" s="22"/>
      <c r="O231" s="22"/>
      <c r="P231" s="12"/>
    </row>
    <row r="232" spans="1:16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1"/>
      <c r="N232" s="22"/>
      <c r="O232" s="22"/>
      <c r="P232" s="12"/>
    </row>
    <row r="233" spans="1:16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1"/>
      <c r="N233" s="22"/>
      <c r="O233" s="22"/>
      <c r="P233" s="12"/>
    </row>
    <row r="234" spans="1:16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1"/>
      <c r="N234" s="22"/>
      <c r="O234" s="22"/>
      <c r="P234" s="12"/>
    </row>
    <row r="235" spans="1:16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1"/>
      <c r="N235" s="22"/>
      <c r="O235" s="22"/>
      <c r="P235" s="12"/>
    </row>
    <row r="236" spans="1:16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1"/>
      <c r="N236" s="22"/>
      <c r="O236" s="22"/>
      <c r="P236" s="12"/>
    </row>
    <row r="237" spans="1:16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1"/>
      <c r="N237" s="22"/>
      <c r="O237" s="22"/>
      <c r="P237" s="12"/>
    </row>
    <row r="238" spans="1:16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1"/>
      <c r="N238" s="22"/>
      <c r="O238" s="22"/>
      <c r="P238" s="12"/>
    </row>
    <row r="239" spans="1:16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1"/>
      <c r="N239" s="22"/>
      <c r="O239" s="22"/>
      <c r="P239" s="12"/>
    </row>
    <row r="240" spans="1:16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</sheetData>
  <mergeCells count="153">
    <mergeCell ref="A6:P6"/>
    <mergeCell ref="A7:E7"/>
    <mergeCell ref="F7:P7"/>
    <mergeCell ref="F8:G8"/>
    <mergeCell ref="H8:K8"/>
    <mergeCell ref="L8:M8"/>
    <mergeCell ref="N8:O8"/>
    <mergeCell ref="K16:L16"/>
    <mergeCell ref="M16:N16"/>
    <mergeCell ref="C16:G16"/>
    <mergeCell ref="H16:J16"/>
    <mergeCell ref="A8:E8"/>
    <mergeCell ref="A9:E9"/>
    <mergeCell ref="F9:G9"/>
    <mergeCell ref="H9:K9"/>
    <mergeCell ref="L9:M9"/>
    <mergeCell ref="N9:O9"/>
    <mergeCell ref="A10:P10"/>
    <mergeCell ref="A11:M11"/>
    <mergeCell ref="N11:O11"/>
    <mergeCell ref="A12:M12"/>
    <mergeCell ref="N12:O12"/>
    <mergeCell ref="A14:P14"/>
    <mergeCell ref="A15:P15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16:B16"/>
    <mergeCell ref="O16:P16"/>
    <mergeCell ref="A18:B18"/>
    <mergeCell ref="A19:B19"/>
    <mergeCell ref="C19:G19"/>
    <mergeCell ref="H19:J19"/>
    <mergeCell ref="K19:L19"/>
    <mergeCell ref="M19:N19"/>
    <mergeCell ref="O19:P19"/>
    <mergeCell ref="A17:B17"/>
    <mergeCell ref="C17:G17"/>
    <mergeCell ref="H17:J17"/>
    <mergeCell ref="C18:G18"/>
    <mergeCell ref="H18:J18"/>
    <mergeCell ref="K17:L17"/>
    <mergeCell ref="M17:N17"/>
    <mergeCell ref="O17:P17"/>
    <mergeCell ref="K18:L18"/>
    <mergeCell ref="M18:N18"/>
    <mergeCell ref="O18:P18"/>
    <mergeCell ref="C24:G24"/>
    <mergeCell ref="H24:J24"/>
    <mergeCell ref="K24:L24"/>
    <mergeCell ref="M24:N24"/>
    <mergeCell ref="O24:P24"/>
    <mergeCell ref="H25:J25"/>
    <mergeCell ref="O25:P25"/>
    <mergeCell ref="C25:G25"/>
    <mergeCell ref="C26:G26"/>
    <mergeCell ref="H26:J26"/>
    <mergeCell ref="K26:L26"/>
    <mergeCell ref="M26:N26"/>
    <mergeCell ref="O26:P26"/>
    <mergeCell ref="K25:L25"/>
    <mergeCell ref="M25:N25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29:B29"/>
    <mergeCell ref="C30:G30"/>
    <mergeCell ref="H30:J30"/>
    <mergeCell ref="K30:L30"/>
    <mergeCell ref="M30:N30"/>
    <mergeCell ref="O30:P30"/>
    <mergeCell ref="C31:G31"/>
    <mergeCell ref="M31:N31"/>
    <mergeCell ref="O31:P31"/>
    <mergeCell ref="C27:G27"/>
    <mergeCell ref="M27:N27"/>
    <mergeCell ref="O27:P27"/>
    <mergeCell ref="M28:N28"/>
    <mergeCell ref="O28:P28"/>
    <mergeCell ref="M29:N29"/>
    <mergeCell ref="O29:P29"/>
    <mergeCell ref="H27:J27"/>
    <mergeCell ref="K27:L27"/>
    <mergeCell ref="C28:G28"/>
    <mergeCell ref="H28:J28"/>
    <mergeCell ref="K28:L28"/>
    <mergeCell ref="H29:J29"/>
    <mergeCell ref="K29:L29"/>
    <mergeCell ref="C29:G29"/>
    <mergeCell ref="C32:G32"/>
    <mergeCell ref="H32:J32"/>
    <mergeCell ref="K32:L32"/>
    <mergeCell ref="M32:N32"/>
    <mergeCell ref="O32:P32"/>
    <mergeCell ref="H33:J33"/>
    <mergeCell ref="O33:P33"/>
    <mergeCell ref="H31:J31"/>
    <mergeCell ref="K31:L31"/>
    <mergeCell ref="K37:L37"/>
    <mergeCell ref="K38:L38"/>
    <mergeCell ref="K39:L39"/>
    <mergeCell ref="A38:C38"/>
    <mergeCell ref="A39:C39"/>
    <mergeCell ref="D39:J39"/>
    <mergeCell ref="M39:P39"/>
    <mergeCell ref="C33:G33"/>
    <mergeCell ref="A34:P35"/>
    <mergeCell ref="A36:P36"/>
    <mergeCell ref="A37:C37"/>
    <mergeCell ref="D37:G37"/>
    <mergeCell ref="M37:P37"/>
    <mergeCell ref="M38:P38"/>
    <mergeCell ref="K33:L33"/>
    <mergeCell ref="M33:N33"/>
    <mergeCell ref="K21:L21"/>
    <mergeCell ref="M21:N21"/>
    <mergeCell ref="K22:L22"/>
    <mergeCell ref="M22:N22"/>
    <mergeCell ref="O22:P22"/>
    <mergeCell ref="K23:L23"/>
    <mergeCell ref="M23:N23"/>
    <mergeCell ref="O23:P23"/>
    <mergeCell ref="A20:B20"/>
    <mergeCell ref="C20:G20"/>
    <mergeCell ref="H20:J20"/>
    <mergeCell ref="K20:L20"/>
    <mergeCell ref="M20:N20"/>
    <mergeCell ref="O20:P20"/>
    <mergeCell ref="A21:B21"/>
    <mergeCell ref="O21:P21"/>
    <mergeCell ref="C21:G21"/>
    <mergeCell ref="H21:J21"/>
    <mergeCell ref="A22:B22"/>
    <mergeCell ref="C22:G22"/>
    <mergeCell ref="H22:J22"/>
    <mergeCell ref="C23:G23"/>
    <mergeCell ref="H23:J23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5" customHeight="1" x14ac:dyDescent="0.45">
      <c r="A1" s="241"/>
      <c r="B1" s="201"/>
      <c r="C1" s="255"/>
      <c r="D1" s="277" t="s">
        <v>0</v>
      </c>
      <c r="E1" s="201"/>
      <c r="F1" s="201"/>
      <c r="G1" s="201"/>
      <c r="H1" s="201"/>
      <c r="I1" s="201"/>
      <c r="J1" s="201"/>
      <c r="K1" s="201"/>
      <c r="L1" s="255"/>
      <c r="M1" s="261" t="s">
        <v>1</v>
      </c>
      <c r="N1" s="230"/>
      <c r="O1" s="261" t="s">
        <v>181</v>
      </c>
      <c r="P1" s="212"/>
    </row>
    <row r="2" spans="1:19" ht="15" customHeight="1" x14ac:dyDescent="0.45">
      <c r="A2" s="244"/>
      <c r="B2" s="203"/>
      <c r="C2" s="232"/>
      <c r="D2" s="267"/>
      <c r="E2" s="195"/>
      <c r="F2" s="195"/>
      <c r="G2" s="195"/>
      <c r="H2" s="195"/>
      <c r="I2" s="195"/>
      <c r="J2" s="195"/>
      <c r="K2" s="195"/>
      <c r="L2" s="252"/>
      <c r="M2" s="268" t="s">
        <v>3</v>
      </c>
      <c r="N2" s="252"/>
      <c r="O2" s="269">
        <v>1</v>
      </c>
      <c r="P2" s="215"/>
    </row>
    <row r="3" spans="1:19" ht="15" customHeight="1" x14ac:dyDescent="0.45">
      <c r="A3" s="244"/>
      <c r="B3" s="203"/>
      <c r="C3" s="232"/>
      <c r="D3" s="320"/>
      <c r="E3" s="193"/>
      <c r="F3" s="193"/>
      <c r="G3" s="193"/>
      <c r="H3" s="193"/>
      <c r="I3" s="193"/>
      <c r="J3" s="193"/>
      <c r="K3" s="193"/>
      <c r="L3" s="215"/>
      <c r="M3" s="268" t="s">
        <v>5</v>
      </c>
      <c r="N3" s="252"/>
      <c r="O3" s="235" t="s">
        <v>6</v>
      </c>
      <c r="P3" s="187"/>
    </row>
    <row r="4" spans="1:19" ht="15" customHeight="1" x14ac:dyDescent="0.45">
      <c r="A4" s="244"/>
      <c r="B4" s="203"/>
      <c r="C4" s="232"/>
      <c r="D4" s="266"/>
      <c r="E4" s="203"/>
      <c r="F4" s="203"/>
      <c r="G4" s="203"/>
      <c r="H4" s="203"/>
      <c r="I4" s="203"/>
      <c r="J4" s="203"/>
      <c r="K4" s="203"/>
      <c r="L4" s="238"/>
      <c r="M4" s="223" t="s">
        <v>7</v>
      </c>
      <c r="N4" s="224"/>
      <c r="O4" s="242" t="s">
        <v>8</v>
      </c>
      <c r="P4" s="187"/>
    </row>
    <row r="5" spans="1:19" ht="15.75" customHeight="1" x14ac:dyDescent="0.45">
      <c r="A5" s="276"/>
      <c r="B5" s="195"/>
      <c r="C5" s="252"/>
      <c r="D5" s="267"/>
      <c r="E5" s="195"/>
      <c r="F5" s="195"/>
      <c r="G5" s="195"/>
      <c r="H5" s="195"/>
      <c r="I5" s="195"/>
      <c r="J5" s="195"/>
      <c r="K5" s="195"/>
      <c r="L5" s="321"/>
      <c r="M5" s="267"/>
      <c r="N5" s="252"/>
      <c r="O5" s="243" t="s">
        <v>9</v>
      </c>
      <c r="P5" s="187"/>
      <c r="Q5" s="12"/>
      <c r="R5" s="12"/>
      <c r="S5" s="12"/>
    </row>
    <row r="6" spans="1:19" ht="12" customHeight="1" x14ac:dyDescent="0.5">
      <c r="A6" s="307"/>
      <c r="B6" s="228"/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61"/>
      <c r="R6" s="61"/>
      <c r="S6" s="61"/>
    </row>
    <row r="7" spans="1:19" ht="36" customHeight="1" x14ac:dyDescent="0.45">
      <c r="A7" s="314" t="s">
        <v>10</v>
      </c>
      <c r="B7" s="211"/>
      <c r="C7" s="211"/>
      <c r="D7" s="211"/>
      <c r="E7" s="230"/>
      <c r="F7" s="191" t="str">
        <f>'LISTA CHEQUEO'!F7</f>
        <v>LIMPIADOR ILUMINADOR ACIDO KOJICO</v>
      </c>
      <c r="G7" s="186"/>
      <c r="H7" s="186"/>
      <c r="I7" s="186"/>
      <c r="J7" s="186"/>
      <c r="K7" s="186"/>
      <c r="L7" s="186"/>
      <c r="M7" s="186"/>
      <c r="N7" s="186"/>
      <c r="O7" s="186"/>
      <c r="P7" s="187"/>
      <c r="Q7" s="12"/>
      <c r="R7" s="12"/>
      <c r="S7" s="12"/>
    </row>
    <row r="8" spans="1:19" ht="36" customHeight="1" x14ac:dyDescent="0.45">
      <c r="A8" s="319" t="s">
        <v>55</v>
      </c>
      <c r="B8" s="193"/>
      <c r="C8" s="193"/>
      <c r="D8" s="193"/>
      <c r="E8" s="224"/>
      <c r="F8" s="315" t="str">
        <f>'LISTA CHEQUEO'!F8</f>
        <v>252601</v>
      </c>
      <c r="G8" s="189"/>
      <c r="H8" s="316" t="s">
        <v>182</v>
      </c>
      <c r="I8" s="186"/>
      <c r="J8" s="186"/>
      <c r="K8" s="189"/>
      <c r="L8" s="62"/>
      <c r="M8" s="317" t="s">
        <v>183</v>
      </c>
      <c r="N8" s="189"/>
      <c r="O8" s="318"/>
      <c r="P8" s="187"/>
      <c r="Q8" s="12"/>
      <c r="R8" s="12"/>
      <c r="S8" s="12"/>
    </row>
    <row r="9" spans="1:19" ht="36" customHeight="1" x14ac:dyDescent="0.45">
      <c r="A9" s="309" t="s">
        <v>162</v>
      </c>
      <c r="B9" s="206"/>
      <c r="C9" s="206"/>
      <c r="D9" s="206"/>
      <c r="E9" s="207"/>
      <c r="F9" s="310" t="str">
        <f>'LISTA CHEQUEO'!M8</f>
        <v>OP-SS-128</v>
      </c>
      <c r="G9" s="224"/>
      <c r="H9" s="311" t="s">
        <v>184</v>
      </c>
      <c r="I9" s="206"/>
      <c r="J9" s="206"/>
      <c r="K9" s="207"/>
      <c r="L9" s="63"/>
      <c r="M9" s="312" t="s">
        <v>185</v>
      </c>
      <c r="N9" s="207"/>
      <c r="O9" s="313"/>
      <c r="P9" s="209"/>
      <c r="Q9" s="12"/>
      <c r="R9" s="12"/>
      <c r="S9" s="12"/>
    </row>
    <row r="10" spans="1:19" ht="12" customHeight="1" x14ac:dyDescent="0.45">
      <c r="A10" s="227"/>
      <c r="B10" s="228"/>
      <c r="C10" s="228"/>
      <c r="D10" s="228"/>
      <c r="E10" s="228"/>
      <c r="F10" s="228"/>
      <c r="G10" s="228"/>
      <c r="H10" s="228"/>
      <c r="I10" s="228"/>
      <c r="J10" s="228"/>
      <c r="K10" s="228"/>
      <c r="L10" s="228"/>
      <c r="M10" s="228"/>
      <c r="N10" s="228"/>
      <c r="O10" s="228"/>
      <c r="P10" s="228"/>
      <c r="Q10" s="12"/>
      <c r="R10" s="12"/>
      <c r="S10" s="12"/>
    </row>
    <row r="11" spans="1:19" ht="39" customHeight="1" x14ac:dyDescent="0.45">
      <c r="A11" s="291" t="s">
        <v>165</v>
      </c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9"/>
      <c r="N11" s="256" t="s">
        <v>166</v>
      </c>
      <c r="O11" s="189"/>
      <c r="P11" s="53" t="s">
        <v>167</v>
      </c>
      <c r="Q11" s="12"/>
      <c r="R11" s="12"/>
      <c r="S11" s="12"/>
    </row>
    <row r="12" spans="1:19" ht="45" customHeight="1" x14ac:dyDescent="0.45">
      <c r="A12" s="213" t="s">
        <v>168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9"/>
      <c r="N12" s="250"/>
      <c r="O12" s="189"/>
      <c r="P12" s="54"/>
      <c r="Q12" s="12"/>
      <c r="R12" s="12"/>
      <c r="S12" s="12"/>
    </row>
    <row r="13" spans="1:19" ht="12" customHeight="1" x14ac:dyDescent="0.45">
      <c r="A13" s="307"/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  <c r="P13" s="240"/>
      <c r="Q13" s="12"/>
      <c r="R13" s="12"/>
      <c r="S13" s="12"/>
    </row>
    <row r="14" spans="1:19" ht="36" customHeight="1" x14ac:dyDescent="0.45">
      <c r="A14" s="308" t="s">
        <v>186</v>
      </c>
      <c r="B14" s="201"/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17"/>
      <c r="Q14" s="12"/>
      <c r="R14" s="12"/>
      <c r="S14" s="12"/>
    </row>
    <row r="15" spans="1:19" ht="117.75" customHeight="1" x14ac:dyDescent="0.45">
      <c r="A15" s="305" t="s">
        <v>187</v>
      </c>
      <c r="B15" s="228"/>
      <c r="C15" s="228"/>
      <c r="D15" s="228"/>
      <c r="E15" s="228"/>
      <c r="F15" s="228"/>
      <c r="G15" s="228"/>
      <c r="H15" s="228"/>
      <c r="I15" s="228"/>
      <c r="J15" s="228"/>
      <c r="K15" s="228"/>
      <c r="L15" s="228"/>
      <c r="M15" s="228"/>
      <c r="N15" s="228"/>
      <c r="O15" s="228"/>
      <c r="P15" s="240"/>
      <c r="Q15" s="12"/>
      <c r="R15" s="12"/>
      <c r="S15" s="12"/>
    </row>
    <row r="16" spans="1:19" ht="130.5" customHeight="1" x14ac:dyDescent="0.45">
      <c r="A16" s="305" t="s">
        <v>188</v>
      </c>
      <c r="B16" s="228"/>
      <c r="C16" s="228"/>
      <c r="D16" s="228"/>
      <c r="E16" s="228"/>
      <c r="F16" s="228"/>
      <c r="G16" s="228"/>
      <c r="H16" s="228"/>
      <c r="I16" s="228"/>
      <c r="J16" s="228"/>
      <c r="K16" s="228"/>
      <c r="L16" s="228"/>
      <c r="M16" s="228"/>
      <c r="N16" s="228"/>
      <c r="O16" s="228"/>
      <c r="P16" s="240"/>
      <c r="Q16" s="12"/>
      <c r="R16" s="12"/>
      <c r="S16" s="12"/>
    </row>
    <row r="17" spans="1:19" ht="115.5" customHeight="1" x14ac:dyDescent="0.45">
      <c r="A17" s="305" t="s">
        <v>189</v>
      </c>
      <c r="B17" s="228"/>
      <c r="C17" s="228"/>
      <c r="D17" s="228"/>
      <c r="E17" s="228"/>
      <c r="F17" s="228"/>
      <c r="G17" s="228"/>
      <c r="H17" s="228"/>
      <c r="I17" s="228"/>
      <c r="J17" s="228"/>
      <c r="K17" s="228"/>
      <c r="L17" s="228"/>
      <c r="M17" s="228"/>
      <c r="N17" s="228"/>
      <c r="O17" s="228"/>
      <c r="P17" s="240"/>
      <c r="Q17" s="12"/>
      <c r="R17" s="12"/>
      <c r="S17" s="12"/>
    </row>
    <row r="18" spans="1:19" ht="88.5" customHeight="1" x14ac:dyDescent="0.45">
      <c r="A18" s="305" t="s">
        <v>190</v>
      </c>
      <c r="B18" s="228"/>
      <c r="C18" s="228"/>
      <c r="D18" s="228"/>
      <c r="E18" s="228"/>
      <c r="F18" s="228"/>
      <c r="G18" s="228"/>
      <c r="H18" s="228"/>
      <c r="I18" s="228"/>
      <c r="J18" s="228"/>
      <c r="K18" s="228"/>
      <c r="L18" s="228"/>
      <c r="M18" s="228"/>
      <c r="N18" s="228"/>
      <c r="O18" s="228"/>
      <c r="P18" s="240"/>
      <c r="Q18" s="12"/>
      <c r="R18" s="12"/>
      <c r="S18" s="12"/>
    </row>
    <row r="19" spans="1:19" ht="109.5" customHeight="1" x14ac:dyDescent="0.45">
      <c r="A19" s="305" t="s">
        <v>191</v>
      </c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40"/>
      <c r="Q19" s="12"/>
      <c r="R19" s="12"/>
      <c r="S19" s="12"/>
    </row>
    <row r="20" spans="1:19" ht="105.75" customHeight="1" x14ac:dyDescent="0.45">
      <c r="A20" s="305" t="s">
        <v>192</v>
      </c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40"/>
      <c r="Q20" s="12"/>
      <c r="R20" s="12"/>
      <c r="S20" s="12"/>
    </row>
    <row r="21" spans="1:19" ht="49.5" customHeight="1" x14ac:dyDescent="0.45">
      <c r="A21" s="306" t="s">
        <v>193</v>
      </c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40"/>
      <c r="Q21" s="12"/>
      <c r="R21" s="12"/>
      <c r="S21" s="12"/>
    </row>
    <row r="22" spans="1:19" ht="48.75" customHeight="1" x14ac:dyDescent="0.45">
      <c r="A22" s="305" t="s">
        <v>194</v>
      </c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40"/>
      <c r="Q22" s="12"/>
      <c r="R22" s="12"/>
      <c r="S22" s="12"/>
    </row>
    <row r="23" spans="1:19" ht="30.75" customHeight="1" x14ac:dyDescent="0.45">
      <c r="A23" s="323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46"/>
      <c r="Q23" s="12"/>
      <c r="R23" s="12"/>
      <c r="S23" s="12"/>
    </row>
    <row r="24" spans="1:19" ht="27.75" customHeight="1" x14ac:dyDescent="0.45">
      <c r="A24" s="324" t="s">
        <v>195</v>
      </c>
      <c r="B24" s="201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17"/>
      <c r="Q24" s="12"/>
      <c r="R24" s="12"/>
      <c r="S24" s="12"/>
    </row>
    <row r="25" spans="1:19" ht="27.75" customHeight="1" x14ac:dyDescent="0.45">
      <c r="A25" s="218"/>
      <c r="B25" s="198"/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9"/>
      <c r="Q25" s="12"/>
      <c r="R25" s="12"/>
      <c r="S25" s="12"/>
    </row>
    <row r="26" spans="1:19" ht="12" customHeight="1" x14ac:dyDescent="0.5">
      <c r="A26" s="325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46"/>
      <c r="Q26" s="61"/>
      <c r="R26" s="61"/>
      <c r="S26" s="61"/>
    </row>
    <row r="27" spans="1:19" ht="36" customHeight="1" x14ac:dyDescent="0.45">
      <c r="A27" s="326" t="s">
        <v>196</v>
      </c>
      <c r="B27" s="211"/>
      <c r="C27" s="230"/>
      <c r="D27" s="327"/>
      <c r="E27" s="211"/>
      <c r="F27" s="211"/>
      <c r="G27" s="211"/>
      <c r="H27" s="64"/>
      <c r="I27" s="64"/>
      <c r="J27" s="64"/>
      <c r="K27" s="329" t="s">
        <v>178</v>
      </c>
      <c r="L27" s="230"/>
      <c r="M27" s="327"/>
      <c r="N27" s="211"/>
      <c r="O27" s="211"/>
      <c r="P27" s="212"/>
      <c r="Q27" s="12"/>
      <c r="R27" s="12"/>
      <c r="S27" s="12"/>
    </row>
    <row r="28" spans="1:19" ht="36" customHeight="1" x14ac:dyDescent="0.45">
      <c r="A28" s="332" t="s">
        <v>179</v>
      </c>
      <c r="B28" s="186"/>
      <c r="C28" s="189"/>
      <c r="D28" s="65"/>
      <c r="E28" s="65"/>
      <c r="F28" s="65"/>
      <c r="G28" s="65"/>
      <c r="H28" s="66"/>
      <c r="I28" s="66"/>
      <c r="J28" s="66"/>
      <c r="K28" s="330" t="s">
        <v>179</v>
      </c>
      <c r="L28" s="189"/>
      <c r="M28" s="328"/>
      <c r="N28" s="186"/>
      <c r="O28" s="186"/>
      <c r="P28" s="187"/>
      <c r="Q28" s="12"/>
      <c r="R28" s="12"/>
      <c r="S28" s="12"/>
    </row>
    <row r="29" spans="1:19" ht="36" customHeight="1" x14ac:dyDescent="0.45">
      <c r="A29" s="333" t="s">
        <v>180</v>
      </c>
      <c r="B29" s="206"/>
      <c r="C29" s="207"/>
      <c r="D29" s="322"/>
      <c r="E29" s="206"/>
      <c r="F29" s="206"/>
      <c r="G29" s="206"/>
      <c r="H29" s="206"/>
      <c r="I29" s="206"/>
      <c r="J29" s="207"/>
      <c r="K29" s="331" t="s">
        <v>180</v>
      </c>
      <c r="L29" s="207"/>
      <c r="M29" s="322"/>
      <c r="N29" s="206"/>
      <c r="O29" s="206"/>
      <c r="P29" s="209"/>
      <c r="Q29" s="12"/>
      <c r="R29" s="12"/>
      <c r="S29" s="12"/>
    </row>
    <row r="30" spans="1:19" ht="18.75" customHeight="1" x14ac:dyDescent="0.45">
      <c r="A30" s="67"/>
      <c r="B30" s="67"/>
      <c r="C30" s="67"/>
      <c r="D30" s="68"/>
      <c r="E30" s="68"/>
      <c r="F30" s="68"/>
      <c r="G30" s="68"/>
      <c r="H30" s="68"/>
      <c r="I30" s="68"/>
      <c r="J30" s="68"/>
      <c r="K30" s="67"/>
      <c r="L30" s="67"/>
      <c r="M30" s="68"/>
      <c r="N30" s="68"/>
      <c r="O30" s="68"/>
      <c r="P30" s="68"/>
      <c r="Q30" s="12"/>
      <c r="R30" s="12"/>
      <c r="S30" s="12"/>
    </row>
    <row r="31" spans="1:19" ht="15.75" customHeight="1" x14ac:dyDescent="0.4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21"/>
      <c r="N31" s="22"/>
      <c r="O31" s="22"/>
      <c r="P31" s="12"/>
      <c r="Q31" s="12"/>
      <c r="R31" s="12"/>
      <c r="S31" s="12"/>
    </row>
    <row r="32" spans="1:19" ht="15.75" customHeight="1" x14ac:dyDescent="0.4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21"/>
      <c r="N32" s="22"/>
      <c r="O32" s="22"/>
      <c r="P32" s="12"/>
      <c r="Q32" s="12"/>
      <c r="R32" s="12"/>
      <c r="S32" s="12"/>
    </row>
    <row r="33" spans="1:19" ht="15.75" customHeight="1" x14ac:dyDescent="0.4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21"/>
      <c r="N33" s="22"/>
      <c r="O33" s="22"/>
      <c r="P33" s="12"/>
      <c r="Q33" s="12"/>
      <c r="R33" s="12"/>
      <c r="S33" s="12"/>
    </row>
    <row r="34" spans="1:19" ht="15.75" customHeight="1" x14ac:dyDescent="0.4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21"/>
      <c r="N34" s="22"/>
      <c r="O34" s="22"/>
      <c r="P34" s="12"/>
      <c r="Q34" s="12"/>
      <c r="R34" s="12"/>
      <c r="S34" s="12"/>
    </row>
    <row r="35" spans="1:19" ht="15.75" customHeight="1" x14ac:dyDescent="0.4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1"/>
      <c r="N35" s="22"/>
      <c r="O35" s="22"/>
      <c r="P35" s="12"/>
      <c r="Q35" s="12"/>
      <c r="R35" s="12"/>
      <c r="S35" s="12"/>
    </row>
    <row r="36" spans="1:19" ht="15.75" customHeight="1" x14ac:dyDescent="0.4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21"/>
      <c r="N36" s="22"/>
      <c r="O36" s="22"/>
      <c r="P36" s="12"/>
      <c r="Q36" s="12"/>
      <c r="R36" s="12"/>
      <c r="S36" s="12"/>
    </row>
    <row r="37" spans="1:19" ht="15.75" customHeight="1" x14ac:dyDescent="0.4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21"/>
      <c r="N37" s="22"/>
      <c r="O37" s="22"/>
      <c r="P37" s="12"/>
      <c r="Q37" s="12"/>
      <c r="R37" s="12"/>
      <c r="S37" s="12"/>
    </row>
    <row r="38" spans="1:19" ht="15.75" customHeight="1" x14ac:dyDescent="0.4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21"/>
      <c r="N38" s="22"/>
      <c r="O38" s="22"/>
      <c r="P38" s="12"/>
      <c r="Q38" s="12"/>
      <c r="R38" s="12"/>
      <c r="S38" s="12"/>
    </row>
    <row r="39" spans="1:19" ht="15.75" customHeight="1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1"/>
      <c r="N39" s="22"/>
      <c r="O39" s="22"/>
      <c r="P39" s="12"/>
      <c r="Q39" s="12"/>
      <c r="R39" s="12"/>
      <c r="S39" s="12"/>
    </row>
    <row r="40" spans="1:19" ht="15.75" customHeight="1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1"/>
      <c r="N40" s="22"/>
      <c r="O40" s="22"/>
      <c r="P40" s="12"/>
      <c r="Q40" s="12"/>
      <c r="R40" s="12"/>
      <c r="S40" s="12"/>
    </row>
    <row r="41" spans="1:19" ht="15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1"/>
      <c r="N41" s="22"/>
      <c r="O41" s="22"/>
      <c r="P41" s="12"/>
      <c r="Q41" s="12"/>
      <c r="R41" s="12"/>
      <c r="S41" s="12"/>
    </row>
    <row r="42" spans="1:19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1"/>
      <c r="N42" s="22"/>
      <c r="O42" s="22"/>
      <c r="P42" s="12"/>
      <c r="Q42" s="12"/>
      <c r="R42" s="12"/>
      <c r="S42" s="12"/>
    </row>
    <row r="43" spans="1:19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1"/>
      <c r="N43" s="22"/>
      <c r="O43" s="22"/>
      <c r="P43" s="12"/>
      <c r="Q43" s="12"/>
      <c r="R43" s="12"/>
      <c r="S43" s="12"/>
    </row>
    <row r="44" spans="1:19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1"/>
      <c r="N44" s="22"/>
      <c r="O44" s="22"/>
      <c r="P44" s="12"/>
      <c r="Q44" s="12"/>
      <c r="R44" s="12"/>
      <c r="S44" s="12"/>
    </row>
    <row r="45" spans="1:19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1"/>
      <c r="N45" s="22"/>
      <c r="O45" s="22"/>
      <c r="P45" s="12"/>
      <c r="Q45" s="12"/>
      <c r="R45" s="12"/>
      <c r="S45" s="12"/>
    </row>
    <row r="46" spans="1:19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1"/>
      <c r="N46" s="22"/>
      <c r="O46" s="22"/>
      <c r="P46" s="12"/>
      <c r="Q46" s="12"/>
      <c r="R46" s="12"/>
      <c r="S46" s="12"/>
    </row>
    <row r="47" spans="1:19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1"/>
      <c r="N47" s="22"/>
      <c r="O47" s="22"/>
      <c r="P47" s="12"/>
      <c r="Q47" s="12"/>
      <c r="R47" s="12"/>
      <c r="S47" s="12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1"/>
      <c r="N48" s="22"/>
      <c r="O48" s="22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1"/>
      <c r="N49" s="22"/>
      <c r="O49" s="22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1"/>
      <c r="N50" s="22"/>
      <c r="O50" s="22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1"/>
      <c r="N51" s="22"/>
      <c r="O51" s="22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1"/>
      <c r="N52" s="22"/>
      <c r="O52" s="22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1"/>
      <c r="N53" s="22"/>
      <c r="O53" s="22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1"/>
      <c r="N54" s="22"/>
      <c r="O54" s="22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1"/>
      <c r="N55" s="22"/>
      <c r="O55" s="22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1"/>
      <c r="N56" s="22"/>
      <c r="O56" s="22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1"/>
      <c r="N57" s="22"/>
      <c r="O57" s="22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1"/>
      <c r="N58" s="22"/>
      <c r="O58" s="22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1"/>
      <c r="N59" s="22"/>
      <c r="O59" s="22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1"/>
      <c r="N60" s="22"/>
      <c r="O60" s="22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1"/>
      <c r="N61" s="22"/>
      <c r="O61" s="22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1"/>
      <c r="N62" s="22"/>
      <c r="O62" s="22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1"/>
      <c r="N63" s="22"/>
      <c r="O63" s="22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1"/>
      <c r="N64" s="22"/>
      <c r="O64" s="22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1"/>
      <c r="N65" s="22"/>
      <c r="O65" s="22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1"/>
      <c r="N66" s="22"/>
      <c r="O66" s="22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1"/>
      <c r="N67" s="22"/>
      <c r="O67" s="22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1"/>
      <c r="N68" s="22"/>
      <c r="O68" s="22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1"/>
      <c r="N69" s="22"/>
      <c r="O69" s="22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1"/>
      <c r="N70" s="22"/>
      <c r="O70" s="22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1"/>
      <c r="N71" s="22"/>
      <c r="O71" s="22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1"/>
      <c r="N72" s="22"/>
      <c r="O72" s="22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1"/>
      <c r="N73" s="22"/>
      <c r="O73" s="22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1"/>
      <c r="N74" s="22"/>
      <c r="O74" s="22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1"/>
      <c r="N75" s="22"/>
      <c r="O75" s="22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1"/>
      <c r="N76" s="22"/>
      <c r="O76" s="22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1"/>
      <c r="N77" s="22"/>
      <c r="O77" s="22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1"/>
      <c r="N78" s="22"/>
      <c r="O78" s="22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1"/>
      <c r="N79" s="22"/>
      <c r="O79" s="22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1"/>
      <c r="N80" s="22"/>
      <c r="O80" s="22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1"/>
      <c r="N81" s="22"/>
      <c r="O81" s="22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1"/>
      <c r="N82" s="22"/>
      <c r="O82" s="22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1"/>
      <c r="N83" s="22"/>
      <c r="O83" s="22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1"/>
      <c r="N84" s="22"/>
      <c r="O84" s="22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1"/>
      <c r="N85" s="22"/>
      <c r="O85" s="22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1"/>
      <c r="N86" s="22"/>
      <c r="O86" s="22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1"/>
      <c r="N87" s="22"/>
      <c r="O87" s="22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1"/>
      <c r="N88" s="22"/>
      <c r="O88" s="22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1"/>
      <c r="N89" s="22"/>
      <c r="O89" s="22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1"/>
      <c r="N90" s="22"/>
      <c r="O90" s="22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1"/>
      <c r="N91" s="22"/>
      <c r="O91" s="22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1"/>
      <c r="N92" s="22"/>
      <c r="O92" s="22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1"/>
      <c r="N93" s="22"/>
      <c r="O93" s="22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1"/>
      <c r="N94" s="22"/>
      <c r="O94" s="22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1"/>
      <c r="N95" s="22"/>
      <c r="O95" s="22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1"/>
      <c r="N96" s="22"/>
      <c r="O96" s="22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1"/>
      <c r="N97" s="22"/>
      <c r="O97" s="22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1"/>
      <c r="N98" s="22"/>
      <c r="O98" s="22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1"/>
      <c r="N99" s="22"/>
      <c r="O99" s="22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1"/>
      <c r="N100" s="22"/>
      <c r="O100" s="22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1"/>
      <c r="N101" s="22"/>
      <c r="O101" s="22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1"/>
      <c r="N102" s="22"/>
      <c r="O102" s="22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1"/>
      <c r="N103" s="22"/>
      <c r="O103" s="22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1"/>
      <c r="N104" s="22"/>
      <c r="O104" s="22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1"/>
      <c r="N105" s="22"/>
      <c r="O105" s="22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1"/>
      <c r="N106" s="22"/>
      <c r="O106" s="22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1"/>
      <c r="N107" s="22"/>
      <c r="O107" s="22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1"/>
      <c r="N108" s="22"/>
      <c r="O108" s="22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1"/>
      <c r="N109" s="22"/>
      <c r="O109" s="22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1"/>
      <c r="N110" s="22"/>
      <c r="O110" s="22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1"/>
      <c r="N111" s="22"/>
      <c r="O111" s="22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1"/>
      <c r="N112" s="22"/>
      <c r="O112" s="22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1"/>
      <c r="N113" s="22"/>
      <c r="O113" s="22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1"/>
      <c r="N114" s="22"/>
      <c r="O114" s="22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1"/>
      <c r="N115" s="22"/>
      <c r="O115" s="22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1"/>
      <c r="N116" s="22"/>
      <c r="O116" s="22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1"/>
      <c r="N117" s="22"/>
      <c r="O117" s="22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1"/>
      <c r="N118" s="22"/>
      <c r="O118" s="22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1"/>
      <c r="N119" s="22"/>
      <c r="O119" s="22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1"/>
      <c r="N120" s="22"/>
      <c r="O120" s="22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1"/>
      <c r="N121" s="22"/>
      <c r="O121" s="22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1"/>
      <c r="N122" s="22"/>
      <c r="O122" s="22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1"/>
      <c r="N123" s="22"/>
      <c r="O123" s="22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1"/>
      <c r="N124" s="22"/>
      <c r="O124" s="22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1"/>
      <c r="N125" s="22"/>
      <c r="O125" s="22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1"/>
      <c r="N126" s="22"/>
      <c r="O126" s="22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1"/>
      <c r="N127" s="22"/>
      <c r="O127" s="22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1"/>
      <c r="N128" s="22"/>
      <c r="O128" s="22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1"/>
      <c r="N129" s="22"/>
      <c r="O129" s="22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1"/>
      <c r="N130" s="22"/>
      <c r="O130" s="22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1"/>
      <c r="N131" s="22"/>
      <c r="O131" s="22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1"/>
      <c r="N132" s="22"/>
      <c r="O132" s="22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1"/>
      <c r="N133" s="22"/>
      <c r="O133" s="22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1"/>
      <c r="N134" s="22"/>
      <c r="O134" s="22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1"/>
      <c r="N135" s="22"/>
      <c r="O135" s="22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1"/>
      <c r="N136" s="22"/>
      <c r="O136" s="22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1"/>
      <c r="N137" s="22"/>
      <c r="O137" s="22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1"/>
      <c r="N138" s="22"/>
      <c r="O138" s="22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1"/>
      <c r="N139" s="22"/>
      <c r="O139" s="22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1"/>
      <c r="N140" s="22"/>
      <c r="O140" s="22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1"/>
      <c r="N141" s="22"/>
      <c r="O141" s="22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1"/>
      <c r="N142" s="22"/>
      <c r="O142" s="22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1"/>
      <c r="N143" s="22"/>
      <c r="O143" s="22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1"/>
      <c r="N144" s="22"/>
      <c r="O144" s="22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1"/>
      <c r="N145" s="22"/>
      <c r="O145" s="22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1"/>
      <c r="N146" s="22"/>
      <c r="O146" s="22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1"/>
      <c r="N147" s="22"/>
      <c r="O147" s="22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1"/>
      <c r="N148" s="22"/>
      <c r="O148" s="22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1"/>
      <c r="N149" s="22"/>
      <c r="O149" s="22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1"/>
      <c r="N150" s="22"/>
      <c r="O150" s="22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1"/>
      <c r="N151" s="22"/>
      <c r="O151" s="22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1"/>
      <c r="N152" s="22"/>
      <c r="O152" s="22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1"/>
      <c r="N153" s="22"/>
      <c r="O153" s="22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1"/>
      <c r="N154" s="22"/>
      <c r="O154" s="22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1"/>
      <c r="N155" s="22"/>
      <c r="O155" s="22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1"/>
      <c r="N156" s="22"/>
      <c r="O156" s="22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1"/>
      <c r="N157" s="22"/>
      <c r="O157" s="22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1"/>
      <c r="N158" s="22"/>
      <c r="O158" s="22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1"/>
      <c r="N159" s="22"/>
      <c r="O159" s="22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1"/>
      <c r="N160" s="22"/>
      <c r="O160" s="22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1"/>
      <c r="N161" s="22"/>
      <c r="O161" s="22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1"/>
      <c r="N162" s="22"/>
      <c r="O162" s="22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1"/>
      <c r="N163" s="22"/>
      <c r="O163" s="22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1"/>
      <c r="N164" s="22"/>
      <c r="O164" s="22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1"/>
      <c r="N165" s="22"/>
      <c r="O165" s="22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1"/>
      <c r="N166" s="22"/>
      <c r="O166" s="22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1"/>
      <c r="N167" s="22"/>
      <c r="O167" s="22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1"/>
      <c r="N168" s="22"/>
      <c r="O168" s="22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1"/>
      <c r="N169" s="22"/>
      <c r="O169" s="22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1"/>
      <c r="N170" s="22"/>
      <c r="O170" s="22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1"/>
      <c r="N171" s="22"/>
      <c r="O171" s="22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1"/>
      <c r="N172" s="22"/>
      <c r="O172" s="22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1"/>
      <c r="N173" s="22"/>
      <c r="O173" s="22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1"/>
      <c r="N174" s="22"/>
      <c r="O174" s="22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1"/>
      <c r="N175" s="22"/>
      <c r="O175" s="22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1"/>
      <c r="N176" s="22"/>
      <c r="O176" s="22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1"/>
      <c r="N177" s="22"/>
      <c r="O177" s="22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1"/>
      <c r="N178" s="22"/>
      <c r="O178" s="22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1"/>
      <c r="N179" s="22"/>
      <c r="O179" s="22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1"/>
      <c r="N180" s="22"/>
      <c r="O180" s="22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1"/>
      <c r="N181" s="22"/>
      <c r="O181" s="22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1"/>
      <c r="N182" s="22"/>
      <c r="O182" s="22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1"/>
      <c r="N183" s="22"/>
      <c r="O183" s="22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1"/>
      <c r="N184" s="22"/>
      <c r="O184" s="22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1"/>
      <c r="N185" s="22"/>
      <c r="O185" s="22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1"/>
      <c r="N186" s="22"/>
      <c r="O186" s="22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1"/>
      <c r="N187" s="22"/>
      <c r="O187" s="22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1"/>
      <c r="N188" s="22"/>
      <c r="O188" s="22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1"/>
      <c r="N189" s="22"/>
      <c r="O189" s="22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1"/>
      <c r="N190" s="22"/>
      <c r="O190" s="22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1"/>
      <c r="N191" s="22"/>
      <c r="O191" s="22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1"/>
      <c r="N192" s="22"/>
      <c r="O192" s="22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1"/>
      <c r="N193" s="22"/>
      <c r="O193" s="22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1"/>
      <c r="N194" s="22"/>
      <c r="O194" s="22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1"/>
      <c r="N195" s="22"/>
      <c r="O195" s="22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1"/>
      <c r="N196" s="22"/>
      <c r="O196" s="22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1"/>
      <c r="N197" s="22"/>
      <c r="O197" s="22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1"/>
      <c r="N198" s="22"/>
      <c r="O198" s="22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1"/>
      <c r="N199" s="22"/>
      <c r="O199" s="22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1"/>
      <c r="N200" s="22"/>
      <c r="O200" s="22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1"/>
      <c r="N201" s="22"/>
      <c r="O201" s="22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1"/>
      <c r="N202" s="22"/>
      <c r="O202" s="22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1"/>
      <c r="N203" s="22"/>
      <c r="O203" s="22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1"/>
      <c r="N204" s="22"/>
      <c r="O204" s="22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1"/>
      <c r="N205" s="22"/>
      <c r="O205" s="22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1"/>
      <c r="N206" s="22"/>
      <c r="O206" s="22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1"/>
      <c r="N207" s="22"/>
      <c r="O207" s="22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1"/>
      <c r="N208" s="22"/>
      <c r="O208" s="22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1"/>
      <c r="N209" s="22"/>
      <c r="O209" s="22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1"/>
      <c r="N210" s="22"/>
      <c r="O210" s="22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1"/>
      <c r="N211" s="22"/>
      <c r="O211" s="22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1"/>
      <c r="N212" s="22"/>
      <c r="O212" s="22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1"/>
      <c r="N213" s="22"/>
      <c r="O213" s="22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1"/>
      <c r="N214" s="22"/>
      <c r="O214" s="22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1"/>
      <c r="N215" s="22"/>
      <c r="O215" s="22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1"/>
      <c r="N216" s="22"/>
      <c r="O216" s="22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1"/>
      <c r="N217" s="22"/>
      <c r="O217" s="22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1"/>
      <c r="N218" s="22"/>
      <c r="O218" s="22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1"/>
      <c r="N219" s="22"/>
      <c r="O219" s="22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1"/>
      <c r="N220" s="22"/>
      <c r="O220" s="22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1"/>
      <c r="N221" s="22"/>
      <c r="O221" s="22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1"/>
      <c r="N222" s="22"/>
      <c r="O222" s="22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1"/>
      <c r="N223" s="22"/>
      <c r="O223" s="22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1"/>
      <c r="N224" s="22"/>
      <c r="O224" s="22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1"/>
      <c r="N225" s="22"/>
      <c r="O225" s="22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1"/>
      <c r="N226" s="22"/>
      <c r="O226" s="22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1"/>
      <c r="N227" s="22"/>
      <c r="O227" s="22"/>
      <c r="P227" s="12"/>
      <c r="Q227" s="12"/>
      <c r="R227" s="12"/>
      <c r="S227" s="12"/>
    </row>
    <row r="228" spans="1:19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1"/>
      <c r="N228" s="22"/>
      <c r="O228" s="22"/>
      <c r="P228" s="12"/>
      <c r="Q228" s="12"/>
      <c r="R228" s="12"/>
      <c r="S228" s="12"/>
    </row>
    <row r="229" spans="1:19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1"/>
      <c r="N229" s="22"/>
      <c r="O229" s="22"/>
      <c r="P229" s="12"/>
      <c r="Q229" s="12"/>
      <c r="R229" s="12"/>
      <c r="S229" s="12"/>
    </row>
    <row r="230" spans="1:19" ht="15.75" customHeight="1" x14ac:dyDescent="0.45"/>
    <row r="231" spans="1:19" ht="15.75" customHeight="1" x14ac:dyDescent="0.45"/>
    <row r="232" spans="1:19" ht="15.75" customHeight="1" x14ac:dyDescent="0.45"/>
    <row r="233" spans="1:19" ht="15.75" customHeight="1" x14ac:dyDescent="0.45"/>
    <row r="234" spans="1:19" ht="15.75" customHeight="1" x14ac:dyDescent="0.45"/>
    <row r="235" spans="1:19" ht="15.75" customHeight="1" x14ac:dyDescent="0.45"/>
    <row r="236" spans="1:19" ht="15.75" customHeight="1" x14ac:dyDescent="0.45"/>
    <row r="237" spans="1:19" ht="15.75" customHeight="1" x14ac:dyDescent="0.45"/>
    <row r="238" spans="1:19" ht="15.75" customHeight="1" x14ac:dyDescent="0.45"/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54">
    <mergeCell ref="M29:P29"/>
    <mergeCell ref="A23:P23"/>
    <mergeCell ref="A24:P25"/>
    <mergeCell ref="A26:P26"/>
    <mergeCell ref="A27:C27"/>
    <mergeCell ref="D27:G27"/>
    <mergeCell ref="M27:P27"/>
    <mergeCell ref="M28:P28"/>
    <mergeCell ref="K27:L27"/>
    <mergeCell ref="K28:L28"/>
    <mergeCell ref="K29:L29"/>
    <mergeCell ref="A28:C28"/>
    <mergeCell ref="A29:C29"/>
    <mergeCell ref="D29:J29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E7"/>
    <mergeCell ref="F7:P7"/>
    <mergeCell ref="F8:G8"/>
    <mergeCell ref="H8:K8"/>
    <mergeCell ref="M8:N8"/>
    <mergeCell ref="O8:P8"/>
    <mergeCell ref="A8:E8"/>
    <mergeCell ref="A9:E9"/>
    <mergeCell ref="F9:G9"/>
    <mergeCell ref="H9:K9"/>
    <mergeCell ref="M9:N9"/>
    <mergeCell ref="O9:P9"/>
    <mergeCell ref="A10:P10"/>
    <mergeCell ref="A11:M11"/>
    <mergeCell ref="N11:O11"/>
    <mergeCell ref="A12:M12"/>
    <mergeCell ref="N12:O12"/>
    <mergeCell ref="A13:P13"/>
    <mergeCell ref="A14:P14"/>
    <mergeCell ref="A15:P15"/>
    <mergeCell ref="A16:P16"/>
    <mergeCell ref="A17:P17"/>
    <mergeCell ref="A18:P18"/>
    <mergeCell ref="A19:P19"/>
    <mergeCell ref="A20:P20"/>
    <mergeCell ref="A21:P21"/>
    <mergeCell ref="A22:P2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2.1328125" customWidth="1"/>
    <col min="3" max="3" width="15.73046875" customWidth="1"/>
    <col min="4" max="4" width="9.73046875" customWidth="1"/>
    <col min="5" max="5" width="11.73046875" customWidth="1"/>
    <col min="6" max="6" width="8.1328125" customWidth="1"/>
    <col min="7" max="7" width="19.73046875" customWidth="1"/>
    <col min="8" max="8" width="11.73046875" customWidth="1"/>
    <col min="9" max="9" width="22.1328125" customWidth="1"/>
    <col min="10" max="10" width="11.53125" customWidth="1"/>
    <col min="11" max="11" width="10.3984375" customWidth="1"/>
    <col min="12" max="26" width="11.3984375" customWidth="1"/>
  </cols>
  <sheetData>
    <row r="1" spans="1:26" ht="18" customHeight="1" x14ac:dyDescent="0.45">
      <c r="A1" s="69"/>
      <c r="B1" s="341"/>
      <c r="C1" s="224"/>
      <c r="D1" s="223" t="s">
        <v>0</v>
      </c>
      <c r="E1" s="193"/>
      <c r="F1" s="193"/>
      <c r="G1" s="193"/>
      <c r="H1" s="224"/>
      <c r="I1" s="9" t="s">
        <v>1</v>
      </c>
      <c r="J1" s="235" t="s">
        <v>197</v>
      </c>
      <c r="K1" s="18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ht="17.25" customHeight="1" x14ac:dyDescent="0.45">
      <c r="A2" s="69"/>
      <c r="B2" s="266"/>
      <c r="C2" s="232"/>
      <c r="D2" s="266"/>
      <c r="E2" s="203"/>
      <c r="F2" s="203"/>
      <c r="G2" s="203"/>
      <c r="H2" s="232"/>
      <c r="I2" s="9" t="s">
        <v>3</v>
      </c>
      <c r="J2" s="278">
        <v>1</v>
      </c>
      <c r="K2" s="18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ht="18" customHeight="1" x14ac:dyDescent="0.45">
      <c r="A3" s="69"/>
      <c r="B3" s="266"/>
      <c r="C3" s="232"/>
      <c r="D3" s="267"/>
      <c r="E3" s="195"/>
      <c r="F3" s="195"/>
      <c r="G3" s="195"/>
      <c r="H3" s="252"/>
      <c r="I3" s="9" t="s">
        <v>5</v>
      </c>
      <c r="J3" s="235" t="s">
        <v>6</v>
      </c>
      <c r="K3" s="18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ht="18.75" customHeight="1" x14ac:dyDescent="0.45">
      <c r="A4" s="70" t="s">
        <v>198</v>
      </c>
      <c r="B4" s="266"/>
      <c r="C4" s="232"/>
      <c r="D4" s="223" t="s">
        <v>199</v>
      </c>
      <c r="E4" s="193"/>
      <c r="F4" s="193"/>
      <c r="G4" s="193"/>
      <c r="H4" s="224"/>
      <c r="I4" s="342" t="s">
        <v>7</v>
      </c>
      <c r="J4" s="235" t="s">
        <v>200</v>
      </c>
      <c r="K4" s="189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21" customHeight="1" x14ac:dyDescent="0.45">
      <c r="A5" s="70"/>
      <c r="B5" s="267"/>
      <c r="C5" s="252"/>
      <c r="D5" s="267"/>
      <c r="E5" s="195"/>
      <c r="F5" s="195"/>
      <c r="G5" s="195"/>
      <c r="H5" s="252"/>
      <c r="I5" s="338"/>
      <c r="J5" s="243" t="s">
        <v>201</v>
      </c>
      <c r="K5" s="189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45.75" customHeight="1" x14ac:dyDescent="0.45">
      <c r="A6" s="69"/>
      <c r="B6" s="235" t="s">
        <v>202</v>
      </c>
      <c r="C6" s="189"/>
      <c r="D6" s="343" t="str">
        <f>'LISTA CHEQUEO'!F7</f>
        <v>LIMPIADOR ILUMINADOR ACIDO KOJICO</v>
      </c>
      <c r="E6" s="186"/>
      <c r="F6" s="187"/>
      <c r="G6" s="235" t="s">
        <v>203</v>
      </c>
      <c r="H6" s="189"/>
      <c r="I6" s="344"/>
      <c r="J6" s="186"/>
      <c r="K6" s="18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27.75" customHeight="1" x14ac:dyDescent="0.45">
      <c r="A7" s="69"/>
      <c r="B7" s="235" t="s">
        <v>204</v>
      </c>
      <c r="C7" s="189"/>
      <c r="D7" s="191" t="str">
        <f>'LISTA CHEQUEO'!M8</f>
        <v>OP-SS-128</v>
      </c>
      <c r="E7" s="186"/>
      <c r="F7" s="189"/>
      <c r="G7" s="235" t="s">
        <v>205</v>
      </c>
      <c r="H7" s="189"/>
      <c r="I7" s="191"/>
      <c r="J7" s="186"/>
      <c r="K7" s="18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27.75" customHeight="1" x14ac:dyDescent="0.45">
      <c r="A8" s="69"/>
      <c r="B8" s="235" t="s">
        <v>206</v>
      </c>
      <c r="C8" s="189"/>
      <c r="D8" s="264" t="str">
        <f>'LISTA CHEQUEO'!F8</f>
        <v>252601</v>
      </c>
      <c r="E8" s="186"/>
      <c r="F8" s="189"/>
      <c r="G8" s="235" t="s">
        <v>207</v>
      </c>
      <c r="H8" s="189"/>
      <c r="I8" s="191" t="str">
        <f>'LISTA CHEQUEO'!F12</f>
        <v>GEL</v>
      </c>
      <c r="J8" s="186"/>
      <c r="K8" s="18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ht="33.75" customHeight="1" x14ac:dyDescent="0.45">
      <c r="A9" s="69"/>
      <c r="B9" s="235" t="s">
        <v>208</v>
      </c>
      <c r="C9" s="189"/>
      <c r="D9" s="340">
        <f>'LISTA CHEQUEO'!M9</f>
        <v>90</v>
      </c>
      <c r="E9" s="186"/>
      <c r="F9" s="189"/>
      <c r="G9" s="235" t="s">
        <v>209</v>
      </c>
      <c r="H9" s="189"/>
      <c r="I9" s="339"/>
      <c r="J9" s="186"/>
      <c r="K9" s="18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27.75" customHeight="1" x14ac:dyDescent="0.45">
      <c r="A10" s="69"/>
      <c r="B10" s="334" t="s">
        <v>210</v>
      </c>
      <c r="C10" s="186"/>
      <c r="D10" s="186"/>
      <c r="E10" s="186"/>
      <c r="F10" s="186"/>
      <c r="G10" s="186"/>
      <c r="H10" s="186"/>
      <c r="I10" s="186"/>
      <c r="J10" s="186"/>
      <c r="K10" s="18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29.25" customHeight="1" x14ac:dyDescent="0.45">
      <c r="A11" s="69"/>
      <c r="B11" s="223" t="s">
        <v>211</v>
      </c>
      <c r="C11" s="224"/>
      <c r="D11" s="223" t="s">
        <v>212</v>
      </c>
      <c r="E11" s="193"/>
      <c r="F11" s="193"/>
      <c r="G11" s="193"/>
      <c r="H11" s="224"/>
      <c r="I11" s="334" t="s">
        <v>213</v>
      </c>
      <c r="J11" s="186"/>
      <c r="K11" s="18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 ht="24.75" customHeight="1" x14ac:dyDescent="0.45">
      <c r="A12" s="69"/>
      <c r="B12" s="267"/>
      <c r="C12" s="252"/>
      <c r="D12" s="267"/>
      <c r="E12" s="195"/>
      <c r="F12" s="195"/>
      <c r="G12" s="195"/>
      <c r="H12" s="252"/>
      <c r="I12" s="9" t="s">
        <v>214</v>
      </c>
      <c r="J12" s="9" t="s">
        <v>72</v>
      </c>
      <c r="K12" s="9" t="s">
        <v>73</v>
      </c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ht="95.25" customHeight="1" x14ac:dyDescent="0.45">
      <c r="A13" s="69"/>
      <c r="B13" s="235" t="s">
        <v>215</v>
      </c>
      <c r="C13" s="189"/>
      <c r="D13" s="250" t="s">
        <v>216</v>
      </c>
      <c r="E13" s="186"/>
      <c r="F13" s="186"/>
      <c r="G13" s="186"/>
      <c r="H13" s="189"/>
      <c r="I13" s="10"/>
      <c r="J13" s="20"/>
      <c r="K13" s="20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ht="80.25" customHeight="1" x14ac:dyDescent="0.45">
      <c r="A14" s="69"/>
      <c r="B14" s="235" t="s">
        <v>217</v>
      </c>
      <c r="C14" s="189"/>
      <c r="D14" s="235" t="s">
        <v>218</v>
      </c>
      <c r="E14" s="186"/>
      <c r="F14" s="186"/>
      <c r="G14" s="186"/>
      <c r="H14" s="189"/>
      <c r="I14" s="10"/>
      <c r="J14" s="20"/>
      <c r="K14" s="20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 ht="75.75" customHeight="1" x14ac:dyDescent="0.45">
      <c r="A15" s="69"/>
      <c r="B15" s="335" t="s">
        <v>219</v>
      </c>
      <c r="C15" s="189"/>
      <c r="D15" s="191" t="s">
        <v>220</v>
      </c>
      <c r="E15" s="186"/>
      <c r="F15" s="186"/>
      <c r="G15" s="186"/>
      <c r="H15" s="189"/>
      <c r="I15" s="10"/>
      <c r="J15" s="20"/>
      <c r="K15" s="20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84" customHeight="1" x14ac:dyDescent="0.45">
      <c r="A16" s="69"/>
      <c r="B16" s="235" t="s">
        <v>221</v>
      </c>
      <c r="C16" s="189"/>
      <c r="D16" s="191" t="s">
        <v>222</v>
      </c>
      <c r="E16" s="186"/>
      <c r="F16" s="186"/>
      <c r="G16" s="186"/>
      <c r="H16" s="189"/>
      <c r="I16" s="10"/>
      <c r="J16" s="20"/>
      <c r="K16" s="20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26.25" customHeight="1" x14ac:dyDescent="0.45">
      <c r="A17" s="69"/>
      <c r="B17" s="191" t="s">
        <v>223</v>
      </c>
      <c r="C17" s="186"/>
      <c r="D17" s="186"/>
      <c r="E17" s="186"/>
      <c r="F17" s="186"/>
      <c r="G17" s="186"/>
      <c r="H17" s="186"/>
      <c r="I17" s="186"/>
      <c r="J17" s="186"/>
      <c r="K17" s="18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22.5" customHeight="1" x14ac:dyDescent="0.45">
      <c r="A18" s="69"/>
      <c r="B18" s="336" t="s">
        <v>31</v>
      </c>
      <c r="C18" s="345"/>
      <c r="D18" s="193"/>
      <c r="E18" s="193"/>
      <c r="F18" s="193"/>
      <c r="G18" s="193"/>
      <c r="H18" s="193"/>
      <c r="I18" s="193"/>
      <c r="J18" s="193"/>
      <c r="K18" s="224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22.5" customHeight="1" x14ac:dyDescent="0.45">
      <c r="A19" s="69"/>
      <c r="B19" s="337"/>
      <c r="C19" s="266"/>
      <c r="D19" s="203"/>
      <c r="E19" s="203"/>
      <c r="F19" s="203"/>
      <c r="G19" s="203"/>
      <c r="H19" s="203"/>
      <c r="I19" s="203"/>
      <c r="J19" s="203"/>
      <c r="K19" s="232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60" customHeight="1" x14ac:dyDescent="0.45">
      <c r="A20" s="69"/>
      <c r="B20" s="337"/>
      <c r="C20" s="266"/>
      <c r="D20" s="203"/>
      <c r="E20" s="203"/>
      <c r="F20" s="203"/>
      <c r="G20" s="203"/>
      <c r="H20" s="203"/>
      <c r="I20" s="203"/>
      <c r="J20" s="203"/>
      <c r="K20" s="232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63" customHeight="1" x14ac:dyDescent="0.45">
      <c r="A21" s="69"/>
      <c r="B21" s="337"/>
      <c r="C21" s="266"/>
      <c r="D21" s="203"/>
      <c r="E21" s="203"/>
      <c r="F21" s="203"/>
      <c r="G21" s="203"/>
      <c r="H21" s="203"/>
      <c r="I21" s="203"/>
      <c r="J21" s="203"/>
      <c r="K21" s="232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33" customHeight="1" x14ac:dyDescent="0.45">
      <c r="A22" s="69"/>
      <c r="B22" s="338"/>
      <c r="C22" s="267"/>
      <c r="D22" s="195"/>
      <c r="E22" s="195"/>
      <c r="F22" s="195"/>
      <c r="G22" s="195"/>
      <c r="H22" s="195"/>
      <c r="I22" s="195"/>
      <c r="J22" s="195"/>
      <c r="K22" s="252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30" customHeight="1" x14ac:dyDescent="0.45">
      <c r="A23" s="69"/>
      <c r="B23" s="334" t="s">
        <v>224</v>
      </c>
      <c r="C23" s="186"/>
      <c r="D23" s="186"/>
      <c r="E23" s="186"/>
      <c r="F23" s="186"/>
      <c r="G23" s="186"/>
      <c r="H23" s="186"/>
      <c r="I23" s="186"/>
      <c r="J23" s="186"/>
      <c r="K23" s="18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30" customHeight="1" x14ac:dyDescent="0.45">
      <c r="A24" s="69"/>
      <c r="B24" s="9"/>
      <c r="C24" s="334" t="s">
        <v>225</v>
      </c>
      <c r="D24" s="189"/>
      <c r="E24" s="9"/>
      <c r="F24" s="334" t="s">
        <v>226</v>
      </c>
      <c r="G24" s="189"/>
      <c r="H24" s="235"/>
      <c r="I24" s="189"/>
      <c r="J24" s="334" t="s">
        <v>227</v>
      </c>
      <c r="K24" s="18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33" customHeight="1" x14ac:dyDescent="0.45">
      <c r="A25" s="69"/>
      <c r="B25" s="334"/>
      <c r="C25" s="186"/>
      <c r="D25" s="186"/>
      <c r="E25" s="186"/>
      <c r="F25" s="186"/>
      <c r="G25" s="186"/>
      <c r="H25" s="186"/>
      <c r="I25" s="186"/>
      <c r="J25" s="186"/>
      <c r="K25" s="18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30.75" customHeight="1" x14ac:dyDescent="0.45">
      <c r="A26" s="69"/>
      <c r="B26" s="334" t="s">
        <v>86</v>
      </c>
      <c r="C26" s="189"/>
      <c r="D26" s="235"/>
      <c r="E26" s="186"/>
      <c r="F26" s="189"/>
      <c r="G26" s="16" t="s">
        <v>228</v>
      </c>
      <c r="H26" s="235"/>
      <c r="I26" s="186"/>
      <c r="J26" s="186"/>
      <c r="K26" s="18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30" customHeight="1" x14ac:dyDescent="0.45">
      <c r="A27" s="69"/>
      <c r="B27" s="334" t="s">
        <v>229</v>
      </c>
      <c r="C27" s="189"/>
      <c r="D27" s="235"/>
      <c r="E27" s="186"/>
      <c r="F27" s="189"/>
      <c r="G27" s="9" t="s">
        <v>229</v>
      </c>
      <c r="H27" s="235"/>
      <c r="I27" s="186"/>
      <c r="J27" s="186"/>
      <c r="K27" s="18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24.75" customHeight="1" x14ac:dyDescent="0.45">
      <c r="A28" s="69"/>
      <c r="B28" s="334" t="s">
        <v>67</v>
      </c>
      <c r="C28" s="189"/>
      <c r="D28" s="235"/>
      <c r="E28" s="186"/>
      <c r="F28" s="189"/>
      <c r="G28" s="9" t="s">
        <v>67</v>
      </c>
      <c r="H28" s="235"/>
      <c r="I28" s="186"/>
      <c r="J28" s="186"/>
      <c r="K28" s="18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15.75" customHeight="1" x14ac:dyDescent="0.45">
      <c r="A29" s="69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15.75" customHeight="1" x14ac:dyDescent="0.45">
      <c r="A30" s="69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15.75" customHeight="1" x14ac:dyDescent="0.45">
      <c r="A31" s="69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15.75" customHeight="1" x14ac:dyDescent="0.45">
      <c r="A32" s="69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5.75" customHeight="1" x14ac:dyDescent="0.45">
      <c r="A33" s="69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15.75" customHeight="1" x14ac:dyDescent="0.45">
      <c r="A34" s="69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15.75" customHeight="1" x14ac:dyDescent="0.45">
      <c r="A35" s="69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15.75" customHeight="1" x14ac:dyDescent="0.45">
      <c r="A36" s="69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15.75" customHeight="1" x14ac:dyDescent="0.45">
      <c r="A37" s="69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5.75" customHeight="1" x14ac:dyDescent="0.45">
      <c r="A38" s="69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5.75" customHeight="1" x14ac:dyDescent="0.45">
      <c r="A39" s="69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5.75" customHeight="1" x14ac:dyDescent="0.45">
      <c r="A40" s="69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5.75" customHeight="1" x14ac:dyDescent="0.45">
      <c r="A41" s="69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5.75" customHeight="1" x14ac:dyDescent="0.45">
      <c r="A42" s="69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5.75" customHeight="1" x14ac:dyDescent="0.45">
      <c r="A43" s="69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5.75" customHeight="1" x14ac:dyDescent="0.45">
      <c r="A44" s="69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5.75" customHeight="1" x14ac:dyDescent="0.45">
      <c r="A45" s="69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5.75" customHeight="1" x14ac:dyDescent="0.45">
      <c r="A46" s="69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5.75" customHeight="1" x14ac:dyDescent="0.45">
      <c r="A47" s="69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5.75" customHeight="1" x14ac:dyDescent="0.45">
      <c r="A48" s="69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5.75" customHeight="1" x14ac:dyDescent="0.45">
      <c r="A49" s="69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5.75" customHeight="1" x14ac:dyDescent="0.45">
      <c r="A50" s="69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5.75" customHeight="1" x14ac:dyDescent="0.45">
      <c r="A51" s="69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5.75" customHeight="1" x14ac:dyDescent="0.45">
      <c r="A52" s="69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5.75" customHeight="1" x14ac:dyDescent="0.45">
      <c r="A53" s="69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5.75" customHeight="1" x14ac:dyDescent="0.45">
      <c r="A54" s="69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5.75" customHeight="1" x14ac:dyDescent="0.45">
      <c r="A55" s="69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5.75" customHeight="1" x14ac:dyDescent="0.45">
      <c r="A56" s="69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5.75" customHeight="1" x14ac:dyDescent="0.45">
      <c r="A57" s="69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5.75" customHeight="1" x14ac:dyDescent="0.45">
      <c r="A58" s="69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5.75" customHeight="1" x14ac:dyDescent="0.45">
      <c r="A59" s="69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5.75" customHeight="1" x14ac:dyDescent="0.45">
      <c r="A60" s="69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5.75" customHeight="1" x14ac:dyDescent="0.45">
      <c r="A61" s="69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5.75" customHeight="1" x14ac:dyDescent="0.45">
      <c r="A62" s="69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5.75" customHeight="1" x14ac:dyDescent="0.45">
      <c r="A63" s="69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5.75" customHeight="1" x14ac:dyDescent="0.45">
      <c r="A64" s="69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5.75" customHeight="1" x14ac:dyDescent="0.45">
      <c r="A65" s="69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5.75" customHeight="1" x14ac:dyDescent="0.45">
      <c r="A66" s="69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5.75" customHeight="1" x14ac:dyDescent="0.45">
      <c r="A67" s="69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5.75" customHeight="1" x14ac:dyDescent="0.45">
      <c r="A68" s="69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5.75" customHeight="1" x14ac:dyDescent="0.45">
      <c r="A69" s="69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5.75" customHeight="1" x14ac:dyDescent="0.45">
      <c r="A70" s="69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5.75" customHeight="1" x14ac:dyDescent="0.45">
      <c r="A71" s="69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5.75" customHeight="1" x14ac:dyDescent="0.45">
      <c r="A72" s="69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5.75" customHeight="1" x14ac:dyDescent="0.45">
      <c r="A73" s="69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5.75" customHeight="1" x14ac:dyDescent="0.45">
      <c r="A74" s="69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5.75" customHeight="1" x14ac:dyDescent="0.45">
      <c r="A75" s="69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5.75" customHeight="1" x14ac:dyDescent="0.45">
      <c r="A76" s="69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5.75" customHeight="1" x14ac:dyDescent="0.45">
      <c r="A77" s="69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5.75" customHeight="1" x14ac:dyDescent="0.45">
      <c r="A78" s="69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5.75" customHeight="1" x14ac:dyDescent="0.45">
      <c r="A79" s="69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5.75" customHeight="1" x14ac:dyDescent="0.45">
      <c r="A80" s="69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5.75" customHeight="1" x14ac:dyDescent="0.45">
      <c r="A81" s="69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5.75" customHeight="1" x14ac:dyDescent="0.45">
      <c r="A82" s="69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5.75" customHeight="1" x14ac:dyDescent="0.45">
      <c r="A83" s="69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5.75" customHeight="1" x14ac:dyDescent="0.45">
      <c r="A84" s="69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5.75" customHeight="1" x14ac:dyDescent="0.45">
      <c r="A85" s="69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5.75" customHeight="1" x14ac:dyDescent="0.45">
      <c r="A86" s="69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5.75" customHeight="1" x14ac:dyDescent="0.45">
      <c r="A87" s="69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5.75" customHeight="1" x14ac:dyDescent="0.45">
      <c r="A88" s="69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5.75" customHeight="1" x14ac:dyDescent="0.45">
      <c r="A89" s="69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5.75" customHeight="1" x14ac:dyDescent="0.45">
      <c r="A90" s="69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5.75" customHeight="1" x14ac:dyDescent="0.45">
      <c r="A91" s="69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5.75" customHeight="1" x14ac:dyDescent="0.45">
      <c r="A92" s="69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5.75" customHeight="1" x14ac:dyDescent="0.45">
      <c r="A93" s="69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5.75" customHeight="1" x14ac:dyDescent="0.45">
      <c r="A94" s="69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5.75" customHeight="1" x14ac:dyDescent="0.45">
      <c r="A95" s="69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5.75" customHeight="1" x14ac:dyDescent="0.45">
      <c r="A96" s="69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5.75" customHeight="1" x14ac:dyDescent="0.45">
      <c r="A97" s="69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5.75" customHeight="1" x14ac:dyDescent="0.45">
      <c r="A98" s="69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5.75" customHeight="1" x14ac:dyDescent="0.45">
      <c r="A99" s="69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5.75" customHeight="1" x14ac:dyDescent="0.45">
      <c r="A100" s="69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5.75" customHeight="1" x14ac:dyDescent="0.45">
      <c r="A101" s="69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5.75" customHeight="1" x14ac:dyDescent="0.45">
      <c r="A102" s="69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5.75" customHeight="1" x14ac:dyDescent="0.45">
      <c r="A103" s="69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5.75" customHeight="1" x14ac:dyDescent="0.45">
      <c r="A104" s="69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5.75" customHeight="1" x14ac:dyDescent="0.45">
      <c r="A105" s="69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5.75" customHeight="1" x14ac:dyDescent="0.45">
      <c r="A106" s="69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5.75" customHeight="1" x14ac:dyDescent="0.45">
      <c r="A107" s="69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5.75" customHeight="1" x14ac:dyDescent="0.45">
      <c r="A108" s="69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5.75" customHeight="1" x14ac:dyDescent="0.45">
      <c r="A109" s="69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5.75" customHeight="1" x14ac:dyDescent="0.45">
      <c r="A110" s="69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5.75" customHeight="1" x14ac:dyDescent="0.45">
      <c r="A111" s="69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5.75" customHeight="1" x14ac:dyDescent="0.45">
      <c r="A112" s="69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5.75" customHeight="1" x14ac:dyDescent="0.45">
      <c r="A113" s="69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5.75" customHeight="1" x14ac:dyDescent="0.45">
      <c r="A114" s="69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5.75" customHeight="1" x14ac:dyDescent="0.45">
      <c r="A115" s="69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5.75" customHeight="1" x14ac:dyDescent="0.45">
      <c r="A116" s="69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5.75" customHeight="1" x14ac:dyDescent="0.45">
      <c r="A117" s="69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5.75" customHeight="1" x14ac:dyDescent="0.45">
      <c r="A118" s="69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5.75" customHeight="1" x14ac:dyDescent="0.45">
      <c r="A119" s="69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5.75" customHeight="1" x14ac:dyDescent="0.45">
      <c r="A120" s="69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5.75" customHeight="1" x14ac:dyDescent="0.45">
      <c r="A121" s="69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5.75" customHeight="1" x14ac:dyDescent="0.45">
      <c r="A122" s="69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5.75" customHeight="1" x14ac:dyDescent="0.45">
      <c r="A123" s="69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5.75" customHeight="1" x14ac:dyDescent="0.45">
      <c r="A124" s="69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5.75" customHeight="1" x14ac:dyDescent="0.45">
      <c r="A125" s="69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5.75" customHeight="1" x14ac:dyDescent="0.45">
      <c r="A126" s="69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5.75" customHeight="1" x14ac:dyDescent="0.45">
      <c r="A127" s="69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5.75" customHeight="1" x14ac:dyDescent="0.45">
      <c r="A128" s="69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5.75" customHeight="1" x14ac:dyDescent="0.45">
      <c r="A129" s="69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5.75" customHeight="1" x14ac:dyDescent="0.45">
      <c r="A130" s="69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5.75" customHeight="1" x14ac:dyDescent="0.45">
      <c r="A131" s="69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5.75" customHeight="1" x14ac:dyDescent="0.45">
      <c r="A132" s="69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5.75" customHeight="1" x14ac:dyDescent="0.45">
      <c r="A133" s="69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5.75" customHeight="1" x14ac:dyDescent="0.45">
      <c r="A134" s="69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5.75" customHeight="1" x14ac:dyDescent="0.45">
      <c r="A135" s="69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15.75" customHeight="1" x14ac:dyDescent="0.45">
      <c r="A136" s="69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15.75" customHeight="1" x14ac:dyDescent="0.45">
      <c r="A137" s="69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15.75" customHeight="1" x14ac:dyDescent="0.45">
      <c r="A138" s="69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15.75" customHeight="1" x14ac:dyDescent="0.45">
      <c r="A139" s="69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15.75" customHeight="1" x14ac:dyDescent="0.45">
      <c r="A140" s="69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15.75" customHeight="1" x14ac:dyDescent="0.45">
      <c r="A141" s="69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15.75" customHeight="1" x14ac:dyDescent="0.45">
      <c r="A142" s="69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15.75" customHeight="1" x14ac:dyDescent="0.45">
      <c r="A143" s="69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15.75" customHeight="1" x14ac:dyDescent="0.45">
      <c r="A144" s="69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15.75" customHeight="1" x14ac:dyDescent="0.45">
      <c r="A145" s="69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15.75" customHeight="1" x14ac:dyDescent="0.45">
      <c r="A146" s="69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15.75" customHeight="1" x14ac:dyDescent="0.45">
      <c r="A147" s="69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15.75" customHeight="1" x14ac:dyDescent="0.45">
      <c r="A148" s="69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15.75" customHeight="1" x14ac:dyDescent="0.45">
      <c r="A149" s="69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15.75" customHeight="1" x14ac:dyDescent="0.45">
      <c r="A150" s="69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15.75" customHeight="1" x14ac:dyDescent="0.45">
      <c r="A151" s="69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15.75" customHeight="1" x14ac:dyDescent="0.45">
      <c r="A152" s="69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15.75" customHeight="1" x14ac:dyDescent="0.45">
      <c r="A153" s="69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15.75" customHeight="1" x14ac:dyDescent="0.45">
      <c r="A154" s="69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5.75" customHeight="1" x14ac:dyDescent="0.45">
      <c r="A155" s="69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15.75" customHeight="1" x14ac:dyDescent="0.45">
      <c r="A156" s="69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15.75" customHeight="1" x14ac:dyDescent="0.45">
      <c r="A157" s="69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15.75" customHeight="1" x14ac:dyDescent="0.45">
      <c r="A158" s="69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15.75" customHeight="1" x14ac:dyDescent="0.45">
      <c r="A159" s="69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15.75" customHeight="1" x14ac:dyDescent="0.45">
      <c r="A160" s="69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15.75" customHeight="1" x14ac:dyDescent="0.45">
      <c r="A161" s="69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15.75" customHeight="1" x14ac:dyDescent="0.45">
      <c r="A162" s="69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15.75" customHeight="1" x14ac:dyDescent="0.45">
      <c r="A163" s="69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15.75" customHeight="1" x14ac:dyDescent="0.45">
      <c r="A164" s="69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15.75" customHeight="1" x14ac:dyDescent="0.45">
      <c r="A165" s="69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15.75" customHeight="1" x14ac:dyDescent="0.45">
      <c r="A166" s="69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15.75" customHeight="1" x14ac:dyDescent="0.45">
      <c r="A167" s="69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15.75" customHeight="1" x14ac:dyDescent="0.45">
      <c r="A168" s="69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15.75" customHeight="1" x14ac:dyDescent="0.45">
      <c r="A169" s="69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15.75" customHeight="1" x14ac:dyDescent="0.45">
      <c r="A170" s="69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15.75" customHeight="1" x14ac:dyDescent="0.45">
      <c r="A171" s="69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15.75" customHeight="1" x14ac:dyDescent="0.45">
      <c r="A172" s="69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15.75" customHeight="1" x14ac:dyDescent="0.45">
      <c r="A173" s="69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15.75" customHeight="1" x14ac:dyDescent="0.45">
      <c r="A174" s="69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5.75" customHeight="1" x14ac:dyDescent="0.45">
      <c r="A175" s="69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15.75" customHeight="1" x14ac:dyDescent="0.45">
      <c r="A176" s="69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15.75" customHeight="1" x14ac:dyDescent="0.45">
      <c r="A177" s="69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15.75" customHeight="1" x14ac:dyDescent="0.45">
      <c r="A178" s="69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15.75" customHeight="1" x14ac:dyDescent="0.45">
      <c r="A179" s="69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15.75" customHeight="1" x14ac:dyDescent="0.45">
      <c r="A180" s="69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15.75" customHeight="1" x14ac:dyDescent="0.45">
      <c r="A181" s="69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15.75" customHeight="1" x14ac:dyDescent="0.45">
      <c r="A182" s="69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15.75" customHeight="1" x14ac:dyDescent="0.45">
      <c r="A183" s="69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15.75" customHeight="1" x14ac:dyDescent="0.45">
      <c r="A184" s="69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15.75" customHeight="1" x14ac:dyDescent="0.45">
      <c r="A185" s="69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15.75" customHeight="1" x14ac:dyDescent="0.45">
      <c r="A186" s="69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15.75" customHeight="1" x14ac:dyDescent="0.45">
      <c r="A187" s="69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15.75" customHeight="1" x14ac:dyDescent="0.45">
      <c r="A188" s="69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15.75" customHeight="1" x14ac:dyDescent="0.45">
      <c r="A189" s="69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15.75" customHeight="1" x14ac:dyDescent="0.45">
      <c r="A190" s="69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15.75" customHeight="1" x14ac:dyDescent="0.45">
      <c r="A191" s="69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15.75" customHeight="1" x14ac:dyDescent="0.45">
      <c r="A192" s="69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15.75" customHeight="1" x14ac:dyDescent="0.45">
      <c r="A193" s="69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15.75" customHeight="1" x14ac:dyDescent="0.45">
      <c r="A194" s="69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15.75" customHeight="1" x14ac:dyDescent="0.45">
      <c r="A195" s="69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15.75" customHeight="1" x14ac:dyDescent="0.45">
      <c r="A196" s="69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15.75" customHeight="1" x14ac:dyDescent="0.45">
      <c r="A197" s="69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15.75" customHeight="1" x14ac:dyDescent="0.45">
      <c r="A198" s="69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15.75" customHeight="1" x14ac:dyDescent="0.45">
      <c r="A199" s="69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15.75" customHeight="1" x14ac:dyDescent="0.45">
      <c r="A200" s="69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15.75" customHeight="1" x14ac:dyDescent="0.45">
      <c r="A201" s="69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15.75" customHeight="1" x14ac:dyDescent="0.45">
      <c r="A202" s="69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15.75" customHeight="1" x14ac:dyDescent="0.45">
      <c r="A203" s="69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15.75" customHeight="1" x14ac:dyDescent="0.45">
      <c r="A204" s="69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15.75" customHeight="1" x14ac:dyDescent="0.45">
      <c r="A205" s="69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15.75" customHeight="1" x14ac:dyDescent="0.45">
      <c r="A206" s="69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15.75" customHeight="1" x14ac:dyDescent="0.45">
      <c r="A207" s="69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15.75" customHeight="1" x14ac:dyDescent="0.45">
      <c r="A208" s="69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15.75" customHeight="1" x14ac:dyDescent="0.45">
      <c r="A209" s="69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15.75" customHeight="1" x14ac:dyDescent="0.45">
      <c r="A210" s="69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15.75" customHeight="1" x14ac:dyDescent="0.45">
      <c r="A211" s="69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15.75" customHeight="1" x14ac:dyDescent="0.45">
      <c r="A212" s="69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15.75" customHeight="1" x14ac:dyDescent="0.45">
      <c r="A213" s="69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15.75" customHeight="1" x14ac:dyDescent="0.45">
      <c r="A214" s="69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15.75" customHeight="1" x14ac:dyDescent="0.45">
      <c r="A215" s="69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15.75" customHeight="1" x14ac:dyDescent="0.45">
      <c r="A216" s="69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15.75" customHeight="1" x14ac:dyDescent="0.45">
      <c r="A217" s="69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15.75" customHeight="1" x14ac:dyDescent="0.45">
      <c r="A218" s="69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15.75" customHeight="1" x14ac:dyDescent="0.45">
      <c r="A219" s="69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15.75" customHeight="1" x14ac:dyDescent="0.45">
      <c r="A220" s="69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15.75" customHeight="1" x14ac:dyDescent="0.45">
      <c r="A221" s="69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15.75" customHeight="1" x14ac:dyDescent="0.45">
      <c r="A222" s="69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15.75" customHeight="1" x14ac:dyDescent="0.45">
      <c r="A223" s="69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15.75" customHeight="1" x14ac:dyDescent="0.45">
      <c r="A224" s="69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15.75" customHeight="1" x14ac:dyDescent="0.45">
      <c r="A225" s="69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5.75" customHeight="1" x14ac:dyDescent="0.45">
      <c r="A226" s="69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15.75" customHeight="1" x14ac:dyDescent="0.45">
      <c r="A227" s="69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15.75" customHeight="1" x14ac:dyDescent="0.45">
      <c r="A228" s="69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15.75" customHeight="1" x14ac:dyDescent="0.45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15.75" customHeight="1" x14ac:dyDescent="0.45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15.75" customHeight="1" x14ac:dyDescent="0.45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15.75" customHeight="1" x14ac:dyDescent="0.45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15.75" customHeight="1" x14ac:dyDescent="0.45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15.75" customHeight="1" x14ac:dyDescent="0.45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15.75" customHeight="1" x14ac:dyDescent="0.4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15.75" customHeight="1" x14ac:dyDescent="0.45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15.75" customHeight="1" x14ac:dyDescent="0.45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15.75" customHeight="1" x14ac:dyDescent="0.45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5.75" customHeight="1" x14ac:dyDescent="0.45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15.75" customHeight="1" x14ac:dyDescent="0.45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15.75" customHeight="1" x14ac:dyDescent="0.45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15.75" customHeight="1" x14ac:dyDescent="0.45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15.75" customHeight="1" x14ac:dyDescent="0.45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15.75" customHeight="1" x14ac:dyDescent="0.45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15.75" customHeight="1" x14ac:dyDescent="0.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15.75" customHeight="1" x14ac:dyDescent="0.45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15.75" customHeight="1" x14ac:dyDescent="0.45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 ht="15.75" customHeight="1" x14ac:dyDescent="0.45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 ht="15.75" customHeight="1" x14ac:dyDescent="0.45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 ht="15.75" customHeight="1" x14ac:dyDescent="0.45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 ht="15.75" customHeight="1" x14ac:dyDescent="0.45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 ht="15.75" customHeight="1" x14ac:dyDescent="0.45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 ht="15.75" customHeight="1" x14ac:dyDescent="0.45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 ht="15.75" customHeight="1" x14ac:dyDescent="0.45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 ht="15.75" customHeight="1" x14ac:dyDescent="0.4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 ht="15.75" customHeight="1" x14ac:dyDescent="0.45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 ht="15.75" customHeight="1" x14ac:dyDescent="0.45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 ht="15.75" customHeight="1" x14ac:dyDescent="0.45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 ht="15.75" customHeight="1" x14ac:dyDescent="0.45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 ht="15.75" customHeight="1" x14ac:dyDescent="0.45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 ht="15.75" customHeight="1" x14ac:dyDescent="0.45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 ht="15.75" customHeight="1" x14ac:dyDescent="0.45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 ht="15.75" customHeight="1" x14ac:dyDescent="0.45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 ht="15.75" customHeight="1" x14ac:dyDescent="0.45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 ht="15.75" customHeight="1" x14ac:dyDescent="0.4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 ht="15.75" customHeight="1" x14ac:dyDescent="0.45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 ht="15.75" customHeight="1" x14ac:dyDescent="0.45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 ht="15.75" customHeight="1" x14ac:dyDescent="0.45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 ht="15.75" customHeight="1" x14ac:dyDescent="0.45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 ht="15.75" customHeight="1" x14ac:dyDescent="0.45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 ht="15.75" customHeight="1" x14ac:dyDescent="0.45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 ht="15.75" customHeight="1" x14ac:dyDescent="0.45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 ht="15.75" customHeight="1" x14ac:dyDescent="0.45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 ht="15.75" customHeight="1" x14ac:dyDescent="0.45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 ht="15.75" customHeight="1" x14ac:dyDescent="0.4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 ht="15.75" customHeight="1" x14ac:dyDescent="0.45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 ht="15.75" customHeight="1" x14ac:dyDescent="0.45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 ht="15.75" customHeight="1" x14ac:dyDescent="0.4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 ht="15.75" customHeight="1" x14ac:dyDescent="0.4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 ht="15.75" customHeight="1" x14ac:dyDescent="0.4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 ht="15.75" customHeight="1" x14ac:dyDescent="0.4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 ht="15.75" customHeight="1" x14ac:dyDescent="0.4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 ht="15.75" customHeight="1" x14ac:dyDescent="0.4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 ht="15.75" customHeight="1" x14ac:dyDescent="0.4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 ht="15.75" customHeight="1" x14ac:dyDescent="0.4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 ht="15.75" customHeight="1" x14ac:dyDescent="0.4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 ht="15.75" customHeight="1" x14ac:dyDescent="0.4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 ht="15.75" customHeight="1" x14ac:dyDescent="0.4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 ht="15.75" customHeight="1" x14ac:dyDescent="0.4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 ht="15.75" customHeight="1" x14ac:dyDescent="0.4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 ht="15.75" customHeight="1" x14ac:dyDescent="0.4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 ht="15.75" customHeight="1" x14ac:dyDescent="0.4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 ht="15.75" customHeight="1" x14ac:dyDescent="0.4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 ht="15.75" customHeight="1" x14ac:dyDescent="0.4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 ht="15.75" customHeight="1" x14ac:dyDescent="0.4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 ht="15.75" customHeight="1" x14ac:dyDescent="0.4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 ht="15.75" customHeight="1" x14ac:dyDescent="0.4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 ht="15.75" customHeight="1" x14ac:dyDescent="0.4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 ht="15.75" customHeight="1" x14ac:dyDescent="0.4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 ht="15.75" customHeight="1" x14ac:dyDescent="0.4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 ht="15.75" customHeight="1" x14ac:dyDescent="0.4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 ht="15.75" customHeight="1" x14ac:dyDescent="0.4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 ht="15.75" customHeight="1" x14ac:dyDescent="0.4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 ht="15.75" customHeight="1" x14ac:dyDescent="0.4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 ht="15.75" customHeight="1" x14ac:dyDescent="0.4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 ht="15.75" customHeight="1" x14ac:dyDescent="0.4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 ht="15.75" customHeight="1" x14ac:dyDescent="0.4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 ht="15.75" customHeight="1" x14ac:dyDescent="0.4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 ht="15.75" customHeight="1" x14ac:dyDescent="0.4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 ht="15.75" customHeight="1" x14ac:dyDescent="0.4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 ht="15.75" customHeight="1" x14ac:dyDescent="0.4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15.75" customHeight="1" x14ac:dyDescent="0.4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 ht="15.75" customHeight="1" x14ac:dyDescent="0.4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 ht="15.75" customHeight="1" x14ac:dyDescent="0.4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 ht="15.75" customHeight="1" x14ac:dyDescent="0.4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 ht="15.75" customHeight="1" x14ac:dyDescent="0.4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 ht="15.75" customHeight="1" x14ac:dyDescent="0.4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15.75" customHeight="1" x14ac:dyDescent="0.4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15.75" customHeight="1" x14ac:dyDescent="0.4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15.75" customHeight="1" x14ac:dyDescent="0.4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15.75" customHeight="1" x14ac:dyDescent="0.4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15.75" customHeight="1" x14ac:dyDescent="0.4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15.75" customHeight="1" x14ac:dyDescent="0.4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15.75" customHeight="1" x14ac:dyDescent="0.4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15.75" customHeight="1" x14ac:dyDescent="0.4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15.75" customHeight="1" x14ac:dyDescent="0.45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15.75" customHeight="1" x14ac:dyDescent="0.45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15.75" customHeight="1" x14ac:dyDescent="0.45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15.75" customHeight="1" x14ac:dyDescent="0.45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15.75" customHeight="1" x14ac:dyDescent="0.45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15.75" customHeight="1" x14ac:dyDescent="0.45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15.75" customHeight="1" x14ac:dyDescent="0.45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15.75" customHeight="1" x14ac:dyDescent="0.45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15.75" customHeight="1" x14ac:dyDescent="0.45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15.75" customHeight="1" x14ac:dyDescent="0.4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15.75" customHeight="1" x14ac:dyDescent="0.45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15.75" customHeight="1" x14ac:dyDescent="0.45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15.75" customHeight="1" x14ac:dyDescent="0.45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15.75" customHeight="1" x14ac:dyDescent="0.45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15.75" customHeight="1" x14ac:dyDescent="0.45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15.75" customHeight="1" x14ac:dyDescent="0.45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15.75" customHeight="1" x14ac:dyDescent="0.45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5.75" customHeight="1" x14ac:dyDescent="0.45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15.75" customHeight="1" x14ac:dyDescent="0.45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15.75" customHeight="1" x14ac:dyDescent="0.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15.75" customHeight="1" x14ac:dyDescent="0.45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15.75" customHeight="1" x14ac:dyDescent="0.45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15.75" customHeight="1" x14ac:dyDescent="0.45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15.75" customHeight="1" x14ac:dyDescent="0.45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15.75" customHeight="1" x14ac:dyDescent="0.45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15.75" customHeight="1" x14ac:dyDescent="0.45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15.75" customHeight="1" x14ac:dyDescent="0.45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15.75" customHeight="1" x14ac:dyDescent="0.45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15.75" customHeight="1" x14ac:dyDescent="0.45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15.75" customHeight="1" x14ac:dyDescent="0.4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15.75" customHeight="1" x14ac:dyDescent="0.4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15.75" customHeight="1" x14ac:dyDescent="0.4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15.75" customHeight="1" x14ac:dyDescent="0.4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15.75" customHeight="1" x14ac:dyDescent="0.4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15.75" customHeight="1" x14ac:dyDescent="0.4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15.75" customHeight="1" x14ac:dyDescent="0.4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15.75" customHeight="1" x14ac:dyDescent="0.4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15.75" customHeight="1" x14ac:dyDescent="0.4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15.75" customHeight="1" x14ac:dyDescent="0.45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15.75" customHeight="1" x14ac:dyDescent="0.4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15.75" customHeight="1" x14ac:dyDescent="0.45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15.75" customHeight="1" x14ac:dyDescent="0.45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15.75" customHeight="1" x14ac:dyDescent="0.45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15.75" customHeight="1" x14ac:dyDescent="0.45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15.75" customHeight="1" x14ac:dyDescent="0.45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15.75" customHeight="1" x14ac:dyDescent="0.45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15.75" customHeight="1" x14ac:dyDescent="0.4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15.75" customHeight="1" x14ac:dyDescent="0.45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15.75" customHeight="1" x14ac:dyDescent="0.45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15.75" customHeight="1" x14ac:dyDescent="0.4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15.75" customHeight="1" x14ac:dyDescent="0.45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15.75" customHeight="1" x14ac:dyDescent="0.45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15.75" customHeight="1" x14ac:dyDescent="0.45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15.75" customHeight="1" x14ac:dyDescent="0.45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15.75" customHeight="1" x14ac:dyDescent="0.45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15.75" customHeight="1" x14ac:dyDescent="0.45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15.75" customHeight="1" x14ac:dyDescent="0.45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15.75" customHeight="1" x14ac:dyDescent="0.45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15.75" customHeight="1" x14ac:dyDescent="0.45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15.75" customHeight="1" x14ac:dyDescent="0.4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15.75" customHeight="1" x14ac:dyDescent="0.45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15.75" customHeight="1" x14ac:dyDescent="0.45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15.75" customHeight="1" x14ac:dyDescent="0.45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15.75" customHeight="1" x14ac:dyDescent="0.45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15.75" customHeight="1" x14ac:dyDescent="0.45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15.75" customHeight="1" x14ac:dyDescent="0.45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15.75" customHeight="1" x14ac:dyDescent="0.45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15.75" customHeight="1" x14ac:dyDescent="0.45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15.75" customHeight="1" x14ac:dyDescent="0.45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15.75" customHeight="1" x14ac:dyDescent="0.4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15.75" customHeight="1" x14ac:dyDescent="0.45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15.75" customHeight="1" x14ac:dyDescent="0.45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15.75" customHeight="1" x14ac:dyDescent="0.45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15.75" customHeight="1" x14ac:dyDescent="0.45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15.75" customHeight="1" x14ac:dyDescent="0.45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15.75" customHeight="1" x14ac:dyDescent="0.45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15.75" customHeight="1" x14ac:dyDescent="0.45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15.75" customHeight="1" x14ac:dyDescent="0.45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15.75" customHeight="1" x14ac:dyDescent="0.45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15.75" customHeight="1" x14ac:dyDescent="0.4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15.75" customHeight="1" x14ac:dyDescent="0.45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15.75" customHeight="1" x14ac:dyDescent="0.45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15.75" customHeight="1" x14ac:dyDescent="0.45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15.75" customHeight="1" x14ac:dyDescent="0.45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15.75" customHeight="1" x14ac:dyDescent="0.45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15.75" customHeight="1" x14ac:dyDescent="0.45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15.75" customHeight="1" x14ac:dyDescent="0.45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15.75" customHeight="1" x14ac:dyDescent="0.45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15.75" customHeight="1" x14ac:dyDescent="0.45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15.75" customHeight="1" x14ac:dyDescent="0.4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15.75" customHeight="1" x14ac:dyDescent="0.4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15.75" customHeight="1" x14ac:dyDescent="0.45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15.75" customHeight="1" x14ac:dyDescent="0.45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15.75" customHeight="1" x14ac:dyDescent="0.45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15.75" customHeight="1" x14ac:dyDescent="0.45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15.75" customHeight="1" x14ac:dyDescent="0.45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15.75" customHeight="1" x14ac:dyDescent="0.45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15.75" customHeight="1" x14ac:dyDescent="0.45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15.75" customHeight="1" x14ac:dyDescent="0.45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15.75" customHeight="1" x14ac:dyDescent="0.4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15.75" customHeight="1" x14ac:dyDescent="0.45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15.75" customHeight="1" x14ac:dyDescent="0.45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15.75" customHeight="1" x14ac:dyDescent="0.45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15.75" customHeight="1" x14ac:dyDescent="0.45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15.75" customHeight="1" x14ac:dyDescent="0.45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15.75" customHeight="1" x14ac:dyDescent="0.45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15.75" customHeight="1" x14ac:dyDescent="0.45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15.75" customHeight="1" x14ac:dyDescent="0.45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15.75" customHeight="1" x14ac:dyDescent="0.45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15.75" customHeight="1" x14ac:dyDescent="0.4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15.75" customHeight="1" x14ac:dyDescent="0.45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15.75" customHeight="1" x14ac:dyDescent="0.45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15.75" customHeight="1" x14ac:dyDescent="0.45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15.75" customHeight="1" x14ac:dyDescent="0.45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15.75" customHeight="1" x14ac:dyDescent="0.45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15.75" customHeight="1" x14ac:dyDescent="0.45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15.75" customHeight="1" x14ac:dyDescent="0.45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15.75" customHeight="1" x14ac:dyDescent="0.45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15.75" customHeight="1" x14ac:dyDescent="0.45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15.75" customHeight="1" x14ac:dyDescent="0.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15.75" customHeight="1" x14ac:dyDescent="0.45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15.75" customHeight="1" x14ac:dyDescent="0.45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15.75" customHeight="1" x14ac:dyDescent="0.45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15.75" customHeight="1" x14ac:dyDescent="0.45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15.75" customHeight="1" x14ac:dyDescent="0.45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15.75" customHeight="1" x14ac:dyDescent="0.4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15.75" customHeight="1" x14ac:dyDescent="0.45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15.75" customHeight="1" x14ac:dyDescent="0.45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15.75" customHeight="1" x14ac:dyDescent="0.45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15.75" customHeight="1" x14ac:dyDescent="0.4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15.75" customHeight="1" x14ac:dyDescent="0.45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15.75" customHeight="1" x14ac:dyDescent="0.45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15.75" customHeight="1" x14ac:dyDescent="0.45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15.75" customHeight="1" x14ac:dyDescent="0.4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15.75" customHeight="1" x14ac:dyDescent="0.4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15.75" customHeight="1" x14ac:dyDescent="0.4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15.75" customHeight="1" x14ac:dyDescent="0.4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15.75" customHeight="1" x14ac:dyDescent="0.4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15.75" customHeight="1" x14ac:dyDescent="0.4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15.75" customHeight="1" x14ac:dyDescent="0.4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15.75" customHeight="1" x14ac:dyDescent="0.4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15.75" customHeight="1" x14ac:dyDescent="0.4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15.75" customHeight="1" x14ac:dyDescent="0.4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15.75" customHeight="1" x14ac:dyDescent="0.4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15.75" customHeight="1" x14ac:dyDescent="0.4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15.75" customHeight="1" x14ac:dyDescent="0.4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15.75" customHeight="1" x14ac:dyDescent="0.4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15.75" customHeight="1" x14ac:dyDescent="0.4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15.75" customHeight="1" x14ac:dyDescent="0.4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15.75" customHeight="1" x14ac:dyDescent="0.4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15.75" customHeight="1" x14ac:dyDescent="0.4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15.75" customHeight="1" x14ac:dyDescent="0.4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15.75" customHeight="1" x14ac:dyDescent="0.4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15.75" customHeight="1" x14ac:dyDescent="0.4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15.75" customHeight="1" x14ac:dyDescent="0.4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15.75" customHeight="1" x14ac:dyDescent="0.4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15.75" customHeight="1" x14ac:dyDescent="0.4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15.75" customHeight="1" x14ac:dyDescent="0.4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15.75" customHeight="1" x14ac:dyDescent="0.4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15.75" customHeight="1" x14ac:dyDescent="0.4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15.75" customHeight="1" x14ac:dyDescent="0.4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15.75" customHeight="1" x14ac:dyDescent="0.4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15.75" customHeight="1" x14ac:dyDescent="0.4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15.75" customHeight="1" x14ac:dyDescent="0.4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15.75" customHeight="1" x14ac:dyDescent="0.4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15.75" customHeight="1" x14ac:dyDescent="0.4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15.75" customHeight="1" x14ac:dyDescent="0.4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15.75" customHeight="1" x14ac:dyDescent="0.4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15.75" customHeight="1" x14ac:dyDescent="0.4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15.75" customHeight="1" x14ac:dyDescent="0.4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15.75" customHeight="1" x14ac:dyDescent="0.4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15.75" customHeight="1" x14ac:dyDescent="0.4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15.75" customHeight="1" x14ac:dyDescent="0.4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15.75" customHeight="1" x14ac:dyDescent="0.4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15.75" customHeight="1" x14ac:dyDescent="0.4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15.75" customHeight="1" x14ac:dyDescent="0.4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15.75" customHeight="1" x14ac:dyDescent="0.4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15.75" customHeight="1" x14ac:dyDescent="0.4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15.75" customHeight="1" x14ac:dyDescent="0.4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15.75" customHeight="1" x14ac:dyDescent="0.4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15.75" customHeight="1" x14ac:dyDescent="0.4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15.75" customHeight="1" x14ac:dyDescent="0.4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15.75" customHeight="1" x14ac:dyDescent="0.4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15.75" customHeight="1" x14ac:dyDescent="0.4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15.75" customHeight="1" x14ac:dyDescent="0.4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15.75" customHeight="1" x14ac:dyDescent="0.4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15.75" customHeight="1" x14ac:dyDescent="0.4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15.75" customHeight="1" x14ac:dyDescent="0.4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15.75" customHeight="1" x14ac:dyDescent="0.4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15.75" customHeight="1" x14ac:dyDescent="0.4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15.75" customHeight="1" x14ac:dyDescent="0.4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15.75" customHeight="1" x14ac:dyDescent="0.4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15.75" customHeight="1" x14ac:dyDescent="0.4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15.75" customHeight="1" x14ac:dyDescent="0.4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15.75" customHeight="1" x14ac:dyDescent="0.4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15.75" customHeight="1" x14ac:dyDescent="0.4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15.75" customHeight="1" x14ac:dyDescent="0.4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15.75" customHeight="1" x14ac:dyDescent="0.4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15.75" customHeight="1" x14ac:dyDescent="0.4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15.75" customHeight="1" x14ac:dyDescent="0.4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15.75" customHeight="1" x14ac:dyDescent="0.4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15.75" customHeight="1" x14ac:dyDescent="0.4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15.75" customHeight="1" x14ac:dyDescent="0.4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15.75" customHeight="1" x14ac:dyDescent="0.4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15.75" customHeight="1" x14ac:dyDescent="0.4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15.75" customHeight="1" x14ac:dyDescent="0.4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15.75" customHeight="1" x14ac:dyDescent="0.4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15.75" customHeight="1" x14ac:dyDescent="0.4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15.75" customHeight="1" x14ac:dyDescent="0.4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15.75" customHeight="1" x14ac:dyDescent="0.4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15.75" customHeight="1" x14ac:dyDescent="0.4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15.75" customHeight="1" x14ac:dyDescent="0.4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15.75" customHeight="1" x14ac:dyDescent="0.4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15.75" customHeight="1" x14ac:dyDescent="0.4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15.75" customHeight="1" x14ac:dyDescent="0.4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15.75" customHeight="1" x14ac:dyDescent="0.4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15.75" customHeight="1" x14ac:dyDescent="0.4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15.75" customHeight="1" x14ac:dyDescent="0.4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15.75" customHeight="1" x14ac:dyDescent="0.4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15.75" customHeight="1" x14ac:dyDescent="0.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15.75" customHeight="1" x14ac:dyDescent="0.4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15.75" customHeight="1" x14ac:dyDescent="0.4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15.75" customHeight="1" x14ac:dyDescent="0.4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15.75" customHeight="1" x14ac:dyDescent="0.4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15.75" customHeight="1" x14ac:dyDescent="0.4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15.75" customHeight="1" x14ac:dyDescent="0.4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15.75" customHeight="1" x14ac:dyDescent="0.4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15.75" customHeight="1" x14ac:dyDescent="0.4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15.75" customHeight="1" x14ac:dyDescent="0.4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15.75" customHeight="1" x14ac:dyDescent="0.4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15.75" customHeight="1" x14ac:dyDescent="0.4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15.75" customHeight="1" x14ac:dyDescent="0.4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15.75" customHeight="1" x14ac:dyDescent="0.4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15.75" customHeight="1" x14ac:dyDescent="0.4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15.75" customHeight="1" x14ac:dyDescent="0.4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15.75" customHeight="1" x14ac:dyDescent="0.4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15.75" customHeight="1" x14ac:dyDescent="0.4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15.75" customHeight="1" x14ac:dyDescent="0.4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15.75" customHeight="1" x14ac:dyDescent="0.4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15.75" customHeight="1" x14ac:dyDescent="0.4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15.75" customHeight="1" x14ac:dyDescent="0.4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15.75" customHeight="1" x14ac:dyDescent="0.4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15.75" customHeight="1" x14ac:dyDescent="0.4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15.75" customHeight="1" x14ac:dyDescent="0.4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15.75" customHeight="1" x14ac:dyDescent="0.4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15.75" customHeight="1" x14ac:dyDescent="0.4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15.75" customHeight="1" x14ac:dyDescent="0.4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15.75" customHeight="1" x14ac:dyDescent="0.4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15.75" customHeight="1" x14ac:dyDescent="0.4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15.75" customHeight="1" x14ac:dyDescent="0.4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15.75" customHeight="1" x14ac:dyDescent="0.4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15.75" customHeight="1" x14ac:dyDescent="0.4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15.75" customHeight="1" x14ac:dyDescent="0.4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15.75" customHeight="1" x14ac:dyDescent="0.4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15.75" customHeight="1" x14ac:dyDescent="0.4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15.75" customHeight="1" x14ac:dyDescent="0.4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15.75" customHeight="1" x14ac:dyDescent="0.4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15.75" customHeight="1" x14ac:dyDescent="0.4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15.75" customHeight="1" x14ac:dyDescent="0.4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15.75" customHeight="1" x14ac:dyDescent="0.4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15.75" customHeight="1" x14ac:dyDescent="0.4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15.75" customHeight="1" x14ac:dyDescent="0.4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15.75" customHeight="1" x14ac:dyDescent="0.4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15.75" customHeight="1" x14ac:dyDescent="0.4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15.75" customHeight="1" x14ac:dyDescent="0.4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15.75" customHeight="1" x14ac:dyDescent="0.4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15.75" customHeight="1" x14ac:dyDescent="0.4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15.75" customHeight="1" x14ac:dyDescent="0.4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15.75" customHeight="1" x14ac:dyDescent="0.4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15.75" customHeight="1" x14ac:dyDescent="0.4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15.75" customHeight="1" x14ac:dyDescent="0.4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15.75" customHeight="1" x14ac:dyDescent="0.4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15.75" customHeight="1" x14ac:dyDescent="0.4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15.75" customHeight="1" x14ac:dyDescent="0.4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15.75" customHeight="1" x14ac:dyDescent="0.4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15.75" customHeight="1" x14ac:dyDescent="0.4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15.75" customHeight="1" x14ac:dyDescent="0.4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15.75" customHeight="1" x14ac:dyDescent="0.4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15.75" customHeight="1" x14ac:dyDescent="0.4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15.75" customHeight="1" x14ac:dyDescent="0.4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15.75" customHeight="1" x14ac:dyDescent="0.4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15.75" customHeight="1" x14ac:dyDescent="0.4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15.75" customHeight="1" x14ac:dyDescent="0.4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15.75" customHeight="1" x14ac:dyDescent="0.4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15.75" customHeight="1" x14ac:dyDescent="0.4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15.75" customHeight="1" x14ac:dyDescent="0.4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15.75" customHeight="1" x14ac:dyDescent="0.4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15.75" customHeight="1" x14ac:dyDescent="0.4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15.75" customHeight="1" x14ac:dyDescent="0.4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15.75" customHeight="1" x14ac:dyDescent="0.4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15.75" customHeight="1" x14ac:dyDescent="0.4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15.75" customHeight="1" x14ac:dyDescent="0.4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15.75" customHeight="1" x14ac:dyDescent="0.4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15.75" customHeight="1" x14ac:dyDescent="0.4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15.75" customHeight="1" x14ac:dyDescent="0.4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15.75" customHeight="1" x14ac:dyDescent="0.4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15.75" customHeight="1" x14ac:dyDescent="0.4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15.75" customHeight="1" x14ac:dyDescent="0.4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15.75" customHeight="1" x14ac:dyDescent="0.4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15.75" customHeight="1" x14ac:dyDescent="0.4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15.75" customHeight="1" x14ac:dyDescent="0.4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15.75" customHeight="1" x14ac:dyDescent="0.4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15.75" customHeight="1" x14ac:dyDescent="0.4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15.75" customHeight="1" x14ac:dyDescent="0.4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15.75" customHeight="1" x14ac:dyDescent="0.4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15.75" customHeight="1" x14ac:dyDescent="0.4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15.75" customHeight="1" x14ac:dyDescent="0.4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15.75" customHeight="1" x14ac:dyDescent="0.4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15.75" customHeight="1" x14ac:dyDescent="0.4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15.75" customHeight="1" x14ac:dyDescent="0.4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15.75" customHeight="1" x14ac:dyDescent="0.4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15.75" customHeight="1" x14ac:dyDescent="0.4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15.75" customHeight="1" x14ac:dyDescent="0.4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15.75" customHeight="1" x14ac:dyDescent="0.4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15.75" customHeight="1" x14ac:dyDescent="0.4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15.75" customHeight="1" x14ac:dyDescent="0.4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15.75" customHeight="1" x14ac:dyDescent="0.4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15.75" customHeight="1" x14ac:dyDescent="0.4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15.75" customHeight="1" x14ac:dyDescent="0.4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15.75" customHeight="1" x14ac:dyDescent="0.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15.75" customHeight="1" x14ac:dyDescent="0.4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15.75" customHeight="1" x14ac:dyDescent="0.4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15.75" customHeight="1" x14ac:dyDescent="0.4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15.75" customHeight="1" x14ac:dyDescent="0.4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15.75" customHeight="1" x14ac:dyDescent="0.4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15.75" customHeight="1" x14ac:dyDescent="0.4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15.75" customHeight="1" x14ac:dyDescent="0.4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15.75" customHeight="1" x14ac:dyDescent="0.4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15.75" customHeight="1" x14ac:dyDescent="0.4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15.75" customHeight="1" x14ac:dyDescent="0.4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15.75" customHeight="1" x14ac:dyDescent="0.4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15.75" customHeight="1" x14ac:dyDescent="0.4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15.75" customHeight="1" x14ac:dyDescent="0.4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15.75" customHeight="1" x14ac:dyDescent="0.4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15.75" customHeight="1" x14ac:dyDescent="0.4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15.75" customHeight="1" x14ac:dyDescent="0.4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15.75" customHeight="1" x14ac:dyDescent="0.4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15.75" customHeight="1" x14ac:dyDescent="0.4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15.75" customHeight="1" x14ac:dyDescent="0.4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15.75" customHeight="1" x14ac:dyDescent="0.4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15.75" customHeight="1" x14ac:dyDescent="0.4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15.75" customHeight="1" x14ac:dyDescent="0.4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15.75" customHeight="1" x14ac:dyDescent="0.4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15.75" customHeight="1" x14ac:dyDescent="0.4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15.75" customHeight="1" x14ac:dyDescent="0.4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15.75" customHeight="1" x14ac:dyDescent="0.4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15.75" customHeight="1" x14ac:dyDescent="0.4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15.75" customHeight="1" x14ac:dyDescent="0.4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15.75" customHeight="1" x14ac:dyDescent="0.4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15.75" customHeight="1" x14ac:dyDescent="0.4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15.75" customHeight="1" x14ac:dyDescent="0.4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15.75" customHeight="1" x14ac:dyDescent="0.4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15.75" customHeight="1" x14ac:dyDescent="0.4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15.75" customHeight="1" x14ac:dyDescent="0.4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15.75" customHeight="1" x14ac:dyDescent="0.4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15.75" customHeight="1" x14ac:dyDescent="0.4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15.75" customHeight="1" x14ac:dyDescent="0.4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15.75" customHeight="1" x14ac:dyDescent="0.4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15.75" customHeight="1" x14ac:dyDescent="0.4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15.75" customHeight="1" x14ac:dyDescent="0.4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15.75" customHeight="1" x14ac:dyDescent="0.4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15.75" customHeight="1" x14ac:dyDescent="0.4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15.75" customHeight="1" x14ac:dyDescent="0.4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15.75" customHeight="1" x14ac:dyDescent="0.4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15.75" customHeight="1" x14ac:dyDescent="0.4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15.75" customHeight="1" x14ac:dyDescent="0.4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15.75" customHeight="1" x14ac:dyDescent="0.4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15.75" customHeight="1" x14ac:dyDescent="0.4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15.75" customHeight="1" x14ac:dyDescent="0.4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15.75" customHeight="1" x14ac:dyDescent="0.4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15.75" customHeight="1" x14ac:dyDescent="0.4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15.75" customHeight="1" x14ac:dyDescent="0.4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15.75" customHeight="1" x14ac:dyDescent="0.4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15.75" customHeight="1" x14ac:dyDescent="0.4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15.75" customHeight="1" x14ac:dyDescent="0.4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15.75" customHeight="1" x14ac:dyDescent="0.4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15.75" customHeight="1" x14ac:dyDescent="0.4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15.75" customHeight="1" x14ac:dyDescent="0.4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15.75" customHeight="1" x14ac:dyDescent="0.4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15.75" customHeight="1" x14ac:dyDescent="0.4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15.75" customHeight="1" x14ac:dyDescent="0.4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15.75" customHeight="1" x14ac:dyDescent="0.4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15.75" customHeight="1" x14ac:dyDescent="0.4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15.75" customHeight="1" x14ac:dyDescent="0.4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15.75" customHeight="1" x14ac:dyDescent="0.4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15.75" customHeight="1" x14ac:dyDescent="0.4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15.75" customHeight="1" x14ac:dyDescent="0.4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15.75" customHeight="1" x14ac:dyDescent="0.4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15.75" customHeight="1" x14ac:dyDescent="0.4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15.75" customHeight="1" x14ac:dyDescent="0.4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15.75" customHeight="1" x14ac:dyDescent="0.4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15.75" customHeight="1" x14ac:dyDescent="0.4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15.75" customHeight="1" x14ac:dyDescent="0.4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15.75" customHeight="1" x14ac:dyDescent="0.4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15.75" customHeight="1" x14ac:dyDescent="0.4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15.75" customHeight="1" x14ac:dyDescent="0.4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15.75" customHeight="1" x14ac:dyDescent="0.4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15.75" customHeight="1" x14ac:dyDescent="0.4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15.75" customHeight="1" x14ac:dyDescent="0.4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15.75" customHeight="1" x14ac:dyDescent="0.4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15.75" customHeight="1" x14ac:dyDescent="0.4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15.75" customHeight="1" x14ac:dyDescent="0.4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15.75" customHeight="1" x14ac:dyDescent="0.4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15.75" customHeight="1" x14ac:dyDescent="0.4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15.75" customHeight="1" x14ac:dyDescent="0.4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15.75" customHeight="1" x14ac:dyDescent="0.4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15.75" customHeight="1" x14ac:dyDescent="0.4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15.75" customHeight="1" x14ac:dyDescent="0.4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15.75" customHeight="1" x14ac:dyDescent="0.4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15.75" customHeight="1" x14ac:dyDescent="0.4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15.75" customHeight="1" x14ac:dyDescent="0.4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15.75" customHeight="1" x14ac:dyDescent="0.4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15.75" customHeight="1" x14ac:dyDescent="0.4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15.75" customHeight="1" x14ac:dyDescent="0.4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15.75" customHeight="1" x14ac:dyDescent="0.4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15.75" customHeight="1" x14ac:dyDescent="0.4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15.75" customHeight="1" x14ac:dyDescent="0.4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15.75" customHeight="1" x14ac:dyDescent="0.4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15.75" customHeight="1" x14ac:dyDescent="0.4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15.75" customHeight="1" x14ac:dyDescent="0.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15.75" customHeight="1" x14ac:dyDescent="0.4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15.75" customHeight="1" x14ac:dyDescent="0.4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15.75" customHeight="1" x14ac:dyDescent="0.4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15.75" customHeight="1" x14ac:dyDescent="0.4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15.75" customHeight="1" x14ac:dyDescent="0.4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15.75" customHeight="1" x14ac:dyDescent="0.4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15.75" customHeight="1" x14ac:dyDescent="0.4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15.75" customHeight="1" x14ac:dyDescent="0.4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15.75" customHeight="1" x14ac:dyDescent="0.4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15.75" customHeight="1" x14ac:dyDescent="0.4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15.75" customHeight="1" x14ac:dyDescent="0.4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15.75" customHeight="1" x14ac:dyDescent="0.4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15.75" customHeight="1" x14ac:dyDescent="0.4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15.75" customHeight="1" x14ac:dyDescent="0.4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15.75" customHeight="1" x14ac:dyDescent="0.4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15.75" customHeight="1" x14ac:dyDescent="0.4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15.75" customHeight="1" x14ac:dyDescent="0.4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15.75" customHeight="1" x14ac:dyDescent="0.4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15.75" customHeight="1" x14ac:dyDescent="0.4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15.75" customHeight="1" x14ac:dyDescent="0.4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15.75" customHeight="1" x14ac:dyDescent="0.4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15.75" customHeight="1" x14ac:dyDescent="0.4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15.75" customHeight="1" x14ac:dyDescent="0.4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15.75" customHeight="1" x14ac:dyDescent="0.4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15.75" customHeight="1" x14ac:dyDescent="0.4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15.75" customHeight="1" x14ac:dyDescent="0.4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15.75" customHeight="1" x14ac:dyDescent="0.4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15.75" customHeight="1" x14ac:dyDescent="0.4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15.75" customHeight="1" x14ac:dyDescent="0.4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15.75" customHeight="1" x14ac:dyDescent="0.4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15.75" customHeight="1" x14ac:dyDescent="0.4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15.75" customHeight="1" x14ac:dyDescent="0.4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15.75" customHeight="1" x14ac:dyDescent="0.4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15.75" customHeight="1" x14ac:dyDescent="0.4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15.75" customHeight="1" x14ac:dyDescent="0.4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15.75" customHeight="1" x14ac:dyDescent="0.4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15.75" customHeight="1" x14ac:dyDescent="0.4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15.75" customHeight="1" x14ac:dyDescent="0.45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15.75" customHeight="1" x14ac:dyDescent="0.45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15.75" customHeight="1" x14ac:dyDescent="0.4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15.75" customHeight="1" x14ac:dyDescent="0.45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15.75" customHeight="1" x14ac:dyDescent="0.45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15.75" customHeight="1" x14ac:dyDescent="0.45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15.75" customHeight="1" x14ac:dyDescent="0.45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15.75" customHeight="1" x14ac:dyDescent="0.45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15.75" customHeight="1" x14ac:dyDescent="0.45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15.75" customHeight="1" x14ac:dyDescent="0.45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15.75" customHeight="1" x14ac:dyDescent="0.45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15.75" customHeight="1" x14ac:dyDescent="0.45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15.75" customHeight="1" x14ac:dyDescent="0.4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15.75" customHeight="1" x14ac:dyDescent="0.45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15.75" customHeight="1" x14ac:dyDescent="0.45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15.75" customHeight="1" x14ac:dyDescent="0.45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 ht="15.75" customHeight="1" x14ac:dyDescent="0.45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 ht="15.75" customHeight="1" x14ac:dyDescent="0.45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 ht="15.75" customHeight="1" x14ac:dyDescent="0.45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 ht="15.75" customHeight="1" x14ac:dyDescent="0.45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 ht="15.75" customHeight="1" x14ac:dyDescent="0.45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 ht="15.75" customHeight="1" x14ac:dyDescent="0.45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 ht="15.75" customHeight="1" x14ac:dyDescent="0.4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 ht="15.75" customHeight="1" x14ac:dyDescent="0.45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 ht="15.75" customHeight="1" x14ac:dyDescent="0.45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 ht="15.75" customHeight="1" x14ac:dyDescent="0.45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 ht="15.75" customHeight="1" x14ac:dyDescent="0.45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 ht="15.75" customHeight="1" x14ac:dyDescent="0.45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 ht="15.75" customHeight="1" x14ac:dyDescent="0.45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 ht="15.75" customHeight="1" x14ac:dyDescent="0.45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 ht="15.75" customHeight="1" x14ac:dyDescent="0.45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 ht="15.75" customHeight="1" x14ac:dyDescent="0.45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 ht="15.75" customHeight="1" x14ac:dyDescent="0.4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 ht="15.75" customHeight="1" x14ac:dyDescent="0.45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 ht="15.75" customHeight="1" x14ac:dyDescent="0.45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 ht="15.75" customHeight="1" x14ac:dyDescent="0.45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 ht="15.75" customHeight="1" x14ac:dyDescent="0.45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 ht="15.75" customHeight="1" x14ac:dyDescent="0.45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 ht="15.75" customHeight="1" x14ac:dyDescent="0.4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 ht="15.75" customHeight="1" x14ac:dyDescent="0.45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 ht="15.75" customHeight="1" x14ac:dyDescent="0.45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 ht="15.75" customHeight="1" x14ac:dyDescent="0.4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 ht="15.75" customHeight="1" x14ac:dyDescent="0.4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 ht="15.75" customHeight="1" x14ac:dyDescent="0.45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 ht="15.75" customHeight="1" x14ac:dyDescent="0.4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 ht="15.75" customHeight="1" x14ac:dyDescent="0.45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 ht="15.75" customHeight="1" x14ac:dyDescent="0.4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 ht="15.75" customHeight="1" x14ac:dyDescent="0.45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 ht="15.75" customHeight="1" x14ac:dyDescent="0.45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 ht="15.75" customHeight="1" x14ac:dyDescent="0.45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 ht="15.75" customHeight="1" x14ac:dyDescent="0.45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 ht="15.75" customHeight="1" x14ac:dyDescent="0.45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 ht="15.75" customHeight="1" x14ac:dyDescent="0.4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 ht="15.75" customHeight="1" x14ac:dyDescent="0.45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 ht="15.75" customHeight="1" x14ac:dyDescent="0.45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 ht="15.75" customHeight="1" x14ac:dyDescent="0.45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 ht="15.75" customHeight="1" x14ac:dyDescent="0.45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 ht="15.75" customHeight="1" x14ac:dyDescent="0.45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 ht="15.75" customHeight="1" x14ac:dyDescent="0.45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 ht="15.75" customHeight="1" x14ac:dyDescent="0.45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 ht="15.75" customHeight="1" x14ac:dyDescent="0.45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 ht="15.75" customHeight="1" x14ac:dyDescent="0.45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 ht="15.75" customHeight="1" x14ac:dyDescent="0.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 ht="15.75" customHeight="1" x14ac:dyDescent="0.45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 ht="15.75" customHeight="1" x14ac:dyDescent="0.45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 ht="15.75" customHeight="1" x14ac:dyDescent="0.45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 ht="15.75" customHeight="1" x14ac:dyDescent="0.45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 ht="15.75" customHeight="1" x14ac:dyDescent="0.45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 ht="15.75" customHeight="1" x14ac:dyDescent="0.45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 ht="15.75" customHeight="1" x14ac:dyDescent="0.45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 ht="15.75" customHeight="1" x14ac:dyDescent="0.45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 ht="15.75" customHeight="1" x14ac:dyDescent="0.45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 ht="15.75" customHeight="1" x14ac:dyDescent="0.4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 ht="15.75" customHeight="1" x14ac:dyDescent="0.45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 ht="15.75" customHeight="1" x14ac:dyDescent="0.45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 ht="15.75" customHeight="1" x14ac:dyDescent="0.45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 ht="15.75" customHeight="1" x14ac:dyDescent="0.45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 ht="15.75" customHeight="1" x14ac:dyDescent="0.45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 ht="15.75" customHeight="1" x14ac:dyDescent="0.45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 ht="15.75" customHeight="1" x14ac:dyDescent="0.45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 ht="15.75" customHeight="1" x14ac:dyDescent="0.45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 ht="15.75" customHeight="1" x14ac:dyDescent="0.45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 ht="15.75" customHeight="1" x14ac:dyDescent="0.4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 ht="15.75" customHeight="1" x14ac:dyDescent="0.45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 ht="15.75" customHeight="1" x14ac:dyDescent="0.45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 ht="15.75" customHeight="1" x14ac:dyDescent="0.45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 ht="15.75" customHeight="1" x14ac:dyDescent="0.45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 ht="15.75" customHeight="1" x14ac:dyDescent="0.4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 ht="15.75" customHeight="1" x14ac:dyDescent="0.45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 ht="15.75" customHeight="1" x14ac:dyDescent="0.45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 ht="15.75" customHeight="1" x14ac:dyDescent="0.45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 ht="15.75" customHeight="1" x14ac:dyDescent="0.45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 ht="15.75" customHeight="1" x14ac:dyDescent="0.4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 ht="15.75" customHeight="1" x14ac:dyDescent="0.45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 ht="15.75" customHeight="1" x14ac:dyDescent="0.45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 ht="15.75" customHeight="1" x14ac:dyDescent="0.45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 ht="15.75" customHeight="1" x14ac:dyDescent="0.45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 ht="15.75" customHeight="1" x14ac:dyDescent="0.45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 ht="15.75" customHeight="1" x14ac:dyDescent="0.45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 ht="15.75" customHeight="1" x14ac:dyDescent="0.45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 ht="15.75" customHeight="1" x14ac:dyDescent="0.45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 ht="15.75" customHeight="1" x14ac:dyDescent="0.45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 ht="15.75" customHeight="1" x14ac:dyDescent="0.4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 ht="15.75" customHeight="1" x14ac:dyDescent="0.45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 ht="15.75" customHeight="1" x14ac:dyDescent="0.45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 ht="15.75" customHeight="1" x14ac:dyDescent="0.45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 ht="15.75" customHeight="1" x14ac:dyDescent="0.45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 ht="15.75" customHeight="1" x14ac:dyDescent="0.45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 ht="15.75" customHeight="1" x14ac:dyDescent="0.4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 ht="15.75" customHeight="1" x14ac:dyDescent="0.45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 ht="15.75" customHeight="1" x14ac:dyDescent="0.45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 ht="15.75" customHeight="1" x14ac:dyDescent="0.45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 ht="15.75" customHeight="1" x14ac:dyDescent="0.4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 ht="15.75" customHeight="1" x14ac:dyDescent="0.45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 ht="15.75" customHeight="1" x14ac:dyDescent="0.45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 ht="15.75" customHeight="1" x14ac:dyDescent="0.45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 ht="15.75" customHeight="1" x14ac:dyDescent="0.45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 ht="15.75" customHeight="1" x14ac:dyDescent="0.45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 ht="15.75" customHeight="1" x14ac:dyDescent="0.45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 ht="15.75" customHeight="1" x14ac:dyDescent="0.45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 ht="15.75" customHeight="1" x14ac:dyDescent="0.45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 ht="15.75" customHeight="1" x14ac:dyDescent="0.45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 ht="15.75" customHeight="1" x14ac:dyDescent="0.4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 ht="15.75" customHeight="1" x14ac:dyDescent="0.45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 ht="15.75" customHeight="1" x14ac:dyDescent="0.45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 ht="15.75" customHeight="1" x14ac:dyDescent="0.45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 ht="15.75" customHeight="1" x14ac:dyDescent="0.45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 ht="15.75" customHeight="1" x14ac:dyDescent="0.45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 ht="15.75" customHeight="1" x14ac:dyDescent="0.45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 ht="15.75" customHeight="1" x14ac:dyDescent="0.45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 ht="15.75" customHeight="1" x14ac:dyDescent="0.45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 ht="15.75" customHeight="1" x14ac:dyDescent="0.45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 ht="15.75" customHeight="1" x14ac:dyDescent="0.4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 ht="15.75" customHeight="1" x14ac:dyDescent="0.45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 ht="15.75" customHeight="1" x14ac:dyDescent="0.45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 ht="15.75" customHeight="1" x14ac:dyDescent="0.45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 ht="15.75" customHeight="1" x14ac:dyDescent="0.45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 ht="15.75" customHeight="1" x14ac:dyDescent="0.45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 ht="15.75" customHeight="1" x14ac:dyDescent="0.45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 ht="15.75" customHeight="1" x14ac:dyDescent="0.45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 ht="15.75" customHeight="1" x14ac:dyDescent="0.45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 ht="15.75" customHeight="1" x14ac:dyDescent="0.45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 ht="15.75" customHeight="1" x14ac:dyDescent="0.4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 ht="15.75" customHeight="1" x14ac:dyDescent="0.45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 ht="15.75" customHeight="1" x14ac:dyDescent="0.45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 ht="15.75" customHeight="1" x14ac:dyDescent="0.45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 ht="15.75" customHeight="1" x14ac:dyDescent="0.45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 ht="15.75" customHeight="1" x14ac:dyDescent="0.45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 ht="15.75" customHeight="1" x14ac:dyDescent="0.45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 ht="15.75" customHeight="1" x14ac:dyDescent="0.45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 ht="15.75" customHeight="1" x14ac:dyDescent="0.45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 ht="15.75" customHeight="1" x14ac:dyDescent="0.45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 ht="15.75" customHeight="1" x14ac:dyDescent="0.4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 ht="15.75" customHeight="1" x14ac:dyDescent="0.45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 ht="15.75" customHeight="1" x14ac:dyDescent="0.45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 ht="15.75" customHeight="1" x14ac:dyDescent="0.45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 ht="15.75" customHeight="1" x14ac:dyDescent="0.45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 ht="15.75" customHeight="1" x14ac:dyDescent="0.45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 ht="15.75" customHeight="1" x14ac:dyDescent="0.45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 ht="15.75" customHeight="1" x14ac:dyDescent="0.45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 ht="15.75" customHeight="1" x14ac:dyDescent="0.45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 ht="15.75" customHeight="1" x14ac:dyDescent="0.45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 ht="15.75" customHeight="1" x14ac:dyDescent="0.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 ht="15.75" customHeight="1" x14ac:dyDescent="0.45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 ht="15.75" customHeight="1" x14ac:dyDescent="0.45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 ht="15.75" customHeight="1" x14ac:dyDescent="0.45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 ht="15.75" customHeight="1" x14ac:dyDescent="0.45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 ht="15.75" customHeight="1" x14ac:dyDescent="0.45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 ht="15.75" customHeight="1" x14ac:dyDescent="0.45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 ht="15.75" customHeight="1" x14ac:dyDescent="0.45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 ht="15.75" customHeight="1" x14ac:dyDescent="0.45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 ht="15.75" customHeight="1" x14ac:dyDescent="0.45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 ht="15.75" customHeight="1" x14ac:dyDescent="0.4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 ht="15.75" customHeight="1" x14ac:dyDescent="0.45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 ht="15.75" customHeight="1" x14ac:dyDescent="0.45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 ht="15.75" customHeight="1" x14ac:dyDescent="0.45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 ht="15.75" customHeight="1" x14ac:dyDescent="0.45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 ht="15.75" customHeight="1" x14ac:dyDescent="0.45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 ht="15.75" customHeight="1" x14ac:dyDescent="0.45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 ht="15.75" customHeight="1" x14ac:dyDescent="0.45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 ht="15.75" customHeight="1" x14ac:dyDescent="0.45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 ht="15.75" customHeight="1" x14ac:dyDescent="0.45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 ht="15.75" customHeight="1" x14ac:dyDescent="0.4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 ht="15.75" customHeight="1" x14ac:dyDescent="0.45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 ht="15.75" customHeight="1" x14ac:dyDescent="0.45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 ht="15.75" customHeight="1" x14ac:dyDescent="0.45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 ht="15.75" customHeight="1" x14ac:dyDescent="0.45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 ht="15.75" customHeight="1" x14ac:dyDescent="0.45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 ht="15.75" customHeight="1" x14ac:dyDescent="0.45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 ht="15.75" customHeight="1" x14ac:dyDescent="0.45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 ht="15.75" customHeight="1" x14ac:dyDescent="0.45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 ht="15.75" customHeight="1" x14ac:dyDescent="0.45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 ht="15.75" customHeight="1" x14ac:dyDescent="0.4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 ht="15.75" customHeight="1" x14ac:dyDescent="0.45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 ht="15.75" customHeight="1" x14ac:dyDescent="0.45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 ht="15.75" customHeight="1" x14ac:dyDescent="0.45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 ht="15.75" customHeight="1" x14ac:dyDescent="0.45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 ht="15.75" customHeight="1" x14ac:dyDescent="0.45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 ht="15.75" customHeight="1" x14ac:dyDescent="0.45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 ht="15.75" customHeight="1" x14ac:dyDescent="0.45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 ht="15.75" customHeight="1" x14ac:dyDescent="0.45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 ht="15.75" customHeight="1" x14ac:dyDescent="0.45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 ht="15.75" customHeight="1" x14ac:dyDescent="0.4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 ht="15.75" customHeight="1" x14ac:dyDescent="0.45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 ht="15.75" customHeight="1" x14ac:dyDescent="0.45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 ht="15.75" customHeight="1" x14ac:dyDescent="0.45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 ht="15.75" customHeight="1" x14ac:dyDescent="0.45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 ht="15.75" customHeight="1" x14ac:dyDescent="0.45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 ht="15.75" customHeight="1" x14ac:dyDescent="0.45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 ht="15.75" customHeight="1" x14ac:dyDescent="0.45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 ht="15.75" customHeight="1" x14ac:dyDescent="0.45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1:26" ht="15.75" customHeight="1" x14ac:dyDescent="0.45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1:26" ht="15.75" customHeight="1" x14ac:dyDescent="0.4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spans="1:26" ht="15.75" customHeight="1" x14ac:dyDescent="0.45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spans="1:26" ht="15.75" customHeight="1" x14ac:dyDescent="0.45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spans="1:26" ht="15.75" customHeight="1" x14ac:dyDescent="0.45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spans="1:26" ht="15.75" customHeight="1" x14ac:dyDescent="0.45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spans="1:26" ht="15.75" customHeight="1" x14ac:dyDescent="0.45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mergeCells count="55">
    <mergeCell ref="D11:H12"/>
    <mergeCell ref="I11:K11"/>
    <mergeCell ref="D13:H13"/>
    <mergeCell ref="D14:H14"/>
    <mergeCell ref="D15:H15"/>
    <mergeCell ref="D16:H16"/>
    <mergeCell ref="B17:K17"/>
    <mergeCell ref="C18:K22"/>
    <mergeCell ref="B23:K23"/>
    <mergeCell ref="C24:D24"/>
    <mergeCell ref="F24:G24"/>
    <mergeCell ref="H24:I24"/>
    <mergeCell ref="J24:K24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9:C9"/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11:C12"/>
    <mergeCell ref="B13:C13"/>
    <mergeCell ref="B14:C14"/>
    <mergeCell ref="B15:C15"/>
    <mergeCell ref="B16:C16"/>
    <mergeCell ref="B18:B22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10.3984375" customWidth="1"/>
    <col min="3" max="3" width="5.265625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 x14ac:dyDescent="0.45">
      <c r="A1" s="223"/>
      <c r="B1" s="193"/>
      <c r="C1" s="224"/>
      <c r="D1" s="223" t="s">
        <v>0</v>
      </c>
      <c r="E1" s="193"/>
      <c r="F1" s="193"/>
      <c r="G1" s="193"/>
      <c r="H1" s="193"/>
      <c r="I1" s="193"/>
      <c r="J1" s="193"/>
      <c r="K1" s="193"/>
      <c r="L1" s="224"/>
      <c r="M1" s="235" t="s">
        <v>1</v>
      </c>
      <c r="N1" s="189"/>
      <c r="O1" s="261" t="s">
        <v>230</v>
      </c>
      <c r="P1" s="212"/>
      <c r="Q1" s="12"/>
      <c r="R1" s="12"/>
      <c r="S1" s="12"/>
    </row>
    <row r="2" spans="1:19" ht="18.75" customHeight="1" x14ac:dyDescent="0.45">
      <c r="A2" s="266"/>
      <c r="B2" s="203"/>
      <c r="C2" s="232"/>
      <c r="D2" s="267"/>
      <c r="E2" s="195"/>
      <c r="F2" s="195"/>
      <c r="G2" s="195"/>
      <c r="H2" s="195"/>
      <c r="I2" s="195"/>
      <c r="J2" s="195"/>
      <c r="K2" s="195"/>
      <c r="L2" s="252"/>
      <c r="M2" s="268" t="s">
        <v>3</v>
      </c>
      <c r="N2" s="252"/>
      <c r="O2" s="269">
        <v>1</v>
      </c>
      <c r="P2" s="215"/>
      <c r="Q2" s="12"/>
      <c r="R2" s="12"/>
      <c r="S2" s="12"/>
    </row>
    <row r="3" spans="1:19" ht="17.25" customHeight="1" x14ac:dyDescent="0.45">
      <c r="A3" s="266"/>
      <c r="B3" s="203"/>
      <c r="C3" s="232"/>
      <c r="D3" s="270" t="s">
        <v>231</v>
      </c>
      <c r="E3" s="193"/>
      <c r="F3" s="193"/>
      <c r="G3" s="193"/>
      <c r="H3" s="193"/>
      <c r="I3" s="193"/>
      <c r="J3" s="193"/>
      <c r="K3" s="193"/>
      <c r="L3" s="193"/>
      <c r="M3" s="268" t="s">
        <v>5</v>
      </c>
      <c r="N3" s="252"/>
      <c r="O3" s="235" t="s">
        <v>6</v>
      </c>
      <c r="P3" s="187"/>
      <c r="Q3" s="12"/>
      <c r="R3" s="12"/>
      <c r="S3" s="12"/>
    </row>
    <row r="4" spans="1:19" ht="17.25" customHeight="1" x14ac:dyDescent="0.45">
      <c r="A4" s="266"/>
      <c r="B4" s="203"/>
      <c r="C4" s="232"/>
      <c r="D4" s="266"/>
      <c r="E4" s="203"/>
      <c r="F4" s="203"/>
      <c r="G4" s="203"/>
      <c r="H4" s="203"/>
      <c r="I4" s="203"/>
      <c r="J4" s="203"/>
      <c r="K4" s="203"/>
      <c r="L4" s="203"/>
      <c r="M4" s="223" t="s">
        <v>7</v>
      </c>
      <c r="N4" s="224"/>
      <c r="O4" s="242" t="s">
        <v>8</v>
      </c>
      <c r="P4" s="187"/>
      <c r="Q4" s="12"/>
      <c r="R4" s="12"/>
      <c r="S4" s="12"/>
    </row>
    <row r="5" spans="1:19" ht="17.25" customHeight="1" x14ac:dyDescent="0.45">
      <c r="A5" s="266"/>
      <c r="B5" s="203"/>
      <c r="C5" s="232"/>
      <c r="D5" s="266"/>
      <c r="E5" s="203"/>
      <c r="F5" s="203"/>
      <c r="G5" s="203"/>
      <c r="H5" s="203"/>
      <c r="I5" s="203"/>
      <c r="J5" s="203"/>
      <c r="K5" s="203"/>
      <c r="L5" s="203"/>
      <c r="M5" s="267"/>
      <c r="N5" s="252"/>
      <c r="O5" s="243" t="s">
        <v>9</v>
      </c>
      <c r="P5" s="187"/>
      <c r="Q5" s="12"/>
      <c r="R5" s="12"/>
      <c r="S5" s="12"/>
    </row>
    <row r="6" spans="1:19" ht="27.75" customHeight="1" x14ac:dyDescent="0.45">
      <c r="A6" s="375" t="s">
        <v>10</v>
      </c>
      <c r="B6" s="186"/>
      <c r="C6" s="186"/>
      <c r="D6" s="186"/>
      <c r="E6" s="189"/>
      <c r="F6" s="191" t="str">
        <f>'LISTA CHEQUEO'!F7</f>
        <v>LIMPIADOR ILUMINADOR ACIDO KOJICO</v>
      </c>
      <c r="G6" s="186"/>
      <c r="H6" s="186"/>
      <c r="I6" s="186"/>
      <c r="J6" s="186"/>
      <c r="K6" s="186"/>
      <c r="L6" s="186"/>
      <c r="M6" s="186"/>
      <c r="N6" s="186"/>
      <c r="O6" s="186"/>
      <c r="P6" s="187"/>
      <c r="Q6" s="12"/>
      <c r="R6" s="12"/>
      <c r="S6" s="12"/>
    </row>
    <row r="7" spans="1:19" ht="24" customHeight="1" x14ac:dyDescent="0.45">
      <c r="A7" s="379" t="s">
        <v>55</v>
      </c>
      <c r="B7" s="193"/>
      <c r="C7" s="193"/>
      <c r="D7" s="193"/>
      <c r="E7" s="224"/>
      <c r="F7" s="376" t="str">
        <f>'LISTA CHEQUEO'!F8</f>
        <v>252601</v>
      </c>
      <c r="G7" s="224"/>
      <c r="H7" s="377" t="s">
        <v>232</v>
      </c>
      <c r="I7" s="224"/>
      <c r="J7" s="320" t="str">
        <f>'LISTA CHEQUEO'!M8</f>
        <v>OP-SS-128</v>
      </c>
      <c r="K7" s="193"/>
      <c r="L7" s="224"/>
      <c r="M7" s="290" t="s">
        <v>16</v>
      </c>
      <c r="N7" s="224"/>
      <c r="O7" s="378" t="str">
        <f>'LISTA CHEQUEO'!F9</f>
        <v>100 mL</v>
      </c>
      <c r="P7" s="215"/>
      <c r="Q7" s="12"/>
      <c r="R7" s="12"/>
      <c r="S7" s="12"/>
    </row>
    <row r="8" spans="1:19" ht="28.5" customHeight="1" x14ac:dyDescent="0.45">
      <c r="A8" s="289" t="s">
        <v>233</v>
      </c>
      <c r="B8" s="186"/>
      <c r="C8" s="186"/>
      <c r="D8" s="186"/>
      <c r="E8" s="189"/>
      <c r="F8" s="380">
        <f>OP!M12</f>
        <v>900</v>
      </c>
      <c r="G8" s="189"/>
      <c r="H8" s="289" t="s">
        <v>234</v>
      </c>
      <c r="I8" s="186"/>
      <c r="J8" s="344"/>
      <c r="K8" s="186"/>
      <c r="L8" s="186"/>
      <c r="M8" s="289" t="s">
        <v>235</v>
      </c>
      <c r="N8" s="186"/>
      <c r="O8" s="236"/>
      <c r="P8" s="187"/>
      <c r="Q8" s="12"/>
      <c r="R8" s="12"/>
      <c r="S8" s="12"/>
    </row>
    <row r="9" spans="1:19" ht="36.75" customHeight="1" x14ac:dyDescent="0.45">
      <c r="A9" s="291" t="s">
        <v>236</v>
      </c>
      <c r="B9" s="186"/>
      <c r="C9" s="186"/>
      <c r="D9" s="186"/>
      <c r="E9" s="189"/>
      <c r="F9" s="380"/>
      <c r="G9" s="189"/>
      <c r="H9" s="289" t="s">
        <v>237</v>
      </c>
      <c r="I9" s="189"/>
      <c r="J9" s="235"/>
      <c r="K9" s="186"/>
      <c r="L9" s="189"/>
      <c r="M9" s="289" t="s">
        <v>164</v>
      </c>
      <c r="N9" s="189"/>
      <c r="O9" s="236"/>
      <c r="P9" s="187"/>
      <c r="Q9" s="12"/>
      <c r="R9" s="12"/>
      <c r="S9" s="12"/>
    </row>
    <row r="10" spans="1:19" ht="19.5" customHeight="1" x14ac:dyDescent="0.45">
      <c r="A10" s="291" t="s">
        <v>165</v>
      </c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9"/>
      <c r="N10" s="256" t="s">
        <v>166</v>
      </c>
      <c r="O10" s="189"/>
      <c r="P10" s="53" t="s">
        <v>167</v>
      </c>
      <c r="Q10" s="12"/>
      <c r="R10" s="12"/>
      <c r="S10" s="12"/>
    </row>
    <row r="11" spans="1:19" ht="29.25" customHeight="1" x14ac:dyDescent="0.45">
      <c r="A11" s="213" t="s">
        <v>168</v>
      </c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9"/>
      <c r="N11" s="250"/>
      <c r="O11" s="189"/>
      <c r="P11" s="54"/>
      <c r="Q11" s="12"/>
      <c r="R11" s="12"/>
      <c r="S11" s="12"/>
    </row>
    <row r="12" spans="1:19" ht="19.5" customHeight="1" x14ac:dyDescent="0.45">
      <c r="A12" s="384" t="s">
        <v>238</v>
      </c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321"/>
      <c r="Q12" s="72"/>
      <c r="R12" s="72"/>
      <c r="S12" s="72"/>
    </row>
    <row r="13" spans="1:19" ht="29.25" customHeight="1" x14ac:dyDescent="0.45">
      <c r="A13" s="384" t="s">
        <v>239</v>
      </c>
      <c r="B13" s="195"/>
      <c r="C13" s="346" t="s">
        <v>12</v>
      </c>
      <c r="D13" s="186"/>
      <c r="E13" s="189"/>
      <c r="F13" s="346" t="s">
        <v>240</v>
      </c>
      <c r="G13" s="186"/>
      <c r="H13" s="186"/>
      <c r="I13" s="186"/>
      <c r="J13" s="186"/>
      <c r="K13" s="186"/>
      <c r="L13" s="186"/>
      <c r="M13" s="346" t="s">
        <v>241</v>
      </c>
      <c r="N13" s="189"/>
      <c r="O13" s="369" t="s">
        <v>242</v>
      </c>
      <c r="P13" s="321"/>
      <c r="Q13" s="72"/>
      <c r="R13" s="72"/>
      <c r="S13" s="72"/>
    </row>
    <row r="14" spans="1:19" ht="29.25" customHeight="1" x14ac:dyDescent="0.45">
      <c r="A14" s="381" t="s">
        <v>243</v>
      </c>
      <c r="B14" s="186"/>
      <c r="C14" s="382" t="s">
        <v>244</v>
      </c>
      <c r="D14" s="186"/>
      <c r="E14" s="186"/>
      <c r="F14" s="382" t="s">
        <v>245</v>
      </c>
      <c r="G14" s="186"/>
      <c r="H14" s="186"/>
      <c r="I14" s="186"/>
      <c r="J14" s="186"/>
      <c r="K14" s="186"/>
      <c r="L14" s="189"/>
      <c r="M14" s="383">
        <f>F8</f>
        <v>900</v>
      </c>
      <c r="N14" s="189"/>
      <c r="O14" s="346"/>
      <c r="P14" s="187"/>
      <c r="Q14" s="72"/>
      <c r="R14" s="72"/>
      <c r="S14" s="72"/>
    </row>
    <row r="15" spans="1:19" ht="29.25" customHeight="1" x14ac:dyDescent="0.45">
      <c r="A15" s="381" t="s">
        <v>246</v>
      </c>
      <c r="B15" s="186"/>
      <c r="C15" s="382" t="s">
        <v>244</v>
      </c>
      <c r="D15" s="186"/>
      <c r="E15" s="186"/>
      <c r="F15" s="382" t="s">
        <v>247</v>
      </c>
      <c r="G15" s="186"/>
      <c r="H15" s="186"/>
      <c r="I15" s="186"/>
      <c r="J15" s="186"/>
      <c r="K15" s="186"/>
      <c r="L15" s="189"/>
      <c r="M15" s="383">
        <f>F8</f>
        <v>900</v>
      </c>
      <c r="N15" s="189"/>
      <c r="O15" s="346"/>
      <c r="P15" s="187"/>
      <c r="Q15" s="72"/>
      <c r="R15" s="72"/>
      <c r="S15" s="72"/>
    </row>
    <row r="16" spans="1:19" ht="29.25" customHeight="1" x14ac:dyDescent="0.45">
      <c r="A16" s="381" t="s">
        <v>248</v>
      </c>
      <c r="B16" s="186"/>
      <c r="C16" s="382" t="s">
        <v>244</v>
      </c>
      <c r="D16" s="186"/>
      <c r="E16" s="186"/>
      <c r="F16" s="382" t="s">
        <v>249</v>
      </c>
      <c r="G16" s="186"/>
      <c r="H16" s="186"/>
      <c r="I16" s="186"/>
      <c r="J16" s="186"/>
      <c r="K16" s="186"/>
      <c r="L16" s="189"/>
      <c r="M16" s="383">
        <f>F8</f>
        <v>900</v>
      </c>
      <c r="N16" s="189"/>
      <c r="O16" s="346"/>
      <c r="P16" s="187"/>
      <c r="Q16" s="72"/>
      <c r="R16" s="72"/>
      <c r="S16" s="72"/>
    </row>
    <row r="17" spans="1:19" ht="29.25" customHeight="1" x14ac:dyDescent="0.45">
      <c r="A17" s="347"/>
      <c r="B17" s="186"/>
      <c r="C17" s="346"/>
      <c r="D17" s="186"/>
      <c r="E17" s="186"/>
      <c r="F17" s="346"/>
      <c r="G17" s="186"/>
      <c r="H17" s="186"/>
      <c r="I17" s="186"/>
      <c r="J17" s="186"/>
      <c r="K17" s="186"/>
      <c r="L17" s="189"/>
      <c r="M17" s="362"/>
      <c r="N17" s="189"/>
      <c r="O17" s="346"/>
      <c r="P17" s="187"/>
      <c r="Q17" s="72"/>
      <c r="R17" s="72"/>
      <c r="S17" s="72"/>
    </row>
    <row r="18" spans="1:19" ht="29.25" customHeight="1" x14ac:dyDescent="0.45">
      <c r="A18" s="347"/>
      <c r="B18" s="189"/>
      <c r="C18" s="369"/>
      <c r="D18" s="195"/>
      <c r="E18" s="252"/>
      <c r="F18" s="372"/>
      <c r="G18" s="195"/>
      <c r="H18" s="195"/>
      <c r="I18" s="195"/>
      <c r="J18" s="195"/>
      <c r="K18" s="195"/>
      <c r="L18" s="252"/>
      <c r="M18" s="346"/>
      <c r="N18" s="189"/>
      <c r="O18" s="346"/>
      <c r="P18" s="187"/>
      <c r="Q18" s="72"/>
      <c r="R18" s="72"/>
      <c r="S18" s="72"/>
    </row>
    <row r="19" spans="1:19" ht="21" customHeight="1" x14ac:dyDescent="0.45">
      <c r="A19" s="346" t="s">
        <v>250</v>
      </c>
      <c r="B19" s="186"/>
      <c r="C19" s="186"/>
      <c r="D19" s="186"/>
      <c r="E19" s="186"/>
      <c r="F19" s="189"/>
      <c r="G19" s="73" t="s">
        <v>166</v>
      </c>
      <c r="H19" s="349"/>
      <c r="I19" s="186"/>
      <c r="J19" s="189"/>
      <c r="K19" s="74" t="s">
        <v>167</v>
      </c>
      <c r="L19" s="75"/>
      <c r="M19" s="75" t="s">
        <v>251</v>
      </c>
      <c r="N19" s="349"/>
      <c r="O19" s="186"/>
      <c r="P19" s="187"/>
      <c r="Q19" s="76"/>
      <c r="R19" s="72"/>
      <c r="S19" s="72"/>
    </row>
    <row r="20" spans="1:19" ht="21" customHeight="1" x14ac:dyDescent="0.45">
      <c r="A20" s="346" t="s">
        <v>252</v>
      </c>
      <c r="B20" s="189"/>
      <c r="C20" s="350"/>
      <c r="D20" s="186"/>
      <c r="E20" s="186"/>
      <c r="F20" s="186"/>
      <c r="G20" s="189"/>
      <c r="H20" s="349" t="s">
        <v>253</v>
      </c>
      <c r="I20" s="189"/>
      <c r="J20" s="350"/>
      <c r="K20" s="186"/>
      <c r="L20" s="186"/>
      <c r="M20" s="189"/>
      <c r="N20" s="74" t="s">
        <v>254</v>
      </c>
      <c r="O20" s="349"/>
      <c r="P20" s="187"/>
      <c r="Q20" s="72"/>
      <c r="R20" s="72"/>
      <c r="S20" s="72"/>
    </row>
    <row r="21" spans="1:19" ht="16.5" customHeight="1" x14ac:dyDescent="0.45">
      <c r="A21" s="346" t="s">
        <v>255</v>
      </c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7"/>
      <c r="Q21" s="72"/>
      <c r="R21" s="72"/>
      <c r="S21" s="72"/>
    </row>
    <row r="22" spans="1:19" ht="24.75" customHeight="1" x14ac:dyDescent="0.45">
      <c r="A22" s="284" t="s">
        <v>256</v>
      </c>
      <c r="B22" s="195"/>
      <c r="C22" s="195"/>
      <c r="D22" s="195"/>
      <c r="E22" s="252"/>
      <c r="F22" s="351"/>
      <c r="G22" s="195"/>
      <c r="H22" s="195"/>
      <c r="I22" s="195"/>
      <c r="J22" s="195"/>
      <c r="K22" s="195"/>
      <c r="L22" s="284" t="s">
        <v>257</v>
      </c>
      <c r="M22" s="252"/>
      <c r="N22" s="352"/>
      <c r="O22" s="195"/>
      <c r="P22" s="321"/>
      <c r="Q22" s="72"/>
      <c r="R22" s="72"/>
      <c r="S22" s="72"/>
    </row>
    <row r="23" spans="1:19" ht="24.75" customHeight="1" x14ac:dyDescent="0.45">
      <c r="A23" s="236" t="s">
        <v>258</v>
      </c>
      <c r="B23" s="186"/>
      <c r="C23" s="186"/>
      <c r="D23" s="186"/>
      <c r="E23" s="189"/>
      <c r="F23" s="340"/>
      <c r="G23" s="186"/>
      <c r="H23" s="186"/>
      <c r="I23" s="186"/>
      <c r="J23" s="186"/>
      <c r="K23" s="186"/>
      <c r="L23" s="236" t="s">
        <v>259</v>
      </c>
      <c r="M23" s="189"/>
      <c r="N23" s="353"/>
      <c r="O23" s="186"/>
      <c r="P23" s="187"/>
      <c r="Q23" s="72"/>
      <c r="R23" s="72"/>
      <c r="S23" s="72"/>
    </row>
    <row r="24" spans="1:19" ht="24.75" customHeight="1" x14ac:dyDescent="0.45">
      <c r="A24" s="346" t="s">
        <v>260</v>
      </c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9"/>
      <c r="Q24" s="72"/>
      <c r="R24" s="72"/>
      <c r="S24" s="72"/>
    </row>
    <row r="25" spans="1:19" ht="24.75" customHeight="1" x14ac:dyDescent="0.45">
      <c r="A25" s="354" t="s">
        <v>261</v>
      </c>
      <c r="B25" s="224"/>
      <c r="C25" s="373" t="s">
        <v>262</v>
      </c>
      <c r="D25" s="232"/>
      <c r="E25" s="374" t="s">
        <v>86</v>
      </c>
      <c r="F25" s="203"/>
      <c r="G25" s="232"/>
      <c r="H25" s="374" t="s">
        <v>263</v>
      </c>
      <c r="I25" s="203"/>
      <c r="J25" s="232"/>
      <c r="K25" s="77" t="s">
        <v>264</v>
      </c>
      <c r="L25" s="78" t="s">
        <v>265</v>
      </c>
      <c r="M25" s="78" t="s">
        <v>266</v>
      </c>
      <c r="N25" s="369" t="s">
        <v>267</v>
      </c>
      <c r="O25" s="252"/>
      <c r="P25" s="79" t="s">
        <v>268</v>
      </c>
      <c r="Q25" s="72"/>
      <c r="R25" s="72"/>
      <c r="S25" s="72"/>
    </row>
    <row r="26" spans="1:19" ht="24.75" customHeight="1" x14ac:dyDescent="0.45">
      <c r="A26" s="267"/>
      <c r="B26" s="252"/>
      <c r="C26" s="346"/>
      <c r="D26" s="189"/>
      <c r="E26" s="346"/>
      <c r="F26" s="186"/>
      <c r="G26" s="189"/>
      <c r="H26" s="346"/>
      <c r="I26" s="186"/>
      <c r="J26" s="189"/>
      <c r="K26" s="73"/>
      <c r="L26" s="80"/>
      <c r="M26" s="81"/>
      <c r="N26" s="370"/>
      <c r="O26" s="207"/>
      <c r="P26" s="82"/>
      <c r="Q26" s="72"/>
      <c r="R26" s="72"/>
      <c r="S26" s="72"/>
    </row>
    <row r="27" spans="1:19" ht="24.75" customHeight="1" x14ac:dyDescent="0.45">
      <c r="A27" s="371" t="s">
        <v>269</v>
      </c>
      <c r="B27" s="211"/>
      <c r="C27" s="211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2"/>
      <c r="Q27" s="72"/>
      <c r="R27" s="72"/>
      <c r="S27" s="72"/>
    </row>
    <row r="28" spans="1:19" ht="24.75" customHeight="1" x14ac:dyDescent="0.45">
      <c r="A28" s="347" t="s">
        <v>67</v>
      </c>
      <c r="B28" s="189"/>
      <c r="C28" s="346" t="s">
        <v>262</v>
      </c>
      <c r="D28" s="189"/>
      <c r="E28" s="346" t="s">
        <v>86</v>
      </c>
      <c r="F28" s="186"/>
      <c r="G28" s="189"/>
      <c r="H28" s="346" t="s">
        <v>270</v>
      </c>
      <c r="I28" s="186"/>
      <c r="J28" s="189"/>
      <c r="K28" s="73" t="s">
        <v>271</v>
      </c>
      <c r="L28" s="73" t="s">
        <v>272</v>
      </c>
      <c r="M28" s="73" t="s">
        <v>273</v>
      </c>
      <c r="N28" s="346" t="s">
        <v>274</v>
      </c>
      <c r="O28" s="189"/>
      <c r="P28" s="83" t="s">
        <v>275</v>
      </c>
      <c r="Q28" s="72"/>
      <c r="R28" s="72"/>
      <c r="S28" s="72"/>
    </row>
    <row r="29" spans="1:19" ht="24.75" customHeight="1" x14ac:dyDescent="0.45">
      <c r="A29" s="355"/>
      <c r="B29" s="189"/>
      <c r="C29" s="346"/>
      <c r="D29" s="189"/>
      <c r="E29" s="346"/>
      <c r="F29" s="186"/>
      <c r="G29" s="189"/>
      <c r="H29" s="346"/>
      <c r="I29" s="186"/>
      <c r="J29" s="189"/>
      <c r="K29" s="73"/>
      <c r="L29" s="73"/>
      <c r="M29" s="73"/>
      <c r="N29" s="346"/>
      <c r="O29" s="189"/>
      <c r="P29" s="83"/>
      <c r="Q29" s="72"/>
      <c r="R29" s="72"/>
      <c r="S29" s="72"/>
    </row>
    <row r="30" spans="1:19" ht="24.75" customHeight="1" x14ac:dyDescent="0.45">
      <c r="A30" s="355"/>
      <c r="B30" s="189"/>
      <c r="C30" s="346"/>
      <c r="D30" s="189"/>
      <c r="E30" s="346"/>
      <c r="F30" s="186"/>
      <c r="G30" s="189"/>
      <c r="H30" s="346"/>
      <c r="I30" s="186"/>
      <c r="J30" s="189"/>
      <c r="K30" s="73"/>
      <c r="L30" s="73"/>
      <c r="M30" s="73"/>
      <c r="N30" s="346"/>
      <c r="O30" s="189"/>
      <c r="P30" s="83"/>
      <c r="Q30" s="72"/>
      <c r="R30" s="72"/>
      <c r="S30" s="72"/>
    </row>
    <row r="31" spans="1:19" ht="24.75" customHeight="1" x14ac:dyDescent="0.45">
      <c r="A31" s="355"/>
      <c r="B31" s="189"/>
      <c r="C31" s="346"/>
      <c r="D31" s="189"/>
      <c r="E31" s="346"/>
      <c r="F31" s="186"/>
      <c r="G31" s="189"/>
      <c r="H31" s="346"/>
      <c r="I31" s="186"/>
      <c r="J31" s="189"/>
      <c r="K31" s="73"/>
      <c r="L31" s="73"/>
      <c r="M31" s="73"/>
      <c r="N31" s="346"/>
      <c r="O31" s="189"/>
      <c r="P31" s="83"/>
      <c r="Q31" s="72"/>
      <c r="R31" s="72"/>
      <c r="S31" s="72"/>
    </row>
    <row r="32" spans="1:19" ht="24.75" customHeight="1" x14ac:dyDescent="0.45">
      <c r="A32" s="355"/>
      <c r="B32" s="189"/>
      <c r="C32" s="346"/>
      <c r="D32" s="189"/>
      <c r="E32" s="346"/>
      <c r="F32" s="186"/>
      <c r="G32" s="189"/>
      <c r="H32" s="346"/>
      <c r="I32" s="186"/>
      <c r="J32" s="189"/>
      <c r="K32" s="73"/>
      <c r="L32" s="73"/>
      <c r="M32" s="73"/>
      <c r="N32" s="346"/>
      <c r="O32" s="189"/>
      <c r="P32" s="83"/>
      <c r="Q32" s="72"/>
      <c r="R32" s="72"/>
      <c r="S32" s="72"/>
    </row>
    <row r="33" spans="1:19" ht="24.75" customHeight="1" x14ac:dyDescent="0.45">
      <c r="A33" s="355"/>
      <c r="B33" s="189"/>
      <c r="C33" s="346"/>
      <c r="D33" s="189"/>
      <c r="E33" s="346"/>
      <c r="F33" s="186"/>
      <c r="G33" s="189"/>
      <c r="H33" s="346"/>
      <c r="I33" s="186"/>
      <c r="J33" s="189"/>
      <c r="K33" s="73"/>
      <c r="L33" s="73"/>
      <c r="M33" s="73"/>
      <c r="N33" s="346"/>
      <c r="O33" s="189"/>
      <c r="P33" s="83"/>
      <c r="Q33" s="72"/>
      <c r="R33" s="72"/>
      <c r="S33" s="72"/>
    </row>
    <row r="34" spans="1:19" ht="24.75" customHeight="1" x14ac:dyDescent="0.45">
      <c r="A34" s="355"/>
      <c r="B34" s="189"/>
      <c r="C34" s="346"/>
      <c r="D34" s="189"/>
      <c r="E34" s="346"/>
      <c r="F34" s="186"/>
      <c r="G34" s="189"/>
      <c r="H34" s="346"/>
      <c r="I34" s="186"/>
      <c r="J34" s="189"/>
      <c r="K34" s="73"/>
      <c r="L34" s="73"/>
      <c r="M34" s="73"/>
      <c r="N34" s="346"/>
      <c r="O34" s="189"/>
      <c r="P34" s="83"/>
      <c r="Q34" s="72"/>
      <c r="R34" s="72"/>
      <c r="S34" s="72"/>
    </row>
    <row r="35" spans="1:19" ht="24.75" customHeight="1" x14ac:dyDescent="0.45">
      <c r="A35" s="347" t="s">
        <v>276</v>
      </c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9"/>
      <c r="P35" s="83"/>
      <c r="Q35" s="72"/>
      <c r="R35" s="72"/>
      <c r="S35" s="72"/>
    </row>
    <row r="36" spans="1:19" ht="24.75" customHeight="1" x14ac:dyDescent="0.45">
      <c r="A36" s="347" t="s">
        <v>277</v>
      </c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9"/>
      <c r="P36" s="83"/>
      <c r="Q36" s="72"/>
      <c r="R36" s="72"/>
      <c r="S36" s="72"/>
    </row>
    <row r="37" spans="1:19" ht="24.75" customHeight="1" x14ac:dyDescent="0.45">
      <c r="A37" s="356" t="s">
        <v>278</v>
      </c>
      <c r="B37" s="206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6"/>
      <c r="O37" s="207"/>
      <c r="P37" s="82"/>
      <c r="Q37" s="72"/>
      <c r="R37" s="72"/>
      <c r="S37" s="72"/>
    </row>
    <row r="38" spans="1:19" ht="24.75" customHeight="1" x14ac:dyDescent="0.45">
      <c r="A38" s="357" t="s">
        <v>279</v>
      </c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40"/>
      <c r="Q38" s="72"/>
      <c r="R38" s="72"/>
      <c r="S38" s="72"/>
    </row>
    <row r="39" spans="1:19" ht="24.75" customHeight="1" x14ac:dyDescent="0.45">
      <c r="A39" s="358" t="s">
        <v>280</v>
      </c>
      <c r="B39" s="201"/>
      <c r="C39" s="201"/>
      <c r="D39" s="201"/>
      <c r="E39" s="359"/>
      <c r="F39" s="201"/>
      <c r="G39" s="201"/>
      <c r="H39" s="201"/>
      <c r="I39" s="201"/>
      <c r="J39" s="201"/>
      <c r="K39" s="201"/>
      <c r="L39" s="360" t="s">
        <v>281</v>
      </c>
      <c r="M39" s="201"/>
      <c r="N39" s="361"/>
      <c r="O39" s="211"/>
      <c r="P39" s="212"/>
      <c r="Q39" s="72"/>
      <c r="R39" s="72"/>
      <c r="S39" s="72"/>
    </row>
    <row r="40" spans="1:19" ht="24.75" customHeight="1" x14ac:dyDescent="0.45">
      <c r="A40" s="367" t="s">
        <v>282</v>
      </c>
      <c r="B40" s="203"/>
      <c r="C40" s="203"/>
      <c r="D40" s="203"/>
      <c r="E40" s="362"/>
      <c r="F40" s="186"/>
      <c r="G40" s="186"/>
      <c r="H40" s="186"/>
      <c r="I40" s="186"/>
      <c r="J40" s="186"/>
      <c r="K40" s="186"/>
      <c r="L40" s="364" t="s">
        <v>283</v>
      </c>
      <c r="M40" s="203"/>
      <c r="N40" s="362"/>
      <c r="O40" s="186"/>
      <c r="P40" s="187"/>
      <c r="Q40" s="72"/>
      <c r="R40" s="72"/>
      <c r="S40" s="72"/>
    </row>
    <row r="41" spans="1:19" ht="24.75" customHeight="1" x14ac:dyDescent="0.45">
      <c r="A41" s="368" t="s">
        <v>284</v>
      </c>
      <c r="B41" s="198"/>
      <c r="C41" s="198"/>
      <c r="D41" s="198"/>
      <c r="E41" s="365"/>
      <c r="F41" s="198"/>
      <c r="G41" s="198"/>
      <c r="H41" s="198"/>
      <c r="I41" s="198"/>
      <c r="J41" s="198"/>
      <c r="K41" s="198"/>
      <c r="L41" s="366" t="s">
        <v>285</v>
      </c>
      <c r="M41" s="198"/>
      <c r="N41" s="365"/>
      <c r="O41" s="198"/>
      <c r="P41" s="199"/>
      <c r="Q41" s="72"/>
      <c r="R41" s="72"/>
      <c r="S41" s="72"/>
    </row>
    <row r="42" spans="1:19" ht="24.75" customHeight="1" x14ac:dyDescent="0.45">
      <c r="A42" s="348" t="s">
        <v>176</v>
      </c>
      <c r="B42" s="201"/>
      <c r="C42" s="201"/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17"/>
      <c r="Q42" s="72"/>
      <c r="R42" s="72"/>
      <c r="S42" s="72"/>
    </row>
    <row r="43" spans="1:19" ht="17.25" customHeight="1" x14ac:dyDescent="0.45">
      <c r="A43" s="21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9"/>
      <c r="Q43" s="72"/>
      <c r="R43" s="72"/>
      <c r="S43" s="72"/>
    </row>
    <row r="44" spans="1:19" ht="27.75" customHeight="1" x14ac:dyDescent="0.45">
      <c r="A44" s="296" t="s">
        <v>286</v>
      </c>
      <c r="B44" s="211"/>
      <c r="C44" s="230"/>
      <c r="D44" s="297"/>
      <c r="E44" s="211"/>
      <c r="F44" s="211"/>
      <c r="G44" s="211"/>
      <c r="H44" s="58"/>
      <c r="I44" s="58"/>
      <c r="J44" s="58"/>
      <c r="K44" s="288" t="s">
        <v>287</v>
      </c>
      <c r="L44" s="230"/>
      <c r="M44" s="298"/>
      <c r="N44" s="211"/>
      <c r="O44" s="211"/>
      <c r="P44" s="212"/>
      <c r="Q44" s="72"/>
      <c r="R44" s="72"/>
      <c r="S44" s="72"/>
    </row>
    <row r="45" spans="1:19" ht="24.75" customHeight="1" x14ac:dyDescent="0.45">
      <c r="A45" s="291" t="s">
        <v>179</v>
      </c>
      <c r="B45" s="186"/>
      <c r="C45" s="189"/>
      <c r="D45" s="59"/>
      <c r="E45" s="59"/>
      <c r="F45" s="59"/>
      <c r="G45" s="59"/>
      <c r="H45" s="55"/>
      <c r="I45" s="55"/>
      <c r="J45" s="55"/>
      <c r="K45" s="289" t="s">
        <v>179</v>
      </c>
      <c r="L45" s="189"/>
      <c r="M45" s="250"/>
      <c r="N45" s="186"/>
      <c r="O45" s="186"/>
      <c r="P45" s="187"/>
      <c r="Q45" s="72"/>
      <c r="R45" s="72"/>
      <c r="S45" s="72"/>
    </row>
    <row r="46" spans="1:19" ht="24.75" customHeight="1" x14ac:dyDescent="0.45">
      <c r="A46" s="292" t="s">
        <v>180</v>
      </c>
      <c r="B46" s="206"/>
      <c r="C46" s="207"/>
      <c r="D46" s="293"/>
      <c r="E46" s="206"/>
      <c r="F46" s="206"/>
      <c r="G46" s="206"/>
      <c r="H46" s="206"/>
      <c r="I46" s="206"/>
      <c r="J46" s="207"/>
      <c r="K46" s="363" t="s">
        <v>180</v>
      </c>
      <c r="L46" s="207"/>
      <c r="M46" s="293"/>
      <c r="N46" s="206"/>
      <c r="O46" s="206"/>
      <c r="P46" s="209"/>
      <c r="Q46" s="72"/>
      <c r="R46" s="72"/>
      <c r="S46" s="72"/>
    </row>
    <row r="47" spans="1:19" ht="24.75" customHeight="1" x14ac:dyDescent="0.45">
      <c r="A47" s="67"/>
      <c r="B47" s="67"/>
      <c r="C47" s="67"/>
      <c r="D47" s="68"/>
      <c r="E47" s="68"/>
      <c r="F47" s="68"/>
      <c r="G47" s="68"/>
      <c r="H47" s="68"/>
      <c r="I47" s="68"/>
      <c r="J47" s="68"/>
      <c r="K47" s="67"/>
      <c r="L47" s="67"/>
      <c r="M47" s="68"/>
      <c r="N47" s="68"/>
      <c r="O47" s="68"/>
      <c r="P47" s="68"/>
      <c r="Q47" s="72"/>
      <c r="R47" s="72"/>
      <c r="S47" s="72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1"/>
      <c r="N48" s="22"/>
      <c r="O48" s="22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1"/>
      <c r="N49" s="22"/>
      <c r="O49" s="22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1"/>
      <c r="N50" s="22"/>
      <c r="O50" s="22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1"/>
      <c r="N51" s="22"/>
      <c r="O51" s="22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1"/>
      <c r="N52" s="22"/>
      <c r="O52" s="22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1"/>
      <c r="N53" s="22"/>
      <c r="O53" s="22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1"/>
      <c r="N54" s="22"/>
      <c r="O54" s="22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1"/>
      <c r="N55" s="22"/>
      <c r="O55" s="22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1"/>
      <c r="N56" s="22"/>
      <c r="O56" s="22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1"/>
      <c r="N57" s="22"/>
      <c r="O57" s="22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1"/>
      <c r="N58" s="22"/>
      <c r="O58" s="22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1"/>
      <c r="N59" s="22"/>
      <c r="O59" s="22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1"/>
      <c r="N60" s="22"/>
      <c r="O60" s="22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1"/>
      <c r="N61" s="22"/>
      <c r="O61" s="22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1"/>
      <c r="N62" s="22"/>
      <c r="O62" s="22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1"/>
      <c r="N63" s="22"/>
      <c r="O63" s="22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1"/>
      <c r="N64" s="22"/>
      <c r="O64" s="22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1"/>
      <c r="N65" s="22"/>
      <c r="O65" s="22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1"/>
      <c r="N66" s="22"/>
      <c r="O66" s="22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1"/>
      <c r="N67" s="22"/>
      <c r="O67" s="22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1"/>
      <c r="N68" s="22"/>
      <c r="O68" s="22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1"/>
      <c r="N69" s="22"/>
      <c r="O69" s="22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1"/>
      <c r="N70" s="22"/>
      <c r="O70" s="22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1"/>
      <c r="N71" s="22"/>
      <c r="O71" s="22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1"/>
      <c r="N72" s="22"/>
      <c r="O72" s="22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1"/>
      <c r="N73" s="22"/>
      <c r="O73" s="22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1"/>
      <c r="N74" s="22"/>
      <c r="O74" s="22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1"/>
      <c r="N75" s="22"/>
      <c r="O75" s="22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1"/>
      <c r="N76" s="22"/>
      <c r="O76" s="22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1"/>
      <c r="N77" s="22"/>
      <c r="O77" s="22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1"/>
      <c r="N78" s="22"/>
      <c r="O78" s="22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1"/>
      <c r="N79" s="22"/>
      <c r="O79" s="22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1"/>
      <c r="N80" s="22"/>
      <c r="O80" s="22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1"/>
      <c r="N81" s="22"/>
      <c r="O81" s="22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1"/>
      <c r="N82" s="22"/>
      <c r="O82" s="22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1"/>
      <c r="N83" s="22"/>
      <c r="O83" s="22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1"/>
      <c r="N84" s="22"/>
      <c r="O84" s="22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1"/>
      <c r="N85" s="22"/>
      <c r="O85" s="22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1"/>
      <c r="N86" s="22"/>
      <c r="O86" s="22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1"/>
      <c r="N87" s="22"/>
      <c r="O87" s="22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1"/>
      <c r="N88" s="22"/>
      <c r="O88" s="22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1"/>
      <c r="N89" s="22"/>
      <c r="O89" s="22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1"/>
      <c r="N90" s="22"/>
      <c r="O90" s="22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1"/>
      <c r="N91" s="22"/>
      <c r="O91" s="22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1"/>
      <c r="N92" s="22"/>
      <c r="O92" s="22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1"/>
      <c r="N93" s="22"/>
      <c r="O93" s="22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1"/>
      <c r="N94" s="22"/>
      <c r="O94" s="22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1"/>
      <c r="N95" s="22"/>
      <c r="O95" s="22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1"/>
      <c r="N96" s="22"/>
      <c r="O96" s="22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1"/>
      <c r="N97" s="22"/>
      <c r="O97" s="22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1"/>
      <c r="N98" s="22"/>
      <c r="O98" s="22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1"/>
      <c r="N99" s="22"/>
      <c r="O99" s="22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1"/>
      <c r="N100" s="22"/>
      <c r="O100" s="22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1"/>
      <c r="N101" s="22"/>
      <c r="O101" s="22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1"/>
      <c r="N102" s="22"/>
      <c r="O102" s="22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1"/>
      <c r="N103" s="22"/>
      <c r="O103" s="22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1"/>
      <c r="N104" s="22"/>
      <c r="O104" s="22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1"/>
      <c r="N105" s="22"/>
      <c r="O105" s="22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1"/>
      <c r="N106" s="22"/>
      <c r="O106" s="22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1"/>
      <c r="N107" s="22"/>
      <c r="O107" s="22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1"/>
      <c r="N108" s="22"/>
      <c r="O108" s="22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1"/>
      <c r="N109" s="22"/>
      <c r="O109" s="22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1"/>
      <c r="N110" s="22"/>
      <c r="O110" s="22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1"/>
      <c r="N111" s="22"/>
      <c r="O111" s="22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1"/>
      <c r="N112" s="22"/>
      <c r="O112" s="22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1"/>
      <c r="N113" s="22"/>
      <c r="O113" s="22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1"/>
      <c r="N114" s="22"/>
      <c r="O114" s="22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1"/>
      <c r="N115" s="22"/>
      <c r="O115" s="22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1"/>
      <c r="N116" s="22"/>
      <c r="O116" s="22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1"/>
      <c r="N117" s="22"/>
      <c r="O117" s="22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1"/>
      <c r="N118" s="22"/>
      <c r="O118" s="22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1"/>
      <c r="N119" s="22"/>
      <c r="O119" s="22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1"/>
      <c r="N120" s="22"/>
      <c r="O120" s="22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1"/>
      <c r="N121" s="22"/>
      <c r="O121" s="22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1"/>
      <c r="N122" s="22"/>
      <c r="O122" s="22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1"/>
      <c r="N123" s="22"/>
      <c r="O123" s="22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1"/>
      <c r="N124" s="22"/>
      <c r="O124" s="22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1"/>
      <c r="N125" s="22"/>
      <c r="O125" s="22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1"/>
      <c r="N126" s="22"/>
      <c r="O126" s="22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1"/>
      <c r="N127" s="22"/>
      <c r="O127" s="22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1"/>
      <c r="N128" s="22"/>
      <c r="O128" s="22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1"/>
      <c r="N129" s="22"/>
      <c r="O129" s="22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1"/>
      <c r="N130" s="22"/>
      <c r="O130" s="22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1"/>
      <c r="N131" s="22"/>
      <c r="O131" s="22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1"/>
      <c r="N132" s="22"/>
      <c r="O132" s="22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1"/>
      <c r="N133" s="22"/>
      <c r="O133" s="22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1"/>
      <c r="N134" s="22"/>
      <c r="O134" s="22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1"/>
      <c r="N135" s="22"/>
      <c r="O135" s="22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1"/>
      <c r="N136" s="22"/>
      <c r="O136" s="22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1"/>
      <c r="N137" s="22"/>
      <c r="O137" s="22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1"/>
      <c r="N138" s="22"/>
      <c r="O138" s="22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1"/>
      <c r="N139" s="22"/>
      <c r="O139" s="22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1"/>
      <c r="N140" s="22"/>
      <c r="O140" s="22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1"/>
      <c r="N141" s="22"/>
      <c r="O141" s="22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1"/>
      <c r="N142" s="22"/>
      <c r="O142" s="22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1"/>
      <c r="N143" s="22"/>
      <c r="O143" s="22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1"/>
      <c r="N144" s="22"/>
      <c r="O144" s="22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1"/>
      <c r="N145" s="22"/>
      <c r="O145" s="22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1"/>
      <c r="N146" s="22"/>
      <c r="O146" s="22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1"/>
      <c r="N147" s="22"/>
      <c r="O147" s="22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1"/>
      <c r="N148" s="22"/>
      <c r="O148" s="22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1"/>
      <c r="N149" s="22"/>
      <c r="O149" s="22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1"/>
      <c r="N150" s="22"/>
      <c r="O150" s="22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1"/>
      <c r="N151" s="22"/>
      <c r="O151" s="22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1"/>
      <c r="N152" s="22"/>
      <c r="O152" s="22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1"/>
      <c r="N153" s="22"/>
      <c r="O153" s="22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1"/>
      <c r="N154" s="22"/>
      <c r="O154" s="22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1"/>
      <c r="N155" s="22"/>
      <c r="O155" s="22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1"/>
      <c r="N156" s="22"/>
      <c r="O156" s="22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1"/>
      <c r="N157" s="22"/>
      <c r="O157" s="22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1"/>
      <c r="N158" s="22"/>
      <c r="O158" s="22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1"/>
      <c r="N159" s="22"/>
      <c r="O159" s="22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1"/>
      <c r="N160" s="22"/>
      <c r="O160" s="22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1"/>
      <c r="N161" s="22"/>
      <c r="O161" s="22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1"/>
      <c r="N162" s="22"/>
      <c r="O162" s="22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1"/>
      <c r="N163" s="22"/>
      <c r="O163" s="22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1"/>
      <c r="N164" s="22"/>
      <c r="O164" s="22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1"/>
      <c r="N165" s="22"/>
      <c r="O165" s="22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1"/>
      <c r="N166" s="22"/>
      <c r="O166" s="22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1"/>
      <c r="N167" s="22"/>
      <c r="O167" s="22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1"/>
      <c r="N168" s="22"/>
      <c r="O168" s="22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1"/>
      <c r="N169" s="22"/>
      <c r="O169" s="22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1"/>
      <c r="N170" s="22"/>
      <c r="O170" s="22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1"/>
      <c r="N171" s="22"/>
      <c r="O171" s="22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1"/>
      <c r="N172" s="22"/>
      <c r="O172" s="22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1"/>
      <c r="N173" s="22"/>
      <c r="O173" s="22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1"/>
      <c r="N174" s="22"/>
      <c r="O174" s="22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1"/>
      <c r="N175" s="22"/>
      <c r="O175" s="22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1"/>
      <c r="N176" s="22"/>
      <c r="O176" s="22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1"/>
      <c r="N177" s="22"/>
      <c r="O177" s="22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1"/>
      <c r="N178" s="22"/>
      <c r="O178" s="22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1"/>
      <c r="N179" s="22"/>
      <c r="O179" s="22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1"/>
      <c r="N180" s="22"/>
      <c r="O180" s="22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1"/>
      <c r="N181" s="22"/>
      <c r="O181" s="22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1"/>
      <c r="N182" s="22"/>
      <c r="O182" s="22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1"/>
      <c r="N183" s="22"/>
      <c r="O183" s="22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1"/>
      <c r="N184" s="22"/>
      <c r="O184" s="22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1"/>
      <c r="N185" s="22"/>
      <c r="O185" s="22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1"/>
      <c r="N186" s="22"/>
      <c r="O186" s="22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1"/>
      <c r="N187" s="22"/>
      <c r="O187" s="22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1"/>
      <c r="N188" s="22"/>
      <c r="O188" s="22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1"/>
      <c r="N189" s="22"/>
      <c r="O189" s="22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1"/>
      <c r="N190" s="22"/>
      <c r="O190" s="22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1"/>
      <c r="N191" s="22"/>
      <c r="O191" s="22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1"/>
      <c r="N192" s="22"/>
      <c r="O192" s="22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1"/>
      <c r="N193" s="22"/>
      <c r="O193" s="22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1"/>
      <c r="N194" s="22"/>
      <c r="O194" s="22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1"/>
      <c r="N195" s="22"/>
      <c r="O195" s="22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1"/>
      <c r="N196" s="22"/>
      <c r="O196" s="22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1"/>
      <c r="N197" s="22"/>
      <c r="O197" s="22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1"/>
      <c r="N198" s="22"/>
      <c r="O198" s="22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1"/>
      <c r="N199" s="22"/>
      <c r="O199" s="22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1"/>
      <c r="N200" s="22"/>
      <c r="O200" s="22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1"/>
      <c r="N201" s="22"/>
      <c r="O201" s="22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1"/>
      <c r="N202" s="22"/>
      <c r="O202" s="22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1"/>
      <c r="N203" s="22"/>
      <c r="O203" s="22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1"/>
      <c r="N204" s="22"/>
      <c r="O204" s="22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1"/>
      <c r="N205" s="22"/>
      <c r="O205" s="22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1"/>
      <c r="N206" s="22"/>
      <c r="O206" s="22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1"/>
      <c r="N207" s="22"/>
      <c r="O207" s="22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1"/>
      <c r="N208" s="22"/>
      <c r="O208" s="22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1"/>
      <c r="N209" s="22"/>
      <c r="O209" s="22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1"/>
      <c r="N210" s="22"/>
      <c r="O210" s="22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1"/>
      <c r="N211" s="22"/>
      <c r="O211" s="22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1"/>
      <c r="N212" s="22"/>
      <c r="O212" s="22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1"/>
      <c r="N213" s="22"/>
      <c r="O213" s="22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1"/>
      <c r="N214" s="22"/>
      <c r="O214" s="22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1"/>
      <c r="N215" s="22"/>
      <c r="O215" s="22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1"/>
      <c r="N216" s="22"/>
      <c r="O216" s="22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1"/>
      <c r="N217" s="22"/>
      <c r="O217" s="22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1"/>
      <c r="N218" s="22"/>
      <c r="O218" s="22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1"/>
      <c r="N219" s="22"/>
      <c r="O219" s="22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1"/>
      <c r="N220" s="22"/>
      <c r="O220" s="22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1"/>
      <c r="N221" s="22"/>
      <c r="O221" s="22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1"/>
      <c r="N222" s="22"/>
      <c r="O222" s="22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1"/>
      <c r="N223" s="22"/>
      <c r="O223" s="22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1"/>
      <c r="N224" s="22"/>
      <c r="O224" s="22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1"/>
      <c r="N225" s="22"/>
      <c r="O225" s="22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1"/>
      <c r="N226" s="22"/>
      <c r="O226" s="22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1"/>
      <c r="N227" s="22"/>
      <c r="O227" s="22"/>
      <c r="P227" s="12"/>
      <c r="Q227" s="12"/>
      <c r="R227" s="12"/>
      <c r="S227" s="12"/>
    </row>
    <row r="228" spans="1:19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1"/>
      <c r="N228" s="22"/>
      <c r="O228" s="22"/>
      <c r="P228" s="12"/>
      <c r="Q228" s="12"/>
      <c r="R228" s="12"/>
      <c r="S228" s="12"/>
    </row>
    <row r="229" spans="1:19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1"/>
      <c r="N229" s="22"/>
      <c r="O229" s="22"/>
      <c r="P229" s="12"/>
      <c r="Q229" s="12"/>
      <c r="R229" s="12"/>
      <c r="S229" s="12"/>
    </row>
    <row r="230" spans="1:19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1"/>
      <c r="N230" s="22"/>
      <c r="O230" s="22"/>
      <c r="P230" s="12"/>
      <c r="Q230" s="12"/>
      <c r="R230" s="12"/>
      <c r="S230" s="12"/>
    </row>
    <row r="231" spans="1:19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1"/>
      <c r="N231" s="22"/>
      <c r="O231" s="22"/>
      <c r="P231" s="12"/>
      <c r="Q231" s="12"/>
      <c r="R231" s="12"/>
      <c r="S231" s="12"/>
    </row>
    <row r="232" spans="1:19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1"/>
      <c r="N232" s="22"/>
      <c r="O232" s="22"/>
      <c r="P232" s="12"/>
      <c r="Q232" s="12"/>
      <c r="R232" s="12"/>
      <c r="S232" s="12"/>
    </row>
    <row r="233" spans="1:19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1"/>
      <c r="N233" s="22"/>
      <c r="O233" s="22"/>
      <c r="P233" s="12"/>
      <c r="Q233" s="12"/>
      <c r="R233" s="12"/>
      <c r="S233" s="12"/>
    </row>
    <row r="234" spans="1:19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1"/>
      <c r="N234" s="22"/>
      <c r="O234" s="22"/>
      <c r="P234" s="12"/>
      <c r="Q234" s="12"/>
      <c r="R234" s="12"/>
      <c r="S234" s="12"/>
    </row>
    <row r="235" spans="1:19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1"/>
      <c r="N235" s="22"/>
      <c r="O235" s="22"/>
      <c r="P235" s="12"/>
      <c r="Q235" s="12"/>
      <c r="R235" s="12"/>
      <c r="S235" s="12"/>
    </row>
    <row r="236" spans="1:19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1"/>
      <c r="N236" s="22"/>
      <c r="O236" s="22"/>
      <c r="P236" s="12"/>
      <c r="Q236" s="12"/>
      <c r="R236" s="12"/>
      <c r="S236" s="12"/>
    </row>
    <row r="237" spans="1:19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1"/>
      <c r="N237" s="22"/>
      <c r="O237" s="22"/>
      <c r="P237" s="12"/>
      <c r="Q237" s="12"/>
      <c r="R237" s="12"/>
      <c r="S237" s="12"/>
    </row>
    <row r="238" spans="1:19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1"/>
      <c r="N238" s="22"/>
      <c r="O238" s="22"/>
      <c r="P238" s="12"/>
      <c r="Q238" s="12"/>
      <c r="R238" s="12"/>
      <c r="S238" s="12"/>
    </row>
    <row r="239" spans="1:19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1"/>
      <c r="N239" s="22"/>
      <c r="O239" s="22"/>
      <c r="P239" s="12"/>
      <c r="Q239" s="12"/>
      <c r="R239" s="12"/>
      <c r="S239" s="12"/>
    </row>
    <row r="240" spans="1:19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1"/>
      <c r="N240" s="22"/>
      <c r="O240" s="22"/>
      <c r="P240" s="12"/>
      <c r="Q240" s="12"/>
      <c r="R240" s="12"/>
      <c r="S240" s="12"/>
    </row>
    <row r="241" spans="1:19" ht="15.75" customHeight="1" x14ac:dyDescent="0.4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1"/>
      <c r="N241" s="22"/>
      <c r="O241" s="22"/>
      <c r="P241" s="12"/>
      <c r="Q241" s="12"/>
      <c r="R241" s="12"/>
      <c r="S241" s="12"/>
    </row>
    <row r="242" spans="1:19" ht="15.75" customHeight="1" x14ac:dyDescent="0.4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1"/>
      <c r="N242" s="22"/>
      <c r="O242" s="22"/>
      <c r="P242" s="12"/>
      <c r="Q242" s="12"/>
      <c r="R242" s="12"/>
      <c r="S242" s="12"/>
    </row>
    <row r="243" spans="1:19" ht="15.75" customHeight="1" x14ac:dyDescent="0.4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1"/>
      <c r="N243" s="22"/>
      <c r="O243" s="22"/>
      <c r="P243" s="12"/>
      <c r="Q243" s="12"/>
      <c r="R243" s="12"/>
      <c r="S243" s="12"/>
    </row>
    <row r="244" spans="1:19" ht="15.75" customHeight="1" x14ac:dyDescent="0.4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1"/>
      <c r="N244" s="22"/>
      <c r="O244" s="22"/>
      <c r="P244" s="12"/>
      <c r="Q244" s="12"/>
      <c r="R244" s="12"/>
      <c r="S244" s="12"/>
    </row>
    <row r="245" spans="1:19" ht="15.75" customHeight="1" x14ac:dyDescent="0.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21"/>
      <c r="N245" s="22"/>
      <c r="O245" s="22"/>
      <c r="P245" s="12"/>
      <c r="Q245" s="12"/>
      <c r="R245" s="12"/>
      <c r="S245" s="12"/>
    </row>
    <row r="246" spans="1:19" ht="15.75" customHeight="1" x14ac:dyDescent="0.4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21"/>
      <c r="N246" s="22"/>
      <c r="O246" s="22"/>
      <c r="P246" s="12"/>
      <c r="Q246" s="12"/>
      <c r="R246" s="12"/>
      <c r="S246" s="12"/>
    </row>
    <row r="247" spans="1:19" ht="15.75" customHeight="1" x14ac:dyDescent="0.45"/>
    <row r="248" spans="1:19" ht="15.75" customHeight="1" x14ac:dyDescent="0.45"/>
    <row r="249" spans="1:19" ht="15.75" customHeight="1" x14ac:dyDescent="0.45"/>
    <row r="250" spans="1:19" ht="15.75" customHeight="1" x14ac:dyDescent="0.45"/>
    <row r="251" spans="1:19" ht="15.75" customHeight="1" x14ac:dyDescent="0.45"/>
    <row r="252" spans="1:19" ht="15.75" customHeight="1" x14ac:dyDescent="0.45"/>
    <row r="253" spans="1:19" ht="15.75" customHeight="1" x14ac:dyDescent="0.45"/>
    <row r="254" spans="1:19" ht="15.75" customHeight="1" x14ac:dyDescent="0.45"/>
    <row r="255" spans="1:19" ht="15.75" customHeight="1" x14ac:dyDescent="0.45"/>
    <row r="256" spans="1:19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17:N17"/>
    <mergeCell ref="O17:P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C25:D25"/>
    <mergeCell ref="E25:G25"/>
    <mergeCell ref="H25:J25"/>
    <mergeCell ref="H26:J26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0:D40"/>
    <mergeCell ref="A41:D41"/>
    <mergeCell ref="A44:C44"/>
    <mergeCell ref="D44:G44"/>
    <mergeCell ref="A45:C45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E34:G34"/>
    <mergeCell ref="H34:J34"/>
    <mergeCell ref="A35:O35"/>
    <mergeCell ref="A36:O36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73"/>
  <sheetViews>
    <sheetView workbookViewId="0"/>
  </sheetViews>
  <sheetFormatPr baseColWidth="10" defaultColWidth="14.3984375" defaultRowHeight="15" customHeight="1" x14ac:dyDescent="0.45"/>
  <cols>
    <col min="1" max="1" width="25.86328125" customWidth="1"/>
    <col min="2" max="2" width="36.265625" customWidth="1"/>
    <col min="3" max="3" width="17" customWidth="1"/>
    <col min="4" max="4" width="26.73046875" customWidth="1"/>
    <col min="5" max="5" width="15.73046875" customWidth="1"/>
    <col min="6" max="6" width="25.86328125" customWidth="1"/>
    <col min="7" max="7" width="36.265625" customWidth="1"/>
    <col min="8" max="8" width="17" customWidth="1"/>
    <col min="9" max="9" width="26.73046875" customWidth="1"/>
    <col min="10" max="26" width="10.73046875" customWidth="1"/>
  </cols>
  <sheetData>
    <row r="1" spans="1:26" ht="25.5" customHeight="1" x14ac:dyDescent="0.45">
      <c r="A1" s="387"/>
      <c r="B1" s="224"/>
      <c r="C1" s="387" t="s">
        <v>0</v>
      </c>
      <c r="D1" s="193"/>
      <c r="E1" s="193"/>
      <c r="F1" s="193"/>
      <c r="G1" s="224"/>
      <c r="H1" s="84" t="s">
        <v>1</v>
      </c>
      <c r="I1" s="84" t="s">
        <v>288</v>
      </c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ht="24" customHeight="1" x14ac:dyDescent="0.45">
      <c r="A2" s="266"/>
      <c r="B2" s="232"/>
      <c r="C2" s="266"/>
      <c r="D2" s="203"/>
      <c r="E2" s="203"/>
      <c r="F2" s="203"/>
      <c r="G2" s="232"/>
      <c r="H2" s="84" t="s">
        <v>3</v>
      </c>
      <c r="I2" s="85">
        <v>1</v>
      </c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ht="24" customHeight="1" x14ac:dyDescent="0.45">
      <c r="A3" s="266"/>
      <c r="B3" s="232"/>
      <c r="C3" s="267"/>
      <c r="D3" s="195"/>
      <c r="E3" s="195"/>
      <c r="F3" s="195"/>
      <c r="G3" s="252"/>
      <c r="H3" s="84" t="s">
        <v>5</v>
      </c>
      <c r="I3" s="84" t="s">
        <v>6</v>
      </c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ht="30" customHeight="1" x14ac:dyDescent="0.45">
      <c r="A4" s="266"/>
      <c r="B4" s="232"/>
      <c r="C4" s="387" t="s">
        <v>289</v>
      </c>
      <c r="D4" s="193"/>
      <c r="E4" s="193"/>
      <c r="F4" s="193"/>
      <c r="G4" s="224"/>
      <c r="H4" s="84" t="s">
        <v>7</v>
      </c>
      <c r="I4" s="84" t="s">
        <v>290</v>
      </c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22.5" customHeight="1" x14ac:dyDescent="0.45">
      <c r="A5" s="267"/>
      <c r="B5" s="252"/>
      <c r="C5" s="267"/>
      <c r="D5" s="195"/>
      <c r="E5" s="195"/>
      <c r="F5" s="195"/>
      <c r="G5" s="252"/>
      <c r="H5" s="84"/>
      <c r="I5" s="86" t="s">
        <v>291</v>
      </c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14.25" customHeight="1" x14ac:dyDescent="0.45">
      <c r="A6" s="87"/>
      <c r="B6" s="87"/>
      <c r="C6" s="87"/>
      <c r="D6" s="87"/>
      <c r="E6" s="87"/>
      <c r="F6" s="87"/>
      <c r="G6" s="87"/>
      <c r="H6" s="87"/>
      <c r="I6" s="87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14.25" customHeight="1" x14ac:dyDescent="0.5">
      <c r="A7" s="88"/>
      <c r="B7" s="88"/>
      <c r="C7" s="88"/>
      <c r="D7" s="88"/>
      <c r="E7" s="88"/>
      <c r="F7" s="88"/>
      <c r="G7" s="88"/>
      <c r="H7" s="88"/>
      <c r="I7" s="88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22.5" customHeight="1" x14ac:dyDescent="0.45">
      <c r="A8" s="389"/>
      <c r="B8" s="387" t="s">
        <v>0</v>
      </c>
      <c r="C8" s="193"/>
      <c r="D8" s="193"/>
      <c r="E8" s="193"/>
      <c r="F8" s="224"/>
      <c r="G8" s="84" t="s">
        <v>1</v>
      </c>
      <c r="H8" s="388" t="s">
        <v>288</v>
      </c>
      <c r="I8" s="18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ht="24" customHeight="1" x14ac:dyDescent="0.45">
      <c r="A9" s="266"/>
      <c r="B9" s="266"/>
      <c r="C9" s="203"/>
      <c r="D9" s="203"/>
      <c r="E9" s="203"/>
      <c r="F9" s="232"/>
      <c r="G9" s="84" t="s">
        <v>3</v>
      </c>
      <c r="H9" s="390">
        <v>1</v>
      </c>
      <c r="I9" s="18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24" customHeight="1" x14ac:dyDescent="0.45">
      <c r="A10" s="266"/>
      <c r="B10" s="267"/>
      <c r="C10" s="195"/>
      <c r="D10" s="195"/>
      <c r="E10" s="195"/>
      <c r="F10" s="252"/>
      <c r="G10" s="84" t="s">
        <v>5</v>
      </c>
      <c r="H10" s="388" t="s">
        <v>6</v>
      </c>
      <c r="I10" s="18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21" customHeight="1" x14ac:dyDescent="0.45">
      <c r="A11" s="266"/>
      <c r="B11" s="387" t="s">
        <v>289</v>
      </c>
      <c r="C11" s="193"/>
      <c r="D11" s="193"/>
      <c r="E11" s="193"/>
      <c r="F11" s="224"/>
      <c r="G11" s="391" t="s">
        <v>7</v>
      </c>
      <c r="H11" s="388" t="s">
        <v>290</v>
      </c>
      <c r="I11" s="18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 ht="24" customHeight="1" x14ac:dyDescent="0.45">
      <c r="A12" s="267"/>
      <c r="B12" s="267"/>
      <c r="C12" s="195"/>
      <c r="D12" s="195"/>
      <c r="E12" s="195"/>
      <c r="F12" s="252"/>
      <c r="G12" s="338"/>
      <c r="H12" s="392" t="s">
        <v>291</v>
      </c>
      <c r="I12" s="18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ht="54" customHeight="1" x14ac:dyDescent="0.45">
      <c r="A13" s="90" t="s">
        <v>292</v>
      </c>
      <c r="B13" s="385"/>
      <c r="C13" s="186"/>
      <c r="D13" s="186"/>
      <c r="E13" s="186"/>
      <c r="F13" s="186"/>
      <c r="G13" s="186"/>
      <c r="H13" s="186"/>
      <c r="I13" s="18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ht="57" customHeight="1" x14ac:dyDescent="0.45">
      <c r="A14" s="90" t="s">
        <v>293</v>
      </c>
      <c r="B14" s="385"/>
      <c r="C14" s="186"/>
      <c r="D14" s="186"/>
      <c r="E14" s="186"/>
      <c r="F14" s="189"/>
      <c r="G14" s="90" t="s">
        <v>180</v>
      </c>
      <c r="H14" s="386"/>
      <c r="I14" s="18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 ht="63.75" customHeight="1" x14ac:dyDescent="0.45">
      <c r="A15" s="90" t="s">
        <v>294</v>
      </c>
      <c r="B15" s="385"/>
      <c r="C15" s="186"/>
      <c r="D15" s="186"/>
      <c r="E15" s="186"/>
      <c r="F15" s="189"/>
      <c r="G15" s="90" t="s">
        <v>295</v>
      </c>
      <c r="H15" s="385"/>
      <c r="I15" s="18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66.75" customHeight="1" x14ac:dyDescent="0.45">
      <c r="A16" s="90" t="s">
        <v>296</v>
      </c>
      <c r="B16" s="385"/>
      <c r="C16" s="186"/>
      <c r="D16" s="186"/>
      <c r="E16" s="186"/>
      <c r="F16" s="189"/>
      <c r="G16" s="90" t="s">
        <v>295</v>
      </c>
      <c r="H16" s="385"/>
      <c r="I16" s="18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63.75" customHeight="1" x14ac:dyDescent="0.45">
      <c r="A17" s="90" t="s">
        <v>297</v>
      </c>
      <c r="B17" s="385"/>
      <c r="C17" s="186"/>
      <c r="D17" s="186"/>
      <c r="E17" s="186"/>
      <c r="F17" s="186"/>
      <c r="G17" s="186"/>
      <c r="H17" s="186"/>
      <c r="I17" s="18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46.5" customHeight="1" x14ac:dyDescent="0.45">
      <c r="A18" s="90" t="s">
        <v>196</v>
      </c>
      <c r="B18" s="385"/>
      <c r="C18" s="186"/>
      <c r="D18" s="186"/>
      <c r="E18" s="186"/>
      <c r="F18" s="189"/>
      <c r="G18" s="90" t="s">
        <v>254</v>
      </c>
      <c r="H18" s="386"/>
      <c r="I18" s="18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48" customHeight="1" x14ac:dyDescent="0.45">
      <c r="A19" s="90" t="s">
        <v>178</v>
      </c>
      <c r="B19" s="385"/>
      <c r="C19" s="186"/>
      <c r="D19" s="186"/>
      <c r="E19" s="186"/>
      <c r="F19" s="189"/>
      <c r="G19" s="90" t="s">
        <v>254</v>
      </c>
      <c r="H19" s="386"/>
      <c r="I19" s="18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14.25" customHeight="1" x14ac:dyDescent="0.45">
      <c r="A20" s="69"/>
      <c r="B20" s="69"/>
      <c r="C20" s="69"/>
      <c r="D20" s="69"/>
      <c r="E20" s="69"/>
      <c r="F20" s="69"/>
      <c r="G20" s="69"/>
      <c r="H20" s="393"/>
      <c r="I20" s="203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22.5" customHeight="1" x14ac:dyDescent="0.45">
      <c r="A21" s="389"/>
      <c r="B21" s="387" t="s">
        <v>0</v>
      </c>
      <c r="C21" s="193"/>
      <c r="D21" s="193"/>
      <c r="E21" s="193"/>
      <c r="F21" s="224"/>
      <c r="G21" s="84" t="s">
        <v>1</v>
      </c>
      <c r="H21" s="388" t="s">
        <v>288</v>
      </c>
      <c r="I21" s="18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23.25" customHeight="1" x14ac:dyDescent="0.45">
      <c r="A22" s="266"/>
      <c r="B22" s="266"/>
      <c r="C22" s="203"/>
      <c r="D22" s="203"/>
      <c r="E22" s="203"/>
      <c r="F22" s="232"/>
      <c r="G22" s="84" t="s">
        <v>3</v>
      </c>
      <c r="H22" s="390">
        <v>1</v>
      </c>
      <c r="I22" s="18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27.75" customHeight="1" x14ac:dyDescent="0.45">
      <c r="A23" s="266"/>
      <c r="B23" s="267"/>
      <c r="C23" s="195"/>
      <c r="D23" s="195"/>
      <c r="E23" s="195"/>
      <c r="F23" s="252"/>
      <c r="G23" s="84" t="s">
        <v>5</v>
      </c>
      <c r="H23" s="388" t="s">
        <v>6</v>
      </c>
      <c r="I23" s="18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27.75" customHeight="1" x14ac:dyDescent="0.45">
      <c r="A24" s="266"/>
      <c r="B24" s="387" t="s">
        <v>289</v>
      </c>
      <c r="C24" s="193"/>
      <c r="D24" s="193"/>
      <c r="E24" s="193"/>
      <c r="F24" s="224"/>
      <c r="G24" s="391" t="s">
        <v>7</v>
      </c>
      <c r="H24" s="388" t="s">
        <v>290</v>
      </c>
      <c r="I24" s="18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34.5" customHeight="1" x14ac:dyDescent="0.45">
      <c r="A25" s="267"/>
      <c r="B25" s="267"/>
      <c r="C25" s="195"/>
      <c r="D25" s="195"/>
      <c r="E25" s="195"/>
      <c r="F25" s="252"/>
      <c r="G25" s="338"/>
      <c r="H25" s="392" t="s">
        <v>291</v>
      </c>
      <c r="I25" s="18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63.75" customHeight="1" x14ac:dyDescent="0.45">
      <c r="A26" s="90" t="s">
        <v>292</v>
      </c>
      <c r="B26" s="385"/>
      <c r="C26" s="186"/>
      <c r="D26" s="186"/>
      <c r="E26" s="186"/>
      <c r="F26" s="186"/>
      <c r="G26" s="186"/>
      <c r="H26" s="186"/>
      <c r="I26" s="18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48" customHeight="1" x14ac:dyDescent="0.45">
      <c r="A27" s="90" t="s">
        <v>293</v>
      </c>
      <c r="B27" s="385"/>
      <c r="C27" s="186"/>
      <c r="D27" s="186"/>
      <c r="E27" s="186"/>
      <c r="F27" s="189"/>
      <c r="G27" s="90" t="s">
        <v>180</v>
      </c>
      <c r="H27" s="386"/>
      <c r="I27" s="18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57.75" customHeight="1" x14ac:dyDescent="0.45">
      <c r="A28" s="90" t="s">
        <v>294</v>
      </c>
      <c r="B28" s="385"/>
      <c r="C28" s="186"/>
      <c r="D28" s="186"/>
      <c r="E28" s="186"/>
      <c r="F28" s="189"/>
      <c r="G28" s="90" t="s">
        <v>295</v>
      </c>
      <c r="H28" s="385"/>
      <c r="I28" s="18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57" customHeight="1" x14ac:dyDescent="0.45">
      <c r="A29" s="90" t="s">
        <v>296</v>
      </c>
      <c r="B29" s="385"/>
      <c r="C29" s="186"/>
      <c r="D29" s="186"/>
      <c r="E29" s="186"/>
      <c r="F29" s="189"/>
      <c r="G29" s="90" t="s">
        <v>295</v>
      </c>
      <c r="H29" s="385"/>
      <c r="I29" s="18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49.5" customHeight="1" x14ac:dyDescent="0.45">
      <c r="A30" s="90" t="s">
        <v>297</v>
      </c>
      <c r="B30" s="385"/>
      <c r="C30" s="186"/>
      <c r="D30" s="186"/>
      <c r="E30" s="186"/>
      <c r="F30" s="186"/>
      <c r="G30" s="186"/>
      <c r="H30" s="186"/>
      <c r="I30" s="18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42.75" customHeight="1" x14ac:dyDescent="0.45">
      <c r="A31" s="90" t="s">
        <v>196</v>
      </c>
      <c r="B31" s="385"/>
      <c r="C31" s="186"/>
      <c r="D31" s="186"/>
      <c r="E31" s="186"/>
      <c r="F31" s="189"/>
      <c r="G31" s="90" t="s">
        <v>254</v>
      </c>
      <c r="H31" s="386"/>
      <c r="I31" s="18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48" customHeight="1" x14ac:dyDescent="0.45">
      <c r="A32" s="90" t="s">
        <v>178</v>
      </c>
      <c r="B32" s="385"/>
      <c r="C32" s="186"/>
      <c r="D32" s="186"/>
      <c r="E32" s="186"/>
      <c r="F32" s="189"/>
      <c r="G32" s="90" t="s">
        <v>254</v>
      </c>
      <c r="H32" s="386"/>
      <c r="I32" s="18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4.25" customHeight="1" x14ac:dyDescent="0.45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24.75" customHeight="1" x14ac:dyDescent="0.45">
      <c r="A34" s="389"/>
      <c r="B34" s="387" t="s">
        <v>0</v>
      </c>
      <c r="C34" s="193"/>
      <c r="D34" s="193"/>
      <c r="E34" s="193"/>
      <c r="F34" s="224"/>
      <c r="G34" s="84" t="s">
        <v>1</v>
      </c>
      <c r="H34" s="388" t="s">
        <v>288</v>
      </c>
      <c r="I34" s="18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21.75" customHeight="1" x14ac:dyDescent="0.45">
      <c r="A35" s="266"/>
      <c r="B35" s="266"/>
      <c r="C35" s="203"/>
      <c r="D35" s="203"/>
      <c r="E35" s="203"/>
      <c r="F35" s="232"/>
      <c r="G35" s="84" t="s">
        <v>3</v>
      </c>
      <c r="H35" s="390">
        <v>1</v>
      </c>
      <c r="I35" s="18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25.5" customHeight="1" x14ac:dyDescent="0.45">
      <c r="A36" s="266"/>
      <c r="B36" s="267"/>
      <c r="C36" s="195"/>
      <c r="D36" s="195"/>
      <c r="E36" s="195"/>
      <c r="F36" s="252"/>
      <c r="G36" s="84" t="s">
        <v>5</v>
      </c>
      <c r="H36" s="388" t="s">
        <v>6</v>
      </c>
      <c r="I36" s="18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27.75" customHeight="1" x14ac:dyDescent="0.45">
      <c r="A37" s="266"/>
      <c r="B37" s="387" t="s">
        <v>289</v>
      </c>
      <c r="C37" s="193"/>
      <c r="D37" s="193"/>
      <c r="E37" s="193"/>
      <c r="F37" s="224"/>
      <c r="G37" s="391" t="s">
        <v>7</v>
      </c>
      <c r="H37" s="388" t="s">
        <v>290</v>
      </c>
      <c r="I37" s="18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30.75" customHeight="1" x14ac:dyDescent="0.45">
      <c r="A38" s="267"/>
      <c r="B38" s="267"/>
      <c r="C38" s="195"/>
      <c r="D38" s="195"/>
      <c r="E38" s="195"/>
      <c r="F38" s="252"/>
      <c r="G38" s="338"/>
      <c r="H38" s="392" t="s">
        <v>291</v>
      </c>
      <c r="I38" s="18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54" customHeight="1" x14ac:dyDescent="0.45">
      <c r="A39" s="90" t="s">
        <v>292</v>
      </c>
      <c r="B39" s="385"/>
      <c r="C39" s="186"/>
      <c r="D39" s="186"/>
      <c r="E39" s="186"/>
      <c r="F39" s="186"/>
      <c r="G39" s="186"/>
      <c r="H39" s="186"/>
      <c r="I39" s="18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48.75" customHeight="1" x14ac:dyDescent="0.45">
      <c r="A40" s="90" t="s">
        <v>293</v>
      </c>
      <c r="B40" s="385"/>
      <c r="C40" s="186"/>
      <c r="D40" s="186"/>
      <c r="E40" s="186"/>
      <c r="F40" s="189"/>
      <c r="G40" s="90" t="s">
        <v>180</v>
      </c>
      <c r="H40" s="386"/>
      <c r="I40" s="18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52.5" customHeight="1" x14ac:dyDescent="0.45">
      <c r="A41" s="90" t="s">
        <v>294</v>
      </c>
      <c r="B41" s="385"/>
      <c r="C41" s="186"/>
      <c r="D41" s="186"/>
      <c r="E41" s="186"/>
      <c r="F41" s="189"/>
      <c r="G41" s="90" t="s">
        <v>295</v>
      </c>
      <c r="H41" s="385"/>
      <c r="I41" s="18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54.75" customHeight="1" x14ac:dyDescent="0.45">
      <c r="A42" s="90" t="s">
        <v>296</v>
      </c>
      <c r="B42" s="385"/>
      <c r="C42" s="186"/>
      <c r="D42" s="186"/>
      <c r="E42" s="186"/>
      <c r="F42" s="189"/>
      <c r="G42" s="90" t="s">
        <v>295</v>
      </c>
      <c r="H42" s="385"/>
      <c r="I42" s="18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57.75" customHeight="1" x14ac:dyDescent="0.45">
      <c r="A43" s="90" t="s">
        <v>297</v>
      </c>
      <c r="B43" s="385"/>
      <c r="C43" s="186"/>
      <c r="D43" s="186"/>
      <c r="E43" s="186"/>
      <c r="F43" s="186"/>
      <c r="G43" s="186"/>
      <c r="H43" s="186"/>
      <c r="I43" s="18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54" customHeight="1" x14ac:dyDescent="0.45">
      <c r="A44" s="90" t="s">
        <v>196</v>
      </c>
      <c r="B44" s="385"/>
      <c r="C44" s="186"/>
      <c r="D44" s="186"/>
      <c r="E44" s="186"/>
      <c r="F44" s="189"/>
      <c r="G44" s="90" t="s">
        <v>254</v>
      </c>
      <c r="H44" s="386"/>
      <c r="I44" s="18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54" customHeight="1" x14ac:dyDescent="0.45">
      <c r="A45" s="90" t="s">
        <v>178</v>
      </c>
      <c r="B45" s="385"/>
      <c r="C45" s="186"/>
      <c r="D45" s="186"/>
      <c r="E45" s="186"/>
      <c r="F45" s="189"/>
      <c r="G45" s="90" t="s">
        <v>254</v>
      </c>
      <c r="H45" s="386"/>
      <c r="I45" s="18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4.25" customHeight="1" x14ac:dyDescent="0.45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4.25" customHeight="1" x14ac:dyDescent="0.45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4.25" customHeight="1" x14ac:dyDescent="0.45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4.25" customHeight="1" x14ac:dyDescent="0.45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4.25" customHeight="1" x14ac:dyDescent="0.45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4.25" customHeight="1" x14ac:dyDescent="0.45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4.25" customHeight="1" x14ac:dyDescent="0.45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4.25" customHeight="1" x14ac:dyDescent="0.45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4.25" customHeight="1" x14ac:dyDescent="0.45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4.25" customHeight="1" x14ac:dyDescent="0.4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4.25" customHeight="1" x14ac:dyDescent="0.45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4.25" customHeight="1" x14ac:dyDescent="0.45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4.25" customHeight="1" x14ac:dyDescent="0.45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4.25" customHeight="1" x14ac:dyDescent="0.45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4.25" customHeight="1" x14ac:dyDescent="0.45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4.25" customHeight="1" x14ac:dyDescent="0.45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4.25" customHeight="1" x14ac:dyDescent="0.45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4.25" customHeight="1" x14ac:dyDescent="0.45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4.25" customHeight="1" x14ac:dyDescent="0.45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4.25" customHeight="1" x14ac:dyDescent="0.4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4.25" customHeight="1" x14ac:dyDescent="0.45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4.25" customHeight="1" x14ac:dyDescent="0.45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4.25" customHeight="1" x14ac:dyDescent="0.45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4.25" customHeight="1" x14ac:dyDescent="0.45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4.25" customHeight="1" x14ac:dyDescent="0.45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4.25" customHeight="1" x14ac:dyDescent="0.45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4.25" customHeight="1" x14ac:dyDescent="0.45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4.25" customHeight="1" x14ac:dyDescent="0.45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4.25" customHeight="1" x14ac:dyDescent="0.45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4.25" customHeight="1" x14ac:dyDescent="0.4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4.25" customHeight="1" x14ac:dyDescent="0.45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4.25" customHeight="1" x14ac:dyDescent="0.45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4.25" customHeight="1" x14ac:dyDescent="0.45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4.25" customHeight="1" x14ac:dyDescent="0.45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4.25" customHeight="1" x14ac:dyDescent="0.45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4.25" customHeight="1" x14ac:dyDescent="0.45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4.25" customHeight="1" x14ac:dyDescent="0.45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4.25" customHeight="1" x14ac:dyDescent="0.45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4.25" customHeight="1" x14ac:dyDescent="0.45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4.25" customHeight="1" x14ac:dyDescent="0.4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4.25" customHeight="1" x14ac:dyDescent="0.45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4.25" customHeight="1" x14ac:dyDescent="0.45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4.25" customHeight="1" x14ac:dyDescent="0.45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4.25" customHeight="1" x14ac:dyDescent="0.45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4.25" customHeight="1" x14ac:dyDescent="0.45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4.25" customHeight="1" x14ac:dyDescent="0.45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4.25" customHeight="1" x14ac:dyDescent="0.45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4.25" customHeight="1" x14ac:dyDescent="0.45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4.25" customHeight="1" x14ac:dyDescent="0.45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4.25" customHeight="1" x14ac:dyDescent="0.4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4.25" customHeight="1" x14ac:dyDescent="0.45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4.25" customHeight="1" x14ac:dyDescent="0.45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4.25" customHeight="1" x14ac:dyDescent="0.45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4.25" customHeight="1" x14ac:dyDescent="0.45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4.25" customHeight="1" x14ac:dyDescent="0.45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4.25" customHeight="1" x14ac:dyDescent="0.45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4.25" customHeight="1" x14ac:dyDescent="0.45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4.25" customHeight="1" x14ac:dyDescent="0.45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4.25" customHeight="1" x14ac:dyDescent="0.45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4.25" customHeight="1" x14ac:dyDescent="0.4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4.25" customHeight="1" x14ac:dyDescent="0.45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4.25" customHeight="1" x14ac:dyDescent="0.45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4.25" customHeight="1" x14ac:dyDescent="0.45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4.25" customHeight="1" x14ac:dyDescent="0.45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4.25" customHeight="1" x14ac:dyDescent="0.45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4.25" customHeight="1" x14ac:dyDescent="0.45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4.25" customHeight="1" x14ac:dyDescent="0.45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4.25" customHeight="1" x14ac:dyDescent="0.45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4.25" customHeight="1" x14ac:dyDescent="0.45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4.25" customHeight="1" x14ac:dyDescent="0.4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4.25" customHeight="1" x14ac:dyDescent="0.45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4.25" customHeight="1" x14ac:dyDescent="0.45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4.25" customHeight="1" x14ac:dyDescent="0.45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4.25" customHeight="1" x14ac:dyDescent="0.45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4.25" customHeight="1" x14ac:dyDescent="0.45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4.25" customHeight="1" x14ac:dyDescent="0.45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4.25" customHeight="1" x14ac:dyDescent="0.45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4.25" customHeight="1" x14ac:dyDescent="0.45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4.25" customHeight="1" x14ac:dyDescent="0.45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4.25" customHeight="1" x14ac:dyDescent="0.4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4.25" customHeight="1" x14ac:dyDescent="0.45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4.25" customHeight="1" x14ac:dyDescent="0.45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4.25" customHeight="1" x14ac:dyDescent="0.45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4.25" customHeight="1" x14ac:dyDescent="0.45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4.25" customHeight="1" x14ac:dyDescent="0.45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4.25" customHeight="1" x14ac:dyDescent="0.45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4.25" customHeight="1" x14ac:dyDescent="0.45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4.25" customHeight="1" x14ac:dyDescent="0.45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4.25" customHeight="1" x14ac:dyDescent="0.45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4.25" customHeight="1" x14ac:dyDescent="0.4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14.25" customHeight="1" x14ac:dyDescent="0.45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14.25" customHeight="1" x14ac:dyDescent="0.45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14.25" customHeight="1" x14ac:dyDescent="0.45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14.25" customHeight="1" x14ac:dyDescent="0.45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14.25" customHeight="1" x14ac:dyDescent="0.45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14.25" customHeight="1" x14ac:dyDescent="0.45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14.25" customHeight="1" x14ac:dyDescent="0.45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14.25" customHeight="1" x14ac:dyDescent="0.45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14.25" customHeight="1" x14ac:dyDescent="0.45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14.25" customHeight="1" x14ac:dyDescent="0.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14.25" customHeight="1" x14ac:dyDescent="0.45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14.25" customHeight="1" x14ac:dyDescent="0.45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14.25" customHeight="1" x14ac:dyDescent="0.45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14.25" customHeight="1" x14ac:dyDescent="0.45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14.25" customHeight="1" x14ac:dyDescent="0.45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14.25" customHeight="1" x14ac:dyDescent="0.45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14.25" customHeight="1" x14ac:dyDescent="0.45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14.25" customHeight="1" x14ac:dyDescent="0.45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14.25" customHeight="1" x14ac:dyDescent="0.45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4.25" customHeight="1" x14ac:dyDescent="0.4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14.25" customHeight="1" x14ac:dyDescent="0.45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14.25" customHeight="1" x14ac:dyDescent="0.45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14.25" customHeight="1" x14ac:dyDescent="0.45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14.25" customHeight="1" x14ac:dyDescent="0.45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14.25" customHeight="1" x14ac:dyDescent="0.45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14.25" customHeight="1" x14ac:dyDescent="0.45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14.25" customHeight="1" x14ac:dyDescent="0.45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14.25" customHeight="1" x14ac:dyDescent="0.45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14.25" customHeight="1" x14ac:dyDescent="0.45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14.25" customHeight="1" x14ac:dyDescent="0.4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14.25" customHeight="1" x14ac:dyDescent="0.45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14.25" customHeight="1" x14ac:dyDescent="0.45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14.25" customHeight="1" x14ac:dyDescent="0.45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14.25" customHeight="1" x14ac:dyDescent="0.45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14.25" customHeight="1" x14ac:dyDescent="0.45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14.25" customHeight="1" x14ac:dyDescent="0.45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14.25" customHeight="1" x14ac:dyDescent="0.45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14.25" customHeight="1" x14ac:dyDescent="0.45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14.25" customHeight="1" x14ac:dyDescent="0.45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4.25" customHeight="1" x14ac:dyDescent="0.4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14.25" customHeight="1" x14ac:dyDescent="0.45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14.25" customHeight="1" x14ac:dyDescent="0.45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14.25" customHeight="1" x14ac:dyDescent="0.45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14.25" customHeight="1" x14ac:dyDescent="0.45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14.25" customHeight="1" x14ac:dyDescent="0.45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14.25" customHeight="1" x14ac:dyDescent="0.45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14.25" customHeight="1" x14ac:dyDescent="0.45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14.25" customHeight="1" x14ac:dyDescent="0.45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14.25" customHeight="1" x14ac:dyDescent="0.45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14.25" customHeight="1" x14ac:dyDescent="0.4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14.25" customHeight="1" x14ac:dyDescent="0.45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14.25" customHeight="1" x14ac:dyDescent="0.45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14.25" customHeight="1" x14ac:dyDescent="0.45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14.25" customHeight="1" x14ac:dyDescent="0.45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14.25" customHeight="1" x14ac:dyDescent="0.45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14.25" customHeight="1" x14ac:dyDescent="0.45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14.25" customHeight="1" x14ac:dyDescent="0.45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14.25" customHeight="1" x14ac:dyDescent="0.45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14.25" customHeight="1" x14ac:dyDescent="0.45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14.25" customHeight="1" x14ac:dyDescent="0.4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14.25" customHeight="1" x14ac:dyDescent="0.45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14.25" customHeight="1" x14ac:dyDescent="0.45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14.25" customHeight="1" x14ac:dyDescent="0.45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14.25" customHeight="1" x14ac:dyDescent="0.45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14.25" customHeight="1" x14ac:dyDescent="0.45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14.25" customHeight="1" x14ac:dyDescent="0.45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14.25" customHeight="1" x14ac:dyDescent="0.45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14.25" customHeight="1" x14ac:dyDescent="0.45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14.25" customHeight="1" x14ac:dyDescent="0.45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14.25" customHeight="1" x14ac:dyDescent="0.4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14.25" customHeight="1" x14ac:dyDescent="0.45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14.25" customHeight="1" x14ac:dyDescent="0.45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14.25" customHeight="1" x14ac:dyDescent="0.45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14.25" customHeight="1" x14ac:dyDescent="0.45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14.25" customHeight="1" x14ac:dyDescent="0.45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14.25" customHeight="1" x14ac:dyDescent="0.45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14.25" customHeight="1" x14ac:dyDescent="0.45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14.25" customHeight="1" x14ac:dyDescent="0.45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14.25" customHeight="1" x14ac:dyDescent="0.45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14.25" customHeight="1" x14ac:dyDescent="0.4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14.25" customHeight="1" x14ac:dyDescent="0.45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14.25" customHeight="1" x14ac:dyDescent="0.45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14.25" customHeight="1" x14ac:dyDescent="0.45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14.25" customHeight="1" x14ac:dyDescent="0.45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14.25" customHeight="1" x14ac:dyDescent="0.45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14.25" customHeight="1" x14ac:dyDescent="0.45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14.25" customHeight="1" x14ac:dyDescent="0.45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14.25" customHeight="1" x14ac:dyDescent="0.45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14.25" customHeight="1" x14ac:dyDescent="0.45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14.25" customHeight="1" x14ac:dyDescent="0.4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4.25" customHeight="1" x14ac:dyDescent="0.45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14.25" customHeight="1" x14ac:dyDescent="0.45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14.25" customHeight="1" x14ac:dyDescent="0.45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14.25" customHeight="1" x14ac:dyDescent="0.45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14.25" customHeight="1" x14ac:dyDescent="0.45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14.25" customHeight="1" x14ac:dyDescent="0.45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14.25" customHeight="1" x14ac:dyDescent="0.45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14.25" customHeight="1" x14ac:dyDescent="0.45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14.25" customHeight="1" x14ac:dyDescent="0.45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14.25" customHeight="1" x14ac:dyDescent="0.4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14.25" customHeight="1" x14ac:dyDescent="0.45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14.25" customHeight="1" x14ac:dyDescent="0.45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14.25" customHeight="1" x14ac:dyDescent="0.45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4.25" customHeight="1" x14ac:dyDescent="0.45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14.25" customHeight="1" x14ac:dyDescent="0.45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14.25" customHeight="1" x14ac:dyDescent="0.45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14.25" customHeight="1" x14ac:dyDescent="0.45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14.25" customHeight="1" x14ac:dyDescent="0.45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14.25" customHeight="1" x14ac:dyDescent="0.45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14.25" customHeight="1" x14ac:dyDescent="0.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14.25" customHeight="1" x14ac:dyDescent="0.45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14.25" customHeight="1" x14ac:dyDescent="0.45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 ht="14.25" customHeight="1" x14ac:dyDescent="0.45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 ht="14.25" customHeight="1" x14ac:dyDescent="0.45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 ht="14.25" customHeight="1" x14ac:dyDescent="0.45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 ht="14.25" customHeight="1" x14ac:dyDescent="0.45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 ht="14.25" customHeight="1" x14ac:dyDescent="0.45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 ht="14.25" customHeight="1" x14ac:dyDescent="0.45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 ht="14.25" customHeight="1" x14ac:dyDescent="0.45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 ht="14.25" customHeight="1" x14ac:dyDescent="0.4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 ht="14.25" customHeight="1" x14ac:dyDescent="0.45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 ht="14.25" customHeight="1" x14ac:dyDescent="0.45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 ht="14.25" customHeight="1" x14ac:dyDescent="0.45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 ht="14.25" customHeight="1" x14ac:dyDescent="0.45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 ht="14.25" customHeight="1" x14ac:dyDescent="0.45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 ht="14.25" customHeight="1" x14ac:dyDescent="0.45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 ht="14.25" customHeight="1" x14ac:dyDescent="0.45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 ht="14.25" customHeight="1" x14ac:dyDescent="0.45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 ht="14.25" customHeight="1" x14ac:dyDescent="0.45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 ht="14.25" customHeight="1" x14ac:dyDescent="0.4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 ht="14.25" customHeight="1" x14ac:dyDescent="0.45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 ht="14.25" customHeight="1" x14ac:dyDescent="0.45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 ht="14.25" customHeight="1" x14ac:dyDescent="0.45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 ht="14.25" customHeight="1" x14ac:dyDescent="0.45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 ht="14.25" customHeight="1" x14ac:dyDescent="0.45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 ht="14.25" customHeight="1" x14ac:dyDescent="0.45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 ht="14.25" customHeight="1" x14ac:dyDescent="0.45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 ht="14.25" customHeight="1" x14ac:dyDescent="0.45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 ht="14.25" customHeight="1" x14ac:dyDescent="0.45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 ht="14.25" customHeight="1" x14ac:dyDescent="0.4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 ht="14.25" customHeight="1" x14ac:dyDescent="0.45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 ht="14.25" customHeight="1" x14ac:dyDescent="0.45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 ht="14.25" customHeight="1" x14ac:dyDescent="0.4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 ht="14.25" customHeight="1" x14ac:dyDescent="0.4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 ht="14.25" customHeight="1" x14ac:dyDescent="0.4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 ht="14.25" customHeight="1" x14ac:dyDescent="0.4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 ht="14.25" customHeight="1" x14ac:dyDescent="0.4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 ht="14.25" customHeight="1" x14ac:dyDescent="0.4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 ht="14.25" customHeight="1" x14ac:dyDescent="0.4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 ht="14.25" customHeight="1" x14ac:dyDescent="0.4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 ht="14.25" customHeight="1" x14ac:dyDescent="0.4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 ht="14.25" customHeight="1" x14ac:dyDescent="0.4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 ht="14.25" customHeight="1" x14ac:dyDescent="0.4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 ht="14.25" customHeight="1" x14ac:dyDescent="0.4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 ht="14.25" customHeight="1" x14ac:dyDescent="0.4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 ht="14.25" customHeight="1" x14ac:dyDescent="0.4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 ht="14.25" customHeight="1" x14ac:dyDescent="0.4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 ht="14.25" customHeight="1" x14ac:dyDescent="0.4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 ht="14.25" customHeight="1" x14ac:dyDescent="0.4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 ht="14.25" customHeight="1" x14ac:dyDescent="0.4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 ht="14.25" customHeight="1" x14ac:dyDescent="0.4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 ht="14.25" customHeight="1" x14ac:dyDescent="0.4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 ht="14.25" customHeight="1" x14ac:dyDescent="0.4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 ht="14.25" customHeight="1" x14ac:dyDescent="0.4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 ht="14.25" customHeight="1" x14ac:dyDescent="0.4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 ht="14.25" customHeight="1" x14ac:dyDescent="0.4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 ht="14.25" customHeight="1" x14ac:dyDescent="0.4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 ht="14.25" customHeight="1" x14ac:dyDescent="0.4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 ht="14.25" customHeight="1" x14ac:dyDescent="0.4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 ht="14.25" customHeight="1" x14ac:dyDescent="0.4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 ht="14.25" customHeight="1" x14ac:dyDescent="0.4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 ht="14.25" customHeight="1" x14ac:dyDescent="0.4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 ht="14.25" customHeight="1" x14ac:dyDescent="0.4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 ht="14.25" customHeight="1" x14ac:dyDescent="0.4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 ht="14.25" customHeight="1" x14ac:dyDescent="0.4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 ht="14.25" customHeight="1" x14ac:dyDescent="0.4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14.25" customHeight="1" x14ac:dyDescent="0.4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 ht="14.25" customHeight="1" x14ac:dyDescent="0.4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 ht="14.25" customHeight="1" x14ac:dyDescent="0.4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 ht="14.25" customHeight="1" x14ac:dyDescent="0.4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 ht="14.25" customHeight="1" x14ac:dyDescent="0.4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 ht="14.25" customHeight="1" x14ac:dyDescent="0.4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14.25" customHeight="1" x14ac:dyDescent="0.4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14.25" customHeight="1" x14ac:dyDescent="0.4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14.25" customHeight="1" x14ac:dyDescent="0.4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14.25" customHeight="1" x14ac:dyDescent="0.4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14.25" customHeight="1" x14ac:dyDescent="0.4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14.25" customHeight="1" x14ac:dyDescent="0.4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14.25" customHeight="1" x14ac:dyDescent="0.4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14.25" customHeight="1" x14ac:dyDescent="0.4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14.25" customHeight="1" x14ac:dyDescent="0.45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14.25" customHeight="1" x14ac:dyDescent="0.45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14.25" customHeight="1" x14ac:dyDescent="0.45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14.25" customHeight="1" x14ac:dyDescent="0.45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14.25" customHeight="1" x14ac:dyDescent="0.45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14.25" customHeight="1" x14ac:dyDescent="0.45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14.25" customHeight="1" x14ac:dyDescent="0.45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14.25" customHeight="1" x14ac:dyDescent="0.45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14.25" customHeight="1" x14ac:dyDescent="0.45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14.25" customHeight="1" x14ac:dyDescent="0.4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14.25" customHeight="1" x14ac:dyDescent="0.45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14.25" customHeight="1" x14ac:dyDescent="0.45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14.25" customHeight="1" x14ac:dyDescent="0.45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14.25" customHeight="1" x14ac:dyDescent="0.45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14.25" customHeight="1" x14ac:dyDescent="0.45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14.25" customHeight="1" x14ac:dyDescent="0.45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14.25" customHeight="1" x14ac:dyDescent="0.45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4.25" customHeight="1" x14ac:dyDescent="0.45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14.25" customHeight="1" x14ac:dyDescent="0.45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14.25" customHeight="1" x14ac:dyDescent="0.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14.25" customHeight="1" x14ac:dyDescent="0.45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14.25" customHeight="1" x14ac:dyDescent="0.45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14.25" customHeight="1" x14ac:dyDescent="0.45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14.25" customHeight="1" x14ac:dyDescent="0.45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14.25" customHeight="1" x14ac:dyDescent="0.45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14.25" customHeight="1" x14ac:dyDescent="0.45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14.25" customHeight="1" x14ac:dyDescent="0.45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14.25" customHeight="1" x14ac:dyDescent="0.45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14.25" customHeight="1" x14ac:dyDescent="0.45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14.25" customHeight="1" x14ac:dyDescent="0.4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14.25" customHeight="1" x14ac:dyDescent="0.4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14.25" customHeight="1" x14ac:dyDescent="0.4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14.25" customHeight="1" x14ac:dyDescent="0.4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14.25" customHeight="1" x14ac:dyDescent="0.4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14.25" customHeight="1" x14ac:dyDescent="0.4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14.25" customHeight="1" x14ac:dyDescent="0.4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14.25" customHeight="1" x14ac:dyDescent="0.4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14.25" customHeight="1" x14ac:dyDescent="0.4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14.25" customHeight="1" x14ac:dyDescent="0.45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14.25" customHeight="1" x14ac:dyDescent="0.4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14.25" customHeight="1" x14ac:dyDescent="0.45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14.25" customHeight="1" x14ac:dyDescent="0.45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14.25" customHeight="1" x14ac:dyDescent="0.45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14.25" customHeight="1" x14ac:dyDescent="0.45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14.25" customHeight="1" x14ac:dyDescent="0.45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14.25" customHeight="1" x14ac:dyDescent="0.45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14.25" customHeight="1" x14ac:dyDescent="0.4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14.25" customHeight="1" x14ac:dyDescent="0.45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14.25" customHeight="1" x14ac:dyDescent="0.45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14.25" customHeight="1" x14ac:dyDescent="0.4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14.25" customHeight="1" x14ac:dyDescent="0.45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14.25" customHeight="1" x14ac:dyDescent="0.45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14.25" customHeight="1" x14ac:dyDescent="0.45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14.25" customHeight="1" x14ac:dyDescent="0.45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14.25" customHeight="1" x14ac:dyDescent="0.45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14.25" customHeight="1" x14ac:dyDescent="0.45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14.25" customHeight="1" x14ac:dyDescent="0.45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14.25" customHeight="1" x14ac:dyDescent="0.45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14.25" customHeight="1" x14ac:dyDescent="0.45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14.25" customHeight="1" x14ac:dyDescent="0.4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14.25" customHeight="1" x14ac:dyDescent="0.45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14.25" customHeight="1" x14ac:dyDescent="0.45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14.25" customHeight="1" x14ac:dyDescent="0.45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14.25" customHeight="1" x14ac:dyDescent="0.45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14.25" customHeight="1" x14ac:dyDescent="0.45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14.25" customHeight="1" x14ac:dyDescent="0.45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14.25" customHeight="1" x14ac:dyDescent="0.45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14.25" customHeight="1" x14ac:dyDescent="0.45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14.25" customHeight="1" x14ac:dyDescent="0.45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14.25" customHeight="1" x14ac:dyDescent="0.4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14.25" customHeight="1" x14ac:dyDescent="0.45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14.25" customHeight="1" x14ac:dyDescent="0.45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14.25" customHeight="1" x14ac:dyDescent="0.45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14.25" customHeight="1" x14ac:dyDescent="0.45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14.25" customHeight="1" x14ac:dyDescent="0.45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14.25" customHeight="1" x14ac:dyDescent="0.45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14.25" customHeight="1" x14ac:dyDescent="0.45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14.25" customHeight="1" x14ac:dyDescent="0.45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14.25" customHeight="1" x14ac:dyDescent="0.45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14.25" customHeight="1" x14ac:dyDescent="0.4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14.25" customHeight="1" x14ac:dyDescent="0.45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14.25" customHeight="1" x14ac:dyDescent="0.45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14.25" customHeight="1" x14ac:dyDescent="0.45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14.25" customHeight="1" x14ac:dyDescent="0.45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14.25" customHeight="1" x14ac:dyDescent="0.45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14.25" customHeight="1" x14ac:dyDescent="0.45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14.25" customHeight="1" x14ac:dyDescent="0.45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14.25" customHeight="1" x14ac:dyDescent="0.45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14.25" customHeight="1" x14ac:dyDescent="0.45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14.25" customHeight="1" x14ac:dyDescent="0.4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14.25" customHeight="1" x14ac:dyDescent="0.4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14.25" customHeight="1" x14ac:dyDescent="0.45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14.25" customHeight="1" x14ac:dyDescent="0.45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14.25" customHeight="1" x14ac:dyDescent="0.45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14.25" customHeight="1" x14ac:dyDescent="0.45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14.25" customHeight="1" x14ac:dyDescent="0.45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14.25" customHeight="1" x14ac:dyDescent="0.45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14.25" customHeight="1" x14ac:dyDescent="0.45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14.25" customHeight="1" x14ac:dyDescent="0.45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14.25" customHeight="1" x14ac:dyDescent="0.4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14.25" customHeight="1" x14ac:dyDescent="0.45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14.25" customHeight="1" x14ac:dyDescent="0.45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14.25" customHeight="1" x14ac:dyDescent="0.45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14.25" customHeight="1" x14ac:dyDescent="0.45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14.25" customHeight="1" x14ac:dyDescent="0.45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14.25" customHeight="1" x14ac:dyDescent="0.45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14.25" customHeight="1" x14ac:dyDescent="0.45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14.25" customHeight="1" x14ac:dyDescent="0.45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14.25" customHeight="1" x14ac:dyDescent="0.45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14.25" customHeight="1" x14ac:dyDescent="0.4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14.25" customHeight="1" x14ac:dyDescent="0.45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14.25" customHeight="1" x14ac:dyDescent="0.45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14.25" customHeight="1" x14ac:dyDescent="0.45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14.25" customHeight="1" x14ac:dyDescent="0.45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14.25" customHeight="1" x14ac:dyDescent="0.45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14.25" customHeight="1" x14ac:dyDescent="0.45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14.25" customHeight="1" x14ac:dyDescent="0.45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14.25" customHeight="1" x14ac:dyDescent="0.45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14.25" customHeight="1" x14ac:dyDescent="0.45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14.25" customHeight="1" x14ac:dyDescent="0.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14.25" customHeight="1" x14ac:dyDescent="0.45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14.25" customHeight="1" x14ac:dyDescent="0.45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14.25" customHeight="1" x14ac:dyDescent="0.45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14.25" customHeight="1" x14ac:dyDescent="0.45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14.25" customHeight="1" x14ac:dyDescent="0.45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14.25" customHeight="1" x14ac:dyDescent="0.4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14.25" customHeight="1" x14ac:dyDescent="0.45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14.25" customHeight="1" x14ac:dyDescent="0.45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14.25" customHeight="1" x14ac:dyDescent="0.45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14.25" customHeight="1" x14ac:dyDescent="0.4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14.25" customHeight="1" x14ac:dyDescent="0.45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14.25" customHeight="1" x14ac:dyDescent="0.45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14.25" customHeight="1" x14ac:dyDescent="0.45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14.25" customHeight="1" x14ac:dyDescent="0.4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14.25" customHeight="1" x14ac:dyDescent="0.4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14.25" customHeight="1" x14ac:dyDescent="0.4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14.25" customHeight="1" x14ac:dyDescent="0.4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14.25" customHeight="1" x14ac:dyDescent="0.4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14.25" customHeight="1" x14ac:dyDescent="0.4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14.25" customHeight="1" x14ac:dyDescent="0.4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14.25" customHeight="1" x14ac:dyDescent="0.4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14.25" customHeight="1" x14ac:dyDescent="0.4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14.25" customHeight="1" x14ac:dyDescent="0.4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14.25" customHeight="1" x14ac:dyDescent="0.4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14.25" customHeight="1" x14ac:dyDescent="0.4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14.25" customHeight="1" x14ac:dyDescent="0.4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14.25" customHeight="1" x14ac:dyDescent="0.4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14.25" customHeight="1" x14ac:dyDescent="0.4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14.25" customHeight="1" x14ac:dyDescent="0.4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14.25" customHeight="1" x14ac:dyDescent="0.4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14.25" customHeight="1" x14ac:dyDescent="0.4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14.25" customHeight="1" x14ac:dyDescent="0.4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14.25" customHeight="1" x14ac:dyDescent="0.4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14.25" customHeight="1" x14ac:dyDescent="0.4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14.25" customHeight="1" x14ac:dyDescent="0.4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14.25" customHeight="1" x14ac:dyDescent="0.4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14.25" customHeight="1" x14ac:dyDescent="0.4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14.25" customHeight="1" x14ac:dyDescent="0.4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14.25" customHeight="1" x14ac:dyDescent="0.4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14.25" customHeight="1" x14ac:dyDescent="0.4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14.25" customHeight="1" x14ac:dyDescent="0.4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14.25" customHeight="1" x14ac:dyDescent="0.4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14.25" customHeight="1" x14ac:dyDescent="0.4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14.25" customHeight="1" x14ac:dyDescent="0.4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14.25" customHeight="1" x14ac:dyDescent="0.4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14.25" customHeight="1" x14ac:dyDescent="0.4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14.25" customHeight="1" x14ac:dyDescent="0.4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14.25" customHeight="1" x14ac:dyDescent="0.4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14.25" customHeight="1" x14ac:dyDescent="0.4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14.25" customHeight="1" x14ac:dyDescent="0.4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14.25" customHeight="1" x14ac:dyDescent="0.4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14.25" customHeight="1" x14ac:dyDescent="0.4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14.25" customHeight="1" x14ac:dyDescent="0.4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14.25" customHeight="1" x14ac:dyDescent="0.4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14.25" customHeight="1" x14ac:dyDescent="0.4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14.25" customHeight="1" x14ac:dyDescent="0.4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14.25" customHeight="1" x14ac:dyDescent="0.4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14.25" customHeight="1" x14ac:dyDescent="0.4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14.25" customHeight="1" x14ac:dyDescent="0.4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14.25" customHeight="1" x14ac:dyDescent="0.4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14.25" customHeight="1" x14ac:dyDescent="0.4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14.25" customHeight="1" x14ac:dyDescent="0.4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14.25" customHeight="1" x14ac:dyDescent="0.4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14.25" customHeight="1" x14ac:dyDescent="0.4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14.25" customHeight="1" x14ac:dyDescent="0.4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14.25" customHeight="1" x14ac:dyDescent="0.4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14.25" customHeight="1" x14ac:dyDescent="0.4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14.25" customHeight="1" x14ac:dyDescent="0.4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14.25" customHeight="1" x14ac:dyDescent="0.4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14.25" customHeight="1" x14ac:dyDescent="0.4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14.25" customHeight="1" x14ac:dyDescent="0.4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14.25" customHeight="1" x14ac:dyDescent="0.4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14.25" customHeight="1" x14ac:dyDescent="0.4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14.25" customHeight="1" x14ac:dyDescent="0.4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14.25" customHeight="1" x14ac:dyDescent="0.4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14.25" customHeight="1" x14ac:dyDescent="0.4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14.25" customHeight="1" x14ac:dyDescent="0.4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14.25" customHeight="1" x14ac:dyDescent="0.4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14.25" customHeight="1" x14ac:dyDescent="0.4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14.25" customHeight="1" x14ac:dyDescent="0.4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14.25" customHeight="1" x14ac:dyDescent="0.4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14.25" customHeight="1" x14ac:dyDescent="0.4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14.25" customHeight="1" x14ac:dyDescent="0.4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14.25" customHeight="1" x14ac:dyDescent="0.4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14.25" customHeight="1" x14ac:dyDescent="0.4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14.25" customHeight="1" x14ac:dyDescent="0.4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14.25" customHeight="1" x14ac:dyDescent="0.4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14.25" customHeight="1" x14ac:dyDescent="0.4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14.25" customHeight="1" x14ac:dyDescent="0.4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14.25" customHeight="1" x14ac:dyDescent="0.4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14.25" customHeight="1" x14ac:dyDescent="0.4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14.25" customHeight="1" x14ac:dyDescent="0.4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14.25" customHeight="1" x14ac:dyDescent="0.4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14.25" customHeight="1" x14ac:dyDescent="0.4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14.25" customHeight="1" x14ac:dyDescent="0.4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14.25" customHeight="1" x14ac:dyDescent="0.4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14.25" customHeight="1" x14ac:dyDescent="0.4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14.25" customHeight="1" x14ac:dyDescent="0.4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14.25" customHeight="1" x14ac:dyDescent="0.4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14.25" customHeight="1" x14ac:dyDescent="0.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14.25" customHeight="1" x14ac:dyDescent="0.4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14.25" customHeight="1" x14ac:dyDescent="0.4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14.25" customHeight="1" x14ac:dyDescent="0.4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14.25" customHeight="1" x14ac:dyDescent="0.4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14.25" customHeight="1" x14ac:dyDescent="0.4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14.25" customHeight="1" x14ac:dyDescent="0.4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14.25" customHeight="1" x14ac:dyDescent="0.4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14.25" customHeight="1" x14ac:dyDescent="0.4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14.25" customHeight="1" x14ac:dyDescent="0.4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14.25" customHeight="1" x14ac:dyDescent="0.4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14.25" customHeight="1" x14ac:dyDescent="0.4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14.25" customHeight="1" x14ac:dyDescent="0.4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14.25" customHeight="1" x14ac:dyDescent="0.4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14.25" customHeight="1" x14ac:dyDescent="0.4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14.25" customHeight="1" x14ac:dyDescent="0.4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14.25" customHeight="1" x14ac:dyDescent="0.4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14.25" customHeight="1" x14ac:dyDescent="0.4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14.25" customHeight="1" x14ac:dyDescent="0.4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14.25" customHeight="1" x14ac:dyDescent="0.4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14.25" customHeight="1" x14ac:dyDescent="0.4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14.25" customHeight="1" x14ac:dyDescent="0.4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14.25" customHeight="1" x14ac:dyDescent="0.4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14.25" customHeight="1" x14ac:dyDescent="0.4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14.25" customHeight="1" x14ac:dyDescent="0.4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14.25" customHeight="1" x14ac:dyDescent="0.4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14.25" customHeight="1" x14ac:dyDescent="0.4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14.25" customHeight="1" x14ac:dyDescent="0.4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14.25" customHeight="1" x14ac:dyDescent="0.4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14.25" customHeight="1" x14ac:dyDescent="0.4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14.25" customHeight="1" x14ac:dyDescent="0.4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14.25" customHeight="1" x14ac:dyDescent="0.4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14.25" customHeight="1" x14ac:dyDescent="0.4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14.25" customHeight="1" x14ac:dyDescent="0.4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14.25" customHeight="1" x14ac:dyDescent="0.4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14.25" customHeight="1" x14ac:dyDescent="0.4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14.25" customHeight="1" x14ac:dyDescent="0.4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14.25" customHeight="1" x14ac:dyDescent="0.4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14.25" customHeight="1" x14ac:dyDescent="0.4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14.25" customHeight="1" x14ac:dyDescent="0.4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14.25" customHeight="1" x14ac:dyDescent="0.4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14.25" customHeight="1" x14ac:dyDescent="0.4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14.25" customHeight="1" x14ac:dyDescent="0.4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14.25" customHeight="1" x14ac:dyDescent="0.4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14.25" customHeight="1" x14ac:dyDescent="0.4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14.25" customHeight="1" x14ac:dyDescent="0.4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14.25" customHeight="1" x14ac:dyDescent="0.4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14.25" customHeight="1" x14ac:dyDescent="0.4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14.25" customHeight="1" x14ac:dyDescent="0.4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14.25" customHeight="1" x14ac:dyDescent="0.4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14.25" customHeight="1" x14ac:dyDescent="0.4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14.25" customHeight="1" x14ac:dyDescent="0.4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14.25" customHeight="1" x14ac:dyDescent="0.4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14.25" customHeight="1" x14ac:dyDescent="0.4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14.25" customHeight="1" x14ac:dyDescent="0.4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14.25" customHeight="1" x14ac:dyDescent="0.4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14.25" customHeight="1" x14ac:dyDescent="0.4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14.25" customHeight="1" x14ac:dyDescent="0.4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14.25" customHeight="1" x14ac:dyDescent="0.4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14.25" customHeight="1" x14ac:dyDescent="0.4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14.25" customHeight="1" x14ac:dyDescent="0.4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14.25" customHeight="1" x14ac:dyDescent="0.4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14.25" customHeight="1" x14ac:dyDescent="0.4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14.25" customHeight="1" x14ac:dyDescent="0.4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14.25" customHeight="1" x14ac:dyDescent="0.4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14.25" customHeight="1" x14ac:dyDescent="0.4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14.25" customHeight="1" x14ac:dyDescent="0.4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14.25" customHeight="1" x14ac:dyDescent="0.4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14.25" customHeight="1" x14ac:dyDescent="0.4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14.25" customHeight="1" x14ac:dyDescent="0.4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14.25" customHeight="1" x14ac:dyDescent="0.4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14.25" customHeight="1" x14ac:dyDescent="0.4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14.25" customHeight="1" x14ac:dyDescent="0.4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14.25" customHeight="1" x14ac:dyDescent="0.4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14.25" customHeight="1" x14ac:dyDescent="0.4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14.25" customHeight="1" x14ac:dyDescent="0.4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14.25" customHeight="1" x14ac:dyDescent="0.4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14.25" customHeight="1" x14ac:dyDescent="0.4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14.25" customHeight="1" x14ac:dyDescent="0.4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14.25" customHeight="1" x14ac:dyDescent="0.4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14.25" customHeight="1" x14ac:dyDescent="0.4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14.25" customHeight="1" x14ac:dyDescent="0.4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14.25" customHeight="1" x14ac:dyDescent="0.4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14.25" customHeight="1" x14ac:dyDescent="0.4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14.25" customHeight="1" x14ac:dyDescent="0.4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14.25" customHeight="1" x14ac:dyDescent="0.4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14.25" customHeight="1" x14ac:dyDescent="0.4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14.25" customHeight="1" x14ac:dyDescent="0.4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14.25" customHeight="1" x14ac:dyDescent="0.4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14.25" customHeight="1" x14ac:dyDescent="0.4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14.25" customHeight="1" x14ac:dyDescent="0.4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14.25" customHeight="1" x14ac:dyDescent="0.4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14.25" customHeight="1" x14ac:dyDescent="0.4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14.25" customHeight="1" x14ac:dyDescent="0.4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14.25" customHeight="1" x14ac:dyDescent="0.4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14.25" customHeight="1" x14ac:dyDescent="0.4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14.25" customHeight="1" x14ac:dyDescent="0.4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14.25" customHeight="1" x14ac:dyDescent="0.4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14.25" customHeight="1" x14ac:dyDescent="0.4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14.25" customHeight="1" x14ac:dyDescent="0.4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14.25" customHeight="1" x14ac:dyDescent="0.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14.25" customHeight="1" x14ac:dyDescent="0.4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14.25" customHeight="1" x14ac:dyDescent="0.4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14.25" customHeight="1" x14ac:dyDescent="0.4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14.25" customHeight="1" x14ac:dyDescent="0.4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14.25" customHeight="1" x14ac:dyDescent="0.4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14.25" customHeight="1" x14ac:dyDescent="0.4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14.25" customHeight="1" x14ac:dyDescent="0.4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14.25" customHeight="1" x14ac:dyDescent="0.4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14.25" customHeight="1" x14ac:dyDescent="0.4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14.25" customHeight="1" x14ac:dyDescent="0.4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14.25" customHeight="1" x14ac:dyDescent="0.4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14.25" customHeight="1" x14ac:dyDescent="0.4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14.25" customHeight="1" x14ac:dyDescent="0.4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14.25" customHeight="1" x14ac:dyDescent="0.4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14.25" customHeight="1" x14ac:dyDescent="0.4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14.25" customHeight="1" x14ac:dyDescent="0.4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14.25" customHeight="1" x14ac:dyDescent="0.4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14.25" customHeight="1" x14ac:dyDescent="0.4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14.25" customHeight="1" x14ac:dyDescent="0.4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14.25" customHeight="1" x14ac:dyDescent="0.4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14.25" customHeight="1" x14ac:dyDescent="0.4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14.25" customHeight="1" x14ac:dyDescent="0.4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14.25" customHeight="1" x14ac:dyDescent="0.4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14.25" customHeight="1" x14ac:dyDescent="0.4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14.25" customHeight="1" x14ac:dyDescent="0.4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14.25" customHeight="1" x14ac:dyDescent="0.4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14.25" customHeight="1" x14ac:dyDescent="0.4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14.25" customHeight="1" x14ac:dyDescent="0.4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14.25" customHeight="1" x14ac:dyDescent="0.4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14.25" customHeight="1" x14ac:dyDescent="0.4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14.25" customHeight="1" x14ac:dyDescent="0.4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14.25" customHeight="1" x14ac:dyDescent="0.4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14.25" customHeight="1" x14ac:dyDescent="0.4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14.25" customHeight="1" x14ac:dyDescent="0.4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14.25" customHeight="1" x14ac:dyDescent="0.4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14.25" customHeight="1" x14ac:dyDescent="0.4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14.25" customHeight="1" x14ac:dyDescent="0.4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14.25" customHeight="1" x14ac:dyDescent="0.4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14.25" customHeight="1" x14ac:dyDescent="0.4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14.25" customHeight="1" x14ac:dyDescent="0.4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14.25" customHeight="1" x14ac:dyDescent="0.4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14.25" customHeight="1" x14ac:dyDescent="0.4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14.25" customHeight="1" x14ac:dyDescent="0.4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14.25" customHeight="1" x14ac:dyDescent="0.4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14.25" customHeight="1" x14ac:dyDescent="0.4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14.25" customHeight="1" x14ac:dyDescent="0.4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14.25" customHeight="1" x14ac:dyDescent="0.4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14.25" customHeight="1" x14ac:dyDescent="0.4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14.25" customHeight="1" x14ac:dyDescent="0.4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14.25" customHeight="1" x14ac:dyDescent="0.4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14.25" customHeight="1" x14ac:dyDescent="0.4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14.25" customHeight="1" x14ac:dyDescent="0.4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14.25" customHeight="1" x14ac:dyDescent="0.4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14.25" customHeight="1" x14ac:dyDescent="0.4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14.25" customHeight="1" x14ac:dyDescent="0.4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14.25" customHeight="1" x14ac:dyDescent="0.4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14.25" customHeight="1" x14ac:dyDescent="0.4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14.25" customHeight="1" x14ac:dyDescent="0.4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14.25" customHeight="1" x14ac:dyDescent="0.4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14.25" customHeight="1" x14ac:dyDescent="0.4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14.25" customHeight="1" x14ac:dyDescent="0.4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14.25" customHeight="1" x14ac:dyDescent="0.4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14.25" customHeight="1" x14ac:dyDescent="0.4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14.25" customHeight="1" x14ac:dyDescent="0.4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14.25" customHeight="1" x14ac:dyDescent="0.4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14.25" customHeight="1" x14ac:dyDescent="0.4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14.25" customHeight="1" x14ac:dyDescent="0.4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14.25" customHeight="1" x14ac:dyDescent="0.4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14.25" customHeight="1" x14ac:dyDescent="0.4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14.25" customHeight="1" x14ac:dyDescent="0.4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14.25" customHeight="1" x14ac:dyDescent="0.4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14.25" customHeight="1" x14ac:dyDescent="0.4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14.25" customHeight="1" x14ac:dyDescent="0.4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14.25" customHeight="1" x14ac:dyDescent="0.4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14.25" customHeight="1" x14ac:dyDescent="0.4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14.25" customHeight="1" x14ac:dyDescent="0.4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14.25" customHeight="1" x14ac:dyDescent="0.4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14.25" customHeight="1" x14ac:dyDescent="0.4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14.25" customHeight="1" x14ac:dyDescent="0.4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14.25" customHeight="1" x14ac:dyDescent="0.4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14.25" customHeight="1" x14ac:dyDescent="0.4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14.25" customHeight="1" x14ac:dyDescent="0.4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14.25" customHeight="1" x14ac:dyDescent="0.4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14.25" customHeight="1" x14ac:dyDescent="0.4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14.25" customHeight="1" x14ac:dyDescent="0.4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14.25" customHeight="1" x14ac:dyDescent="0.4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14.25" customHeight="1" x14ac:dyDescent="0.4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14.25" customHeight="1" x14ac:dyDescent="0.4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14.25" customHeight="1" x14ac:dyDescent="0.4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14.25" customHeight="1" x14ac:dyDescent="0.4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14.25" customHeight="1" x14ac:dyDescent="0.4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14.25" customHeight="1" x14ac:dyDescent="0.4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14.25" customHeight="1" x14ac:dyDescent="0.4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14.25" customHeight="1" x14ac:dyDescent="0.4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14.25" customHeight="1" x14ac:dyDescent="0.4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14.25" customHeight="1" x14ac:dyDescent="0.4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14.25" customHeight="1" x14ac:dyDescent="0.4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14.25" customHeight="1" x14ac:dyDescent="0.4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14.25" customHeight="1" x14ac:dyDescent="0.4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14.25" customHeight="1" x14ac:dyDescent="0.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14.25" customHeight="1" x14ac:dyDescent="0.4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14.25" customHeight="1" x14ac:dyDescent="0.4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14.25" customHeight="1" x14ac:dyDescent="0.4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14.25" customHeight="1" x14ac:dyDescent="0.4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14.25" customHeight="1" x14ac:dyDescent="0.4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14.25" customHeight="1" x14ac:dyDescent="0.4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14.25" customHeight="1" x14ac:dyDescent="0.4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14.25" customHeight="1" x14ac:dyDescent="0.4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14.25" customHeight="1" x14ac:dyDescent="0.4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14.25" customHeight="1" x14ac:dyDescent="0.4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14.25" customHeight="1" x14ac:dyDescent="0.4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14.25" customHeight="1" x14ac:dyDescent="0.4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14.25" customHeight="1" x14ac:dyDescent="0.4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14.25" customHeight="1" x14ac:dyDescent="0.4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14.25" customHeight="1" x14ac:dyDescent="0.4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14.25" customHeight="1" x14ac:dyDescent="0.4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14.25" customHeight="1" x14ac:dyDescent="0.4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14.25" customHeight="1" x14ac:dyDescent="0.4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14.25" customHeight="1" x14ac:dyDescent="0.4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14.25" customHeight="1" x14ac:dyDescent="0.4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14.25" customHeight="1" x14ac:dyDescent="0.4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14.25" customHeight="1" x14ac:dyDescent="0.4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14.25" customHeight="1" x14ac:dyDescent="0.4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14.25" customHeight="1" x14ac:dyDescent="0.4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14.25" customHeight="1" x14ac:dyDescent="0.4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14.25" customHeight="1" x14ac:dyDescent="0.4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14.25" customHeight="1" x14ac:dyDescent="0.4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14.25" customHeight="1" x14ac:dyDescent="0.4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14.25" customHeight="1" x14ac:dyDescent="0.4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14.25" customHeight="1" x14ac:dyDescent="0.4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14.25" customHeight="1" x14ac:dyDescent="0.4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14.25" customHeight="1" x14ac:dyDescent="0.4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14.25" customHeight="1" x14ac:dyDescent="0.4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14.25" customHeight="1" x14ac:dyDescent="0.4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14.25" customHeight="1" x14ac:dyDescent="0.4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14.25" customHeight="1" x14ac:dyDescent="0.4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14.25" customHeight="1" x14ac:dyDescent="0.4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14.25" customHeight="1" x14ac:dyDescent="0.45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14.25" customHeight="1" x14ac:dyDescent="0.45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14.25" customHeight="1" x14ac:dyDescent="0.4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14.25" customHeight="1" x14ac:dyDescent="0.45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14.25" customHeight="1" x14ac:dyDescent="0.45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14.25" customHeight="1" x14ac:dyDescent="0.45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14.25" customHeight="1" x14ac:dyDescent="0.45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14.25" customHeight="1" x14ac:dyDescent="0.45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14.25" customHeight="1" x14ac:dyDescent="0.45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14.25" customHeight="1" x14ac:dyDescent="0.45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14.25" customHeight="1" x14ac:dyDescent="0.45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14.25" customHeight="1" x14ac:dyDescent="0.45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14.25" customHeight="1" x14ac:dyDescent="0.4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14.25" customHeight="1" x14ac:dyDescent="0.45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14.25" customHeight="1" x14ac:dyDescent="0.45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14.25" customHeight="1" x14ac:dyDescent="0.45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 ht="14.25" customHeight="1" x14ac:dyDescent="0.45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 ht="14.25" customHeight="1" x14ac:dyDescent="0.45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 ht="14.25" customHeight="1" x14ac:dyDescent="0.45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 ht="14.25" customHeight="1" x14ac:dyDescent="0.45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 ht="14.25" customHeight="1" x14ac:dyDescent="0.45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 ht="14.25" customHeight="1" x14ac:dyDescent="0.45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 ht="14.25" customHeight="1" x14ac:dyDescent="0.4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 ht="14.25" customHeight="1" x14ac:dyDescent="0.45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 ht="14.25" customHeight="1" x14ac:dyDescent="0.45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 ht="14.25" customHeight="1" x14ac:dyDescent="0.45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 ht="14.25" customHeight="1" x14ac:dyDescent="0.45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 ht="14.25" customHeight="1" x14ac:dyDescent="0.45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 ht="14.25" customHeight="1" x14ac:dyDescent="0.45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 ht="14.25" customHeight="1" x14ac:dyDescent="0.45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 ht="14.25" customHeight="1" x14ac:dyDescent="0.45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 ht="14.25" customHeight="1" x14ac:dyDescent="0.45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 ht="14.25" customHeight="1" x14ac:dyDescent="0.4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 ht="14.25" customHeight="1" x14ac:dyDescent="0.45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 ht="14.25" customHeight="1" x14ac:dyDescent="0.45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 ht="14.25" customHeight="1" x14ac:dyDescent="0.45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 ht="14.25" customHeight="1" x14ac:dyDescent="0.45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 ht="14.25" customHeight="1" x14ac:dyDescent="0.45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 ht="14.25" customHeight="1" x14ac:dyDescent="0.4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 ht="14.25" customHeight="1" x14ac:dyDescent="0.45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 ht="14.25" customHeight="1" x14ac:dyDescent="0.45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 ht="14.25" customHeight="1" x14ac:dyDescent="0.4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 ht="14.25" customHeight="1" x14ac:dyDescent="0.4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 ht="14.25" customHeight="1" x14ac:dyDescent="0.45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 ht="14.25" customHeight="1" x14ac:dyDescent="0.4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 ht="14.25" customHeight="1" x14ac:dyDescent="0.45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 ht="14.25" customHeight="1" x14ac:dyDescent="0.4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 ht="14.25" customHeight="1" x14ac:dyDescent="0.45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 ht="14.25" customHeight="1" x14ac:dyDescent="0.45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 ht="14.25" customHeight="1" x14ac:dyDescent="0.45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 ht="14.25" customHeight="1" x14ac:dyDescent="0.45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 ht="14.25" customHeight="1" x14ac:dyDescent="0.45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 ht="14.25" customHeight="1" x14ac:dyDescent="0.4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 ht="14.25" customHeight="1" x14ac:dyDescent="0.45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 ht="14.25" customHeight="1" x14ac:dyDescent="0.45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 ht="14.25" customHeight="1" x14ac:dyDescent="0.45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 ht="14.25" customHeight="1" x14ac:dyDescent="0.45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 ht="14.25" customHeight="1" x14ac:dyDescent="0.45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 ht="14.25" customHeight="1" x14ac:dyDescent="0.45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 ht="14.25" customHeight="1" x14ac:dyDescent="0.45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 ht="14.25" customHeight="1" x14ac:dyDescent="0.45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 ht="14.25" customHeight="1" x14ac:dyDescent="0.45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 ht="14.25" customHeight="1" x14ac:dyDescent="0.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 ht="14.25" customHeight="1" x14ac:dyDescent="0.45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 ht="14.25" customHeight="1" x14ac:dyDescent="0.45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 ht="14.25" customHeight="1" x14ac:dyDescent="0.45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 ht="14.25" customHeight="1" x14ac:dyDescent="0.45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 ht="14.25" customHeight="1" x14ac:dyDescent="0.45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 ht="14.25" customHeight="1" x14ac:dyDescent="0.45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 ht="14.25" customHeight="1" x14ac:dyDescent="0.45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 ht="14.25" customHeight="1" x14ac:dyDescent="0.45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 ht="14.25" customHeight="1" x14ac:dyDescent="0.45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 ht="14.25" customHeight="1" x14ac:dyDescent="0.4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 ht="14.25" customHeight="1" x14ac:dyDescent="0.45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 ht="14.25" customHeight="1" x14ac:dyDescent="0.45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 ht="14.25" customHeight="1" x14ac:dyDescent="0.45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 ht="14.25" customHeight="1" x14ac:dyDescent="0.45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 ht="14.25" customHeight="1" x14ac:dyDescent="0.45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 ht="14.25" customHeight="1" x14ac:dyDescent="0.45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 ht="14.25" customHeight="1" x14ac:dyDescent="0.45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 ht="14.25" customHeight="1" x14ac:dyDescent="0.45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 ht="14.25" customHeight="1" x14ac:dyDescent="0.45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 ht="14.25" customHeight="1" x14ac:dyDescent="0.4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 ht="14.25" customHeight="1" x14ac:dyDescent="0.45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 ht="14.25" customHeight="1" x14ac:dyDescent="0.45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 ht="14.25" customHeight="1" x14ac:dyDescent="0.45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 ht="14.25" customHeight="1" x14ac:dyDescent="0.45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 ht="14.25" customHeight="1" x14ac:dyDescent="0.4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 ht="14.25" customHeight="1" x14ac:dyDescent="0.45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 ht="14.25" customHeight="1" x14ac:dyDescent="0.45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 ht="14.25" customHeight="1" x14ac:dyDescent="0.45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 ht="14.25" customHeight="1" x14ac:dyDescent="0.45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 ht="14.25" customHeight="1" x14ac:dyDescent="0.4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 ht="14.25" customHeight="1" x14ac:dyDescent="0.45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 ht="14.25" customHeight="1" x14ac:dyDescent="0.45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 ht="14.25" customHeight="1" x14ac:dyDescent="0.45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 ht="14.25" customHeight="1" x14ac:dyDescent="0.45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 ht="14.25" customHeight="1" x14ac:dyDescent="0.45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 ht="14.25" customHeight="1" x14ac:dyDescent="0.45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 ht="14.25" customHeight="1" x14ac:dyDescent="0.45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 ht="14.25" customHeight="1" x14ac:dyDescent="0.45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 ht="14.25" customHeight="1" x14ac:dyDescent="0.45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 ht="14.25" customHeight="1" x14ac:dyDescent="0.4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 ht="14.25" customHeight="1" x14ac:dyDescent="0.45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 ht="14.25" customHeight="1" x14ac:dyDescent="0.45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 ht="14.25" customHeight="1" x14ac:dyDescent="0.45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 ht="14.25" customHeight="1" x14ac:dyDescent="0.45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 ht="14.25" customHeight="1" x14ac:dyDescent="0.45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 ht="14.25" customHeight="1" x14ac:dyDescent="0.4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 ht="14.25" customHeight="1" x14ac:dyDescent="0.45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 ht="14.25" customHeight="1" x14ac:dyDescent="0.45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 ht="14.25" customHeight="1" x14ac:dyDescent="0.45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 ht="14.25" customHeight="1" x14ac:dyDescent="0.4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 ht="14.25" customHeight="1" x14ac:dyDescent="0.45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 ht="14.25" customHeight="1" x14ac:dyDescent="0.45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 ht="14.25" customHeight="1" x14ac:dyDescent="0.45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 ht="14.25" customHeight="1" x14ac:dyDescent="0.45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 ht="14.25" customHeight="1" x14ac:dyDescent="0.45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 ht="14.25" customHeight="1" x14ac:dyDescent="0.45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 ht="14.25" customHeight="1" x14ac:dyDescent="0.45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 ht="14.25" customHeight="1" x14ac:dyDescent="0.45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 ht="14.25" customHeight="1" x14ac:dyDescent="0.45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 ht="14.25" customHeight="1" x14ac:dyDescent="0.4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 ht="14.25" customHeight="1" x14ac:dyDescent="0.45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 ht="14.25" customHeight="1" x14ac:dyDescent="0.45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 ht="14.25" customHeight="1" x14ac:dyDescent="0.45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 ht="14.25" customHeight="1" x14ac:dyDescent="0.45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 ht="14.25" customHeight="1" x14ac:dyDescent="0.45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 ht="14.25" customHeight="1" x14ac:dyDescent="0.45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 ht="14.25" customHeight="1" x14ac:dyDescent="0.45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 ht="14.25" customHeight="1" x14ac:dyDescent="0.45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 ht="14.25" customHeight="1" x14ac:dyDescent="0.45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 ht="14.25" customHeight="1" x14ac:dyDescent="0.4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 ht="14.25" customHeight="1" x14ac:dyDescent="0.45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 ht="14.25" customHeight="1" x14ac:dyDescent="0.45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 ht="14.25" customHeight="1" x14ac:dyDescent="0.45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 ht="14.25" customHeight="1" x14ac:dyDescent="0.45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 ht="14.25" customHeight="1" x14ac:dyDescent="0.45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 ht="14.25" customHeight="1" x14ac:dyDescent="0.45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 ht="14.25" customHeight="1" x14ac:dyDescent="0.45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 ht="14.25" customHeight="1" x14ac:dyDescent="0.45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 ht="14.25" customHeight="1" x14ac:dyDescent="0.45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 ht="14.25" customHeight="1" x14ac:dyDescent="0.4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 ht="14.25" customHeight="1" x14ac:dyDescent="0.45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 ht="14.25" customHeight="1" x14ac:dyDescent="0.45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 ht="14.25" customHeight="1" x14ac:dyDescent="0.45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 ht="14.25" customHeight="1" x14ac:dyDescent="0.45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 ht="14.25" customHeight="1" x14ac:dyDescent="0.45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 ht="14.25" customHeight="1" x14ac:dyDescent="0.45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 ht="14.25" customHeight="1" x14ac:dyDescent="0.45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 ht="14.25" customHeight="1" x14ac:dyDescent="0.45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 ht="14.25" customHeight="1" x14ac:dyDescent="0.45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 ht="14.25" customHeight="1" x14ac:dyDescent="0.4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 ht="14.25" customHeight="1" x14ac:dyDescent="0.45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 ht="14.25" customHeight="1" x14ac:dyDescent="0.45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 ht="14.25" customHeight="1" x14ac:dyDescent="0.45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 ht="14.25" customHeight="1" x14ac:dyDescent="0.45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 ht="14.25" customHeight="1" x14ac:dyDescent="0.45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 ht="14.25" customHeight="1" x14ac:dyDescent="0.45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 ht="14.25" customHeight="1" x14ac:dyDescent="0.45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 ht="14.25" customHeight="1" x14ac:dyDescent="0.45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 ht="14.25" customHeight="1" x14ac:dyDescent="0.45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 ht="14.25" customHeight="1" x14ac:dyDescent="0.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 ht="14.25" customHeight="1" x14ac:dyDescent="0.45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 ht="14.25" customHeight="1" x14ac:dyDescent="0.45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 ht="14.25" customHeight="1" x14ac:dyDescent="0.45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 ht="14.25" customHeight="1" x14ac:dyDescent="0.45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 ht="14.25" customHeight="1" x14ac:dyDescent="0.45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 ht="14.25" customHeight="1" x14ac:dyDescent="0.45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 ht="14.25" customHeight="1" x14ac:dyDescent="0.45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 ht="14.25" customHeight="1" x14ac:dyDescent="0.45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 ht="14.25" customHeight="1" x14ac:dyDescent="0.45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 ht="14.25" customHeight="1" x14ac:dyDescent="0.4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 ht="14.25" customHeight="1" x14ac:dyDescent="0.45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 ht="14.25" customHeight="1" x14ac:dyDescent="0.45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 ht="14.25" customHeight="1" x14ac:dyDescent="0.45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 ht="14.25" customHeight="1" x14ac:dyDescent="0.45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 ht="14.25" customHeight="1" x14ac:dyDescent="0.45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 ht="14.25" customHeight="1" x14ac:dyDescent="0.45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 ht="14.25" customHeight="1" x14ac:dyDescent="0.45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 ht="14.25" customHeight="1" x14ac:dyDescent="0.45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 ht="14.25" customHeight="1" x14ac:dyDescent="0.45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 ht="14.25" customHeight="1" x14ac:dyDescent="0.4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 ht="14.25" customHeight="1" x14ac:dyDescent="0.45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 ht="14.25" customHeight="1" x14ac:dyDescent="0.45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 ht="14.25" customHeight="1" x14ac:dyDescent="0.45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 ht="14.25" customHeight="1" x14ac:dyDescent="0.45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 ht="14.25" customHeight="1" x14ac:dyDescent="0.45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 ht="14.25" customHeight="1" x14ac:dyDescent="0.45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 ht="14.25" customHeight="1" x14ac:dyDescent="0.45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 ht="14.25" customHeight="1" x14ac:dyDescent="0.45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</sheetData>
  <mergeCells count="67">
    <mergeCell ref="B16:F16"/>
    <mergeCell ref="B17:I17"/>
    <mergeCell ref="B18:F18"/>
    <mergeCell ref="H18:I18"/>
    <mergeCell ref="H19:I19"/>
    <mergeCell ref="H16:I16"/>
    <mergeCell ref="B19:F19"/>
    <mergeCell ref="H20:I20"/>
    <mergeCell ref="A21:A25"/>
    <mergeCell ref="H23:I23"/>
    <mergeCell ref="B24:F25"/>
    <mergeCell ref="G24:G25"/>
    <mergeCell ref="H24:I24"/>
    <mergeCell ref="H25:I25"/>
    <mergeCell ref="B21:F23"/>
    <mergeCell ref="H21:I21"/>
    <mergeCell ref="H22:I22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B27:F27"/>
    <mergeCell ref="B28:F28"/>
    <mergeCell ref="H28:I28"/>
    <mergeCell ref="B29:F29"/>
    <mergeCell ref="H29:I29"/>
    <mergeCell ref="B30:I30"/>
    <mergeCell ref="H31:I31"/>
    <mergeCell ref="A34:A38"/>
    <mergeCell ref="H34:I34"/>
    <mergeCell ref="H35:I35"/>
    <mergeCell ref="G37:G38"/>
    <mergeCell ref="B42:F42"/>
    <mergeCell ref="H38:I38"/>
    <mergeCell ref="B39:I39"/>
    <mergeCell ref="B40:F40"/>
    <mergeCell ref="H40:I40"/>
    <mergeCell ref="B41:F41"/>
    <mergeCell ref="H41:I41"/>
    <mergeCell ref="H42:I42"/>
    <mergeCell ref="B43:I43"/>
    <mergeCell ref="B44:F44"/>
    <mergeCell ref="H44:I44"/>
    <mergeCell ref="B45:F45"/>
    <mergeCell ref="H45:I45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13:I13"/>
    <mergeCell ref="B14:F14"/>
    <mergeCell ref="H14:I14"/>
    <mergeCell ref="B15:F15"/>
    <mergeCell ref="H15:I15"/>
  </mergeCells>
  <pageMargins left="0.7" right="0.7" top="0.75" bottom="0.75" header="0" footer="0"/>
  <pageSetup scale="3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 x14ac:dyDescent="0.45">
      <c r="A1" s="223"/>
      <c r="B1" s="193"/>
      <c r="C1" s="224"/>
      <c r="D1" s="223" t="s">
        <v>0</v>
      </c>
      <c r="E1" s="193"/>
      <c r="F1" s="193"/>
      <c r="G1" s="193"/>
      <c r="H1" s="193"/>
      <c r="I1" s="193"/>
      <c r="J1" s="193"/>
      <c r="K1" s="193"/>
      <c r="L1" s="224"/>
      <c r="M1" s="235" t="s">
        <v>1</v>
      </c>
      <c r="N1" s="189"/>
      <c r="O1" s="261" t="s">
        <v>298</v>
      </c>
      <c r="P1" s="212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 x14ac:dyDescent="0.45">
      <c r="A2" s="266"/>
      <c r="B2" s="203"/>
      <c r="C2" s="232"/>
      <c r="D2" s="267"/>
      <c r="E2" s="195"/>
      <c r="F2" s="195"/>
      <c r="G2" s="195"/>
      <c r="H2" s="195"/>
      <c r="I2" s="195"/>
      <c r="J2" s="195"/>
      <c r="K2" s="195"/>
      <c r="L2" s="252"/>
      <c r="M2" s="268" t="s">
        <v>3</v>
      </c>
      <c r="N2" s="252"/>
      <c r="O2" s="269">
        <v>1</v>
      </c>
      <c r="P2" s="215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 x14ac:dyDescent="0.45">
      <c r="A3" s="266"/>
      <c r="B3" s="203"/>
      <c r="C3" s="232"/>
      <c r="D3" s="270" t="s">
        <v>299</v>
      </c>
      <c r="E3" s="193"/>
      <c r="F3" s="193"/>
      <c r="G3" s="193"/>
      <c r="H3" s="193"/>
      <c r="I3" s="193"/>
      <c r="J3" s="193"/>
      <c r="K3" s="193"/>
      <c r="L3" s="224"/>
      <c r="M3" s="268" t="s">
        <v>5</v>
      </c>
      <c r="N3" s="252"/>
      <c r="O3" s="235" t="s">
        <v>6</v>
      </c>
      <c r="P3" s="187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 x14ac:dyDescent="0.45">
      <c r="A4" s="266"/>
      <c r="B4" s="203"/>
      <c r="C4" s="232"/>
      <c r="D4" s="266"/>
      <c r="E4" s="203"/>
      <c r="F4" s="203"/>
      <c r="G4" s="203"/>
      <c r="H4" s="203"/>
      <c r="I4" s="203"/>
      <c r="J4" s="203"/>
      <c r="K4" s="203"/>
      <c r="L4" s="232"/>
      <c r="M4" s="223" t="s">
        <v>7</v>
      </c>
      <c r="N4" s="224"/>
      <c r="O4" s="242" t="s">
        <v>8</v>
      </c>
      <c r="P4" s="187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 x14ac:dyDescent="0.45">
      <c r="A5" s="267"/>
      <c r="B5" s="195"/>
      <c r="C5" s="252"/>
      <c r="D5" s="267"/>
      <c r="E5" s="195"/>
      <c r="F5" s="195"/>
      <c r="G5" s="195"/>
      <c r="H5" s="195"/>
      <c r="I5" s="195"/>
      <c r="J5" s="195"/>
      <c r="K5" s="195"/>
      <c r="L5" s="252"/>
      <c r="M5" s="267"/>
      <c r="N5" s="252"/>
      <c r="O5" s="243" t="s">
        <v>9</v>
      </c>
      <c r="P5" s="187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 x14ac:dyDescent="0.45">
      <c r="A6" s="92"/>
      <c r="B6" s="92"/>
      <c r="C6" s="92"/>
      <c r="D6" s="6"/>
      <c r="E6" s="6"/>
      <c r="F6" s="6"/>
      <c r="G6" s="6"/>
      <c r="H6" s="6"/>
      <c r="I6" s="6"/>
      <c r="J6" s="6"/>
      <c r="K6" s="6"/>
      <c r="L6" s="6"/>
      <c r="M6" s="41"/>
      <c r="N6" s="41"/>
      <c r="O6" s="93"/>
      <c r="P6" s="93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21" t="s">
        <v>10</v>
      </c>
      <c r="B7" s="186"/>
      <c r="C7" s="186"/>
      <c r="D7" s="186"/>
      <c r="E7" s="189"/>
      <c r="F7" s="191" t="str">
        <f>'LISTA CHEQUEO'!F7</f>
        <v>LIMPIADOR ILUMINADOR ACIDO KOJICO</v>
      </c>
      <c r="G7" s="186"/>
      <c r="H7" s="186"/>
      <c r="I7" s="186"/>
      <c r="J7" s="186"/>
      <c r="K7" s="186"/>
      <c r="L7" s="186"/>
      <c r="M7" s="186"/>
      <c r="N7" s="186"/>
      <c r="O7" s="186"/>
      <c r="P7" s="187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 x14ac:dyDescent="0.45">
      <c r="A8" s="403" t="s">
        <v>55</v>
      </c>
      <c r="B8" s="193"/>
      <c r="C8" s="193"/>
      <c r="D8" s="193"/>
      <c r="E8" s="224"/>
      <c r="F8" s="376" t="str">
        <f>'LISTA CHEQUEO'!F8</f>
        <v>252601</v>
      </c>
      <c r="G8" s="224"/>
      <c r="H8" s="223" t="s">
        <v>232</v>
      </c>
      <c r="I8" s="224"/>
      <c r="J8" s="320" t="str">
        <f>'LISTA CHEQUEO'!M8</f>
        <v>OP-SS-128</v>
      </c>
      <c r="K8" s="193"/>
      <c r="L8" s="224"/>
      <c r="M8" s="270" t="s">
        <v>16</v>
      </c>
      <c r="N8" s="224"/>
      <c r="O8" s="378" t="str">
        <f>'LISTA CHEQUEO'!F9</f>
        <v>100 mL</v>
      </c>
      <c r="P8" s="215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 x14ac:dyDescent="0.45">
      <c r="A9" s="299" t="s">
        <v>236</v>
      </c>
      <c r="B9" s="186"/>
      <c r="C9" s="186"/>
      <c r="D9" s="186"/>
      <c r="E9" s="189"/>
      <c r="F9" s="380"/>
      <c r="G9" s="189"/>
      <c r="H9" s="236" t="s">
        <v>234</v>
      </c>
      <c r="I9" s="186"/>
      <c r="J9" s="344"/>
      <c r="K9" s="186"/>
      <c r="L9" s="186"/>
      <c r="M9" s="236" t="s">
        <v>235</v>
      </c>
      <c r="N9" s="186"/>
      <c r="O9" s="236"/>
      <c r="P9" s="187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 x14ac:dyDescent="0.45">
      <c r="A10" s="299" t="s">
        <v>300</v>
      </c>
      <c r="B10" s="186"/>
      <c r="C10" s="186"/>
      <c r="D10" s="186"/>
      <c r="E10" s="189"/>
      <c r="F10" s="380"/>
      <c r="G10" s="189"/>
      <c r="H10" s="236" t="s">
        <v>301</v>
      </c>
      <c r="I10" s="189"/>
      <c r="J10" s="235"/>
      <c r="K10" s="186"/>
      <c r="L10" s="189"/>
      <c r="M10" s="236" t="s">
        <v>164</v>
      </c>
      <c r="N10" s="189"/>
      <c r="O10" s="236"/>
      <c r="P10" s="187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 x14ac:dyDescent="0.45">
      <c r="A11" s="291" t="s">
        <v>165</v>
      </c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9"/>
      <c r="N11" s="256" t="s">
        <v>166</v>
      </c>
      <c r="O11" s="189"/>
      <c r="P11" s="53" t="s">
        <v>167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 x14ac:dyDescent="0.45">
      <c r="A12" s="214" t="s">
        <v>168</v>
      </c>
      <c r="B12" s="193"/>
      <c r="C12" s="193"/>
      <c r="D12" s="193"/>
      <c r="E12" s="193"/>
      <c r="F12" s="193"/>
      <c r="G12" s="193"/>
      <c r="H12" s="193"/>
      <c r="I12" s="193"/>
      <c r="J12" s="193"/>
      <c r="K12" s="193"/>
      <c r="L12" s="193"/>
      <c r="M12" s="224"/>
      <c r="N12" s="395"/>
      <c r="O12" s="224"/>
      <c r="P12" s="94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 x14ac:dyDescent="0.45">
      <c r="A13" s="346" t="s">
        <v>302</v>
      </c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7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 x14ac:dyDescent="0.45">
      <c r="A14" s="289" t="s">
        <v>303</v>
      </c>
      <c r="B14" s="186"/>
      <c r="C14" s="189"/>
      <c r="D14" s="289" t="s">
        <v>304</v>
      </c>
      <c r="E14" s="186"/>
      <c r="F14" s="189"/>
      <c r="G14" s="289" t="s">
        <v>305</v>
      </c>
      <c r="H14" s="189"/>
      <c r="I14" s="289" t="s">
        <v>306</v>
      </c>
      <c r="J14" s="186"/>
      <c r="K14" s="186"/>
      <c r="L14" s="189"/>
      <c r="M14" s="289" t="s">
        <v>307</v>
      </c>
      <c r="N14" s="189"/>
      <c r="O14" s="289" t="s">
        <v>308</v>
      </c>
      <c r="P14" s="189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 x14ac:dyDescent="0.45">
      <c r="A15" s="256" t="s">
        <v>309</v>
      </c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398"/>
      <c r="Q15" s="95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 x14ac:dyDescent="0.45">
      <c r="A16" s="284" t="s">
        <v>310</v>
      </c>
      <c r="B16" s="195"/>
      <c r="C16" s="252"/>
      <c r="D16" s="236" t="s">
        <v>311</v>
      </c>
      <c r="E16" s="186"/>
      <c r="F16" s="186"/>
      <c r="G16" s="186"/>
      <c r="H16" s="186"/>
      <c r="I16" s="186"/>
      <c r="J16" s="186"/>
      <c r="K16" s="186"/>
      <c r="L16" s="189"/>
      <c r="M16" s="352" t="s">
        <v>86</v>
      </c>
      <c r="N16" s="252"/>
      <c r="O16" s="284" t="s">
        <v>87</v>
      </c>
      <c r="P16" s="321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 x14ac:dyDescent="0.45">
      <c r="A17" s="395" t="s">
        <v>312</v>
      </c>
      <c r="B17" s="193"/>
      <c r="C17" s="224"/>
      <c r="D17" s="236"/>
      <c r="E17" s="186"/>
      <c r="F17" s="186"/>
      <c r="G17" s="186"/>
      <c r="H17" s="186"/>
      <c r="I17" s="186"/>
      <c r="J17" s="186"/>
      <c r="K17" s="186"/>
      <c r="L17" s="189"/>
      <c r="M17" s="396"/>
      <c r="N17" s="224"/>
      <c r="O17" s="399"/>
      <c r="P17" s="187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 x14ac:dyDescent="0.45">
      <c r="A18" s="395" t="s">
        <v>313</v>
      </c>
      <c r="B18" s="193"/>
      <c r="C18" s="224"/>
      <c r="D18" s="236"/>
      <c r="E18" s="186"/>
      <c r="F18" s="186"/>
      <c r="G18" s="186"/>
      <c r="H18" s="186"/>
      <c r="I18" s="186"/>
      <c r="J18" s="186"/>
      <c r="K18" s="186"/>
      <c r="L18" s="189"/>
      <c r="M18" s="397"/>
      <c r="N18" s="224"/>
      <c r="O18" s="396"/>
      <c r="P18" s="215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 x14ac:dyDescent="0.45">
      <c r="A19" s="256" t="s">
        <v>314</v>
      </c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7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 x14ac:dyDescent="0.45">
      <c r="A20" s="256" t="s">
        <v>315</v>
      </c>
      <c r="B20" s="189"/>
      <c r="C20" s="256" t="s">
        <v>67</v>
      </c>
      <c r="D20" s="186"/>
      <c r="E20" s="189"/>
      <c r="F20" s="256" t="s">
        <v>300</v>
      </c>
      <c r="G20" s="189"/>
      <c r="H20" s="256" t="s">
        <v>301</v>
      </c>
      <c r="I20" s="189"/>
      <c r="J20" s="256" t="s">
        <v>316</v>
      </c>
      <c r="K20" s="186"/>
      <c r="L20" s="189"/>
      <c r="M20" s="256" t="s">
        <v>317</v>
      </c>
      <c r="N20" s="189"/>
      <c r="O20" s="256" t="s">
        <v>318</v>
      </c>
      <c r="P20" s="187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 x14ac:dyDescent="0.45">
      <c r="A21" s="236" t="s">
        <v>319</v>
      </c>
      <c r="B21" s="189"/>
      <c r="C21" s="236"/>
      <c r="D21" s="186"/>
      <c r="E21" s="189"/>
      <c r="F21" s="394" t="s">
        <v>320</v>
      </c>
      <c r="G21" s="189"/>
      <c r="H21" s="394" t="s">
        <v>320</v>
      </c>
      <c r="I21" s="189"/>
      <c r="J21" s="236"/>
      <c r="K21" s="186"/>
      <c r="L21" s="189"/>
      <c r="M21" s="236"/>
      <c r="N21" s="189"/>
      <c r="O21" s="236"/>
      <c r="P21" s="187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 x14ac:dyDescent="0.45">
      <c r="A22" s="236" t="s">
        <v>321</v>
      </c>
      <c r="B22" s="189"/>
      <c r="C22" s="236"/>
      <c r="D22" s="186"/>
      <c r="E22" s="189"/>
      <c r="F22" s="394" t="s">
        <v>320</v>
      </c>
      <c r="G22" s="189"/>
      <c r="H22" s="394" t="s">
        <v>320</v>
      </c>
      <c r="I22" s="189"/>
      <c r="J22" s="236"/>
      <c r="K22" s="186"/>
      <c r="L22" s="189"/>
      <c r="M22" s="236"/>
      <c r="N22" s="189"/>
      <c r="O22" s="236"/>
      <c r="P22" s="187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 x14ac:dyDescent="0.45">
      <c r="A23" s="236" t="s">
        <v>322</v>
      </c>
      <c r="B23" s="189"/>
      <c r="C23" s="236"/>
      <c r="D23" s="186"/>
      <c r="E23" s="189"/>
      <c r="F23" s="394" t="s">
        <v>320</v>
      </c>
      <c r="G23" s="189"/>
      <c r="H23" s="394" t="s">
        <v>320</v>
      </c>
      <c r="I23" s="189"/>
      <c r="J23" s="236"/>
      <c r="K23" s="186"/>
      <c r="L23" s="189"/>
      <c r="M23" s="236"/>
      <c r="N23" s="189"/>
      <c r="O23" s="236"/>
      <c r="P23" s="187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 x14ac:dyDescent="0.45">
      <c r="A24" s="236" t="s">
        <v>323</v>
      </c>
      <c r="B24" s="189"/>
      <c r="C24" s="236"/>
      <c r="D24" s="186"/>
      <c r="E24" s="189"/>
      <c r="F24" s="394" t="s">
        <v>320</v>
      </c>
      <c r="G24" s="189"/>
      <c r="H24" s="394" t="s">
        <v>320</v>
      </c>
      <c r="I24" s="189"/>
      <c r="J24" s="236"/>
      <c r="K24" s="186"/>
      <c r="L24" s="189"/>
      <c r="M24" s="236"/>
      <c r="N24" s="189"/>
      <c r="O24" s="236"/>
      <c r="P24" s="187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 x14ac:dyDescent="0.45">
      <c r="A25" s="236" t="s">
        <v>324</v>
      </c>
      <c r="B25" s="189"/>
      <c r="C25" s="236"/>
      <c r="D25" s="186"/>
      <c r="E25" s="189"/>
      <c r="F25" s="394" t="s">
        <v>320</v>
      </c>
      <c r="G25" s="189"/>
      <c r="H25" s="394" t="s">
        <v>320</v>
      </c>
      <c r="I25" s="189"/>
      <c r="J25" s="236"/>
      <c r="K25" s="186"/>
      <c r="L25" s="189"/>
      <c r="M25" s="236"/>
      <c r="N25" s="189"/>
      <c r="O25" s="236"/>
      <c r="P25" s="187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 x14ac:dyDescent="0.45">
      <c r="A26" s="256" t="s">
        <v>325</v>
      </c>
      <c r="B26" s="189"/>
      <c r="C26" s="257"/>
      <c r="D26" s="186"/>
      <c r="E26" s="189"/>
      <c r="F26" s="353" t="s">
        <v>254</v>
      </c>
      <c r="G26" s="189"/>
      <c r="H26" s="236"/>
      <c r="I26" s="189"/>
      <c r="J26" s="256" t="s">
        <v>326</v>
      </c>
      <c r="K26" s="186"/>
      <c r="L26" s="189"/>
      <c r="M26" s="250"/>
      <c r="N26" s="189"/>
      <c r="O26" s="289" t="s">
        <v>254</v>
      </c>
      <c r="P26" s="187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 x14ac:dyDescent="0.45">
      <c r="A27" s="270" t="s">
        <v>327</v>
      </c>
      <c r="B27" s="193"/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215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 x14ac:dyDescent="0.45">
      <c r="A28" s="236" t="s">
        <v>328</v>
      </c>
      <c r="B28" s="186"/>
      <c r="C28" s="186"/>
      <c r="D28" s="186"/>
      <c r="E28" s="186"/>
      <c r="F28" s="186"/>
      <c r="G28" s="189"/>
      <c r="H28" s="236"/>
      <c r="I28" s="186"/>
      <c r="J28" s="186"/>
      <c r="K28" s="186"/>
      <c r="L28" s="186"/>
      <c r="M28" s="186"/>
      <c r="N28" s="186"/>
      <c r="O28" s="186"/>
      <c r="P28" s="187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 x14ac:dyDescent="0.45">
      <c r="A29" s="236" t="s">
        <v>329</v>
      </c>
      <c r="B29" s="186"/>
      <c r="C29" s="186"/>
      <c r="D29" s="186"/>
      <c r="E29" s="186"/>
      <c r="F29" s="186"/>
      <c r="G29" s="189"/>
      <c r="H29" s="236"/>
      <c r="I29" s="186"/>
      <c r="J29" s="186"/>
      <c r="K29" s="186"/>
      <c r="L29" s="186"/>
      <c r="M29" s="186"/>
      <c r="N29" s="186"/>
      <c r="O29" s="186"/>
      <c r="P29" s="187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 x14ac:dyDescent="0.45">
      <c r="A30" s="236" t="s">
        <v>330</v>
      </c>
      <c r="B30" s="186"/>
      <c r="C30" s="186"/>
      <c r="D30" s="186"/>
      <c r="E30" s="186"/>
      <c r="F30" s="186"/>
      <c r="G30" s="189"/>
      <c r="H30" s="236"/>
      <c r="I30" s="186"/>
      <c r="J30" s="186"/>
      <c r="K30" s="186"/>
      <c r="L30" s="186"/>
      <c r="M30" s="186"/>
      <c r="N30" s="186"/>
      <c r="O30" s="186"/>
      <c r="P30" s="187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 x14ac:dyDescent="0.45">
      <c r="A31" s="400" t="s">
        <v>235</v>
      </c>
      <c r="B31" s="195"/>
      <c r="C31" s="195"/>
      <c r="D31" s="195"/>
      <c r="E31" s="195"/>
      <c r="F31" s="195"/>
      <c r="G31" s="252"/>
      <c r="H31" s="236"/>
      <c r="I31" s="186"/>
      <c r="J31" s="186"/>
      <c r="K31" s="186"/>
      <c r="L31" s="186"/>
      <c r="M31" s="186"/>
      <c r="N31" s="186"/>
      <c r="O31" s="186"/>
      <c r="P31" s="187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 x14ac:dyDescent="0.45">
      <c r="A32" s="299" t="s">
        <v>300</v>
      </c>
      <c r="B32" s="186"/>
      <c r="C32" s="186"/>
      <c r="D32" s="186"/>
      <c r="E32" s="186"/>
      <c r="F32" s="186"/>
      <c r="G32" s="189"/>
      <c r="H32" s="236"/>
      <c r="I32" s="186"/>
      <c r="J32" s="186"/>
      <c r="K32" s="186"/>
      <c r="L32" s="186"/>
      <c r="M32" s="186"/>
      <c r="N32" s="186"/>
      <c r="O32" s="186"/>
      <c r="P32" s="187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 x14ac:dyDescent="0.45">
      <c r="A33" s="299" t="s">
        <v>301</v>
      </c>
      <c r="B33" s="186"/>
      <c r="C33" s="186"/>
      <c r="D33" s="186"/>
      <c r="E33" s="186"/>
      <c r="F33" s="186"/>
      <c r="G33" s="189"/>
      <c r="H33" s="236"/>
      <c r="I33" s="186"/>
      <c r="J33" s="186"/>
      <c r="K33" s="186"/>
      <c r="L33" s="186"/>
      <c r="M33" s="186"/>
      <c r="N33" s="186"/>
      <c r="O33" s="186"/>
      <c r="P33" s="187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 x14ac:dyDescent="0.45">
      <c r="A34" s="299" t="s">
        <v>252</v>
      </c>
      <c r="B34" s="186"/>
      <c r="C34" s="186"/>
      <c r="D34" s="186"/>
      <c r="E34" s="186"/>
      <c r="F34" s="186"/>
      <c r="G34" s="189"/>
      <c r="H34" s="236"/>
      <c r="I34" s="186"/>
      <c r="J34" s="186"/>
      <c r="K34" s="186"/>
      <c r="L34" s="186"/>
      <c r="M34" s="186"/>
      <c r="N34" s="186"/>
      <c r="O34" s="186"/>
      <c r="P34" s="187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 x14ac:dyDescent="0.45">
      <c r="A35" s="299" t="s">
        <v>253</v>
      </c>
      <c r="B35" s="186"/>
      <c r="C35" s="186"/>
      <c r="D35" s="186"/>
      <c r="E35" s="186"/>
      <c r="F35" s="186"/>
      <c r="G35" s="186"/>
      <c r="H35" s="236"/>
      <c r="I35" s="186"/>
      <c r="J35" s="186"/>
      <c r="K35" s="186"/>
      <c r="L35" s="189"/>
      <c r="M35" s="236" t="s">
        <v>67</v>
      </c>
      <c r="N35" s="189"/>
      <c r="O35" s="236"/>
      <c r="P35" s="187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 x14ac:dyDescent="0.45">
      <c r="A36" s="402" t="s">
        <v>45</v>
      </c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215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 x14ac:dyDescent="0.45">
      <c r="A37" s="244"/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38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 x14ac:dyDescent="0.45">
      <c r="A38" s="276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321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 x14ac:dyDescent="0.45">
      <c r="A39" s="291" t="s">
        <v>331</v>
      </c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9"/>
      <c r="M39" s="16" t="s">
        <v>254</v>
      </c>
      <c r="N39" s="250"/>
      <c r="O39" s="186"/>
      <c r="P39" s="187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 x14ac:dyDescent="0.45">
      <c r="A40" s="401" t="s">
        <v>332</v>
      </c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96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3"/>
      <c r="N238" s="14"/>
      <c r="O238" s="14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3"/>
      <c r="N239" s="14"/>
      <c r="O239" s="14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3"/>
      <c r="N240" s="14"/>
      <c r="O240" s="14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D14:F14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A15:P15"/>
    <mergeCell ref="A16:C16"/>
    <mergeCell ref="D16:L16"/>
    <mergeCell ref="M16:N16"/>
    <mergeCell ref="O16:P16"/>
    <mergeCell ref="O17:P17"/>
    <mergeCell ref="A32:G32"/>
    <mergeCell ref="H32:P32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2" max="2" width="15.73046875" customWidth="1"/>
    <col min="3" max="3" width="30.53125" customWidth="1"/>
    <col min="4" max="10" width="15.73046875" customWidth="1"/>
    <col min="11" max="11" width="29.53125" customWidth="1"/>
    <col min="12" max="12" width="16.3984375" customWidth="1"/>
    <col min="13" max="13" width="12.73046875" customWidth="1"/>
    <col min="14" max="14" width="11.3984375" customWidth="1"/>
  </cols>
  <sheetData>
    <row r="1" spans="1:26" ht="18.75" customHeight="1" x14ac:dyDescent="0.5">
      <c r="A1" s="88"/>
      <c r="B1" s="387"/>
      <c r="C1" s="224"/>
      <c r="D1" s="387" t="s">
        <v>0</v>
      </c>
      <c r="E1" s="193"/>
      <c r="F1" s="193"/>
      <c r="G1" s="193"/>
      <c r="H1" s="193"/>
      <c r="I1" s="193"/>
      <c r="J1" s="224"/>
      <c r="K1" s="84" t="s">
        <v>1</v>
      </c>
      <c r="L1" s="388" t="s">
        <v>333</v>
      </c>
      <c r="M1" s="187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spans="1:26" ht="19.5" customHeight="1" x14ac:dyDescent="0.5">
      <c r="A2" s="88"/>
      <c r="B2" s="266"/>
      <c r="C2" s="232"/>
      <c r="D2" s="266"/>
      <c r="E2" s="203"/>
      <c r="F2" s="203"/>
      <c r="G2" s="203"/>
      <c r="H2" s="203"/>
      <c r="I2" s="203"/>
      <c r="J2" s="232"/>
      <c r="K2" s="84" t="s">
        <v>3</v>
      </c>
      <c r="L2" s="390">
        <v>1</v>
      </c>
      <c r="M2" s="187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18" customHeight="1" x14ac:dyDescent="0.5">
      <c r="A3" s="88"/>
      <c r="B3" s="266"/>
      <c r="C3" s="232"/>
      <c r="D3" s="267"/>
      <c r="E3" s="195"/>
      <c r="F3" s="195"/>
      <c r="G3" s="195"/>
      <c r="H3" s="195"/>
      <c r="I3" s="195"/>
      <c r="J3" s="252"/>
      <c r="K3" s="84" t="s">
        <v>5</v>
      </c>
      <c r="L3" s="388" t="s">
        <v>6</v>
      </c>
      <c r="M3" s="187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1:26" ht="24.75" customHeight="1" x14ac:dyDescent="0.5">
      <c r="A4" s="88"/>
      <c r="B4" s="266"/>
      <c r="C4" s="232"/>
      <c r="D4" s="387" t="s">
        <v>334</v>
      </c>
      <c r="E4" s="193"/>
      <c r="F4" s="193"/>
      <c r="G4" s="193"/>
      <c r="H4" s="193"/>
      <c r="I4" s="193"/>
      <c r="J4" s="224"/>
      <c r="K4" s="391" t="s">
        <v>7</v>
      </c>
      <c r="L4" s="388" t="s">
        <v>200</v>
      </c>
      <c r="M4" s="187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6" ht="24.75" customHeight="1" x14ac:dyDescent="0.5">
      <c r="A5" s="88"/>
      <c r="B5" s="267"/>
      <c r="C5" s="252"/>
      <c r="D5" s="267"/>
      <c r="E5" s="195"/>
      <c r="F5" s="195"/>
      <c r="G5" s="195"/>
      <c r="H5" s="195"/>
      <c r="I5" s="195"/>
      <c r="J5" s="252"/>
      <c r="K5" s="338"/>
      <c r="L5" s="392" t="s">
        <v>201</v>
      </c>
      <c r="M5" s="187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6" ht="30.75" customHeight="1" x14ac:dyDescent="0.5">
      <c r="A6" s="88"/>
      <c r="B6" s="385" t="s">
        <v>335</v>
      </c>
      <c r="C6" s="189"/>
      <c r="D6" s="191" t="str">
        <f>'LISTA CHEQUEO'!F7</f>
        <v>LIMPIADOR ILUMINADOR ACIDO KOJICO</v>
      </c>
      <c r="E6" s="186"/>
      <c r="F6" s="186"/>
      <c r="G6" s="186"/>
      <c r="H6" s="186"/>
      <c r="I6" s="187"/>
      <c r="J6" s="385" t="s">
        <v>336</v>
      </c>
      <c r="K6" s="189"/>
      <c r="L6" s="414"/>
      <c r="M6" s="187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ht="38.25" customHeight="1" x14ac:dyDescent="0.5">
      <c r="A7" s="88"/>
      <c r="B7" s="385" t="s">
        <v>337</v>
      </c>
      <c r="C7" s="189"/>
      <c r="D7" s="415" t="str">
        <f>'LISTA CHEQUEO'!F8</f>
        <v>252601</v>
      </c>
      <c r="E7" s="189"/>
      <c r="F7" s="388" t="s">
        <v>338</v>
      </c>
      <c r="G7" s="189"/>
      <c r="H7" s="418" t="str">
        <f>'LISTA CHEQUEO'!M8</f>
        <v>OP-SS-128</v>
      </c>
      <c r="I7" s="189"/>
      <c r="J7" s="385" t="s">
        <v>209</v>
      </c>
      <c r="K7" s="189"/>
      <c r="L7" s="416"/>
      <c r="M7" s="187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ht="30" customHeight="1" x14ac:dyDescent="0.5">
      <c r="A8" s="88"/>
      <c r="B8" s="385" t="s">
        <v>24</v>
      </c>
      <c r="C8" s="189"/>
      <c r="D8" s="417" t="s">
        <v>25</v>
      </c>
      <c r="E8" s="186"/>
      <c r="F8" s="186"/>
      <c r="G8" s="186"/>
      <c r="H8" s="186"/>
      <c r="I8" s="189"/>
      <c r="J8" s="385" t="s">
        <v>339</v>
      </c>
      <c r="K8" s="189"/>
      <c r="L8" s="417"/>
      <c r="M8" s="187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spans="1:26" ht="24.75" customHeight="1" x14ac:dyDescent="0.5">
      <c r="A9" s="88"/>
      <c r="B9" s="412" t="s">
        <v>340</v>
      </c>
      <c r="C9" s="203"/>
      <c r="D9" s="203"/>
      <c r="E9" s="413"/>
      <c r="F9" s="195"/>
      <c r="G9" s="98"/>
      <c r="H9" s="98" t="s">
        <v>341</v>
      </c>
      <c r="I9" s="98"/>
      <c r="J9" s="98"/>
      <c r="K9" s="98"/>
      <c r="L9" s="98"/>
      <c r="M9" s="9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spans="1:26" ht="16.5" customHeight="1" x14ac:dyDescent="0.5">
      <c r="A10" s="88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spans="1:26" ht="36" customHeight="1" x14ac:dyDescent="0.5">
      <c r="A11" s="88"/>
      <c r="B11" s="385" t="s">
        <v>342</v>
      </c>
      <c r="C11" s="189"/>
      <c r="D11" s="385" t="s">
        <v>212</v>
      </c>
      <c r="E11" s="186"/>
      <c r="F11" s="189"/>
      <c r="G11" s="385" t="s">
        <v>343</v>
      </c>
      <c r="H11" s="189"/>
      <c r="I11" s="385" t="s">
        <v>213</v>
      </c>
      <c r="J11" s="189"/>
      <c r="K11" s="90" t="s">
        <v>344</v>
      </c>
      <c r="L11" s="385" t="s">
        <v>345</v>
      </c>
      <c r="M11" s="187"/>
      <c r="N11" s="99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ht="31.5" customHeight="1" x14ac:dyDescent="0.5">
      <c r="A12" s="88"/>
      <c r="B12" s="411" t="s">
        <v>346</v>
      </c>
      <c r="C12" s="100" t="s">
        <v>347</v>
      </c>
      <c r="D12" s="426"/>
      <c r="E12" s="195"/>
      <c r="F12" s="252"/>
      <c r="G12" s="423" t="s">
        <v>348</v>
      </c>
      <c r="H12" s="252"/>
      <c r="I12" s="427"/>
      <c r="J12" s="252"/>
      <c r="K12" s="102"/>
      <c r="L12" s="385"/>
      <c r="M12" s="187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ht="31.5" customHeight="1" x14ac:dyDescent="0.5">
      <c r="A13" s="88"/>
      <c r="B13" s="244"/>
      <c r="C13" s="84" t="s">
        <v>349</v>
      </c>
      <c r="D13" s="428"/>
      <c r="E13" s="186"/>
      <c r="F13" s="189"/>
      <c r="G13" s="420" t="s">
        <v>348</v>
      </c>
      <c r="H13" s="189"/>
      <c r="I13" s="385"/>
      <c r="J13" s="189"/>
      <c r="K13" s="90"/>
      <c r="L13" s="385"/>
      <c r="M13" s="187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48" customHeight="1" x14ac:dyDescent="0.5">
      <c r="A14" s="88"/>
      <c r="B14" s="276"/>
      <c r="C14" s="89" t="s">
        <v>350</v>
      </c>
      <c r="D14" s="417"/>
      <c r="E14" s="186"/>
      <c r="F14" s="189"/>
      <c r="G14" s="420" t="s">
        <v>348</v>
      </c>
      <c r="H14" s="189"/>
      <c r="I14" s="385"/>
      <c r="J14" s="189"/>
      <c r="K14" s="90"/>
      <c r="L14" s="385"/>
      <c r="M14" s="187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31.5" customHeight="1" x14ac:dyDescent="0.5">
      <c r="A15" s="88"/>
      <c r="B15" s="421" t="s">
        <v>351</v>
      </c>
      <c r="C15" s="101" t="s">
        <v>221</v>
      </c>
      <c r="D15" s="417"/>
      <c r="E15" s="186"/>
      <c r="F15" s="189"/>
      <c r="G15" s="420" t="s">
        <v>352</v>
      </c>
      <c r="H15" s="189"/>
      <c r="I15" s="385"/>
      <c r="J15" s="189"/>
      <c r="K15" s="90"/>
      <c r="L15" s="385"/>
      <c r="M15" s="187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31.5" customHeight="1" x14ac:dyDescent="0.5">
      <c r="A16" s="88"/>
      <c r="B16" s="422"/>
      <c r="C16" s="91" t="s">
        <v>219</v>
      </c>
      <c r="D16" s="417"/>
      <c r="E16" s="186"/>
      <c r="F16" s="189"/>
      <c r="G16" s="420" t="s">
        <v>352</v>
      </c>
      <c r="H16" s="189"/>
      <c r="I16" s="385"/>
      <c r="J16" s="189"/>
      <c r="K16" s="90"/>
      <c r="L16" s="385"/>
      <c r="M16" s="187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31.5" customHeight="1" x14ac:dyDescent="0.5">
      <c r="A17" s="88"/>
      <c r="B17" s="422"/>
      <c r="C17" s="103" t="s">
        <v>217</v>
      </c>
      <c r="D17" s="418" t="s">
        <v>353</v>
      </c>
      <c r="E17" s="186"/>
      <c r="F17" s="189"/>
      <c r="G17" s="420" t="s">
        <v>352</v>
      </c>
      <c r="H17" s="189"/>
      <c r="I17" s="385"/>
      <c r="J17" s="189"/>
      <c r="K17" s="90"/>
      <c r="L17" s="385"/>
      <c r="M17" s="187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31.5" customHeight="1" x14ac:dyDescent="0.5">
      <c r="A18" s="88"/>
      <c r="B18" s="421" t="s">
        <v>354</v>
      </c>
      <c r="C18" s="104" t="s">
        <v>355</v>
      </c>
      <c r="D18" s="423" t="s">
        <v>356</v>
      </c>
      <c r="E18" s="195"/>
      <c r="F18" s="252"/>
      <c r="G18" s="418" t="s">
        <v>357</v>
      </c>
      <c r="H18" s="189"/>
      <c r="I18" s="385"/>
      <c r="J18" s="189"/>
      <c r="K18" s="90"/>
      <c r="L18" s="385"/>
      <c r="M18" s="187"/>
      <c r="N18" s="105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ht="31.5" customHeight="1" x14ac:dyDescent="0.5">
      <c r="A19" s="88"/>
      <c r="B19" s="422"/>
      <c r="C19" s="104" t="s">
        <v>358</v>
      </c>
      <c r="D19" s="420" t="s">
        <v>359</v>
      </c>
      <c r="E19" s="186"/>
      <c r="F19" s="189"/>
      <c r="G19" s="418" t="s">
        <v>357</v>
      </c>
      <c r="H19" s="189"/>
      <c r="I19" s="385"/>
      <c r="J19" s="189"/>
      <c r="K19" s="90"/>
      <c r="L19" s="385"/>
      <c r="M19" s="187"/>
      <c r="N19" s="105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ht="31.5" customHeight="1" x14ac:dyDescent="0.5">
      <c r="A20" s="88"/>
      <c r="B20" s="422"/>
      <c r="C20" s="104" t="s">
        <v>360</v>
      </c>
      <c r="D20" s="420" t="s">
        <v>359</v>
      </c>
      <c r="E20" s="186"/>
      <c r="F20" s="189"/>
      <c r="G20" s="418" t="s">
        <v>357</v>
      </c>
      <c r="H20" s="189"/>
      <c r="I20" s="91"/>
      <c r="J20" s="106"/>
      <c r="K20" s="90"/>
      <c r="L20" s="385"/>
      <c r="M20" s="187"/>
      <c r="N20" s="105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ht="31.5" customHeight="1" x14ac:dyDescent="0.5">
      <c r="A21" s="88"/>
      <c r="B21" s="422"/>
      <c r="C21" s="107" t="s">
        <v>361</v>
      </c>
      <c r="D21" s="424" t="s">
        <v>359</v>
      </c>
      <c r="E21" s="193"/>
      <c r="F21" s="224"/>
      <c r="G21" s="425" t="s">
        <v>357</v>
      </c>
      <c r="H21" s="224"/>
      <c r="I21" s="389"/>
      <c r="J21" s="224"/>
      <c r="K21" s="108"/>
      <c r="L21" s="385"/>
      <c r="M21" s="187"/>
      <c r="N21" s="105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ht="30" customHeight="1" x14ac:dyDescent="0.5">
      <c r="A22" s="88"/>
      <c r="B22" s="419" t="s">
        <v>362</v>
      </c>
      <c r="C22" s="189"/>
      <c r="D22" s="414"/>
      <c r="E22" s="186"/>
      <c r="F22" s="189"/>
      <c r="G22" s="385" t="s">
        <v>363</v>
      </c>
      <c r="H22" s="189"/>
      <c r="I22" s="417"/>
      <c r="J22" s="186"/>
      <c r="K22" s="186"/>
      <c r="L22" s="186"/>
      <c r="M22" s="187"/>
      <c r="N22" s="105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ht="30" customHeight="1" x14ac:dyDescent="0.5">
      <c r="A23" s="88"/>
      <c r="B23" s="389" t="s">
        <v>176</v>
      </c>
      <c r="C23" s="224"/>
      <c r="D23" s="409"/>
      <c r="E23" s="193"/>
      <c r="F23" s="193"/>
      <c r="G23" s="193"/>
      <c r="H23" s="193"/>
      <c r="I23" s="193"/>
      <c r="J23" s="193"/>
      <c r="K23" s="193"/>
      <c r="L23" s="193"/>
      <c r="M23" s="215"/>
      <c r="N23" s="105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ht="19.5" customHeight="1" x14ac:dyDescent="0.5">
      <c r="A24" s="88"/>
      <c r="B24" s="266"/>
      <c r="C24" s="232"/>
      <c r="D24" s="266"/>
      <c r="E24" s="203"/>
      <c r="F24" s="203"/>
      <c r="G24" s="203"/>
      <c r="H24" s="203"/>
      <c r="I24" s="203"/>
      <c r="J24" s="203"/>
      <c r="K24" s="203"/>
      <c r="L24" s="203"/>
      <c r="M24" s="23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ht="30" customHeight="1" x14ac:dyDescent="0.5">
      <c r="A25" s="88"/>
      <c r="B25" s="267"/>
      <c r="C25" s="252"/>
      <c r="D25" s="267"/>
      <c r="E25" s="195"/>
      <c r="F25" s="195"/>
      <c r="G25" s="195"/>
      <c r="H25" s="195"/>
      <c r="I25" s="195"/>
      <c r="J25" s="195"/>
      <c r="K25" s="195"/>
      <c r="L25" s="195"/>
      <c r="M25" s="321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ht="30" customHeight="1" x14ac:dyDescent="0.5">
      <c r="A26" s="88"/>
      <c r="B26" s="385" t="s">
        <v>364</v>
      </c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7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ht="30" customHeight="1" x14ac:dyDescent="0.5">
      <c r="A27" s="88"/>
      <c r="B27" s="385" t="s">
        <v>365</v>
      </c>
      <c r="C27" s="189"/>
      <c r="D27" s="408"/>
      <c r="E27" s="186"/>
      <c r="F27" s="186"/>
      <c r="G27" s="189"/>
      <c r="H27" s="385" t="s">
        <v>366</v>
      </c>
      <c r="I27" s="189"/>
      <c r="J27" s="410"/>
      <c r="K27" s="186"/>
      <c r="L27" s="186"/>
      <c r="M27" s="187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ht="30" customHeight="1" x14ac:dyDescent="0.5">
      <c r="A28" s="88"/>
      <c r="B28" s="385" t="s">
        <v>179</v>
      </c>
      <c r="C28" s="189"/>
      <c r="D28" s="408"/>
      <c r="E28" s="186"/>
      <c r="F28" s="186"/>
      <c r="G28" s="189"/>
      <c r="H28" s="385" t="s">
        <v>179</v>
      </c>
      <c r="I28" s="189"/>
      <c r="J28" s="410"/>
      <c r="K28" s="186"/>
      <c r="L28" s="186"/>
      <c r="M28" s="187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ht="30" customHeight="1" x14ac:dyDescent="0.5">
      <c r="A29" s="88"/>
      <c r="B29" s="404" t="s">
        <v>180</v>
      </c>
      <c r="C29" s="207"/>
      <c r="D29" s="405"/>
      <c r="E29" s="206"/>
      <c r="F29" s="206"/>
      <c r="G29" s="207"/>
      <c r="H29" s="404" t="s">
        <v>180</v>
      </c>
      <c r="I29" s="207"/>
      <c r="J29" s="406"/>
      <c r="K29" s="206"/>
      <c r="L29" s="206"/>
      <c r="M29" s="209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ht="30" customHeight="1" x14ac:dyDescent="0.5">
      <c r="A30" s="88"/>
      <c r="B30" s="407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ht="30" customHeight="1" x14ac:dyDescent="0.5">
      <c r="A31" s="8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15.75" customHeight="1" x14ac:dyDescent="0.5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15.75" customHeight="1" x14ac:dyDescent="0.5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ht="15.75" customHeight="1" x14ac:dyDescent="0.5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ht="15.75" customHeight="1" x14ac:dyDescent="0.5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spans="1:26" ht="15.75" customHeight="1" x14ac:dyDescent="0.5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spans="1:26" ht="15.75" customHeight="1" x14ac:dyDescent="0.5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spans="1:26" ht="15.75" customHeight="1" x14ac:dyDescent="0.5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spans="1:26" ht="15.75" customHeight="1" x14ac:dyDescent="0.5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spans="1:26" ht="15.75" customHeight="1" x14ac:dyDescent="0.5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15.75" customHeight="1" x14ac:dyDescent="0.5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spans="1:26" ht="15.75" customHeight="1" x14ac:dyDescent="0.5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1:26" ht="15.75" customHeight="1" x14ac:dyDescent="0.5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spans="1:26" ht="15.75" customHeight="1" x14ac:dyDescent="0.5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15.75" customHeight="1" x14ac:dyDescent="0.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15.75" customHeight="1" x14ac:dyDescent="0.5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15.75" customHeight="1" x14ac:dyDescent="0.5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spans="1:26" ht="15.75" customHeight="1" x14ac:dyDescent="0.5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15.75" customHeight="1" x14ac:dyDescent="0.5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spans="1:26" ht="15.75" customHeight="1" x14ac:dyDescent="0.5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spans="1:26" ht="15.75" customHeight="1" x14ac:dyDescent="0.5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spans="1:26" ht="15.75" customHeight="1" x14ac:dyDescent="0.5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spans="1:26" ht="15.75" customHeight="1" x14ac:dyDescent="0.5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15.75" customHeight="1" x14ac:dyDescent="0.5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spans="1:26" ht="15.75" customHeight="1" x14ac:dyDescent="0.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spans="1:26" ht="15.75" customHeight="1" x14ac:dyDescent="0.5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spans="1:26" ht="15.75" customHeight="1" x14ac:dyDescent="0.5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spans="1:26" ht="15.75" customHeight="1" x14ac:dyDescent="0.5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spans="1:26" ht="15.75" customHeight="1" x14ac:dyDescent="0.5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spans="1:26" ht="15.75" customHeight="1" x14ac:dyDescent="0.5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spans="1:26" ht="15.75" customHeight="1" x14ac:dyDescent="0.5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15.75" customHeight="1" x14ac:dyDescent="0.5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15.75" customHeight="1" x14ac:dyDescent="0.5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15.75" customHeight="1" x14ac:dyDescent="0.5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spans="1:26" ht="15.75" customHeight="1" x14ac:dyDescent="0.5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spans="1:26" ht="15.75" customHeight="1" x14ac:dyDescent="0.5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spans="1:26" ht="15.75" customHeight="1" x14ac:dyDescent="0.5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spans="1:26" ht="15.75" customHeight="1" x14ac:dyDescent="0.5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spans="1:26" ht="15.75" customHeight="1" x14ac:dyDescent="0.5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spans="1:26" ht="15.75" customHeight="1" x14ac:dyDescent="0.5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spans="1:26" ht="15.75" customHeight="1" x14ac:dyDescent="0.5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spans="1:26" ht="15.75" customHeight="1" x14ac:dyDescent="0.5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spans="1:26" ht="15.75" customHeight="1" x14ac:dyDescent="0.5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spans="1:26" ht="15.75" customHeight="1" x14ac:dyDescent="0.5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ht="15.75" customHeight="1" x14ac:dyDescent="0.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spans="1:26" ht="15.75" customHeight="1" x14ac:dyDescent="0.5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spans="1:26" ht="15.75" customHeight="1" x14ac:dyDescent="0.5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ht="15.75" customHeight="1" x14ac:dyDescent="0.5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ht="15.75" customHeight="1" x14ac:dyDescent="0.5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spans="1:26" ht="15.75" customHeight="1" x14ac:dyDescent="0.5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ht="15.75" customHeight="1" x14ac:dyDescent="0.5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ht="15.75" customHeight="1" x14ac:dyDescent="0.5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ht="15.75" customHeight="1" x14ac:dyDescent="0.5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ht="15.75" customHeight="1" x14ac:dyDescent="0.5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ht="15.75" customHeight="1" x14ac:dyDescent="0.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ht="15.75" customHeight="1" x14ac:dyDescent="0.5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ht="15.75" customHeight="1" x14ac:dyDescent="0.5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15.75" customHeight="1" x14ac:dyDescent="0.5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ht="15.75" customHeight="1" x14ac:dyDescent="0.5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ht="15.75" customHeight="1" x14ac:dyDescent="0.5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ht="15.75" customHeight="1" x14ac:dyDescent="0.5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ht="15.75" customHeight="1" x14ac:dyDescent="0.5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ht="15.75" customHeight="1" x14ac:dyDescent="0.5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ht="15.75" customHeight="1" x14ac:dyDescent="0.5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ht="15.75" customHeight="1" x14ac:dyDescent="0.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ht="15.75" customHeight="1" x14ac:dyDescent="0.5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ht="15.75" customHeight="1" x14ac:dyDescent="0.5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ht="15.75" customHeight="1" x14ac:dyDescent="0.5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ht="15.75" customHeight="1" x14ac:dyDescent="0.5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ht="15.75" customHeight="1" x14ac:dyDescent="0.5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ht="15.75" customHeight="1" x14ac:dyDescent="0.5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ht="15.75" customHeight="1" x14ac:dyDescent="0.5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ht="15.75" customHeight="1" x14ac:dyDescent="0.5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ht="15.75" customHeight="1" x14ac:dyDescent="0.5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ht="15.75" customHeight="1" x14ac:dyDescent="0.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ht="15.75" customHeight="1" x14ac:dyDescent="0.5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ht="15.75" customHeight="1" x14ac:dyDescent="0.5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ht="15.75" customHeight="1" x14ac:dyDescent="0.5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ht="15.75" customHeight="1" x14ac:dyDescent="0.5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ht="15.75" customHeight="1" x14ac:dyDescent="0.5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ht="15.75" customHeight="1" x14ac:dyDescent="0.5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ht="15.75" customHeight="1" x14ac:dyDescent="0.5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26" ht="15.75" customHeight="1" x14ac:dyDescent="0.5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1:26" ht="15.75" customHeight="1" x14ac:dyDescent="0.5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1:26" ht="15.75" customHeight="1" x14ac:dyDescent="0.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1:26" ht="15.75" customHeight="1" x14ac:dyDescent="0.5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1:26" ht="15.75" customHeight="1" x14ac:dyDescent="0.5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1:26" ht="15.75" customHeight="1" x14ac:dyDescent="0.5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1:26" ht="15.75" customHeight="1" x14ac:dyDescent="0.5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1:26" ht="15.75" customHeight="1" x14ac:dyDescent="0.5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1:26" ht="15.75" customHeight="1" x14ac:dyDescent="0.5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1:26" ht="15.75" customHeight="1" x14ac:dyDescent="0.5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1:26" ht="15.75" customHeight="1" x14ac:dyDescent="0.5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1:26" ht="15.75" customHeight="1" x14ac:dyDescent="0.5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1:26" ht="15.75" customHeight="1" x14ac:dyDescent="0.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1:26" ht="15.75" customHeight="1" x14ac:dyDescent="0.5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1:26" ht="15.75" customHeight="1" x14ac:dyDescent="0.5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1:26" ht="15.75" customHeight="1" x14ac:dyDescent="0.5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1:26" ht="15.75" customHeight="1" x14ac:dyDescent="0.5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1:26" ht="15.75" customHeight="1" x14ac:dyDescent="0.5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1:26" ht="15.75" customHeight="1" x14ac:dyDescent="0.5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1:26" ht="15.75" customHeight="1" x14ac:dyDescent="0.5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1:26" ht="15.75" customHeight="1" x14ac:dyDescent="0.5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1:26" ht="15.75" customHeight="1" x14ac:dyDescent="0.5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1:26" ht="15.75" customHeight="1" x14ac:dyDescent="0.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1:26" ht="15.75" customHeight="1" x14ac:dyDescent="0.5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1:26" ht="15.75" customHeight="1" x14ac:dyDescent="0.5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1:26" ht="15.75" customHeight="1" x14ac:dyDescent="0.5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1:26" ht="15.75" customHeight="1" x14ac:dyDescent="0.5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1:26" ht="15.75" customHeight="1" x14ac:dyDescent="0.5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1:26" ht="15.75" customHeight="1" x14ac:dyDescent="0.5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1:26" ht="15.75" customHeight="1" x14ac:dyDescent="0.5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1:26" ht="15.75" customHeight="1" x14ac:dyDescent="0.5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1:26" ht="15.75" customHeight="1" x14ac:dyDescent="0.5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1:26" ht="15.75" customHeight="1" x14ac:dyDescent="0.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1:26" ht="15.75" customHeight="1" x14ac:dyDescent="0.5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1:26" ht="15.75" customHeight="1" x14ac:dyDescent="0.5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1:26" ht="15.75" customHeight="1" x14ac:dyDescent="0.5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1:26" ht="15.75" customHeight="1" x14ac:dyDescent="0.5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1:26" ht="15.75" customHeight="1" x14ac:dyDescent="0.5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1:26" ht="15.75" customHeight="1" x14ac:dyDescent="0.5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1:26" ht="15.75" customHeight="1" x14ac:dyDescent="0.5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26" ht="15.75" customHeight="1" x14ac:dyDescent="0.5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1:26" ht="15.75" customHeight="1" x14ac:dyDescent="0.5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1:26" ht="15.75" customHeight="1" x14ac:dyDescent="0.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1:26" ht="15.75" customHeight="1" x14ac:dyDescent="0.5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1:26" ht="15.75" customHeight="1" x14ac:dyDescent="0.5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1:26" ht="15.75" customHeight="1" x14ac:dyDescent="0.5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1:26" ht="15.75" customHeight="1" x14ac:dyDescent="0.5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1:26" ht="15.75" customHeight="1" x14ac:dyDescent="0.5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1:26" ht="15.75" customHeight="1" x14ac:dyDescent="0.5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1:26" ht="15.75" customHeight="1" x14ac:dyDescent="0.5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1:26" ht="15.75" customHeight="1" x14ac:dyDescent="0.5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1:26" ht="15.75" customHeight="1" x14ac:dyDescent="0.5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1:26" ht="15.75" customHeight="1" x14ac:dyDescent="0.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1:26" ht="15.75" customHeight="1" x14ac:dyDescent="0.5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1:26" ht="15.75" customHeight="1" x14ac:dyDescent="0.5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1:26" ht="15.75" customHeight="1" x14ac:dyDescent="0.5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1:26" ht="15.75" customHeight="1" x14ac:dyDescent="0.5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1:26" ht="15.75" customHeight="1" x14ac:dyDescent="0.5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1:26" ht="15.75" customHeight="1" x14ac:dyDescent="0.5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1:26" ht="15.75" customHeight="1" x14ac:dyDescent="0.5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1:26" ht="15.75" customHeight="1" x14ac:dyDescent="0.5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1:26" ht="15.75" customHeight="1" x14ac:dyDescent="0.5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1:26" ht="15.75" customHeight="1" x14ac:dyDescent="0.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1:26" ht="15.75" customHeight="1" x14ac:dyDescent="0.5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1:26" ht="15.75" customHeight="1" x14ac:dyDescent="0.5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1:26" ht="15.75" customHeight="1" x14ac:dyDescent="0.5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1:26" ht="15.75" customHeight="1" x14ac:dyDescent="0.5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1:26" ht="15.75" customHeight="1" x14ac:dyDescent="0.5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1:26" ht="15.75" customHeight="1" x14ac:dyDescent="0.5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1:26" ht="15.75" customHeight="1" x14ac:dyDescent="0.5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1:26" ht="15.75" customHeight="1" x14ac:dyDescent="0.5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1:26" ht="15.75" customHeight="1" x14ac:dyDescent="0.5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1:26" ht="15.75" customHeight="1" x14ac:dyDescent="0.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1:26" ht="15.75" customHeight="1" x14ac:dyDescent="0.5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1:26" ht="15.75" customHeight="1" x14ac:dyDescent="0.5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1:26" ht="15.75" customHeight="1" x14ac:dyDescent="0.5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1:26" ht="15.75" customHeight="1" x14ac:dyDescent="0.5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1:26" ht="15.75" customHeight="1" x14ac:dyDescent="0.5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1:26" ht="15.75" customHeight="1" x14ac:dyDescent="0.5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1:26" ht="15.75" customHeight="1" x14ac:dyDescent="0.5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1:26" ht="15.75" customHeight="1" x14ac:dyDescent="0.5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1:26" ht="15.75" customHeight="1" x14ac:dyDescent="0.5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1:26" ht="15.75" customHeight="1" x14ac:dyDescent="0.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1:26" ht="15.75" customHeight="1" x14ac:dyDescent="0.5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1:26" ht="15.75" customHeight="1" x14ac:dyDescent="0.5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1:26" ht="15.75" customHeight="1" x14ac:dyDescent="0.5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1:26" ht="15.75" customHeight="1" x14ac:dyDescent="0.5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1:26" ht="15.75" customHeight="1" x14ac:dyDescent="0.5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1:26" ht="15.75" customHeight="1" x14ac:dyDescent="0.5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1:26" ht="15.75" customHeight="1" x14ac:dyDescent="0.5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1:26" ht="15.75" customHeight="1" x14ac:dyDescent="0.5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1:26" ht="15.75" customHeight="1" x14ac:dyDescent="0.5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1:26" ht="15.75" customHeight="1" x14ac:dyDescent="0.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1:26" ht="15.75" customHeight="1" x14ac:dyDescent="0.5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1:26" ht="15.75" customHeight="1" x14ac:dyDescent="0.5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1:26" ht="15.75" customHeight="1" x14ac:dyDescent="0.5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1:26" ht="15.75" customHeight="1" x14ac:dyDescent="0.5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1:26" ht="15.75" customHeight="1" x14ac:dyDescent="0.5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1:26" ht="15.75" customHeight="1" x14ac:dyDescent="0.5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1:26" ht="15.75" customHeight="1" x14ac:dyDescent="0.5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1:26" ht="15.75" customHeight="1" x14ac:dyDescent="0.5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1:26" ht="15.75" customHeight="1" x14ac:dyDescent="0.5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1:26" ht="15.75" customHeight="1" x14ac:dyDescent="0.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1:26" ht="15.75" customHeight="1" x14ac:dyDescent="0.5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1:26" ht="15.75" customHeight="1" x14ac:dyDescent="0.5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spans="1:26" ht="15.75" customHeight="1" x14ac:dyDescent="0.5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spans="1:26" ht="15.75" customHeight="1" x14ac:dyDescent="0.5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spans="1:26" ht="15.75" customHeight="1" x14ac:dyDescent="0.5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spans="1:26" ht="15.75" customHeight="1" x14ac:dyDescent="0.5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spans="1:26" ht="15.75" customHeight="1" x14ac:dyDescent="0.5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spans="1:26" ht="15.75" customHeight="1" x14ac:dyDescent="0.5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spans="1:26" ht="15.75" customHeight="1" x14ac:dyDescent="0.5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spans="1:26" ht="15.75" customHeight="1" x14ac:dyDescent="0.5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spans="1:26" ht="15.75" customHeight="1" x14ac:dyDescent="0.5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spans="1:26" ht="15.75" customHeight="1" x14ac:dyDescent="0.5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spans="1:26" ht="15.75" customHeight="1" x14ac:dyDescent="0.5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spans="1:26" ht="15.75" customHeight="1" x14ac:dyDescent="0.5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spans="1:26" ht="15.75" customHeight="1" x14ac:dyDescent="0.5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spans="1:26" ht="15.75" customHeight="1" x14ac:dyDescent="0.5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spans="1:26" ht="15.75" customHeight="1" x14ac:dyDescent="0.5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spans="1:26" ht="15.75" customHeight="1" x14ac:dyDescent="0.5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spans="1:26" ht="15.75" customHeight="1" x14ac:dyDescent="0.5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spans="1:26" ht="15.75" customHeight="1" x14ac:dyDescent="0.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spans="1:26" ht="15.75" customHeight="1" x14ac:dyDescent="0.5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spans="1:26" ht="15.75" customHeight="1" x14ac:dyDescent="0.5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spans="1:26" ht="15.75" customHeight="1" x14ac:dyDescent="0.5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spans="1:26" ht="15.75" customHeight="1" x14ac:dyDescent="0.5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1:26" ht="15.75" customHeight="1" x14ac:dyDescent="0.5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spans="1:26" ht="15.75" customHeight="1" x14ac:dyDescent="0.5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spans="1:26" ht="15.75" customHeight="1" x14ac:dyDescent="0.5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spans="1:26" ht="15.75" customHeight="1" x14ac:dyDescent="0.5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spans="1:26" ht="15.75" customHeight="1" x14ac:dyDescent="0.5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spans="1:26" ht="15.75" customHeight="1" x14ac:dyDescent="0.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spans="1:26" ht="15.75" customHeight="1" x14ac:dyDescent="0.5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spans="1:26" ht="15.75" customHeight="1" x14ac:dyDescent="0.5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spans="1:26" ht="15.75" customHeight="1" x14ac:dyDescent="0.5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spans="1:26" ht="15.75" customHeight="1" x14ac:dyDescent="0.5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spans="1:26" ht="15.75" customHeight="1" x14ac:dyDescent="0.5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spans="1:26" ht="15.75" customHeight="1" x14ac:dyDescent="0.5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spans="1:26" ht="15.75" customHeight="1" x14ac:dyDescent="0.5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spans="1:26" ht="15.75" customHeight="1" x14ac:dyDescent="0.5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spans="1:26" ht="15.75" customHeight="1" x14ac:dyDescent="0.5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spans="1:26" ht="15.75" customHeight="1" x14ac:dyDescent="0.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spans="1:26" ht="15.75" customHeight="1" x14ac:dyDescent="0.5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spans="1:26" ht="15.75" customHeight="1" x14ac:dyDescent="0.5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spans="1:26" ht="15.75" customHeight="1" x14ac:dyDescent="0.5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spans="1:26" ht="15.75" customHeight="1" x14ac:dyDescent="0.5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spans="1:26" ht="15.75" customHeight="1" x14ac:dyDescent="0.5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spans="1:26" ht="15.75" customHeight="1" x14ac:dyDescent="0.5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spans="1:26" ht="15.75" customHeight="1" x14ac:dyDescent="0.5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spans="1:26" ht="15.75" customHeight="1" x14ac:dyDescent="0.5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spans="1:26" ht="15.75" customHeight="1" x14ac:dyDescent="0.5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spans="1:26" ht="15.75" customHeight="1" x14ac:dyDescent="0.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spans="1:26" ht="15.75" customHeight="1" x14ac:dyDescent="0.5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spans="1:26" ht="15.75" customHeight="1" x14ac:dyDescent="0.5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spans="1:26" ht="15.75" customHeight="1" x14ac:dyDescent="0.5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spans="1:26" ht="15.75" customHeight="1" x14ac:dyDescent="0.5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spans="1:26" ht="15.75" customHeight="1" x14ac:dyDescent="0.5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spans="1:26" ht="15.75" customHeight="1" x14ac:dyDescent="0.5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spans="1:26" ht="15.75" customHeight="1" x14ac:dyDescent="0.5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spans="1:26" ht="15.75" customHeight="1" x14ac:dyDescent="0.5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spans="1:26" ht="15.75" customHeight="1" x14ac:dyDescent="0.5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spans="1:26" ht="15.75" customHeight="1" x14ac:dyDescent="0.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spans="1:26" ht="15.75" customHeight="1" x14ac:dyDescent="0.5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spans="1:26" ht="15.75" customHeight="1" x14ac:dyDescent="0.5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spans="1:26" ht="15.75" customHeight="1" x14ac:dyDescent="0.5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spans="1:26" ht="15.75" customHeight="1" x14ac:dyDescent="0.5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spans="1:26" ht="15.75" customHeight="1" x14ac:dyDescent="0.5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spans="1:26" ht="15.75" customHeight="1" x14ac:dyDescent="0.5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spans="1:26" ht="15.75" customHeight="1" x14ac:dyDescent="0.5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spans="1:26" ht="15.75" customHeight="1" x14ac:dyDescent="0.5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spans="1:26" ht="15.75" customHeight="1" x14ac:dyDescent="0.5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spans="1:26" ht="15.75" customHeight="1" x14ac:dyDescent="0.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spans="1:26" ht="15.75" customHeight="1" x14ac:dyDescent="0.5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spans="1:26" ht="15.75" customHeight="1" x14ac:dyDescent="0.5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spans="1:26" ht="15.75" customHeight="1" x14ac:dyDescent="0.5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spans="1:26" ht="15.75" customHeight="1" x14ac:dyDescent="0.5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spans="1:26" ht="15.75" customHeight="1" x14ac:dyDescent="0.5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spans="1:26" ht="15.75" customHeight="1" x14ac:dyDescent="0.5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spans="1:26" ht="15.75" customHeight="1" x14ac:dyDescent="0.5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spans="1:26" ht="15.75" customHeight="1" x14ac:dyDescent="0.5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spans="1:26" ht="15.75" customHeight="1" x14ac:dyDescent="0.5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spans="1:26" ht="15.75" customHeight="1" x14ac:dyDescent="0.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spans="1:26" ht="15.75" customHeight="1" x14ac:dyDescent="0.5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spans="1:26" ht="15.75" customHeight="1" x14ac:dyDescent="0.5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spans="1:26" ht="15.75" customHeight="1" x14ac:dyDescent="0.5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spans="1:26" ht="15.75" customHeight="1" x14ac:dyDescent="0.5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spans="1:26" ht="15.75" customHeight="1" x14ac:dyDescent="0.5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spans="1:26" ht="15.75" customHeight="1" x14ac:dyDescent="0.5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spans="1:26" ht="15.75" customHeight="1" x14ac:dyDescent="0.5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spans="1:26" ht="15.75" customHeight="1" x14ac:dyDescent="0.5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spans="1:26" ht="15.75" customHeight="1" x14ac:dyDescent="0.5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spans="1:26" ht="15.75" customHeight="1" x14ac:dyDescent="0.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spans="1:26" ht="15.75" customHeight="1" x14ac:dyDescent="0.5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spans="1:26" ht="15.75" customHeight="1" x14ac:dyDescent="0.5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spans="1:26" ht="15.75" customHeight="1" x14ac:dyDescent="0.5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spans="1:26" ht="15.75" customHeight="1" x14ac:dyDescent="0.5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spans="1:26" ht="15.75" customHeight="1" x14ac:dyDescent="0.5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spans="1:26" ht="15.75" customHeight="1" x14ac:dyDescent="0.5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spans="1:26" ht="15.75" customHeight="1" x14ac:dyDescent="0.5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spans="1:26" ht="15.75" customHeight="1" x14ac:dyDescent="0.5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spans="1:26" ht="15.75" customHeight="1" x14ac:dyDescent="0.5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spans="1:26" ht="15.75" customHeight="1" x14ac:dyDescent="0.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spans="1:26" ht="15.75" customHeight="1" x14ac:dyDescent="0.5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spans="1:26" ht="15.75" customHeight="1" x14ac:dyDescent="0.5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spans="1:26" ht="15.75" customHeight="1" x14ac:dyDescent="0.5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spans="1:26" ht="15.75" customHeight="1" x14ac:dyDescent="0.5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spans="1:26" ht="15.75" customHeight="1" x14ac:dyDescent="0.5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spans="1:26" ht="15.75" customHeight="1" x14ac:dyDescent="0.5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spans="1:26" ht="15.75" customHeight="1" x14ac:dyDescent="0.5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spans="1:26" ht="15.75" customHeight="1" x14ac:dyDescent="0.5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spans="1:26" ht="15.75" customHeight="1" x14ac:dyDescent="0.5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spans="1:26" ht="15.75" customHeight="1" x14ac:dyDescent="0.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spans="1:26" ht="15.75" customHeight="1" x14ac:dyDescent="0.5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spans="1:26" ht="15.75" customHeight="1" x14ac:dyDescent="0.5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spans="1:26" ht="15.75" customHeight="1" x14ac:dyDescent="0.5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spans="1:26" ht="15.75" customHeight="1" x14ac:dyDescent="0.5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1:26" ht="15.75" customHeight="1" x14ac:dyDescent="0.5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spans="1:26" ht="15.75" customHeight="1" x14ac:dyDescent="0.5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spans="1:26" ht="15.75" customHeight="1" x14ac:dyDescent="0.5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spans="1:26" ht="15.75" customHeight="1" x14ac:dyDescent="0.5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spans="1:26" ht="15.75" customHeight="1" x14ac:dyDescent="0.5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spans="1:26" ht="15.75" customHeight="1" x14ac:dyDescent="0.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spans="1:26" ht="15.75" customHeight="1" x14ac:dyDescent="0.5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spans="1:26" ht="15.75" customHeight="1" x14ac:dyDescent="0.5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spans="1:26" ht="15.75" customHeight="1" x14ac:dyDescent="0.5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spans="1:26" ht="15.75" customHeight="1" x14ac:dyDescent="0.5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spans="1:26" ht="15.75" customHeight="1" x14ac:dyDescent="0.5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spans="1:26" ht="15.75" customHeight="1" x14ac:dyDescent="0.5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spans="1:26" ht="15.75" customHeight="1" x14ac:dyDescent="0.5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spans="1:26" ht="15.75" customHeight="1" x14ac:dyDescent="0.5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spans="1:26" ht="15.75" customHeight="1" x14ac:dyDescent="0.5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spans="1:26" ht="15.75" customHeight="1" x14ac:dyDescent="0.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spans="1:26" ht="15.75" customHeight="1" x14ac:dyDescent="0.5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spans="1:26" ht="15.75" customHeight="1" x14ac:dyDescent="0.5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spans="1:26" ht="15.75" customHeight="1" x14ac:dyDescent="0.5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spans="1:26" ht="15.75" customHeight="1" x14ac:dyDescent="0.5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spans="1:26" ht="15.75" customHeight="1" x14ac:dyDescent="0.5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spans="1:26" ht="15.75" customHeight="1" x14ac:dyDescent="0.5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spans="1:26" ht="15.75" customHeight="1" x14ac:dyDescent="0.5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spans="1:26" ht="15.75" customHeight="1" x14ac:dyDescent="0.5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spans="1:26" ht="15.75" customHeight="1" x14ac:dyDescent="0.5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spans="1:26" ht="15.75" customHeight="1" x14ac:dyDescent="0.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spans="1:26" ht="15.75" customHeight="1" x14ac:dyDescent="0.5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spans="1:26" ht="15.75" customHeight="1" x14ac:dyDescent="0.5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spans="1:26" ht="15.75" customHeight="1" x14ac:dyDescent="0.5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spans="1:26" ht="15.75" customHeight="1" x14ac:dyDescent="0.5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spans="1:26" ht="15.75" customHeight="1" x14ac:dyDescent="0.5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spans="1:26" ht="15.75" customHeight="1" x14ac:dyDescent="0.5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spans="1:26" ht="15.75" customHeight="1" x14ac:dyDescent="0.5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spans="1:26" ht="15.75" customHeight="1" x14ac:dyDescent="0.5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spans="1:26" ht="15.75" customHeight="1" x14ac:dyDescent="0.5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spans="1:26" ht="15.75" customHeight="1" x14ac:dyDescent="0.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spans="1:26" ht="15.75" customHeight="1" x14ac:dyDescent="0.5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spans="1:26" ht="15.75" customHeight="1" x14ac:dyDescent="0.5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spans="1:26" ht="15.75" customHeight="1" x14ac:dyDescent="0.5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spans="1:26" ht="15.75" customHeight="1" x14ac:dyDescent="0.5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spans="1:26" ht="15.75" customHeight="1" x14ac:dyDescent="0.5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spans="1:26" ht="15.75" customHeight="1" x14ac:dyDescent="0.5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spans="1:26" ht="15.75" customHeight="1" x14ac:dyDescent="0.5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spans="1:26" ht="15.75" customHeight="1" x14ac:dyDescent="0.5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spans="1:26" ht="15.75" customHeight="1" x14ac:dyDescent="0.5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spans="1:26" ht="15.75" customHeight="1" x14ac:dyDescent="0.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spans="1:26" ht="15.75" customHeight="1" x14ac:dyDescent="0.5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spans="1:26" ht="15.75" customHeight="1" x14ac:dyDescent="0.5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spans="1:26" ht="15.75" customHeight="1" x14ac:dyDescent="0.5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spans="1:26" ht="15.75" customHeight="1" x14ac:dyDescent="0.5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spans="1:26" ht="15.75" customHeight="1" x14ac:dyDescent="0.5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spans="1:26" ht="15.75" customHeight="1" x14ac:dyDescent="0.5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spans="1:26" ht="15.75" customHeight="1" x14ac:dyDescent="0.5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spans="1:26" ht="15.75" customHeight="1" x14ac:dyDescent="0.5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spans="1:26" ht="15.75" customHeight="1" x14ac:dyDescent="0.5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spans="1:26" ht="15.75" customHeight="1" x14ac:dyDescent="0.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spans="1:26" ht="15.75" customHeight="1" x14ac:dyDescent="0.5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spans="1:26" ht="15.75" customHeight="1" x14ac:dyDescent="0.5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spans="1:26" ht="15.75" customHeight="1" x14ac:dyDescent="0.5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spans="1:26" ht="15.75" customHeight="1" x14ac:dyDescent="0.5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spans="1:26" ht="15.75" customHeight="1" x14ac:dyDescent="0.5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spans="1:26" ht="15.75" customHeight="1" x14ac:dyDescent="0.5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spans="1:26" ht="15.75" customHeight="1" x14ac:dyDescent="0.5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spans="1:26" ht="15.75" customHeight="1" x14ac:dyDescent="0.5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spans="1:26" ht="15.75" customHeight="1" x14ac:dyDescent="0.5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spans="1:26" ht="15.75" customHeight="1" x14ac:dyDescent="0.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spans="1:26" ht="15.75" customHeight="1" x14ac:dyDescent="0.5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spans="1:26" ht="15.75" customHeight="1" x14ac:dyDescent="0.5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spans="1:26" ht="15.75" customHeight="1" x14ac:dyDescent="0.5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spans="1:26" ht="15.75" customHeight="1" x14ac:dyDescent="0.5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spans="1:26" ht="15.75" customHeight="1" x14ac:dyDescent="0.5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spans="1:26" ht="15.75" customHeight="1" x14ac:dyDescent="0.5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spans="1:26" ht="15.75" customHeight="1" x14ac:dyDescent="0.5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spans="1:26" ht="15.75" customHeight="1" x14ac:dyDescent="0.5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spans="1:26" ht="15.75" customHeight="1" x14ac:dyDescent="0.5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spans="1:26" ht="15.75" customHeight="1" x14ac:dyDescent="0.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spans="1:26" ht="15.75" customHeight="1" x14ac:dyDescent="0.5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spans="1:26" ht="15.75" customHeight="1" x14ac:dyDescent="0.5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spans="1:26" ht="15.75" customHeight="1" x14ac:dyDescent="0.5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spans="1:26" ht="15.75" customHeight="1" x14ac:dyDescent="0.5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spans="1:26" ht="15.75" customHeight="1" x14ac:dyDescent="0.5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spans="1:26" ht="15.75" customHeight="1" x14ac:dyDescent="0.5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spans="1:26" ht="15.75" customHeight="1" x14ac:dyDescent="0.5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spans="1:26" ht="15.75" customHeight="1" x14ac:dyDescent="0.5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spans="1:26" ht="15.75" customHeight="1" x14ac:dyDescent="0.5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spans="1:26" ht="15.75" customHeight="1" x14ac:dyDescent="0.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spans="1:26" ht="15.75" customHeight="1" x14ac:dyDescent="0.5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spans="1:26" ht="15.75" customHeight="1" x14ac:dyDescent="0.5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spans="1:26" ht="15.75" customHeight="1" x14ac:dyDescent="0.5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spans="1:26" ht="15.75" customHeight="1" x14ac:dyDescent="0.5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spans="1:26" ht="15.75" customHeight="1" x14ac:dyDescent="0.5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spans="1:26" ht="15.75" customHeight="1" x14ac:dyDescent="0.5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spans="1:26" ht="15.75" customHeight="1" x14ac:dyDescent="0.5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spans="1:26" ht="15.75" customHeight="1" x14ac:dyDescent="0.5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spans="1:26" ht="15.75" customHeight="1" x14ac:dyDescent="0.5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spans="1:26" ht="15.75" customHeight="1" x14ac:dyDescent="0.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spans="1:26" ht="15.75" customHeight="1" x14ac:dyDescent="0.5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spans="1:26" ht="15.75" customHeight="1" x14ac:dyDescent="0.5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spans="1:26" ht="15.75" customHeight="1" x14ac:dyDescent="0.5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spans="1:26" ht="15.75" customHeight="1" x14ac:dyDescent="0.5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spans="1:26" ht="15.75" customHeight="1" x14ac:dyDescent="0.5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spans="1:26" ht="15.75" customHeight="1" x14ac:dyDescent="0.5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spans="1:26" ht="15.75" customHeight="1" x14ac:dyDescent="0.5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spans="1:26" ht="15.75" customHeight="1" x14ac:dyDescent="0.5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spans="1:26" ht="15.75" customHeight="1" x14ac:dyDescent="0.5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spans="1:26" ht="15.75" customHeight="1" x14ac:dyDescent="0.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spans="1:26" ht="15.75" customHeight="1" x14ac:dyDescent="0.5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spans="1:26" ht="15.75" customHeight="1" x14ac:dyDescent="0.5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spans="1:26" ht="15.75" customHeight="1" x14ac:dyDescent="0.5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spans="1:26" ht="15.75" customHeight="1" x14ac:dyDescent="0.5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spans="1:26" ht="15.75" customHeight="1" x14ac:dyDescent="0.5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spans="1:26" ht="15.75" customHeight="1" x14ac:dyDescent="0.5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spans="1:26" ht="15.75" customHeight="1" x14ac:dyDescent="0.5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spans="1:26" ht="15.75" customHeight="1" x14ac:dyDescent="0.5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spans="1:26" ht="15.75" customHeight="1" x14ac:dyDescent="0.5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spans="1:26" ht="15.75" customHeight="1" x14ac:dyDescent="0.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spans="1:26" ht="15.75" customHeight="1" x14ac:dyDescent="0.5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spans="1:26" ht="15.75" customHeight="1" x14ac:dyDescent="0.5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spans="1:26" ht="15.75" customHeight="1" x14ac:dyDescent="0.5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spans="1:26" ht="15.75" customHeight="1" x14ac:dyDescent="0.5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spans="1:26" ht="15.75" customHeight="1" x14ac:dyDescent="0.5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spans="1:26" ht="15.75" customHeight="1" x14ac:dyDescent="0.5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spans="1:26" ht="15.75" customHeight="1" x14ac:dyDescent="0.5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spans="1:26" ht="15.75" customHeight="1" x14ac:dyDescent="0.5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spans="1:26" ht="15.75" customHeight="1" x14ac:dyDescent="0.5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spans="1:26" ht="15.75" customHeight="1" x14ac:dyDescent="0.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spans="1:26" ht="15.75" customHeight="1" x14ac:dyDescent="0.5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spans="1:26" ht="15.75" customHeight="1" x14ac:dyDescent="0.5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spans="1:26" ht="15.75" customHeight="1" x14ac:dyDescent="0.5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spans="1:26" ht="15.75" customHeight="1" x14ac:dyDescent="0.5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spans="1:26" ht="15.75" customHeight="1" x14ac:dyDescent="0.5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spans="1:26" ht="15.75" customHeight="1" x14ac:dyDescent="0.5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spans="1:26" ht="15.75" customHeight="1" x14ac:dyDescent="0.5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spans="1:26" ht="15.75" customHeight="1" x14ac:dyDescent="0.5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spans="1:26" ht="15.75" customHeight="1" x14ac:dyDescent="0.5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spans="1:26" ht="15.75" customHeight="1" x14ac:dyDescent="0.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spans="1:26" ht="15.75" customHeight="1" x14ac:dyDescent="0.5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spans="1:26" ht="15.75" customHeight="1" x14ac:dyDescent="0.5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spans="1:26" ht="15.75" customHeight="1" x14ac:dyDescent="0.5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spans="1:26" ht="15.75" customHeight="1" x14ac:dyDescent="0.5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spans="1:26" ht="15.75" customHeight="1" x14ac:dyDescent="0.5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spans="1:26" ht="15.75" customHeight="1" x14ac:dyDescent="0.5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spans="1:26" ht="15.75" customHeight="1" x14ac:dyDescent="0.5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spans="1:26" ht="15.75" customHeight="1" x14ac:dyDescent="0.5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spans="1:26" ht="15.75" customHeight="1" x14ac:dyDescent="0.5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spans="1:26" ht="15.75" customHeight="1" x14ac:dyDescent="0.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spans="1:26" ht="15.75" customHeight="1" x14ac:dyDescent="0.5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spans="1:26" ht="15.75" customHeight="1" x14ac:dyDescent="0.5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spans="1:26" ht="15.75" customHeight="1" x14ac:dyDescent="0.5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spans="1:26" ht="15.75" customHeight="1" x14ac:dyDescent="0.5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spans="1:26" ht="15.75" customHeight="1" x14ac:dyDescent="0.5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spans="1:26" ht="15.75" customHeight="1" x14ac:dyDescent="0.5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spans="1:26" ht="15.75" customHeight="1" x14ac:dyDescent="0.5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spans="1:26" ht="15.75" customHeight="1" x14ac:dyDescent="0.5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spans="1:26" ht="15.75" customHeight="1" x14ac:dyDescent="0.5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spans="1:26" ht="15.75" customHeight="1" x14ac:dyDescent="0.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spans="1:26" ht="15.75" customHeight="1" x14ac:dyDescent="0.5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spans="1:26" ht="15.75" customHeight="1" x14ac:dyDescent="0.5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spans="1:26" ht="15.75" customHeight="1" x14ac:dyDescent="0.5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spans="1:26" ht="15.75" customHeight="1" x14ac:dyDescent="0.5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spans="1:26" ht="15.75" customHeight="1" x14ac:dyDescent="0.5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spans="1:26" ht="15.75" customHeight="1" x14ac:dyDescent="0.5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spans="1:26" ht="15.75" customHeight="1" x14ac:dyDescent="0.5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spans="1:26" ht="15.75" customHeight="1" x14ac:dyDescent="0.5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spans="1:26" ht="15.75" customHeight="1" x14ac:dyDescent="0.5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spans="1:26" ht="15.75" customHeight="1" x14ac:dyDescent="0.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spans="1:26" ht="15.75" customHeight="1" x14ac:dyDescent="0.5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spans="1:26" ht="15.75" customHeight="1" x14ac:dyDescent="0.5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spans="1:26" ht="15.75" customHeight="1" x14ac:dyDescent="0.5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spans="1:26" ht="15.75" customHeight="1" x14ac:dyDescent="0.5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spans="1:26" ht="15.75" customHeight="1" x14ac:dyDescent="0.5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spans="1:26" ht="15.75" customHeight="1" x14ac:dyDescent="0.5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spans="1:26" ht="15.75" customHeight="1" x14ac:dyDescent="0.5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spans="1:26" ht="15.75" customHeight="1" x14ac:dyDescent="0.5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spans="1:26" ht="15.75" customHeight="1" x14ac:dyDescent="0.5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spans="1:26" ht="15.75" customHeight="1" x14ac:dyDescent="0.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spans="1:26" ht="15.75" customHeight="1" x14ac:dyDescent="0.5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spans="1:26" ht="15.75" customHeight="1" x14ac:dyDescent="0.5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spans="1:26" ht="15.75" customHeight="1" x14ac:dyDescent="0.5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spans="1:26" ht="15.75" customHeight="1" x14ac:dyDescent="0.5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spans="1:26" ht="15.75" customHeight="1" x14ac:dyDescent="0.5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spans="1:26" ht="15.75" customHeight="1" x14ac:dyDescent="0.5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spans="1:26" ht="15.75" customHeight="1" x14ac:dyDescent="0.5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spans="1:26" ht="15.75" customHeight="1" x14ac:dyDescent="0.5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spans="1:26" ht="15.75" customHeight="1" x14ac:dyDescent="0.5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spans="1:26" ht="15.75" customHeight="1" x14ac:dyDescent="0.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spans="1:26" ht="15.75" customHeight="1" x14ac:dyDescent="0.5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spans="1:26" ht="15.75" customHeight="1" x14ac:dyDescent="0.5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spans="1:26" ht="15.75" customHeight="1" x14ac:dyDescent="0.5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spans="1:26" ht="15.75" customHeight="1" x14ac:dyDescent="0.5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spans="1:26" ht="15.75" customHeight="1" x14ac:dyDescent="0.5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spans="1:26" ht="15.75" customHeight="1" x14ac:dyDescent="0.5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spans="1:26" ht="15.75" customHeight="1" x14ac:dyDescent="0.5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spans="1:26" ht="15.75" customHeight="1" x14ac:dyDescent="0.5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spans="1:26" ht="15.75" customHeight="1" x14ac:dyDescent="0.5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spans="1:26" ht="15.75" customHeight="1" x14ac:dyDescent="0.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spans="1:26" ht="15.75" customHeight="1" x14ac:dyDescent="0.5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spans="1:26" ht="15.75" customHeight="1" x14ac:dyDescent="0.5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spans="1:26" ht="15.75" customHeight="1" x14ac:dyDescent="0.5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spans="1:26" ht="15.75" customHeight="1" x14ac:dyDescent="0.5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spans="1:26" ht="15.75" customHeight="1" x14ac:dyDescent="0.5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spans="1:26" ht="15.75" customHeight="1" x14ac:dyDescent="0.5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spans="1:26" ht="15.75" customHeight="1" x14ac:dyDescent="0.5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spans="1:26" ht="15.75" customHeight="1" x14ac:dyDescent="0.5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spans="1:26" ht="15.75" customHeight="1" x14ac:dyDescent="0.5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spans="1:26" ht="15.75" customHeight="1" x14ac:dyDescent="0.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spans="1:26" ht="15.75" customHeight="1" x14ac:dyDescent="0.5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spans="1:26" ht="15.75" customHeight="1" x14ac:dyDescent="0.5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spans="1:26" ht="15.75" customHeight="1" x14ac:dyDescent="0.5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spans="1:26" ht="15.75" customHeight="1" x14ac:dyDescent="0.5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spans="1:26" ht="15.75" customHeight="1" x14ac:dyDescent="0.5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spans="1:26" ht="15.75" customHeight="1" x14ac:dyDescent="0.5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spans="1:26" ht="15.75" customHeight="1" x14ac:dyDescent="0.5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spans="1:26" ht="15.75" customHeight="1" x14ac:dyDescent="0.5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spans="1:26" ht="15.75" customHeight="1" x14ac:dyDescent="0.5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spans="1:26" ht="15.75" customHeight="1" x14ac:dyDescent="0.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spans="1:26" ht="15.75" customHeight="1" x14ac:dyDescent="0.5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spans="1:26" ht="15.75" customHeight="1" x14ac:dyDescent="0.5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spans="1:26" ht="15.75" customHeight="1" x14ac:dyDescent="0.5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spans="1:26" ht="15.75" customHeight="1" x14ac:dyDescent="0.5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spans="1:26" ht="15.75" customHeight="1" x14ac:dyDescent="0.5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spans="1:26" ht="15.75" customHeight="1" x14ac:dyDescent="0.5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spans="1:26" ht="15.75" customHeight="1" x14ac:dyDescent="0.5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spans="1:26" ht="15.75" customHeight="1" x14ac:dyDescent="0.5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spans="1:26" ht="15.75" customHeight="1" x14ac:dyDescent="0.5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spans="1:26" ht="15.75" customHeight="1" x14ac:dyDescent="0.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spans="1:26" ht="15.75" customHeight="1" x14ac:dyDescent="0.5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spans="1:26" ht="15.75" customHeight="1" x14ac:dyDescent="0.5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spans="1:26" ht="15.75" customHeight="1" x14ac:dyDescent="0.5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spans="1:26" ht="15.75" customHeight="1" x14ac:dyDescent="0.5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spans="1:26" ht="15.75" customHeight="1" x14ac:dyDescent="0.5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spans="1:26" ht="15.75" customHeight="1" x14ac:dyDescent="0.5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spans="1:26" ht="15.75" customHeight="1" x14ac:dyDescent="0.5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spans="1:26" ht="15.75" customHeight="1" x14ac:dyDescent="0.5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spans="1:26" ht="15.75" customHeight="1" x14ac:dyDescent="0.5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spans="1:26" ht="15.75" customHeight="1" x14ac:dyDescent="0.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spans="1:26" ht="15.75" customHeight="1" x14ac:dyDescent="0.5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spans="1:26" ht="15.75" customHeight="1" x14ac:dyDescent="0.5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spans="1:26" ht="15.75" customHeight="1" x14ac:dyDescent="0.5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spans="1:26" ht="15.75" customHeight="1" x14ac:dyDescent="0.5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spans="1:26" ht="15.75" customHeight="1" x14ac:dyDescent="0.5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spans="1:26" ht="15.75" customHeight="1" x14ac:dyDescent="0.5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spans="1:26" ht="15.75" customHeight="1" x14ac:dyDescent="0.5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spans="1:26" ht="15.75" customHeight="1" x14ac:dyDescent="0.5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spans="1:26" ht="15.75" customHeight="1" x14ac:dyDescent="0.5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spans="1:26" ht="15.75" customHeight="1" x14ac:dyDescent="0.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spans="1:26" ht="15.75" customHeight="1" x14ac:dyDescent="0.5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spans="1:26" ht="15.75" customHeight="1" x14ac:dyDescent="0.5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spans="1:26" ht="15.75" customHeight="1" x14ac:dyDescent="0.5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spans="1:26" ht="15.75" customHeight="1" x14ac:dyDescent="0.5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spans="1:26" ht="15.75" customHeight="1" x14ac:dyDescent="0.5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spans="1:26" ht="15.75" customHeight="1" x14ac:dyDescent="0.5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spans="1:26" ht="15.75" customHeight="1" x14ac:dyDescent="0.5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spans="1:26" ht="15.75" customHeight="1" x14ac:dyDescent="0.5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spans="1:26" ht="15.75" customHeight="1" x14ac:dyDescent="0.5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spans="1:26" ht="15.75" customHeight="1" x14ac:dyDescent="0.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spans="1:26" ht="15.75" customHeight="1" x14ac:dyDescent="0.5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spans="1:26" ht="15.75" customHeight="1" x14ac:dyDescent="0.5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spans="1:26" ht="15.75" customHeight="1" x14ac:dyDescent="0.5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spans="1:26" ht="15.75" customHeight="1" x14ac:dyDescent="0.5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spans="1:26" ht="15.75" customHeight="1" x14ac:dyDescent="0.5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spans="1:26" ht="15.75" customHeight="1" x14ac:dyDescent="0.5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spans="1:26" ht="15.75" customHeight="1" x14ac:dyDescent="0.5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spans="1:26" ht="15.75" customHeight="1" x14ac:dyDescent="0.5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spans="1:26" ht="15.75" customHeight="1" x14ac:dyDescent="0.5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spans="1:26" ht="15.75" customHeight="1" x14ac:dyDescent="0.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spans="1:26" ht="15.75" customHeight="1" x14ac:dyDescent="0.5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spans="1:26" ht="15.75" customHeight="1" x14ac:dyDescent="0.5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spans="1:26" ht="15.75" customHeight="1" x14ac:dyDescent="0.5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spans="1:26" ht="15.75" customHeight="1" x14ac:dyDescent="0.5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spans="1:26" ht="15.75" customHeight="1" x14ac:dyDescent="0.5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spans="1:26" ht="15.75" customHeight="1" x14ac:dyDescent="0.5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spans="1:26" ht="15.75" customHeight="1" x14ac:dyDescent="0.5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spans="1:26" ht="15.75" customHeight="1" x14ac:dyDescent="0.5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spans="1:26" ht="15.75" customHeight="1" x14ac:dyDescent="0.5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spans="1:26" ht="15.75" customHeight="1" x14ac:dyDescent="0.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spans="1:26" ht="15.75" customHeight="1" x14ac:dyDescent="0.5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spans="1:26" ht="15.75" customHeight="1" x14ac:dyDescent="0.5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spans="1:26" ht="15.75" customHeight="1" x14ac:dyDescent="0.5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spans="1:26" ht="15.75" customHeight="1" x14ac:dyDescent="0.5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spans="1:26" ht="15.75" customHeight="1" x14ac:dyDescent="0.5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spans="1:26" ht="15.75" customHeight="1" x14ac:dyDescent="0.5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spans="1:26" ht="15.75" customHeight="1" x14ac:dyDescent="0.5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spans="1:26" ht="15.75" customHeight="1" x14ac:dyDescent="0.5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spans="1:26" ht="15.75" customHeight="1" x14ac:dyDescent="0.5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spans="1:26" ht="15.75" customHeight="1" x14ac:dyDescent="0.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spans="1:26" ht="15.75" customHeight="1" x14ac:dyDescent="0.5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spans="1:26" ht="15.75" customHeight="1" x14ac:dyDescent="0.5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spans="1:26" ht="15.75" customHeight="1" x14ac:dyDescent="0.5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spans="1:26" ht="15.75" customHeight="1" x14ac:dyDescent="0.5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spans="1:26" ht="15.75" customHeight="1" x14ac:dyDescent="0.5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spans="1:26" ht="15.75" customHeight="1" x14ac:dyDescent="0.5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spans="1:26" ht="15.75" customHeight="1" x14ac:dyDescent="0.5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spans="1:26" ht="15.75" customHeight="1" x14ac:dyDescent="0.5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spans="1:26" ht="15.75" customHeight="1" x14ac:dyDescent="0.5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spans="1:26" ht="15.75" customHeight="1" x14ac:dyDescent="0.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spans="1:26" ht="15.75" customHeight="1" x14ac:dyDescent="0.5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spans="1:26" ht="15.75" customHeight="1" x14ac:dyDescent="0.5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spans="1:26" ht="15.75" customHeight="1" x14ac:dyDescent="0.5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spans="1:26" ht="15.75" customHeight="1" x14ac:dyDescent="0.5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spans="1:26" ht="15.75" customHeight="1" x14ac:dyDescent="0.5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spans="1:26" ht="15.75" customHeight="1" x14ac:dyDescent="0.5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spans="1:26" ht="15.75" customHeight="1" x14ac:dyDescent="0.5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spans="1:26" ht="15.75" customHeight="1" x14ac:dyDescent="0.5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spans="1:26" ht="15.75" customHeight="1" x14ac:dyDescent="0.5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spans="1:26" ht="15.75" customHeight="1" x14ac:dyDescent="0.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spans="1:26" ht="15.75" customHeight="1" x14ac:dyDescent="0.5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spans="1:26" ht="15.75" customHeight="1" x14ac:dyDescent="0.5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spans="1:26" ht="15.75" customHeight="1" x14ac:dyDescent="0.5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spans="1:26" ht="15.75" customHeight="1" x14ac:dyDescent="0.5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spans="1:26" ht="15.75" customHeight="1" x14ac:dyDescent="0.5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spans="1:26" ht="15.75" customHeight="1" x14ac:dyDescent="0.5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spans="1:26" ht="15.75" customHeight="1" x14ac:dyDescent="0.5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spans="1:26" ht="15.75" customHeight="1" x14ac:dyDescent="0.5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spans="1:26" ht="15.75" customHeight="1" x14ac:dyDescent="0.5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spans="1:26" ht="15.75" customHeight="1" x14ac:dyDescent="0.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spans="1:26" ht="15.75" customHeight="1" x14ac:dyDescent="0.5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spans="1:26" ht="15.75" customHeight="1" x14ac:dyDescent="0.5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spans="1:26" ht="15.75" customHeight="1" x14ac:dyDescent="0.5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spans="1:26" ht="15.75" customHeight="1" x14ac:dyDescent="0.5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spans="1:26" ht="15.75" customHeight="1" x14ac:dyDescent="0.5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spans="1:26" ht="15.75" customHeight="1" x14ac:dyDescent="0.5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spans="1:26" ht="15.75" customHeight="1" x14ac:dyDescent="0.5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spans="1:26" ht="15.75" customHeight="1" x14ac:dyDescent="0.5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spans="1:26" ht="15.75" customHeight="1" x14ac:dyDescent="0.5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spans="1:26" ht="15.75" customHeight="1" x14ac:dyDescent="0.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spans="1:26" ht="15.75" customHeight="1" x14ac:dyDescent="0.5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spans="1:26" ht="15.75" customHeight="1" x14ac:dyDescent="0.5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spans="1:26" ht="15.75" customHeight="1" x14ac:dyDescent="0.5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spans="1:26" ht="15.75" customHeight="1" x14ac:dyDescent="0.5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spans="1:26" ht="15.75" customHeight="1" x14ac:dyDescent="0.5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spans="1:26" ht="15.75" customHeight="1" x14ac:dyDescent="0.5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spans="1:26" ht="15.75" customHeight="1" x14ac:dyDescent="0.5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spans="1:26" ht="15.75" customHeight="1" x14ac:dyDescent="0.5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spans="1:26" ht="15.75" customHeight="1" x14ac:dyDescent="0.5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spans="1:26" ht="15.75" customHeight="1" x14ac:dyDescent="0.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spans="1:26" ht="15.75" customHeight="1" x14ac:dyDescent="0.5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spans="1:26" ht="15.75" customHeight="1" x14ac:dyDescent="0.5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spans="1:26" ht="15.75" customHeight="1" x14ac:dyDescent="0.5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spans="1:26" ht="15.75" customHeight="1" x14ac:dyDescent="0.5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spans="1:26" ht="15.75" customHeight="1" x14ac:dyDescent="0.5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spans="1:26" ht="15.75" customHeight="1" x14ac:dyDescent="0.5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spans="1:26" ht="15.75" customHeight="1" x14ac:dyDescent="0.5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spans="1:26" ht="15.75" customHeight="1" x14ac:dyDescent="0.5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spans="1:26" ht="15.75" customHeight="1" x14ac:dyDescent="0.5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spans="1:26" ht="15.75" customHeight="1" x14ac:dyDescent="0.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spans="1:26" ht="15.75" customHeight="1" x14ac:dyDescent="0.5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spans="1:26" ht="15.75" customHeight="1" x14ac:dyDescent="0.5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spans="1:26" ht="15.75" customHeight="1" x14ac:dyDescent="0.5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spans="1:26" ht="15.75" customHeight="1" x14ac:dyDescent="0.5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spans="1:26" ht="15.75" customHeight="1" x14ac:dyDescent="0.5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spans="1:26" ht="15.75" customHeight="1" x14ac:dyDescent="0.5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spans="1:26" ht="15.75" customHeight="1" x14ac:dyDescent="0.5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spans="1:26" ht="15.75" customHeight="1" x14ac:dyDescent="0.5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spans="1:26" ht="15.75" customHeight="1" x14ac:dyDescent="0.5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spans="1:26" ht="15.75" customHeight="1" x14ac:dyDescent="0.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spans="1:26" ht="15.75" customHeight="1" x14ac:dyDescent="0.5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spans="1:26" ht="15.75" customHeight="1" x14ac:dyDescent="0.5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spans="1:26" ht="15.75" customHeight="1" x14ac:dyDescent="0.5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spans="1:26" ht="15.75" customHeight="1" x14ac:dyDescent="0.5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spans="1:26" ht="15.75" customHeight="1" x14ac:dyDescent="0.5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spans="1:26" ht="15.75" customHeight="1" x14ac:dyDescent="0.5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spans="1:26" ht="15.75" customHeight="1" x14ac:dyDescent="0.5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spans="1:26" ht="15.75" customHeight="1" x14ac:dyDescent="0.5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spans="1:26" ht="15.75" customHeight="1" x14ac:dyDescent="0.5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spans="1:26" ht="15.75" customHeight="1" x14ac:dyDescent="0.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spans="1:26" ht="15.75" customHeight="1" x14ac:dyDescent="0.5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spans="1:26" ht="15.75" customHeight="1" x14ac:dyDescent="0.5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spans="1:26" ht="15.75" customHeight="1" x14ac:dyDescent="0.5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spans="1:26" ht="15.75" customHeight="1" x14ac:dyDescent="0.5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spans="1:26" ht="15.75" customHeight="1" x14ac:dyDescent="0.5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spans="1:26" ht="15.75" customHeight="1" x14ac:dyDescent="0.5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spans="1:26" ht="15.75" customHeight="1" x14ac:dyDescent="0.5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spans="1:26" ht="15.75" customHeight="1" x14ac:dyDescent="0.5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spans="1:26" ht="15.75" customHeight="1" x14ac:dyDescent="0.5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spans="1:26" ht="15.75" customHeight="1" x14ac:dyDescent="0.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spans="1:26" ht="15.75" customHeight="1" x14ac:dyDescent="0.5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spans="1:26" ht="15.75" customHeight="1" x14ac:dyDescent="0.5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spans="1:26" ht="15.75" customHeight="1" x14ac:dyDescent="0.5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spans="1:26" ht="15.75" customHeight="1" x14ac:dyDescent="0.5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spans="1:26" ht="15.75" customHeight="1" x14ac:dyDescent="0.5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spans="1:26" ht="15.75" customHeight="1" x14ac:dyDescent="0.5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spans="1:26" ht="15.75" customHeight="1" x14ac:dyDescent="0.5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spans="1:26" ht="15.75" customHeight="1" x14ac:dyDescent="0.5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spans="1:26" ht="15.75" customHeight="1" x14ac:dyDescent="0.5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spans="1:26" ht="15.75" customHeight="1" x14ac:dyDescent="0.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spans="1:26" ht="15.75" customHeight="1" x14ac:dyDescent="0.5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spans="1:26" ht="15.75" customHeight="1" x14ac:dyDescent="0.5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spans="1:26" ht="15.75" customHeight="1" x14ac:dyDescent="0.5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spans="1:26" ht="15.75" customHeight="1" x14ac:dyDescent="0.5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spans="1:26" ht="15.75" customHeight="1" x14ac:dyDescent="0.5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spans="1:26" ht="15.75" customHeight="1" x14ac:dyDescent="0.5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spans="1:26" ht="15.75" customHeight="1" x14ac:dyDescent="0.5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spans="1:26" ht="15.75" customHeight="1" x14ac:dyDescent="0.5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spans="1:26" ht="15.75" customHeight="1" x14ac:dyDescent="0.5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spans="1:26" ht="15.75" customHeight="1" x14ac:dyDescent="0.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spans="1:26" ht="15.75" customHeight="1" x14ac:dyDescent="0.5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spans="1:26" ht="15.75" customHeight="1" x14ac:dyDescent="0.5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spans="1:26" ht="15.75" customHeight="1" x14ac:dyDescent="0.5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spans="1:26" ht="15.75" customHeight="1" x14ac:dyDescent="0.5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spans="1:26" ht="15.75" customHeight="1" x14ac:dyDescent="0.5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spans="1:26" ht="15.75" customHeight="1" x14ac:dyDescent="0.5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spans="1:26" ht="15.75" customHeight="1" x14ac:dyDescent="0.5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spans="1:26" ht="15.75" customHeight="1" x14ac:dyDescent="0.5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spans="1:26" ht="15.75" customHeight="1" x14ac:dyDescent="0.5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spans="1:26" ht="15.75" customHeight="1" x14ac:dyDescent="0.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spans="1:26" ht="15.75" customHeight="1" x14ac:dyDescent="0.5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spans="1:26" ht="15.75" customHeight="1" x14ac:dyDescent="0.5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spans="1:26" ht="15.75" customHeight="1" x14ac:dyDescent="0.5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spans="1:26" ht="15.75" customHeight="1" x14ac:dyDescent="0.5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spans="1:26" ht="15.75" customHeight="1" x14ac:dyDescent="0.5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spans="1:26" ht="15.75" customHeight="1" x14ac:dyDescent="0.5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spans="1:26" ht="15.75" customHeight="1" x14ac:dyDescent="0.5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spans="1:26" ht="15.75" customHeight="1" x14ac:dyDescent="0.5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spans="1:26" ht="15.75" customHeight="1" x14ac:dyDescent="0.5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spans="1:26" ht="15.75" customHeight="1" x14ac:dyDescent="0.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spans="1:26" ht="15.75" customHeight="1" x14ac:dyDescent="0.5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spans="1:26" ht="15.75" customHeight="1" x14ac:dyDescent="0.5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spans="1:26" ht="15.75" customHeight="1" x14ac:dyDescent="0.5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spans="1:26" ht="15.75" customHeight="1" x14ac:dyDescent="0.5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spans="1:26" ht="15.75" customHeight="1" x14ac:dyDescent="0.5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spans="1:26" ht="15.75" customHeight="1" x14ac:dyDescent="0.5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spans="1:26" ht="15.75" customHeight="1" x14ac:dyDescent="0.5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spans="1:26" ht="15.75" customHeight="1" x14ac:dyDescent="0.5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spans="1:26" ht="15.75" customHeight="1" x14ac:dyDescent="0.5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spans="1:26" ht="15.75" customHeight="1" x14ac:dyDescent="0.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spans="1:26" ht="15.75" customHeight="1" x14ac:dyDescent="0.5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spans="1:26" ht="15.75" customHeight="1" x14ac:dyDescent="0.5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spans="1:26" ht="15.75" customHeight="1" x14ac:dyDescent="0.5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spans="1:26" ht="15.75" customHeight="1" x14ac:dyDescent="0.5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spans="1:26" ht="15.75" customHeight="1" x14ac:dyDescent="0.5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spans="1:26" ht="15.75" customHeight="1" x14ac:dyDescent="0.5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spans="1:26" ht="15.75" customHeight="1" x14ac:dyDescent="0.5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spans="1:26" ht="15.75" customHeight="1" x14ac:dyDescent="0.5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spans="1:26" ht="15.75" customHeight="1" x14ac:dyDescent="0.5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spans="1:26" ht="15.75" customHeight="1" x14ac:dyDescent="0.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spans="1:26" ht="15.75" customHeight="1" x14ac:dyDescent="0.5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spans="1:26" ht="15.75" customHeight="1" x14ac:dyDescent="0.5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spans="1:26" ht="15.75" customHeight="1" x14ac:dyDescent="0.5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spans="1:26" ht="15.75" customHeight="1" x14ac:dyDescent="0.5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spans="1:26" ht="15.75" customHeight="1" x14ac:dyDescent="0.5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spans="1:26" ht="15.75" customHeight="1" x14ac:dyDescent="0.5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spans="1:26" ht="15.75" customHeight="1" x14ac:dyDescent="0.5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spans="1:26" ht="15.75" customHeight="1" x14ac:dyDescent="0.5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spans="1:26" ht="15.75" customHeight="1" x14ac:dyDescent="0.5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spans="1:26" ht="15.75" customHeight="1" x14ac:dyDescent="0.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spans="1:26" ht="15.75" customHeight="1" x14ac:dyDescent="0.5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spans="1:26" ht="15.75" customHeight="1" x14ac:dyDescent="0.5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spans="1:26" ht="15.75" customHeight="1" x14ac:dyDescent="0.5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spans="1:26" ht="15.75" customHeight="1" x14ac:dyDescent="0.5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spans="1:26" ht="15.75" customHeight="1" x14ac:dyDescent="0.5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spans="1:26" ht="15.75" customHeight="1" x14ac:dyDescent="0.5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spans="1:26" ht="15.75" customHeight="1" x14ac:dyDescent="0.5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spans="1:26" ht="15.75" customHeight="1" x14ac:dyDescent="0.5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spans="1:26" ht="15.75" customHeight="1" x14ac:dyDescent="0.5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spans="1:26" ht="15.75" customHeight="1" x14ac:dyDescent="0.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spans="1:26" ht="15.75" customHeight="1" x14ac:dyDescent="0.5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spans="1:26" ht="15.75" customHeight="1" x14ac:dyDescent="0.5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spans="1:26" ht="15.75" customHeight="1" x14ac:dyDescent="0.5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spans="1:26" ht="15.75" customHeight="1" x14ac:dyDescent="0.5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spans="1:26" ht="15.75" customHeight="1" x14ac:dyDescent="0.5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spans="1:26" ht="15.75" customHeight="1" x14ac:dyDescent="0.5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spans="1:26" ht="15.75" customHeight="1" x14ac:dyDescent="0.5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spans="1:26" ht="15.75" customHeight="1" x14ac:dyDescent="0.5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spans="1:26" ht="15.75" customHeight="1" x14ac:dyDescent="0.5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spans="1:26" ht="15.75" customHeight="1" x14ac:dyDescent="0.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spans="1:26" ht="15.75" customHeight="1" x14ac:dyDescent="0.5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spans="1:26" ht="15.75" customHeight="1" x14ac:dyDescent="0.5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spans="1:26" ht="15.75" customHeight="1" x14ac:dyDescent="0.5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spans="1:26" ht="15.75" customHeight="1" x14ac:dyDescent="0.5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spans="1:26" ht="15.75" customHeight="1" x14ac:dyDescent="0.5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spans="1:26" ht="15.75" customHeight="1" x14ac:dyDescent="0.5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spans="1:26" ht="15.75" customHeight="1" x14ac:dyDescent="0.5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spans="1:26" ht="15.75" customHeight="1" x14ac:dyDescent="0.5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spans="1:26" ht="15.75" customHeight="1" x14ac:dyDescent="0.5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spans="1:26" ht="15.75" customHeight="1" x14ac:dyDescent="0.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spans="1:26" ht="15.75" customHeight="1" x14ac:dyDescent="0.5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spans="1:26" ht="15.75" customHeight="1" x14ac:dyDescent="0.5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spans="1:26" ht="15.75" customHeight="1" x14ac:dyDescent="0.5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spans="1:26" ht="15.75" customHeight="1" x14ac:dyDescent="0.5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spans="1:26" ht="15.75" customHeight="1" x14ac:dyDescent="0.5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spans="1:26" ht="15.75" customHeight="1" x14ac:dyDescent="0.5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spans="1:26" ht="15.75" customHeight="1" x14ac:dyDescent="0.5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spans="1:26" ht="15.75" customHeight="1" x14ac:dyDescent="0.5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spans="1:26" ht="15.75" customHeight="1" x14ac:dyDescent="0.5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spans="1:26" ht="15.75" customHeight="1" x14ac:dyDescent="0.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spans="1:26" ht="15.75" customHeight="1" x14ac:dyDescent="0.5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spans="1:26" ht="15.75" customHeight="1" x14ac:dyDescent="0.5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spans="1:26" ht="15.75" customHeight="1" x14ac:dyDescent="0.5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spans="1:26" ht="15.75" customHeight="1" x14ac:dyDescent="0.5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spans="1:26" ht="15.75" customHeight="1" x14ac:dyDescent="0.5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spans="1:26" ht="15.75" customHeight="1" x14ac:dyDescent="0.5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spans="1:26" ht="15.75" customHeight="1" x14ac:dyDescent="0.5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spans="1:26" ht="15.75" customHeight="1" x14ac:dyDescent="0.5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spans="1:26" ht="15.75" customHeight="1" x14ac:dyDescent="0.5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spans="1:26" ht="15.75" customHeight="1" x14ac:dyDescent="0.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spans="1:26" ht="15.75" customHeight="1" x14ac:dyDescent="0.5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spans="1:26" ht="15.75" customHeight="1" x14ac:dyDescent="0.5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spans="1:26" ht="15.75" customHeight="1" x14ac:dyDescent="0.5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spans="1:26" ht="15.75" customHeight="1" x14ac:dyDescent="0.5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spans="1:26" ht="15.75" customHeight="1" x14ac:dyDescent="0.5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spans="1:26" ht="15.75" customHeight="1" x14ac:dyDescent="0.5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spans="1:26" ht="15.75" customHeight="1" x14ac:dyDescent="0.5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spans="1:26" ht="15.75" customHeight="1" x14ac:dyDescent="0.5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spans="1:26" ht="15.75" customHeight="1" x14ac:dyDescent="0.5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spans="1:26" ht="15.75" customHeight="1" x14ac:dyDescent="0.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spans="1:26" ht="15.75" customHeight="1" x14ac:dyDescent="0.5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spans="1:26" ht="15.75" customHeight="1" x14ac:dyDescent="0.5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spans="1:26" ht="15.75" customHeight="1" x14ac:dyDescent="0.5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spans="1:26" ht="15.75" customHeight="1" x14ac:dyDescent="0.5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spans="1:26" ht="15.75" customHeight="1" x14ac:dyDescent="0.5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spans="1:26" ht="15.75" customHeight="1" x14ac:dyDescent="0.5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spans="1:26" ht="15.75" customHeight="1" x14ac:dyDescent="0.5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spans="1:26" ht="15.75" customHeight="1" x14ac:dyDescent="0.5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spans="1:26" ht="15.75" customHeight="1" x14ac:dyDescent="0.5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spans="1:26" ht="15.75" customHeight="1" x14ac:dyDescent="0.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spans="1:26" ht="15.75" customHeight="1" x14ac:dyDescent="0.5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spans="1:26" ht="15.75" customHeight="1" x14ac:dyDescent="0.5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spans="1:26" ht="15.75" customHeight="1" x14ac:dyDescent="0.5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spans="1:26" ht="15.75" customHeight="1" x14ac:dyDescent="0.5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spans="1:26" ht="15.75" customHeight="1" x14ac:dyDescent="0.5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spans="1:26" ht="15.75" customHeight="1" x14ac:dyDescent="0.5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spans="1:26" ht="15.75" customHeight="1" x14ac:dyDescent="0.5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spans="1:26" ht="15.75" customHeight="1" x14ac:dyDescent="0.5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spans="1:26" ht="15.75" customHeight="1" x14ac:dyDescent="0.5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spans="1:26" ht="15.75" customHeight="1" x14ac:dyDescent="0.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spans="1:26" ht="15.75" customHeight="1" x14ac:dyDescent="0.5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spans="1:26" ht="15.75" customHeight="1" x14ac:dyDescent="0.5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spans="1:26" ht="15.75" customHeight="1" x14ac:dyDescent="0.5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spans="1:26" ht="15.75" customHeight="1" x14ac:dyDescent="0.5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spans="1:26" ht="15.75" customHeight="1" x14ac:dyDescent="0.5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spans="1:26" ht="15.75" customHeight="1" x14ac:dyDescent="0.5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spans="1:26" ht="15.75" customHeight="1" x14ac:dyDescent="0.5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spans="1:26" ht="15.75" customHeight="1" x14ac:dyDescent="0.5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spans="1:26" ht="15.75" customHeight="1" x14ac:dyDescent="0.5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spans="1:26" ht="15.75" customHeight="1" x14ac:dyDescent="0.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spans="1:26" ht="15.75" customHeight="1" x14ac:dyDescent="0.5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spans="1:26" ht="15.75" customHeight="1" x14ac:dyDescent="0.5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spans="1:26" ht="15.75" customHeight="1" x14ac:dyDescent="0.5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spans="1:26" ht="15.75" customHeight="1" x14ac:dyDescent="0.5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spans="1:26" ht="15.75" customHeight="1" x14ac:dyDescent="0.5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spans="1:26" ht="15.75" customHeight="1" x14ac:dyDescent="0.5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spans="1:26" ht="15.75" customHeight="1" x14ac:dyDescent="0.5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spans="1:26" ht="15.75" customHeight="1" x14ac:dyDescent="0.5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spans="1:26" ht="15.75" customHeight="1" x14ac:dyDescent="0.5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spans="1:26" ht="15.75" customHeight="1" x14ac:dyDescent="0.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spans="1:26" ht="15.75" customHeight="1" x14ac:dyDescent="0.5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spans="1:26" ht="15.75" customHeight="1" x14ac:dyDescent="0.5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spans="1:26" ht="15.75" customHeight="1" x14ac:dyDescent="0.5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spans="1:26" ht="15.75" customHeight="1" x14ac:dyDescent="0.5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spans="1:26" ht="15.75" customHeight="1" x14ac:dyDescent="0.5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spans="1:26" ht="15.75" customHeight="1" x14ac:dyDescent="0.5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spans="1:26" ht="15.75" customHeight="1" x14ac:dyDescent="0.5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spans="1:26" ht="15.75" customHeight="1" x14ac:dyDescent="0.5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spans="1:26" ht="15.75" customHeight="1" x14ac:dyDescent="0.5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spans="1:26" ht="15.75" customHeight="1" x14ac:dyDescent="0.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spans="1:26" ht="15.75" customHeight="1" x14ac:dyDescent="0.5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spans="1:26" ht="15.75" customHeight="1" x14ac:dyDescent="0.5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spans="1:26" ht="15.75" customHeight="1" x14ac:dyDescent="0.5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spans="1:26" ht="15.75" customHeight="1" x14ac:dyDescent="0.5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spans="1:26" ht="15.75" customHeight="1" x14ac:dyDescent="0.5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spans="1:26" ht="15.75" customHeight="1" x14ac:dyDescent="0.5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spans="1:26" ht="15.75" customHeight="1" x14ac:dyDescent="0.5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spans="1:26" ht="15.75" customHeight="1" x14ac:dyDescent="0.5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spans="1:26" ht="15.75" customHeight="1" x14ac:dyDescent="0.5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spans="1:26" ht="15.75" customHeight="1" x14ac:dyDescent="0.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spans="1:26" ht="15.75" customHeight="1" x14ac:dyDescent="0.5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spans="1:26" ht="15.75" customHeight="1" x14ac:dyDescent="0.5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spans="1:26" ht="15.75" customHeight="1" x14ac:dyDescent="0.5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spans="1:26" ht="15.75" customHeight="1" x14ac:dyDescent="0.5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spans="1:26" ht="15.75" customHeight="1" x14ac:dyDescent="0.5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spans="1:26" ht="15.75" customHeight="1" x14ac:dyDescent="0.5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spans="1:26" ht="15.75" customHeight="1" x14ac:dyDescent="0.5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spans="1:26" ht="15.75" customHeight="1" x14ac:dyDescent="0.5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spans="1:26" ht="15.75" customHeight="1" x14ac:dyDescent="0.5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spans="1:26" ht="15.75" customHeight="1" x14ac:dyDescent="0.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spans="1:26" ht="15.75" customHeight="1" x14ac:dyDescent="0.5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spans="1:26" ht="15.75" customHeight="1" x14ac:dyDescent="0.5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spans="1:26" ht="15.75" customHeight="1" x14ac:dyDescent="0.5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spans="1:26" ht="15.75" customHeight="1" x14ac:dyDescent="0.5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spans="1:26" ht="15.75" customHeight="1" x14ac:dyDescent="0.5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spans="1:26" ht="15.75" customHeight="1" x14ac:dyDescent="0.5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spans="1:26" ht="15.75" customHeight="1" x14ac:dyDescent="0.5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spans="1:26" ht="15.75" customHeight="1" x14ac:dyDescent="0.5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spans="1:26" ht="15.75" customHeight="1" x14ac:dyDescent="0.5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spans="1:26" ht="15.75" customHeight="1" x14ac:dyDescent="0.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spans="1:26" ht="15.75" customHeight="1" x14ac:dyDescent="0.5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spans="1:26" ht="15.75" customHeight="1" x14ac:dyDescent="0.5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spans="1:26" ht="15.75" customHeight="1" x14ac:dyDescent="0.5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spans="1:26" ht="15.75" customHeight="1" x14ac:dyDescent="0.5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spans="1:26" ht="15.75" customHeight="1" x14ac:dyDescent="0.5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spans="1:26" ht="15.75" customHeight="1" x14ac:dyDescent="0.5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spans="1:26" ht="15.75" customHeight="1" x14ac:dyDescent="0.5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spans="1:26" ht="15.75" customHeight="1" x14ac:dyDescent="0.5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spans="1:26" ht="15.75" customHeight="1" x14ac:dyDescent="0.5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spans="1:26" ht="15.75" customHeight="1" x14ac:dyDescent="0.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spans="1:26" ht="15.75" customHeight="1" x14ac:dyDescent="0.5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spans="1:26" ht="15.75" customHeight="1" x14ac:dyDescent="0.5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spans="1:26" ht="15.75" customHeight="1" x14ac:dyDescent="0.5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spans="1:26" ht="15.75" customHeight="1" x14ac:dyDescent="0.5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spans="1:26" ht="15.75" customHeight="1" x14ac:dyDescent="0.5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spans="1:26" ht="15.75" customHeight="1" x14ac:dyDescent="0.5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spans="1:26" ht="15.75" customHeight="1" x14ac:dyDescent="0.5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spans="1:26" ht="15.75" customHeight="1" x14ac:dyDescent="0.5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spans="1:26" ht="15.75" customHeight="1" x14ac:dyDescent="0.5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spans="1:26" ht="15.75" customHeight="1" x14ac:dyDescent="0.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spans="1:26" ht="15.75" customHeight="1" x14ac:dyDescent="0.5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spans="1:26" ht="15.75" customHeight="1" x14ac:dyDescent="0.5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spans="1:26" ht="15.75" customHeight="1" x14ac:dyDescent="0.5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spans="1:26" ht="15.75" customHeight="1" x14ac:dyDescent="0.5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spans="1:26" ht="15.75" customHeight="1" x14ac:dyDescent="0.5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spans="1:26" ht="15.75" customHeight="1" x14ac:dyDescent="0.5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spans="1:26" ht="15.75" customHeight="1" x14ac:dyDescent="0.5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spans="1:26" ht="15.75" customHeight="1" x14ac:dyDescent="0.5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spans="1:26" ht="15.75" customHeight="1" x14ac:dyDescent="0.5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spans="1:26" ht="15.75" customHeight="1" x14ac:dyDescent="0.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spans="1:26" ht="15.75" customHeight="1" x14ac:dyDescent="0.5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spans="1:26" ht="15.75" customHeight="1" x14ac:dyDescent="0.5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spans="1:26" ht="15.75" customHeight="1" x14ac:dyDescent="0.5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spans="1:26" ht="15.75" customHeight="1" x14ac:dyDescent="0.5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spans="1:26" ht="15.75" customHeight="1" x14ac:dyDescent="0.5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spans="1:26" ht="15.75" customHeight="1" x14ac:dyDescent="0.5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spans="1:26" ht="15.75" customHeight="1" x14ac:dyDescent="0.5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spans="1:26" ht="15.75" customHeight="1" x14ac:dyDescent="0.5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spans="1:26" ht="15.75" customHeight="1" x14ac:dyDescent="0.5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spans="1:26" ht="15.75" customHeight="1" x14ac:dyDescent="0.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spans="1:26" ht="15.75" customHeight="1" x14ac:dyDescent="0.5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spans="1:26" ht="15.75" customHeight="1" x14ac:dyDescent="0.5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spans="1:26" ht="15.75" customHeight="1" x14ac:dyDescent="0.5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spans="1:26" ht="15.75" customHeight="1" x14ac:dyDescent="0.5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spans="1:26" ht="15.75" customHeight="1" x14ac:dyDescent="0.5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spans="1:26" ht="15.75" customHeight="1" x14ac:dyDescent="0.5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spans="1:26" ht="15.75" customHeight="1" x14ac:dyDescent="0.5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spans="1:26" ht="15.75" customHeight="1" x14ac:dyDescent="0.5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spans="1:26" ht="15.75" customHeight="1" x14ac:dyDescent="0.5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spans="1:26" ht="15.75" customHeight="1" x14ac:dyDescent="0.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spans="1:26" ht="15.75" customHeight="1" x14ac:dyDescent="0.5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spans="1:26" ht="15.75" customHeight="1" x14ac:dyDescent="0.5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spans="1:26" ht="15.75" customHeight="1" x14ac:dyDescent="0.5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spans="1:26" ht="15.75" customHeight="1" x14ac:dyDescent="0.5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spans="1:26" ht="15.75" customHeight="1" x14ac:dyDescent="0.5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spans="1:26" ht="15.75" customHeight="1" x14ac:dyDescent="0.5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spans="1:26" ht="15.75" customHeight="1" x14ac:dyDescent="0.5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spans="1:26" ht="15.75" customHeight="1" x14ac:dyDescent="0.5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spans="1:26" ht="15.75" customHeight="1" x14ac:dyDescent="0.5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spans="1:26" ht="15.75" customHeight="1" x14ac:dyDescent="0.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spans="1:26" ht="15.75" customHeight="1" x14ac:dyDescent="0.5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spans="1:26" ht="15.75" customHeight="1" x14ac:dyDescent="0.5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spans="1:26" ht="15.75" customHeight="1" x14ac:dyDescent="0.5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spans="1:26" ht="15.75" customHeight="1" x14ac:dyDescent="0.5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spans="1:26" ht="15.75" customHeight="1" x14ac:dyDescent="0.5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spans="1:26" ht="15.75" customHeight="1" x14ac:dyDescent="0.5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spans="1:26" ht="15.75" customHeight="1" x14ac:dyDescent="0.5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spans="1:26" ht="15.75" customHeight="1" x14ac:dyDescent="0.5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spans="1:26" ht="15.75" customHeight="1" x14ac:dyDescent="0.5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spans="1:26" ht="15.75" customHeight="1" x14ac:dyDescent="0.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spans="1:26" ht="15.75" customHeight="1" x14ac:dyDescent="0.5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spans="1:26" ht="15.75" customHeight="1" x14ac:dyDescent="0.5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spans="1:26" ht="15.75" customHeight="1" x14ac:dyDescent="0.5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spans="1:26" ht="15.75" customHeight="1" x14ac:dyDescent="0.5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spans="1:26" ht="15.75" customHeight="1" x14ac:dyDescent="0.5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spans="1:26" ht="15.75" customHeight="1" x14ac:dyDescent="0.5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spans="1:26" ht="15.75" customHeight="1" x14ac:dyDescent="0.5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spans="1:26" ht="15.75" customHeight="1" x14ac:dyDescent="0.5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spans="1:26" ht="15.75" customHeight="1" x14ac:dyDescent="0.5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spans="1:26" ht="15.75" customHeight="1" x14ac:dyDescent="0.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spans="1:26" ht="15.75" customHeight="1" x14ac:dyDescent="0.5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spans="1:26" ht="15.75" customHeight="1" x14ac:dyDescent="0.5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spans="1:26" ht="15.75" customHeight="1" x14ac:dyDescent="0.5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spans="1:26" ht="15.75" customHeight="1" x14ac:dyDescent="0.5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spans="1:26" ht="15.75" customHeight="1" x14ac:dyDescent="0.5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mergeCells count="92">
    <mergeCell ref="D12:F12"/>
    <mergeCell ref="G12:H12"/>
    <mergeCell ref="I12:J12"/>
    <mergeCell ref="D13:F13"/>
    <mergeCell ref="G13:H13"/>
    <mergeCell ref="I13:J13"/>
    <mergeCell ref="D14:F14"/>
    <mergeCell ref="G16:H16"/>
    <mergeCell ref="I16:J16"/>
    <mergeCell ref="I18:J18"/>
    <mergeCell ref="I19:J19"/>
    <mergeCell ref="G14:H14"/>
    <mergeCell ref="I14:J14"/>
    <mergeCell ref="I21:J21"/>
    <mergeCell ref="B15:B17"/>
    <mergeCell ref="D15:F15"/>
    <mergeCell ref="G15:H15"/>
    <mergeCell ref="I15:J15"/>
    <mergeCell ref="D16:F16"/>
    <mergeCell ref="I17:J17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D20:F20"/>
    <mergeCell ref="G20:H20"/>
    <mergeCell ref="D21:F21"/>
    <mergeCell ref="G21:H21"/>
    <mergeCell ref="L15:M15"/>
    <mergeCell ref="L16:M16"/>
    <mergeCell ref="L17:M17"/>
    <mergeCell ref="L18:M18"/>
    <mergeCell ref="L4:M4"/>
    <mergeCell ref="L5:M5"/>
    <mergeCell ref="L11:M11"/>
    <mergeCell ref="L12:M12"/>
    <mergeCell ref="L13:M13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L14:M14"/>
    <mergeCell ref="J6:K6"/>
    <mergeCell ref="L6:M6"/>
    <mergeCell ref="D7:E7"/>
    <mergeCell ref="F7:G7"/>
    <mergeCell ref="L7:M7"/>
    <mergeCell ref="B7:C7"/>
    <mergeCell ref="B8:C8"/>
    <mergeCell ref="B9:D9"/>
    <mergeCell ref="B6:C6"/>
    <mergeCell ref="D6:I6"/>
    <mergeCell ref="E9:F9"/>
    <mergeCell ref="D11:F11"/>
    <mergeCell ref="G11:H11"/>
    <mergeCell ref="I11:J11"/>
    <mergeCell ref="D28:G28"/>
    <mergeCell ref="H28:I28"/>
    <mergeCell ref="D23:M25"/>
    <mergeCell ref="B26:M26"/>
    <mergeCell ref="B27:C27"/>
    <mergeCell ref="D27:G27"/>
    <mergeCell ref="H27:I27"/>
    <mergeCell ref="J27:M27"/>
    <mergeCell ref="B28:C28"/>
    <mergeCell ref="J28:M28"/>
    <mergeCell ref="B11:C11"/>
    <mergeCell ref="B12:B14"/>
    <mergeCell ref="L19:M19"/>
    <mergeCell ref="B29:C29"/>
    <mergeCell ref="D29:G29"/>
    <mergeCell ref="H29:I29"/>
    <mergeCell ref="J29:M29"/>
    <mergeCell ref="B30:M30"/>
  </mergeCells>
  <pageMargins left="0.25" right="0.25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798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3984375" customWidth="1"/>
    <col min="3" max="3" width="24.265625" customWidth="1"/>
    <col min="4" max="4" width="13.265625" customWidth="1"/>
    <col min="5" max="5" width="12.265625" customWidth="1"/>
    <col min="6" max="6" width="0.3984375" customWidth="1"/>
    <col min="7" max="7" width="17.265625" customWidth="1"/>
    <col min="8" max="8" width="19.265625" customWidth="1"/>
    <col min="9" max="9" width="11.1328125" customWidth="1"/>
    <col min="10" max="10" width="27.3984375" customWidth="1"/>
    <col min="11" max="22" width="11.3984375" customWidth="1"/>
  </cols>
  <sheetData>
    <row r="1" spans="1:26" ht="14.25" customHeight="1" x14ac:dyDescent="0.45">
      <c r="A1" s="69"/>
      <c r="B1" s="432"/>
      <c r="C1" s="434" t="s">
        <v>0</v>
      </c>
      <c r="D1" s="201"/>
      <c r="E1" s="201"/>
      <c r="F1" s="255"/>
      <c r="G1" s="109" t="s">
        <v>1</v>
      </c>
      <c r="H1" s="261" t="s">
        <v>367</v>
      </c>
      <c r="I1" s="212"/>
      <c r="J1" s="92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ht="12.75" customHeight="1" x14ac:dyDescent="0.45">
      <c r="A2" s="69"/>
      <c r="B2" s="422"/>
      <c r="C2" s="266"/>
      <c r="D2" s="203"/>
      <c r="E2" s="203"/>
      <c r="F2" s="232"/>
      <c r="G2" s="9" t="s">
        <v>3</v>
      </c>
      <c r="H2" s="278">
        <v>1</v>
      </c>
      <c r="I2" s="187"/>
      <c r="J2" s="23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ht="13.5" customHeight="1" x14ac:dyDescent="0.45">
      <c r="A3" s="69"/>
      <c r="B3" s="422"/>
      <c r="C3" s="267"/>
      <c r="D3" s="195"/>
      <c r="E3" s="195"/>
      <c r="F3" s="252"/>
      <c r="G3" s="9" t="s">
        <v>5</v>
      </c>
      <c r="H3" s="235" t="s">
        <v>6</v>
      </c>
      <c r="I3" s="187"/>
      <c r="J3" s="92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ht="19.5" customHeight="1" x14ac:dyDescent="0.45">
      <c r="A4" s="69"/>
      <c r="B4" s="422"/>
      <c r="C4" s="248" t="s">
        <v>368</v>
      </c>
      <c r="D4" s="203"/>
      <c r="E4" s="203"/>
      <c r="F4" s="232"/>
      <c r="G4" s="342" t="s">
        <v>7</v>
      </c>
      <c r="H4" s="235" t="s">
        <v>8</v>
      </c>
      <c r="I4" s="187"/>
      <c r="J4" s="92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15" customHeight="1" x14ac:dyDescent="0.45">
      <c r="A5" s="69"/>
      <c r="B5" s="433"/>
      <c r="C5" s="198"/>
      <c r="D5" s="198"/>
      <c r="E5" s="198"/>
      <c r="F5" s="435"/>
      <c r="G5" s="440"/>
      <c r="H5" s="438" t="s">
        <v>9</v>
      </c>
      <c r="I5" s="209"/>
      <c r="J5" s="110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15.75" customHeight="1" x14ac:dyDescent="0.45">
      <c r="A6" s="69"/>
      <c r="B6" s="111" t="s">
        <v>369</v>
      </c>
      <c r="C6" s="436" t="str">
        <f>'LISTA CHEQUEO'!$M$8</f>
        <v>OP-SS-128</v>
      </c>
      <c r="D6" s="195"/>
      <c r="E6" s="195"/>
      <c r="F6" s="252"/>
      <c r="G6" s="112" t="s">
        <v>180</v>
      </c>
      <c r="H6" s="439"/>
      <c r="I6" s="252"/>
      <c r="J6" s="113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15.75" customHeight="1" x14ac:dyDescent="0.45">
      <c r="A7" s="69"/>
      <c r="B7" s="114" t="s">
        <v>370</v>
      </c>
      <c r="C7" s="429" t="str">
        <f>'LISTA CHEQUEO'!$F$7</f>
        <v>LIMPIADOR ILUMINADOR ACIDO KOJICO</v>
      </c>
      <c r="D7" s="186"/>
      <c r="E7" s="186"/>
      <c r="F7" s="189"/>
      <c r="G7" s="115" t="s">
        <v>371</v>
      </c>
      <c r="H7" s="437" t="str">
        <f>'LISTA CHEQUEO'!$F$8</f>
        <v>252601</v>
      </c>
      <c r="I7" s="252"/>
      <c r="J7" s="113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15.75" customHeight="1" x14ac:dyDescent="0.45">
      <c r="A8" s="69"/>
      <c r="B8" s="114" t="s">
        <v>372</v>
      </c>
      <c r="C8" s="429" t="str">
        <f>OP!B15</f>
        <v>AGUA DESIONIZADA</v>
      </c>
      <c r="D8" s="186"/>
      <c r="E8" s="186"/>
      <c r="F8" s="189"/>
      <c r="G8" s="116" t="s">
        <v>373</v>
      </c>
      <c r="H8" s="436">
        <f>OP!J15</f>
        <v>20250917</v>
      </c>
      <c r="I8" s="252"/>
      <c r="J8" s="113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ht="15.75" customHeight="1" x14ac:dyDescent="0.45">
      <c r="A9" s="69"/>
      <c r="B9" s="117" t="s">
        <v>374</v>
      </c>
      <c r="C9" s="430">
        <f>OP!N15</f>
        <v>142300</v>
      </c>
      <c r="D9" s="195"/>
      <c r="E9" s="195"/>
      <c r="F9" s="195"/>
      <c r="G9" s="118"/>
      <c r="H9" s="113"/>
      <c r="I9" s="119"/>
      <c r="J9" s="113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15.75" customHeight="1" x14ac:dyDescent="0.45">
      <c r="A10" s="69"/>
      <c r="B10" s="117" t="s">
        <v>375</v>
      </c>
      <c r="C10" s="431"/>
      <c r="D10" s="195"/>
      <c r="E10" s="195"/>
      <c r="F10" s="195"/>
      <c r="G10" s="113"/>
      <c r="H10" s="113"/>
      <c r="I10" s="119"/>
      <c r="J10" s="113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15.75" customHeight="1" x14ac:dyDescent="0.45">
      <c r="A11" s="69"/>
      <c r="B11" s="117" t="s">
        <v>376</v>
      </c>
      <c r="C11" s="431"/>
      <c r="D11" s="195"/>
      <c r="E11" s="195"/>
      <c r="F11" s="195"/>
      <c r="G11" s="118" t="s">
        <v>377</v>
      </c>
      <c r="H11" s="120"/>
      <c r="I11" s="121"/>
      <c r="J11" s="113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 ht="15.75" customHeight="1" x14ac:dyDescent="0.45">
      <c r="A12" s="69"/>
      <c r="B12" s="117" t="s">
        <v>378</v>
      </c>
      <c r="C12" s="431"/>
      <c r="D12" s="195"/>
      <c r="E12" s="195"/>
      <c r="F12" s="195"/>
      <c r="G12" s="118" t="s">
        <v>178</v>
      </c>
      <c r="H12" s="120"/>
      <c r="I12" s="121"/>
      <c r="J12" s="113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ht="15.75" customHeight="1" x14ac:dyDescent="0.45">
      <c r="A13" s="69"/>
      <c r="B13" s="122" t="s">
        <v>379</v>
      </c>
      <c r="C13" s="123"/>
      <c r="D13" s="123"/>
      <c r="E13" s="123"/>
      <c r="F13" s="124"/>
      <c r="G13" s="123"/>
      <c r="H13" s="123"/>
      <c r="I13" s="125"/>
      <c r="J13" s="113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ht="15.75" customHeight="1" x14ac:dyDescent="0.45">
      <c r="A14" s="69"/>
      <c r="B14" s="12"/>
      <c r="C14" s="12"/>
      <c r="D14" s="12"/>
      <c r="E14" s="12"/>
      <c r="F14" s="12"/>
      <c r="G14" s="12"/>
      <c r="H14" s="12"/>
      <c r="I14" s="12"/>
      <c r="J14" s="12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 ht="15.75" customHeight="1" x14ac:dyDescent="0.45">
      <c r="A15" s="69"/>
      <c r="B15" s="12"/>
      <c r="C15" s="12"/>
      <c r="D15" s="126"/>
      <c r="E15" s="12"/>
      <c r="F15" s="12"/>
      <c r="G15" s="12"/>
      <c r="H15" s="12"/>
      <c r="I15" s="12"/>
      <c r="J15" s="12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15.75" customHeight="1" x14ac:dyDescent="0.45">
      <c r="A16" s="69"/>
      <c r="B16" s="432"/>
      <c r="C16" s="434" t="s">
        <v>0</v>
      </c>
      <c r="D16" s="201"/>
      <c r="E16" s="201"/>
      <c r="F16" s="255"/>
      <c r="G16" s="109" t="s">
        <v>1</v>
      </c>
      <c r="H16" s="261" t="s">
        <v>367</v>
      </c>
      <c r="I16" s="212"/>
      <c r="J16" s="12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15.75" customHeight="1" x14ac:dyDescent="0.45">
      <c r="A17" s="69"/>
      <c r="B17" s="422"/>
      <c r="C17" s="266"/>
      <c r="D17" s="203"/>
      <c r="E17" s="203"/>
      <c r="F17" s="232"/>
      <c r="G17" s="9" t="s">
        <v>3</v>
      </c>
      <c r="H17" s="278">
        <v>1</v>
      </c>
      <c r="I17" s="187"/>
      <c r="J17" s="12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15.75" customHeight="1" x14ac:dyDescent="0.45">
      <c r="A18" s="69"/>
      <c r="B18" s="422"/>
      <c r="C18" s="267"/>
      <c r="D18" s="195"/>
      <c r="E18" s="195"/>
      <c r="F18" s="252"/>
      <c r="G18" s="9" t="s">
        <v>5</v>
      </c>
      <c r="H18" s="235" t="s">
        <v>6</v>
      </c>
      <c r="I18" s="187"/>
      <c r="J18" s="12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15.75" customHeight="1" x14ac:dyDescent="0.45">
      <c r="A19" s="69"/>
      <c r="B19" s="422"/>
      <c r="C19" s="443" t="s">
        <v>368</v>
      </c>
      <c r="D19" s="203"/>
      <c r="E19" s="203"/>
      <c r="F19" s="232"/>
      <c r="G19" s="342" t="s">
        <v>7</v>
      </c>
      <c r="H19" s="235" t="s">
        <v>8</v>
      </c>
      <c r="I19" s="187"/>
      <c r="J19" s="12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15.75" customHeight="1" x14ac:dyDescent="0.45">
      <c r="A20" s="69"/>
      <c r="B20" s="433"/>
      <c r="C20" s="198"/>
      <c r="D20" s="198"/>
      <c r="E20" s="198"/>
      <c r="F20" s="435"/>
      <c r="G20" s="440"/>
      <c r="H20" s="438" t="s">
        <v>9</v>
      </c>
      <c r="I20" s="209"/>
      <c r="J20" s="12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15.75" customHeight="1" x14ac:dyDescent="0.45">
      <c r="A21" s="69"/>
      <c r="B21" s="111" t="s">
        <v>369</v>
      </c>
      <c r="C21" s="436" t="str">
        <f>'LISTA CHEQUEO'!$M$8</f>
        <v>OP-SS-128</v>
      </c>
      <c r="D21" s="195"/>
      <c r="E21" s="195"/>
      <c r="F21" s="252"/>
      <c r="G21" s="112" t="s">
        <v>180</v>
      </c>
      <c r="H21" s="439"/>
      <c r="I21" s="252"/>
      <c r="J21" s="12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15.75" customHeight="1" x14ac:dyDescent="0.45">
      <c r="A22" s="69"/>
      <c r="B22" s="114" t="s">
        <v>370</v>
      </c>
      <c r="C22" s="429" t="str">
        <f>'LISTA CHEQUEO'!$F$7</f>
        <v>LIMPIADOR ILUMINADOR ACIDO KOJICO</v>
      </c>
      <c r="D22" s="186"/>
      <c r="E22" s="186"/>
      <c r="F22" s="189"/>
      <c r="G22" s="115" t="s">
        <v>371</v>
      </c>
      <c r="H22" s="437" t="str">
        <f>'LISTA CHEQUEO'!$F$8</f>
        <v>252601</v>
      </c>
      <c r="I22" s="252"/>
      <c r="J22" s="12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15.75" customHeight="1" x14ac:dyDescent="0.45">
      <c r="A23" s="69"/>
      <c r="B23" s="114" t="s">
        <v>372</v>
      </c>
      <c r="C23" s="429" t="str">
        <f>OP!B16</f>
        <v>GLICERINA</v>
      </c>
      <c r="D23" s="186"/>
      <c r="E23" s="186"/>
      <c r="F23" s="189"/>
      <c r="G23" s="116" t="s">
        <v>373</v>
      </c>
      <c r="H23" s="436" t="str">
        <f>OP!J16</f>
        <v>M429751120241</v>
      </c>
      <c r="I23" s="252"/>
      <c r="J23" s="12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15.75" customHeight="1" x14ac:dyDescent="0.45">
      <c r="A24" s="69"/>
      <c r="B24" s="117" t="s">
        <v>374</v>
      </c>
      <c r="C24" s="430">
        <f>OP!N16</f>
        <v>20000</v>
      </c>
      <c r="D24" s="195"/>
      <c r="E24" s="195"/>
      <c r="F24" s="195"/>
      <c r="G24" s="118"/>
      <c r="H24" s="113"/>
      <c r="I24" s="119"/>
      <c r="J24" s="12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15.75" customHeight="1" x14ac:dyDescent="0.45">
      <c r="A25" s="69"/>
      <c r="B25" s="117" t="s">
        <v>375</v>
      </c>
      <c r="C25" s="441"/>
      <c r="D25" s="195"/>
      <c r="E25" s="195"/>
      <c r="F25" s="195"/>
      <c r="G25" s="113"/>
      <c r="H25" s="113"/>
      <c r="I25" s="119"/>
      <c r="J25" s="12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15.75" customHeight="1" x14ac:dyDescent="0.45">
      <c r="A26" s="69"/>
      <c r="B26" s="117" t="s">
        <v>376</v>
      </c>
      <c r="C26" s="441"/>
      <c r="D26" s="195"/>
      <c r="E26" s="195"/>
      <c r="F26" s="195"/>
      <c r="G26" s="118" t="s">
        <v>377</v>
      </c>
      <c r="H26" s="120"/>
      <c r="I26" s="121"/>
      <c r="J26" s="12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15.75" customHeight="1" x14ac:dyDescent="0.45">
      <c r="A27" s="69"/>
      <c r="B27" s="117" t="s">
        <v>378</v>
      </c>
      <c r="C27" s="441"/>
      <c r="D27" s="195"/>
      <c r="E27" s="195"/>
      <c r="F27" s="195"/>
      <c r="G27" s="118" t="s">
        <v>178</v>
      </c>
      <c r="H27" s="120"/>
      <c r="I27" s="121"/>
      <c r="J27" s="12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15.75" customHeight="1" x14ac:dyDescent="0.45">
      <c r="A28" s="69"/>
      <c r="B28" s="122" t="s">
        <v>379</v>
      </c>
      <c r="C28" s="127"/>
      <c r="D28" s="127"/>
      <c r="E28" s="127"/>
      <c r="F28" s="128"/>
      <c r="G28" s="123"/>
      <c r="H28" s="123"/>
      <c r="I28" s="125"/>
      <c r="J28" s="12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15.75" customHeight="1" x14ac:dyDescent="0.45">
      <c r="A29" s="69"/>
      <c r="B29" s="12"/>
      <c r="C29" s="129"/>
      <c r="D29" s="129"/>
      <c r="E29" s="129"/>
      <c r="F29" s="129"/>
      <c r="G29" s="12"/>
      <c r="H29" s="12"/>
      <c r="I29" s="12"/>
      <c r="J29" s="12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15.75" customHeight="1" x14ac:dyDescent="0.45">
      <c r="A30" s="69"/>
      <c r="B30" s="12"/>
      <c r="C30" s="129"/>
      <c r="D30" s="129"/>
      <c r="E30" s="129"/>
      <c r="F30" s="129"/>
      <c r="G30" s="12"/>
      <c r="H30" s="12"/>
      <c r="I30" s="12"/>
      <c r="J30" s="12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15.75" customHeight="1" x14ac:dyDescent="0.45">
      <c r="A31" s="69"/>
      <c r="B31" s="445"/>
      <c r="C31" s="448" t="s">
        <v>0</v>
      </c>
      <c r="D31" s="201"/>
      <c r="E31" s="201"/>
      <c r="F31" s="217"/>
      <c r="G31" s="131" t="s">
        <v>1</v>
      </c>
      <c r="H31" s="245" t="s">
        <v>367</v>
      </c>
      <c r="I31" s="240"/>
      <c r="J31" s="12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15.75" customHeight="1" x14ac:dyDescent="0.45">
      <c r="A32" s="69"/>
      <c r="B32" s="446"/>
      <c r="C32" s="244"/>
      <c r="D32" s="203"/>
      <c r="E32" s="203"/>
      <c r="F32" s="238"/>
      <c r="G32" s="131" t="s">
        <v>3</v>
      </c>
      <c r="H32" s="449">
        <v>1</v>
      </c>
      <c r="I32" s="240"/>
      <c r="J32" s="12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5.75" customHeight="1" x14ac:dyDescent="0.45">
      <c r="A33" s="69"/>
      <c r="B33" s="446"/>
      <c r="C33" s="218"/>
      <c r="D33" s="198"/>
      <c r="E33" s="198"/>
      <c r="F33" s="199"/>
      <c r="G33" s="131" t="s">
        <v>5</v>
      </c>
      <c r="H33" s="245" t="s">
        <v>6</v>
      </c>
      <c r="I33" s="240"/>
      <c r="J33" s="12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15.75" customHeight="1" x14ac:dyDescent="0.45">
      <c r="A34" s="69"/>
      <c r="B34" s="446"/>
      <c r="C34" s="448" t="s">
        <v>368</v>
      </c>
      <c r="D34" s="201"/>
      <c r="E34" s="201"/>
      <c r="F34" s="217"/>
      <c r="G34" s="450" t="s">
        <v>7</v>
      </c>
      <c r="H34" s="245" t="s">
        <v>8</v>
      </c>
      <c r="I34" s="240"/>
      <c r="J34" s="12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15.75" customHeight="1" x14ac:dyDescent="0.45">
      <c r="A35" s="69"/>
      <c r="B35" s="447"/>
      <c r="C35" s="218"/>
      <c r="D35" s="198"/>
      <c r="E35" s="198"/>
      <c r="F35" s="199"/>
      <c r="G35" s="447"/>
      <c r="H35" s="444" t="s">
        <v>9</v>
      </c>
      <c r="I35" s="240"/>
      <c r="J35" s="12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15.75" customHeight="1" x14ac:dyDescent="0.45">
      <c r="A36" s="69"/>
      <c r="B36" s="111" t="s">
        <v>369</v>
      </c>
      <c r="C36" s="436" t="str">
        <f>'LISTA CHEQUEO'!$M$8</f>
        <v>OP-SS-128</v>
      </c>
      <c r="D36" s="195"/>
      <c r="E36" s="195"/>
      <c r="F36" s="252"/>
      <c r="G36" s="112" t="s">
        <v>180</v>
      </c>
      <c r="H36" s="439"/>
      <c r="I36" s="252"/>
      <c r="J36" s="12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15.75" customHeight="1" x14ac:dyDescent="0.45">
      <c r="A37" s="69"/>
      <c r="B37" s="114" t="s">
        <v>370</v>
      </c>
      <c r="C37" s="429" t="str">
        <f>'LISTA CHEQUEO'!$F$7</f>
        <v>LIMPIADOR ILUMINADOR ACIDO KOJICO</v>
      </c>
      <c r="D37" s="186"/>
      <c r="E37" s="186"/>
      <c r="F37" s="189"/>
      <c r="G37" s="115" t="s">
        <v>371</v>
      </c>
      <c r="H37" s="437" t="str">
        <f>'LISTA CHEQUEO'!$F$8</f>
        <v>252601</v>
      </c>
      <c r="I37" s="252"/>
      <c r="J37" s="12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5.75" customHeight="1" x14ac:dyDescent="0.45">
      <c r="A38" s="69"/>
      <c r="B38" s="114" t="s">
        <v>372</v>
      </c>
      <c r="C38" s="429" t="str">
        <f>OP!B17</f>
        <v>PROPILENGLICOL</v>
      </c>
      <c r="D38" s="186"/>
      <c r="E38" s="186"/>
      <c r="F38" s="189"/>
      <c r="G38" s="116" t="s">
        <v>373</v>
      </c>
      <c r="H38" s="436" t="str">
        <f>OP!J17</f>
        <v>D357P4J1B4</v>
      </c>
      <c r="I38" s="252"/>
      <c r="J38" s="12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5.75" customHeight="1" x14ac:dyDescent="0.45">
      <c r="A39" s="69"/>
      <c r="B39" s="117" t="s">
        <v>374</v>
      </c>
      <c r="C39" s="430">
        <f>OP!N17</f>
        <v>10000</v>
      </c>
      <c r="D39" s="195"/>
      <c r="E39" s="195"/>
      <c r="F39" s="195"/>
      <c r="G39" s="118"/>
      <c r="H39" s="113"/>
      <c r="I39" s="119"/>
      <c r="J39" s="12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5.75" customHeight="1" x14ac:dyDescent="0.45">
      <c r="A40" s="69"/>
      <c r="B40" s="117" t="s">
        <v>375</v>
      </c>
      <c r="C40" s="441"/>
      <c r="D40" s="195"/>
      <c r="E40" s="195"/>
      <c r="F40" s="195"/>
      <c r="G40" s="113"/>
      <c r="H40" s="113"/>
      <c r="I40" s="119"/>
      <c r="J40" s="12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5.75" customHeight="1" x14ac:dyDescent="0.45">
      <c r="A41" s="69"/>
      <c r="B41" s="117" t="s">
        <v>376</v>
      </c>
      <c r="C41" s="441"/>
      <c r="D41" s="195"/>
      <c r="E41" s="195"/>
      <c r="F41" s="195"/>
      <c r="G41" s="118" t="s">
        <v>377</v>
      </c>
      <c r="H41" s="120"/>
      <c r="I41" s="121"/>
      <c r="J41" s="12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5.75" customHeight="1" x14ac:dyDescent="0.45">
      <c r="A42" s="69"/>
      <c r="B42" s="117" t="s">
        <v>378</v>
      </c>
      <c r="C42" s="441"/>
      <c r="D42" s="195"/>
      <c r="E42" s="195"/>
      <c r="F42" s="195"/>
      <c r="G42" s="118" t="s">
        <v>178</v>
      </c>
      <c r="H42" s="120"/>
      <c r="I42" s="121"/>
      <c r="J42" s="12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5.75" customHeight="1" x14ac:dyDescent="0.45">
      <c r="A43" s="69"/>
      <c r="B43" s="122" t="s">
        <v>379</v>
      </c>
      <c r="C43" s="127"/>
      <c r="D43" s="127"/>
      <c r="E43" s="127"/>
      <c r="F43" s="128"/>
      <c r="G43" s="123"/>
      <c r="H43" s="123"/>
      <c r="I43" s="125"/>
      <c r="J43" s="12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5.75" customHeight="1" x14ac:dyDescent="0.45">
      <c r="A44" s="69"/>
      <c r="B44" s="12"/>
      <c r="C44" s="129"/>
      <c r="D44" s="129"/>
      <c r="E44" s="129"/>
      <c r="F44" s="129"/>
      <c r="G44" s="12"/>
      <c r="H44" s="12"/>
      <c r="I44" s="12"/>
      <c r="J44" s="12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5.75" customHeight="1" x14ac:dyDescent="0.45">
      <c r="A45" s="69"/>
      <c r="B45" s="432"/>
      <c r="C45" s="442" t="s">
        <v>0</v>
      </c>
      <c r="D45" s="201"/>
      <c r="E45" s="201"/>
      <c r="F45" s="255"/>
      <c r="G45" s="109" t="s">
        <v>1</v>
      </c>
      <c r="H45" s="261" t="s">
        <v>367</v>
      </c>
      <c r="I45" s="212"/>
      <c r="J45" s="12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5.75" customHeight="1" x14ac:dyDescent="0.45">
      <c r="A46" s="69"/>
      <c r="B46" s="422"/>
      <c r="C46" s="266"/>
      <c r="D46" s="203"/>
      <c r="E46" s="203"/>
      <c r="F46" s="232"/>
      <c r="G46" s="9" t="s">
        <v>3</v>
      </c>
      <c r="H46" s="278">
        <v>1</v>
      </c>
      <c r="I46" s="187"/>
      <c r="J46" s="12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5.75" customHeight="1" x14ac:dyDescent="0.45">
      <c r="A47" s="69"/>
      <c r="B47" s="422"/>
      <c r="C47" s="267"/>
      <c r="D47" s="195"/>
      <c r="E47" s="195"/>
      <c r="F47" s="252"/>
      <c r="G47" s="9" t="s">
        <v>5</v>
      </c>
      <c r="H47" s="235" t="s">
        <v>6</v>
      </c>
      <c r="I47" s="187"/>
      <c r="J47" s="12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5.75" customHeight="1" x14ac:dyDescent="0.45">
      <c r="A48" s="69"/>
      <c r="B48" s="422"/>
      <c r="C48" s="443" t="s">
        <v>368</v>
      </c>
      <c r="D48" s="203"/>
      <c r="E48" s="203"/>
      <c r="F48" s="232"/>
      <c r="G48" s="342" t="s">
        <v>7</v>
      </c>
      <c r="H48" s="235" t="s">
        <v>8</v>
      </c>
      <c r="I48" s="187"/>
      <c r="J48" s="12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5.75" customHeight="1" x14ac:dyDescent="0.45">
      <c r="A49" s="69"/>
      <c r="B49" s="433"/>
      <c r="C49" s="198"/>
      <c r="D49" s="198"/>
      <c r="E49" s="198"/>
      <c r="F49" s="435"/>
      <c r="G49" s="440"/>
      <c r="H49" s="438" t="s">
        <v>9</v>
      </c>
      <c r="I49" s="209"/>
      <c r="J49" s="12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5.75" customHeight="1" x14ac:dyDescent="0.45">
      <c r="A50" s="69"/>
      <c r="B50" s="111" t="s">
        <v>369</v>
      </c>
      <c r="C50" s="436" t="str">
        <f>'LISTA CHEQUEO'!$M$8</f>
        <v>OP-SS-128</v>
      </c>
      <c r="D50" s="195"/>
      <c r="E50" s="195"/>
      <c r="F50" s="252"/>
      <c r="G50" s="112" t="s">
        <v>180</v>
      </c>
      <c r="H50" s="439"/>
      <c r="I50" s="252"/>
      <c r="J50" s="12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5.75" customHeight="1" x14ac:dyDescent="0.45">
      <c r="A51" s="69"/>
      <c r="B51" s="114" t="s">
        <v>370</v>
      </c>
      <c r="C51" s="429" t="str">
        <f>'LISTA CHEQUEO'!$F$7</f>
        <v>LIMPIADOR ILUMINADOR ACIDO KOJICO</v>
      </c>
      <c r="D51" s="186"/>
      <c r="E51" s="186"/>
      <c r="F51" s="189"/>
      <c r="G51" s="115" t="s">
        <v>371</v>
      </c>
      <c r="H51" s="437" t="str">
        <f>'LISTA CHEQUEO'!$F$8</f>
        <v>252601</v>
      </c>
      <c r="I51" s="252"/>
      <c r="J51" s="12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5.75" customHeight="1" x14ac:dyDescent="0.45">
      <c r="A52" s="69"/>
      <c r="B52" s="114" t="s">
        <v>372</v>
      </c>
      <c r="C52" s="429" t="str">
        <f>OP!B18</f>
        <v>AOS 40</v>
      </c>
      <c r="D52" s="186"/>
      <c r="E52" s="186"/>
      <c r="F52" s="189"/>
      <c r="G52" s="116" t="s">
        <v>373</v>
      </c>
      <c r="H52" s="436" t="str">
        <f>OP!J18</f>
        <v>C24F26-874</v>
      </c>
      <c r="I52" s="252"/>
      <c r="J52" s="12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5.75" customHeight="1" x14ac:dyDescent="0.45">
      <c r="A53" s="69"/>
      <c r="B53" s="117" t="s">
        <v>374</v>
      </c>
      <c r="C53" s="430">
        <f>OP!N18</f>
        <v>8000</v>
      </c>
      <c r="D53" s="195"/>
      <c r="E53" s="195"/>
      <c r="F53" s="195"/>
      <c r="G53" s="118"/>
      <c r="H53" s="113"/>
      <c r="I53" s="119"/>
      <c r="J53" s="12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5.75" customHeight="1" x14ac:dyDescent="0.45">
      <c r="A54" s="69"/>
      <c r="B54" s="117" t="s">
        <v>375</v>
      </c>
      <c r="C54" s="441"/>
      <c r="D54" s="195"/>
      <c r="E54" s="195"/>
      <c r="F54" s="195"/>
      <c r="G54" s="113"/>
      <c r="H54" s="113"/>
      <c r="I54" s="119"/>
      <c r="J54" s="12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5.75" customHeight="1" x14ac:dyDescent="0.45">
      <c r="A55" s="69"/>
      <c r="B55" s="117" t="s">
        <v>376</v>
      </c>
      <c r="C55" s="441"/>
      <c r="D55" s="195"/>
      <c r="E55" s="195"/>
      <c r="F55" s="195"/>
      <c r="G55" s="118" t="s">
        <v>377</v>
      </c>
      <c r="H55" s="120"/>
      <c r="I55" s="121"/>
      <c r="J55" s="12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5.75" customHeight="1" x14ac:dyDescent="0.45">
      <c r="A56" s="69"/>
      <c r="B56" s="117" t="s">
        <v>378</v>
      </c>
      <c r="C56" s="441"/>
      <c r="D56" s="195"/>
      <c r="E56" s="195"/>
      <c r="F56" s="195"/>
      <c r="G56" s="118" t="s">
        <v>178</v>
      </c>
      <c r="H56" s="120"/>
      <c r="I56" s="121"/>
      <c r="J56" s="12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5.75" customHeight="1" x14ac:dyDescent="0.45">
      <c r="A57" s="69"/>
      <c r="B57" s="122" t="s">
        <v>379</v>
      </c>
      <c r="C57" s="127"/>
      <c r="D57" s="127"/>
      <c r="E57" s="127"/>
      <c r="F57" s="128"/>
      <c r="G57" s="123"/>
      <c r="H57" s="123"/>
      <c r="I57" s="125"/>
      <c r="J57" s="12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5.75" customHeight="1" x14ac:dyDescent="0.45">
      <c r="A58" s="69"/>
      <c r="B58" s="12"/>
      <c r="C58" s="129"/>
      <c r="D58" s="129"/>
      <c r="E58" s="129"/>
      <c r="F58" s="129"/>
      <c r="G58" s="12"/>
      <c r="H58" s="12"/>
      <c r="I58" s="12"/>
      <c r="J58" s="12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5.75" customHeight="1" x14ac:dyDescent="0.45">
      <c r="A59" s="69"/>
      <c r="B59" s="432"/>
      <c r="C59" s="442" t="s">
        <v>0</v>
      </c>
      <c r="D59" s="201"/>
      <c r="E59" s="201"/>
      <c r="F59" s="255"/>
      <c r="G59" s="109" t="s">
        <v>1</v>
      </c>
      <c r="H59" s="261" t="s">
        <v>367</v>
      </c>
      <c r="I59" s="212"/>
      <c r="J59" s="12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5.75" customHeight="1" x14ac:dyDescent="0.45">
      <c r="A60" s="69"/>
      <c r="B60" s="422"/>
      <c r="C60" s="266"/>
      <c r="D60" s="203"/>
      <c r="E60" s="203"/>
      <c r="F60" s="232"/>
      <c r="G60" s="9" t="s">
        <v>3</v>
      </c>
      <c r="H60" s="278">
        <v>1</v>
      </c>
      <c r="I60" s="187"/>
      <c r="J60" s="12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5.75" customHeight="1" x14ac:dyDescent="0.45">
      <c r="A61" s="69"/>
      <c r="B61" s="422"/>
      <c r="C61" s="267"/>
      <c r="D61" s="195"/>
      <c r="E61" s="195"/>
      <c r="F61" s="252"/>
      <c r="G61" s="9" t="s">
        <v>5</v>
      </c>
      <c r="H61" s="235" t="s">
        <v>6</v>
      </c>
      <c r="I61" s="187"/>
      <c r="J61" s="12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5.75" customHeight="1" x14ac:dyDescent="0.45">
      <c r="A62" s="69"/>
      <c r="B62" s="422"/>
      <c r="C62" s="443" t="s">
        <v>368</v>
      </c>
      <c r="D62" s="203"/>
      <c r="E62" s="203"/>
      <c r="F62" s="232"/>
      <c r="G62" s="342" t="s">
        <v>7</v>
      </c>
      <c r="H62" s="235" t="s">
        <v>8</v>
      </c>
      <c r="I62" s="187"/>
      <c r="J62" s="12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5.75" customHeight="1" x14ac:dyDescent="0.45">
      <c r="A63" s="69"/>
      <c r="B63" s="433"/>
      <c r="C63" s="198"/>
      <c r="D63" s="198"/>
      <c r="E63" s="198"/>
      <c r="F63" s="435"/>
      <c r="G63" s="440"/>
      <c r="H63" s="438" t="s">
        <v>9</v>
      </c>
      <c r="I63" s="209"/>
      <c r="J63" s="12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5.75" customHeight="1" x14ac:dyDescent="0.45">
      <c r="A64" s="69"/>
      <c r="B64" s="111" t="s">
        <v>369</v>
      </c>
      <c r="C64" s="436" t="str">
        <f>'LISTA CHEQUEO'!$M$8</f>
        <v>OP-SS-128</v>
      </c>
      <c r="D64" s="195"/>
      <c r="E64" s="195"/>
      <c r="F64" s="252"/>
      <c r="G64" s="112" t="s">
        <v>180</v>
      </c>
      <c r="H64" s="439"/>
      <c r="I64" s="252"/>
      <c r="J64" s="12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5.75" customHeight="1" x14ac:dyDescent="0.45">
      <c r="A65" s="69"/>
      <c r="B65" s="114" t="s">
        <v>370</v>
      </c>
      <c r="C65" s="429" t="str">
        <f>'LISTA CHEQUEO'!$F$7</f>
        <v>LIMPIADOR ILUMINADOR ACIDO KOJICO</v>
      </c>
      <c r="D65" s="186"/>
      <c r="E65" s="186"/>
      <c r="F65" s="189"/>
      <c r="G65" s="115" t="s">
        <v>371</v>
      </c>
      <c r="H65" s="437" t="str">
        <f>'LISTA CHEQUEO'!$F$8</f>
        <v>252601</v>
      </c>
      <c r="I65" s="252"/>
      <c r="J65" s="12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5.75" customHeight="1" x14ac:dyDescent="0.45">
      <c r="A66" s="69"/>
      <c r="B66" s="114" t="s">
        <v>372</v>
      </c>
      <c r="C66" s="429" t="str">
        <f>OP!B19</f>
        <v>PROBETAINA</v>
      </c>
      <c r="D66" s="186"/>
      <c r="E66" s="186"/>
      <c r="F66" s="189"/>
      <c r="G66" s="116" t="s">
        <v>373</v>
      </c>
      <c r="H66" s="436" t="str">
        <f>OP!J19</f>
        <v>031348-25</v>
      </c>
      <c r="I66" s="252"/>
      <c r="J66" s="12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5.75" customHeight="1" x14ac:dyDescent="0.45">
      <c r="A67" s="69"/>
      <c r="B67" s="117" t="s">
        <v>374</v>
      </c>
      <c r="C67" s="430">
        <f>OP!N19</f>
        <v>6000</v>
      </c>
      <c r="D67" s="195"/>
      <c r="E67" s="195"/>
      <c r="F67" s="195"/>
      <c r="G67" s="118"/>
      <c r="H67" s="113"/>
      <c r="I67" s="119"/>
      <c r="J67" s="12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5.75" customHeight="1" x14ac:dyDescent="0.45">
      <c r="A68" s="69"/>
      <c r="B68" s="117" t="s">
        <v>375</v>
      </c>
      <c r="C68" s="441"/>
      <c r="D68" s="195"/>
      <c r="E68" s="195"/>
      <c r="F68" s="195"/>
      <c r="G68" s="113"/>
      <c r="H68" s="113"/>
      <c r="I68" s="119"/>
      <c r="J68" s="12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5.75" customHeight="1" x14ac:dyDescent="0.45">
      <c r="A69" s="69"/>
      <c r="B69" s="117" t="s">
        <v>376</v>
      </c>
      <c r="C69" s="441"/>
      <c r="D69" s="195"/>
      <c r="E69" s="195"/>
      <c r="F69" s="195"/>
      <c r="G69" s="118" t="s">
        <v>377</v>
      </c>
      <c r="H69" s="120"/>
      <c r="I69" s="121"/>
      <c r="J69" s="12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5.75" customHeight="1" x14ac:dyDescent="0.45">
      <c r="A70" s="69"/>
      <c r="B70" s="117" t="s">
        <v>378</v>
      </c>
      <c r="C70" s="441"/>
      <c r="D70" s="195"/>
      <c r="E70" s="195"/>
      <c r="F70" s="195"/>
      <c r="G70" s="118" t="s">
        <v>178</v>
      </c>
      <c r="H70" s="120"/>
      <c r="I70" s="121"/>
      <c r="J70" s="12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5.75" customHeight="1" x14ac:dyDescent="0.45">
      <c r="A71" s="69"/>
      <c r="B71" s="122" t="s">
        <v>379</v>
      </c>
      <c r="C71" s="127"/>
      <c r="D71" s="127"/>
      <c r="E71" s="127"/>
      <c r="F71" s="128"/>
      <c r="G71" s="123"/>
      <c r="H71" s="123"/>
      <c r="I71" s="125"/>
      <c r="J71" s="12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5.75" customHeight="1" x14ac:dyDescent="0.45">
      <c r="A72" s="69"/>
      <c r="B72" s="12"/>
      <c r="C72" s="129"/>
      <c r="D72" s="129"/>
      <c r="E72" s="129"/>
      <c r="F72" s="129"/>
      <c r="G72" s="12"/>
      <c r="H72" s="12"/>
      <c r="I72" s="12"/>
      <c r="J72" s="12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5.75" customHeight="1" x14ac:dyDescent="0.45">
      <c r="A73" s="69"/>
      <c r="B73" s="432"/>
      <c r="C73" s="442" t="s">
        <v>0</v>
      </c>
      <c r="D73" s="201"/>
      <c r="E73" s="201"/>
      <c r="F73" s="255"/>
      <c r="G73" s="109" t="s">
        <v>1</v>
      </c>
      <c r="H73" s="261" t="s">
        <v>367</v>
      </c>
      <c r="I73" s="212"/>
      <c r="J73" s="12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5.75" customHeight="1" x14ac:dyDescent="0.45">
      <c r="A74" s="69"/>
      <c r="B74" s="422"/>
      <c r="C74" s="266"/>
      <c r="D74" s="203"/>
      <c r="E74" s="203"/>
      <c r="F74" s="232"/>
      <c r="G74" s="9" t="s">
        <v>3</v>
      </c>
      <c r="H74" s="278">
        <v>1</v>
      </c>
      <c r="I74" s="187"/>
      <c r="J74" s="12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5.75" customHeight="1" x14ac:dyDescent="0.45">
      <c r="A75" s="69"/>
      <c r="B75" s="422"/>
      <c r="C75" s="267"/>
      <c r="D75" s="195"/>
      <c r="E75" s="195"/>
      <c r="F75" s="252"/>
      <c r="G75" s="9" t="s">
        <v>5</v>
      </c>
      <c r="H75" s="235" t="s">
        <v>6</v>
      </c>
      <c r="I75" s="187"/>
      <c r="J75" s="12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5.75" customHeight="1" x14ac:dyDescent="0.45">
      <c r="A76" s="69"/>
      <c r="B76" s="422"/>
      <c r="C76" s="443" t="s">
        <v>368</v>
      </c>
      <c r="D76" s="203"/>
      <c r="E76" s="203"/>
      <c r="F76" s="232"/>
      <c r="G76" s="342" t="s">
        <v>7</v>
      </c>
      <c r="H76" s="235" t="s">
        <v>8</v>
      </c>
      <c r="I76" s="187"/>
      <c r="J76" s="12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5.75" customHeight="1" x14ac:dyDescent="0.45">
      <c r="A77" s="69"/>
      <c r="B77" s="433"/>
      <c r="C77" s="198"/>
      <c r="D77" s="198"/>
      <c r="E77" s="198"/>
      <c r="F77" s="435"/>
      <c r="G77" s="440"/>
      <c r="H77" s="438" t="s">
        <v>9</v>
      </c>
      <c r="I77" s="209"/>
      <c r="J77" s="12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5.75" customHeight="1" x14ac:dyDescent="0.45">
      <c r="A78" s="69"/>
      <c r="B78" s="111" t="s">
        <v>369</v>
      </c>
      <c r="C78" s="436" t="str">
        <f>'LISTA CHEQUEO'!$M$8</f>
        <v>OP-SS-128</v>
      </c>
      <c r="D78" s="195"/>
      <c r="E78" s="195"/>
      <c r="F78" s="252"/>
      <c r="G78" s="112" t="s">
        <v>180</v>
      </c>
      <c r="H78" s="439"/>
      <c r="I78" s="252"/>
      <c r="J78" s="12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5.75" customHeight="1" x14ac:dyDescent="0.45">
      <c r="A79" s="69"/>
      <c r="B79" s="114" t="s">
        <v>370</v>
      </c>
      <c r="C79" s="429" t="str">
        <f>'LISTA CHEQUEO'!$F$7</f>
        <v>LIMPIADOR ILUMINADOR ACIDO KOJICO</v>
      </c>
      <c r="D79" s="186"/>
      <c r="E79" s="186"/>
      <c r="F79" s="189"/>
      <c r="G79" s="115" t="s">
        <v>371</v>
      </c>
      <c r="H79" s="437" t="str">
        <f>'LISTA CHEQUEO'!$F$8</f>
        <v>252601</v>
      </c>
      <c r="I79" s="252"/>
      <c r="J79" s="12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5.75" customHeight="1" x14ac:dyDescent="0.45">
      <c r="A80" s="69"/>
      <c r="B80" s="114" t="s">
        <v>372</v>
      </c>
      <c r="C80" s="429" t="str">
        <f>OP!B20</f>
        <v>TWEEN 20</v>
      </c>
      <c r="D80" s="186"/>
      <c r="E80" s="186"/>
      <c r="F80" s="189"/>
      <c r="G80" s="116" t="s">
        <v>373</v>
      </c>
      <c r="H80" s="436" t="str">
        <f>OP!J20</f>
        <v>121556-24</v>
      </c>
      <c r="I80" s="252"/>
      <c r="J80" s="12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5.75" customHeight="1" x14ac:dyDescent="0.45">
      <c r="A81" s="69"/>
      <c r="B81" s="117" t="s">
        <v>374</v>
      </c>
      <c r="C81" s="430">
        <f>OP!N20</f>
        <v>4000</v>
      </c>
      <c r="D81" s="195"/>
      <c r="E81" s="195"/>
      <c r="F81" s="195"/>
      <c r="G81" s="118"/>
      <c r="H81" s="113"/>
      <c r="I81" s="119"/>
      <c r="J81" s="12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5.75" customHeight="1" x14ac:dyDescent="0.45">
      <c r="A82" s="69"/>
      <c r="B82" s="117" t="s">
        <v>375</v>
      </c>
      <c r="C82" s="441"/>
      <c r="D82" s="195"/>
      <c r="E82" s="195"/>
      <c r="F82" s="195"/>
      <c r="G82" s="113"/>
      <c r="H82" s="113"/>
      <c r="I82" s="119"/>
      <c r="J82" s="12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5.75" customHeight="1" x14ac:dyDescent="0.45">
      <c r="A83" s="69"/>
      <c r="B83" s="117" t="s">
        <v>376</v>
      </c>
      <c r="C83" s="441"/>
      <c r="D83" s="195"/>
      <c r="E83" s="195"/>
      <c r="F83" s="195"/>
      <c r="G83" s="118" t="s">
        <v>377</v>
      </c>
      <c r="H83" s="120"/>
      <c r="I83" s="121"/>
      <c r="J83" s="12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5.75" customHeight="1" x14ac:dyDescent="0.45">
      <c r="A84" s="69"/>
      <c r="B84" s="117" t="s">
        <v>378</v>
      </c>
      <c r="C84" s="441"/>
      <c r="D84" s="195"/>
      <c r="E84" s="195"/>
      <c r="F84" s="195"/>
      <c r="G84" s="118" t="s">
        <v>178</v>
      </c>
      <c r="H84" s="120"/>
      <c r="I84" s="121"/>
      <c r="J84" s="12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5.75" customHeight="1" x14ac:dyDescent="0.45">
      <c r="A85" s="69"/>
      <c r="B85" s="122" t="s">
        <v>379</v>
      </c>
      <c r="C85" s="127"/>
      <c r="D85" s="127"/>
      <c r="E85" s="127"/>
      <c r="F85" s="128"/>
      <c r="G85" s="123"/>
      <c r="H85" s="123"/>
      <c r="I85" s="125"/>
      <c r="J85" s="12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5.75" customHeight="1" x14ac:dyDescent="0.45">
      <c r="A86" s="69"/>
      <c r="B86" s="12"/>
      <c r="C86" s="129"/>
      <c r="D86" s="129"/>
      <c r="E86" s="129"/>
      <c r="F86" s="129"/>
      <c r="G86" s="12"/>
      <c r="H86" s="12"/>
      <c r="I86" s="12"/>
      <c r="J86" s="12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5.75" customHeight="1" x14ac:dyDescent="0.45">
      <c r="A87" s="69"/>
      <c r="B87" s="432"/>
      <c r="C87" s="442" t="s">
        <v>0</v>
      </c>
      <c r="D87" s="201"/>
      <c r="E87" s="201"/>
      <c r="F87" s="255"/>
      <c r="G87" s="109" t="s">
        <v>1</v>
      </c>
      <c r="H87" s="261" t="s">
        <v>367</v>
      </c>
      <c r="I87" s="212"/>
      <c r="J87" s="12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5.75" customHeight="1" x14ac:dyDescent="0.45">
      <c r="A88" s="69"/>
      <c r="B88" s="422"/>
      <c r="C88" s="266"/>
      <c r="D88" s="203"/>
      <c r="E88" s="203"/>
      <c r="F88" s="232"/>
      <c r="G88" s="9" t="s">
        <v>3</v>
      </c>
      <c r="H88" s="278">
        <v>1</v>
      </c>
      <c r="I88" s="187"/>
      <c r="J88" s="12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5.75" customHeight="1" x14ac:dyDescent="0.45">
      <c r="A89" s="69"/>
      <c r="B89" s="422"/>
      <c r="C89" s="267"/>
      <c r="D89" s="195"/>
      <c r="E89" s="195"/>
      <c r="F89" s="252"/>
      <c r="G89" s="9" t="s">
        <v>5</v>
      </c>
      <c r="H89" s="235" t="s">
        <v>6</v>
      </c>
      <c r="I89" s="187"/>
      <c r="J89" s="12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5.75" customHeight="1" x14ac:dyDescent="0.45">
      <c r="A90" s="69"/>
      <c r="B90" s="422"/>
      <c r="C90" s="443" t="s">
        <v>368</v>
      </c>
      <c r="D90" s="203"/>
      <c r="E90" s="203"/>
      <c r="F90" s="232"/>
      <c r="G90" s="342" t="s">
        <v>7</v>
      </c>
      <c r="H90" s="235" t="s">
        <v>8</v>
      </c>
      <c r="I90" s="187"/>
      <c r="J90" s="12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5.75" customHeight="1" x14ac:dyDescent="0.45">
      <c r="A91" s="69"/>
      <c r="B91" s="433"/>
      <c r="C91" s="198"/>
      <c r="D91" s="198"/>
      <c r="E91" s="198"/>
      <c r="F91" s="435"/>
      <c r="G91" s="440"/>
      <c r="H91" s="438" t="s">
        <v>9</v>
      </c>
      <c r="I91" s="209"/>
      <c r="J91" s="12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5.75" customHeight="1" x14ac:dyDescent="0.45">
      <c r="A92" s="69"/>
      <c r="B92" s="111" t="s">
        <v>369</v>
      </c>
      <c r="C92" s="436" t="str">
        <f>'LISTA CHEQUEO'!$M$8</f>
        <v>OP-SS-128</v>
      </c>
      <c r="D92" s="195"/>
      <c r="E92" s="195"/>
      <c r="F92" s="252"/>
      <c r="G92" s="112" t="s">
        <v>180</v>
      </c>
      <c r="H92" s="439"/>
      <c r="I92" s="252"/>
      <c r="J92" s="12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5.75" customHeight="1" x14ac:dyDescent="0.45">
      <c r="A93" s="69"/>
      <c r="B93" s="114" t="s">
        <v>370</v>
      </c>
      <c r="C93" s="429" t="str">
        <f>'LISTA CHEQUEO'!$F$7</f>
        <v>LIMPIADOR ILUMINADOR ACIDO KOJICO</v>
      </c>
      <c r="D93" s="186"/>
      <c r="E93" s="186"/>
      <c r="F93" s="189"/>
      <c r="G93" s="115" t="s">
        <v>371</v>
      </c>
      <c r="H93" s="437" t="str">
        <f>'LISTA CHEQUEO'!$F$8</f>
        <v>252601</v>
      </c>
      <c r="I93" s="252"/>
      <c r="J93" s="12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5.75" customHeight="1" x14ac:dyDescent="0.45">
      <c r="A94" s="69"/>
      <c r="B94" s="114" t="s">
        <v>372</v>
      </c>
      <c r="C94" s="429" t="str">
        <f>OP!B21</f>
        <v>ÁCIDO KOJICO</v>
      </c>
      <c r="D94" s="186"/>
      <c r="E94" s="186"/>
      <c r="F94" s="189"/>
      <c r="G94" s="116" t="s">
        <v>373</v>
      </c>
      <c r="H94" s="436" t="str">
        <f>OP!J21</f>
        <v>YT20250505</v>
      </c>
      <c r="I94" s="252"/>
      <c r="J94" s="12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5.75" customHeight="1" x14ac:dyDescent="0.45">
      <c r="A95" s="69"/>
      <c r="B95" s="117" t="s">
        <v>374</v>
      </c>
      <c r="C95" s="430">
        <f>OP!N21</f>
        <v>2000</v>
      </c>
      <c r="D95" s="195"/>
      <c r="E95" s="195"/>
      <c r="F95" s="195"/>
      <c r="G95" s="118"/>
      <c r="H95" s="113"/>
      <c r="I95" s="119"/>
      <c r="J95" s="12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5.75" customHeight="1" x14ac:dyDescent="0.45">
      <c r="A96" s="69"/>
      <c r="B96" s="117" t="s">
        <v>375</v>
      </c>
      <c r="C96" s="431"/>
      <c r="D96" s="195"/>
      <c r="E96" s="195"/>
      <c r="F96" s="195"/>
      <c r="G96" s="113"/>
      <c r="H96" s="113"/>
      <c r="I96" s="119"/>
      <c r="J96" s="12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5.75" customHeight="1" x14ac:dyDescent="0.45">
      <c r="A97" s="69"/>
      <c r="B97" s="117" t="s">
        <v>376</v>
      </c>
      <c r="C97" s="431"/>
      <c r="D97" s="195"/>
      <c r="E97" s="195"/>
      <c r="F97" s="195"/>
      <c r="G97" s="118" t="s">
        <v>377</v>
      </c>
      <c r="H97" s="120"/>
      <c r="I97" s="121"/>
      <c r="J97" s="12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5.75" customHeight="1" x14ac:dyDescent="0.45">
      <c r="A98" s="69"/>
      <c r="B98" s="117" t="s">
        <v>378</v>
      </c>
      <c r="C98" s="431"/>
      <c r="D98" s="195"/>
      <c r="E98" s="195"/>
      <c r="F98" s="195"/>
      <c r="G98" s="118" t="s">
        <v>178</v>
      </c>
      <c r="H98" s="120"/>
      <c r="I98" s="121"/>
      <c r="J98" s="12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5.75" customHeight="1" x14ac:dyDescent="0.45">
      <c r="A99" s="69"/>
      <c r="B99" s="122" t="s">
        <v>379</v>
      </c>
      <c r="C99" s="123"/>
      <c r="D99" s="123"/>
      <c r="E99" s="123"/>
      <c r="F99" s="124"/>
      <c r="G99" s="123"/>
      <c r="H99" s="123"/>
      <c r="I99" s="125"/>
      <c r="J99" s="12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5.75" customHeight="1" x14ac:dyDescent="0.45">
      <c r="A100" s="69"/>
      <c r="B100" s="12"/>
      <c r="C100" s="12"/>
      <c r="D100" s="12"/>
      <c r="E100" s="12"/>
      <c r="F100" s="12"/>
      <c r="G100" s="12"/>
      <c r="H100" s="12"/>
      <c r="I100" s="12"/>
      <c r="J100" s="12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5.75" customHeight="1" x14ac:dyDescent="0.45">
      <c r="A101" s="69"/>
      <c r="B101" s="432"/>
      <c r="C101" s="434" t="s">
        <v>0</v>
      </c>
      <c r="D101" s="201"/>
      <c r="E101" s="201"/>
      <c r="F101" s="255"/>
      <c r="G101" s="109" t="s">
        <v>1</v>
      </c>
      <c r="H101" s="261" t="s">
        <v>367</v>
      </c>
      <c r="I101" s="212"/>
      <c r="J101" s="12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5.75" customHeight="1" x14ac:dyDescent="0.45">
      <c r="A102" s="69"/>
      <c r="B102" s="422"/>
      <c r="C102" s="266"/>
      <c r="D102" s="203"/>
      <c r="E102" s="203"/>
      <c r="F102" s="232"/>
      <c r="G102" s="9" t="s">
        <v>3</v>
      </c>
      <c r="H102" s="278">
        <v>1</v>
      </c>
      <c r="I102" s="187"/>
      <c r="J102" s="12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5.75" customHeight="1" x14ac:dyDescent="0.45">
      <c r="A103" s="69"/>
      <c r="B103" s="422"/>
      <c r="C103" s="267"/>
      <c r="D103" s="195"/>
      <c r="E103" s="195"/>
      <c r="F103" s="252"/>
      <c r="G103" s="9" t="s">
        <v>5</v>
      </c>
      <c r="H103" s="235" t="s">
        <v>6</v>
      </c>
      <c r="I103" s="187"/>
      <c r="J103" s="12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5.75" customHeight="1" x14ac:dyDescent="0.45">
      <c r="A104" s="69"/>
      <c r="B104" s="422"/>
      <c r="C104" s="248" t="s">
        <v>368</v>
      </c>
      <c r="D104" s="203"/>
      <c r="E104" s="203"/>
      <c r="F104" s="232"/>
      <c r="G104" s="342" t="s">
        <v>7</v>
      </c>
      <c r="H104" s="235" t="s">
        <v>8</v>
      </c>
      <c r="I104" s="187"/>
      <c r="J104" s="12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5.75" customHeight="1" x14ac:dyDescent="0.45">
      <c r="A105" s="69"/>
      <c r="B105" s="433"/>
      <c r="C105" s="198"/>
      <c r="D105" s="198"/>
      <c r="E105" s="198"/>
      <c r="F105" s="435"/>
      <c r="G105" s="440"/>
      <c r="H105" s="438" t="s">
        <v>9</v>
      </c>
      <c r="I105" s="209"/>
      <c r="J105" s="12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5.75" customHeight="1" x14ac:dyDescent="0.45">
      <c r="A106" s="69"/>
      <c r="B106" s="111" t="s">
        <v>369</v>
      </c>
      <c r="C106" s="436" t="str">
        <f>'LISTA CHEQUEO'!$M$8</f>
        <v>OP-SS-128</v>
      </c>
      <c r="D106" s="195"/>
      <c r="E106" s="195"/>
      <c r="F106" s="252"/>
      <c r="G106" s="112" t="s">
        <v>180</v>
      </c>
      <c r="H106" s="439"/>
      <c r="I106" s="252"/>
      <c r="J106" s="12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5.75" customHeight="1" x14ac:dyDescent="0.45">
      <c r="A107" s="69"/>
      <c r="B107" s="114" t="s">
        <v>370</v>
      </c>
      <c r="C107" s="429" t="str">
        <f>'LISTA CHEQUEO'!$F$7</f>
        <v>LIMPIADOR ILUMINADOR ACIDO KOJICO</v>
      </c>
      <c r="D107" s="186"/>
      <c r="E107" s="186"/>
      <c r="F107" s="189"/>
      <c r="G107" s="115" t="s">
        <v>371</v>
      </c>
      <c r="H107" s="437" t="str">
        <f>'LISTA CHEQUEO'!$F$8</f>
        <v>252601</v>
      </c>
      <c r="I107" s="252"/>
      <c r="J107" s="12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5.75" customHeight="1" x14ac:dyDescent="0.45">
      <c r="A108" s="69"/>
      <c r="B108" s="114" t="s">
        <v>372</v>
      </c>
      <c r="C108" s="429">
        <f>OP!B115</f>
        <v>0</v>
      </c>
      <c r="D108" s="186"/>
      <c r="E108" s="186"/>
      <c r="F108" s="189"/>
      <c r="G108" s="116" t="s">
        <v>373</v>
      </c>
      <c r="H108" s="436">
        <f>OP!J115</f>
        <v>0</v>
      </c>
      <c r="I108" s="252"/>
      <c r="J108" s="12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5.75" customHeight="1" x14ac:dyDescent="0.45">
      <c r="A109" s="69"/>
      <c r="B109" s="117" t="s">
        <v>374</v>
      </c>
      <c r="C109" s="430">
        <f>OP!N115</f>
        <v>0</v>
      </c>
      <c r="D109" s="195"/>
      <c r="E109" s="195"/>
      <c r="F109" s="195"/>
      <c r="G109" s="118"/>
      <c r="H109" s="113"/>
      <c r="I109" s="119"/>
      <c r="J109" s="12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5.75" customHeight="1" x14ac:dyDescent="0.45">
      <c r="A110" s="69"/>
      <c r="B110" s="117" t="s">
        <v>375</v>
      </c>
      <c r="C110" s="431"/>
      <c r="D110" s="195"/>
      <c r="E110" s="195"/>
      <c r="F110" s="195"/>
      <c r="G110" s="113"/>
      <c r="H110" s="113"/>
      <c r="I110" s="119"/>
      <c r="J110" s="12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5.75" customHeight="1" x14ac:dyDescent="0.45">
      <c r="A111" s="69"/>
      <c r="B111" s="117" t="s">
        <v>376</v>
      </c>
      <c r="C111" s="431"/>
      <c r="D111" s="195"/>
      <c r="E111" s="195"/>
      <c r="F111" s="195"/>
      <c r="G111" s="118" t="s">
        <v>377</v>
      </c>
      <c r="H111" s="120"/>
      <c r="I111" s="121"/>
      <c r="J111" s="12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5.75" customHeight="1" x14ac:dyDescent="0.45">
      <c r="A112" s="69"/>
      <c r="B112" s="117" t="s">
        <v>378</v>
      </c>
      <c r="C112" s="431"/>
      <c r="D112" s="195"/>
      <c r="E112" s="195"/>
      <c r="F112" s="195"/>
      <c r="G112" s="118" t="s">
        <v>178</v>
      </c>
      <c r="H112" s="120"/>
      <c r="I112" s="121"/>
      <c r="J112" s="12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5.75" customHeight="1" x14ac:dyDescent="0.45">
      <c r="A113" s="69"/>
      <c r="B113" s="122" t="s">
        <v>379</v>
      </c>
      <c r="C113" s="123"/>
      <c r="D113" s="123"/>
      <c r="E113" s="123"/>
      <c r="F113" s="124"/>
      <c r="G113" s="123"/>
      <c r="H113" s="123"/>
      <c r="I113" s="125"/>
      <c r="J113" s="12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5.75" customHeight="1" x14ac:dyDescent="0.45">
      <c r="A114" s="69"/>
      <c r="B114" s="12"/>
      <c r="C114" s="12"/>
      <c r="D114" s="12"/>
      <c r="E114" s="12"/>
      <c r="F114" s="12"/>
      <c r="G114" s="12"/>
      <c r="H114" s="12"/>
      <c r="I114" s="12"/>
      <c r="J114" s="12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5.75" customHeight="1" x14ac:dyDescent="0.45">
      <c r="A115" s="69"/>
      <c r="B115" s="432"/>
      <c r="C115" s="434" t="s">
        <v>0</v>
      </c>
      <c r="D115" s="201"/>
      <c r="E115" s="201"/>
      <c r="F115" s="255"/>
      <c r="G115" s="109" t="s">
        <v>1</v>
      </c>
      <c r="H115" s="261" t="s">
        <v>367</v>
      </c>
      <c r="I115" s="212"/>
      <c r="J115" s="12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5.75" customHeight="1" x14ac:dyDescent="0.45">
      <c r="A116" s="69"/>
      <c r="B116" s="422"/>
      <c r="C116" s="266"/>
      <c r="D116" s="203"/>
      <c r="E116" s="203"/>
      <c r="F116" s="232"/>
      <c r="G116" s="9" t="s">
        <v>3</v>
      </c>
      <c r="H116" s="278">
        <v>1</v>
      </c>
      <c r="I116" s="187"/>
      <c r="J116" s="12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5.75" customHeight="1" x14ac:dyDescent="0.45">
      <c r="A117" s="69"/>
      <c r="B117" s="422"/>
      <c r="C117" s="267"/>
      <c r="D117" s="195"/>
      <c r="E117" s="195"/>
      <c r="F117" s="252"/>
      <c r="G117" s="9" t="s">
        <v>5</v>
      </c>
      <c r="H117" s="235" t="s">
        <v>6</v>
      </c>
      <c r="I117" s="187"/>
      <c r="J117" s="12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5.75" customHeight="1" x14ac:dyDescent="0.45">
      <c r="A118" s="69"/>
      <c r="B118" s="422"/>
      <c r="C118" s="248" t="s">
        <v>368</v>
      </c>
      <c r="D118" s="203"/>
      <c r="E118" s="203"/>
      <c r="F118" s="232"/>
      <c r="G118" s="342" t="s">
        <v>7</v>
      </c>
      <c r="H118" s="235" t="s">
        <v>8</v>
      </c>
      <c r="I118" s="187"/>
      <c r="J118" s="12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5.75" customHeight="1" x14ac:dyDescent="0.45">
      <c r="A119" s="69"/>
      <c r="B119" s="433"/>
      <c r="C119" s="198"/>
      <c r="D119" s="198"/>
      <c r="E119" s="198"/>
      <c r="F119" s="435"/>
      <c r="G119" s="440"/>
      <c r="H119" s="438" t="s">
        <v>9</v>
      </c>
      <c r="I119" s="209"/>
      <c r="J119" s="12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5.75" customHeight="1" x14ac:dyDescent="0.45">
      <c r="A120" s="69"/>
      <c r="B120" s="111" t="s">
        <v>369</v>
      </c>
      <c r="C120" s="436" t="str">
        <f>'LISTA CHEQUEO'!$M$8</f>
        <v>OP-SS-128</v>
      </c>
      <c r="D120" s="195"/>
      <c r="E120" s="195"/>
      <c r="F120" s="252"/>
      <c r="G120" s="112" t="s">
        <v>180</v>
      </c>
      <c r="H120" s="439"/>
      <c r="I120" s="252"/>
      <c r="J120" s="12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5.75" customHeight="1" x14ac:dyDescent="0.45">
      <c r="A121" s="69"/>
      <c r="B121" s="114" t="s">
        <v>370</v>
      </c>
      <c r="C121" s="429" t="str">
        <f>'LISTA CHEQUEO'!$F$7</f>
        <v>LIMPIADOR ILUMINADOR ACIDO KOJICO</v>
      </c>
      <c r="D121" s="186"/>
      <c r="E121" s="186"/>
      <c r="F121" s="189"/>
      <c r="G121" s="115" t="s">
        <v>371</v>
      </c>
      <c r="H121" s="437" t="str">
        <f>'LISTA CHEQUEO'!$F$8</f>
        <v>252601</v>
      </c>
      <c r="I121" s="252"/>
      <c r="J121" s="12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5.75" customHeight="1" x14ac:dyDescent="0.45">
      <c r="A122" s="69"/>
      <c r="B122" s="114" t="s">
        <v>372</v>
      </c>
      <c r="C122" s="429" t="str">
        <f>OP!B22</f>
        <v>GOMA XANTAN</v>
      </c>
      <c r="D122" s="186"/>
      <c r="E122" s="186"/>
      <c r="F122" s="189"/>
      <c r="G122" s="116" t="s">
        <v>373</v>
      </c>
      <c r="H122" s="436">
        <f>OP!J22</f>
        <v>520241101004</v>
      </c>
      <c r="I122" s="252"/>
      <c r="J122" s="12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5.75" customHeight="1" x14ac:dyDescent="0.45">
      <c r="A123" s="69"/>
      <c r="B123" s="117" t="s">
        <v>374</v>
      </c>
      <c r="C123" s="430">
        <f>OP!N22</f>
        <v>2000</v>
      </c>
      <c r="D123" s="195"/>
      <c r="E123" s="195"/>
      <c r="F123" s="195"/>
      <c r="G123" s="118"/>
      <c r="H123" s="113"/>
      <c r="I123" s="119"/>
      <c r="J123" s="12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5.75" customHeight="1" x14ac:dyDescent="0.45">
      <c r="A124" s="69"/>
      <c r="B124" s="117" t="s">
        <v>375</v>
      </c>
      <c r="C124" s="431"/>
      <c r="D124" s="195"/>
      <c r="E124" s="195"/>
      <c r="F124" s="195"/>
      <c r="G124" s="113"/>
      <c r="H124" s="113"/>
      <c r="I124" s="119"/>
      <c r="J124" s="12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5.75" customHeight="1" x14ac:dyDescent="0.45">
      <c r="A125" s="69"/>
      <c r="B125" s="117" t="s">
        <v>376</v>
      </c>
      <c r="C125" s="431"/>
      <c r="D125" s="195"/>
      <c r="E125" s="195"/>
      <c r="F125" s="195"/>
      <c r="G125" s="118" t="s">
        <v>377</v>
      </c>
      <c r="H125" s="120"/>
      <c r="I125" s="121"/>
      <c r="J125" s="12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5.75" customHeight="1" x14ac:dyDescent="0.45">
      <c r="A126" s="69"/>
      <c r="B126" s="117" t="s">
        <v>378</v>
      </c>
      <c r="C126" s="431"/>
      <c r="D126" s="195"/>
      <c r="E126" s="195"/>
      <c r="F126" s="195"/>
      <c r="G126" s="118" t="s">
        <v>178</v>
      </c>
      <c r="H126" s="120"/>
      <c r="I126" s="121"/>
      <c r="J126" s="12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5.75" customHeight="1" x14ac:dyDescent="0.45">
      <c r="A127" s="69"/>
      <c r="B127" s="122" t="s">
        <v>379</v>
      </c>
      <c r="C127" s="123"/>
      <c r="D127" s="123"/>
      <c r="E127" s="123"/>
      <c r="F127" s="124"/>
      <c r="G127" s="123"/>
      <c r="H127" s="123"/>
      <c r="I127" s="125"/>
      <c r="J127" s="12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5.75" customHeight="1" x14ac:dyDescent="0.45">
      <c r="A128" s="69"/>
      <c r="B128" s="12"/>
      <c r="C128" s="12"/>
      <c r="D128" s="12"/>
      <c r="E128" s="12"/>
      <c r="F128" s="12"/>
      <c r="G128" s="12"/>
      <c r="H128" s="12"/>
      <c r="I128" s="12"/>
      <c r="J128" s="12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5.75" customHeight="1" x14ac:dyDescent="0.45">
      <c r="A129" s="69"/>
      <c r="B129" s="432"/>
      <c r="C129" s="434" t="s">
        <v>0</v>
      </c>
      <c r="D129" s="201"/>
      <c r="E129" s="201"/>
      <c r="F129" s="255"/>
      <c r="G129" s="109" t="s">
        <v>1</v>
      </c>
      <c r="H129" s="261" t="s">
        <v>367</v>
      </c>
      <c r="I129" s="212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5.75" customHeight="1" x14ac:dyDescent="0.45">
      <c r="A130" s="69"/>
      <c r="B130" s="422"/>
      <c r="C130" s="266"/>
      <c r="D130" s="203"/>
      <c r="E130" s="203"/>
      <c r="F130" s="232"/>
      <c r="G130" s="9" t="s">
        <v>3</v>
      </c>
      <c r="H130" s="278">
        <v>1</v>
      </c>
      <c r="I130" s="187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5.75" customHeight="1" x14ac:dyDescent="0.45">
      <c r="A131" s="69"/>
      <c r="B131" s="422"/>
      <c r="C131" s="267"/>
      <c r="D131" s="195"/>
      <c r="E131" s="195"/>
      <c r="F131" s="252"/>
      <c r="G131" s="9" t="s">
        <v>5</v>
      </c>
      <c r="H131" s="235" t="s">
        <v>6</v>
      </c>
      <c r="I131" s="187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5.75" customHeight="1" x14ac:dyDescent="0.45">
      <c r="A132" s="69"/>
      <c r="B132" s="422"/>
      <c r="C132" s="248" t="s">
        <v>368</v>
      </c>
      <c r="D132" s="203"/>
      <c r="E132" s="203"/>
      <c r="F132" s="232"/>
      <c r="G132" s="342" t="s">
        <v>7</v>
      </c>
      <c r="H132" s="235" t="s">
        <v>8</v>
      </c>
      <c r="I132" s="187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5.75" customHeight="1" x14ac:dyDescent="0.45">
      <c r="A133" s="69"/>
      <c r="B133" s="433"/>
      <c r="C133" s="198"/>
      <c r="D133" s="198"/>
      <c r="E133" s="198"/>
      <c r="F133" s="435"/>
      <c r="G133" s="440"/>
      <c r="H133" s="438" t="s">
        <v>9</v>
      </c>
      <c r="I133" s="20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5.75" customHeight="1" x14ac:dyDescent="0.45">
      <c r="A134" s="69"/>
      <c r="B134" s="111" t="s">
        <v>369</v>
      </c>
      <c r="C134" s="436" t="str">
        <f>'LISTA CHEQUEO'!$M$8</f>
        <v>OP-SS-128</v>
      </c>
      <c r="D134" s="195"/>
      <c r="E134" s="195"/>
      <c r="F134" s="252"/>
      <c r="G134" s="112" t="s">
        <v>180</v>
      </c>
      <c r="H134" s="439"/>
      <c r="I134" s="252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5.75" customHeight="1" x14ac:dyDescent="0.45">
      <c r="A135" s="69"/>
      <c r="B135" s="114" t="s">
        <v>370</v>
      </c>
      <c r="C135" s="429" t="str">
        <f>'LISTA CHEQUEO'!$F$7</f>
        <v>LIMPIADOR ILUMINADOR ACIDO KOJICO</v>
      </c>
      <c r="D135" s="186"/>
      <c r="E135" s="186"/>
      <c r="F135" s="189"/>
      <c r="G135" s="115" t="s">
        <v>371</v>
      </c>
      <c r="H135" s="437" t="str">
        <f>'LISTA CHEQUEO'!$F$8</f>
        <v>252601</v>
      </c>
      <c r="I135" s="252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15.75" customHeight="1" x14ac:dyDescent="0.45">
      <c r="A136" s="69"/>
      <c r="B136" s="114" t="s">
        <v>372</v>
      </c>
      <c r="C136" s="429" t="str">
        <f>OP!B23</f>
        <v>CARBOPOL</v>
      </c>
      <c r="D136" s="186"/>
      <c r="E136" s="186"/>
      <c r="F136" s="189"/>
      <c r="G136" s="116" t="s">
        <v>373</v>
      </c>
      <c r="H136" s="436">
        <f>OP!J23</f>
        <v>214012</v>
      </c>
      <c r="I136" s="252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15.75" customHeight="1" x14ac:dyDescent="0.45">
      <c r="A137" s="69"/>
      <c r="B137" s="117" t="s">
        <v>374</v>
      </c>
      <c r="C137" s="430">
        <f>OP!N23</f>
        <v>1000</v>
      </c>
      <c r="D137" s="195"/>
      <c r="E137" s="195"/>
      <c r="F137" s="195"/>
      <c r="G137" s="118"/>
      <c r="H137" s="113"/>
      <c r="I137" s="11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15.75" customHeight="1" x14ac:dyDescent="0.45">
      <c r="A138" s="69"/>
      <c r="B138" s="117" t="s">
        <v>375</v>
      </c>
      <c r="C138" s="431"/>
      <c r="D138" s="195"/>
      <c r="E138" s="195"/>
      <c r="F138" s="195"/>
      <c r="G138" s="113"/>
      <c r="H138" s="113"/>
      <c r="I138" s="11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15.75" customHeight="1" x14ac:dyDescent="0.45">
      <c r="A139" s="69"/>
      <c r="B139" s="117" t="s">
        <v>376</v>
      </c>
      <c r="C139" s="431"/>
      <c r="D139" s="195"/>
      <c r="E139" s="195"/>
      <c r="F139" s="195"/>
      <c r="G139" s="118" t="s">
        <v>377</v>
      </c>
      <c r="H139" s="120"/>
      <c r="I139" s="121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15.75" customHeight="1" x14ac:dyDescent="0.45">
      <c r="A140" s="69"/>
      <c r="B140" s="117" t="s">
        <v>378</v>
      </c>
      <c r="C140" s="431"/>
      <c r="D140" s="195"/>
      <c r="E140" s="195"/>
      <c r="F140" s="195"/>
      <c r="G140" s="118" t="s">
        <v>178</v>
      </c>
      <c r="H140" s="120"/>
      <c r="I140" s="121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15.75" customHeight="1" x14ac:dyDescent="0.45">
      <c r="A141" s="69"/>
      <c r="B141" s="122" t="s">
        <v>379</v>
      </c>
      <c r="C141" s="123"/>
      <c r="D141" s="123"/>
      <c r="E141" s="123"/>
      <c r="F141" s="124"/>
      <c r="G141" s="123"/>
      <c r="H141" s="123"/>
      <c r="I141" s="125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15.75" customHeight="1" x14ac:dyDescent="0.45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15.75" customHeight="1" x14ac:dyDescent="0.45">
      <c r="A143" s="69"/>
      <c r="B143" s="432"/>
      <c r="C143" s="434" t="s">
        <v>0</v>
      </c>
      <c r="D143" s="201"/>
      <c r="E143" s="201"/>
      <c r="F143" s="255"/>
      <c r="G143" s="109" t="s">
        <v>1</v>
      </c>
      <c r="H143" s="261" t="s">
        <v>367</v>
      </c>
      <c r="I143" s="212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15.75" customHeight="1" x14ac:dyDescent="0.45">
      <c r="A144" s="69"/>
      <c r="B144" s="422"/>
      <c r="C144" s="266"/>
      <c r="D144" s="203"/>
      <c r="E144" s="203"/>
      <c r="F144" s="232"/>
      <c r="G144" s="9" t="s">
        <v>3</v>
      </c>
      <c r="H144" s="278">
        <v>1</v>
      </c>
      <c r="I144" s="187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15.75" customHeight="1" x14ac:dyDescent="0.45">
      <c r="A145" s="69"/>
      <c r="B145" s="422"/>
      <c r="C145" s="267"/>
      <c r="D145" s="195"/>
      <c r="E145" s="195"/>
      <c r="F145" s="252"/>
      <c r="G145" s="9" t="s">
        <v>5</v>
      </c>
      <c r="H145" s="235" t="s">
        <v>6</v>
      </c>
      <c r="I145" s="187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15.75" customHeight="1" x14ac:dyDescent="0.45">
      <c r="A146" s="69"/>
      <c r="B146" s="422"/>
      <c r="C146" s="248" t="s">
        <v>368</v>
      </c>
      <c r="D146" s="203"/>
      <c r="E146" s="203"/>
      <c r="F146" s="232"/>
      <c r="G146" s="342" t="s">
        <v>7</v>
      </c>
      <c r="H146" s="235" t="s">
        <v>8</v>
      </c>
      <c r="I146" s="187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15.75" customHeight="1" x14ac:dyDescent="0.45">
      <c r="A147" s="69"/>
      <c r="B147" s="433"/>
      <c r="C147" s="198"/>
      <c r="D147" s="198"/>
      <c r="E147" s="198"/>
      <c r="F147" s="435"/>
      <c r="G147" s="440"/>
      <c r="H147" s="438" t="s">
        <v>9</v>
      </c>
      <c r="I147" s="20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15.75" customHeight="1" x14ac:dyDescent="0.45">
      <c r="A148" s="69"/>
      <c r="B148" s="111" t="s">
        <v>369</v>
      </c>
      <c r="C148" s="436" t="str">
        <f>'LISTA CHEQUEO'!$M$8</f>
        <v>OP-SS-128</v>
      </c>
      <c r="D148" s="195"/>
      <c r="E148" s="195"/>
      <c r="F148" s="252"/>
      <c r="G148" s="112" t="s">
        <v>180</v>
      </c>
      <c r="H148" s="439"/>
      <c r="I148" s="252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15.75" customHeight="1" x14ac:dyDescent="0.45">
      <c r="A149" s="69"/>
      <c r="B149" s="114" t="s">
        <v>370</v>
      </c>
      <c r="C149" s="429" t="str">
        <f>'LISTA CHEQUEO'!$F$7</f>
        <v>LIMPIADOR ILUMINADOR ACIDO KOJICO</v>
      </c>
      <c r="D149" s="186"/>
      <c r="E149" s="186"/>
      <c r="F149" s="189"/>
      <c r="G149" s="115" t="s">
        <v>371</v>
      </c>
      <c r="H149" s="437" t="str">
        <f>'LISTA CHEQUEO'!$F$8</f>
        <v>252601</v>
      </c>
      <c r="I149" s="252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15.75" customHeight="1" x14ac:dyDescent="0.45">
      <c r="A150" s="69"/>
      <c r="B150" s="114" t="s">
        <v>372</v>
      </c>
      <c r="C150" s="429" t="str">
        <f>OP!B24</f>
        <v>ACIDO SALICILICO</v>
      </c>
      <c r="D150" s="186"/>
      <c r="E150" s="186"/>
      <c r="F150" s="189"/>
      <c r="G150" s="116" t="s">
        <v>373</v>
      </c>
      <c r="H150" s="436" t="str">
        <f>OP!J24</f>
        <v>YC2501040</v>
      </c>
      <c r="I150" s="252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15.75" customHeight="1" x14ac:dyDescent="0.45">
      <c r="A151" s="69"/>
      <c r="B151" s="117" t="s">
        <v>374</v>
      </c>
      <c r="C151" s="430">
        <f>OP!N24</f>
        <v>1000</v>
      </c>
      <c r="D151" s="195"/>
      <c r="E151" s="195"/>
      <c r="F151" s="195"/>
      <c r="G151" s="118"/>
      <c r="H151" s="113"/>
      <c r="I151" s="11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15.75" customHeight="1" x14ac:dyDescent="0.45">
      <c r="A152" s="69"/>
      <c r="B152" s="117" t="s">
        <v>375</v>
      </c>
      <c r="C152" s="431"/>
      <c r="D152" s="195"/>
      <c r="E152" s="195"/>
      <c r="F152" s="195"/>
      <c r="G152" s="113"/>
      <c r="H152" s="113"/>
      <c r="I152" s="11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15.75" customHeight="1" x14ac:dyDescent="0.45">
      <c r="A153" s="69"/>
      <c r="B153" s="117" t="s">
        <v>376</v>
      </c>
      <c r="C153" s="431"/>
      <c r="D153" s="195"/>
      <c r="E153" s="195"/>
      <c r="F153" s="195"/>
      <c r="G153" s="118" t="s">
        <v>377</v>
      </c>
      <c r="H153" s="120"/>
      <c r="I153" s="121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15.75" customHeight="1" x14ac:dyDescent="0.45">
      <c r="A154" s="69"/>
      <c r="B154" s="117" t="s">
        <v>378</v>
      </c>
      <c r="C154" s="431"/>
      <c r="D154" s="195"/>
      <c r="E154" s="195"/>
      <c r="F154" s="195"/>
      <c r="G154" s="118" t="s">
        <v>178</v>
      </c>
      <c r="H154" s="120"/>
      <c r="I154" s="121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5.75" customHeight="1" x14ac:dyDescent="0.45">
      <c r="A155" s="69"/>
      <c r="B155" s="122" t="s">
        <v>379</v>
      </c>
      <c r="C155" s="123"/>
      <c r="D155" s="123"/>
      <c r="E155" s="123"/>
      <c r="F155" s="124"/>
      <c r="G155" s="123"/>
      <c r="H155" s="123"/>
      <c r="I155" s="125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15.75" customHeight="1" x14ac:dyDescent="0.45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15.75" customHeight="1" x14ac:dyDescent="0.45">
      <c r="A157" s="69"/>
      <c r="B157" s="432"/>
      <c r="C157" s="434" t="s">
        <v>0</v>
      </c>
      <c r="D157" s="201"/>
      <c r="E157" s="201"/>
      <c r="F157" s="255"/>
      <c r="G157" s="109" t="s">
        <v>1</v>
      </c>
      <c r="H157" s="261" t="s">
        <v>367</v>
      </c>
      <c r="I157" s="212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15.75" customHeight="1" x14ac:dyDescent="0.45">
      <c r="A158" s="69"/>
      <c r="B158" s="422"/>
      <c r="C158" s="266"/>
      <c r="D158" s="203"/>
      <c r="E158" s="203"/>
      <c r="F158" s="232"/>
      <c r="G158" s="9" t="s">
        <v>3</v>
      </c>
      <c r="H158" s="278">
        <v>1</v>
      </c>
      <c r="I158" s="187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15.75" customHeight="1" x14ac:dyDescent="0.45">
      <c r="A159" s="69"/>
      <c r="B159" s="422"/>
      <c r="C159" s="267"/>
      <c r="D159" s="195"/>
      <c r="E159" s="195"/>
      <c r="F159" s="252"/>
      <c r="G159" s="9" t="s">
        <v>5</v>
      </c>
      <c r="H159" s="235" t="s">
        <v>6</v>
      </c>
      <c r="I159" s="187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15.75" customHeight="1" x14ac:dyDescent="0.45">
      <c r="A160" s="69"/>
      <c r="B160" s="422"/>
      <c r="C160" s="248" t="s">
        <v>368</v>
      </c>
      <c r="D160" s="203"/>
      <c r="E160" s="203"/>
      <c r="F160" s="232"/>
      <c r="G160" s="342" t="s">
        <v>7</v>
      </c>
      <c r="H160" s="235" t="s">
        <v>8</v>
      </c>
      <c r="I160" s="187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15.75" customHeight="1" x14ac:dyDescent="0.45">
      <c r="A161" s="69"/>
      <c r="B161" s="433"/>
      <c r="C161" s="198"/>
      <c r="D161" s="198"/>
      <c r="E161" s="198"/>
      <c r="F161" s="435"/>
      <c r="G161" s="440"/>
      <c r="H161" s="438" t="s">
        <v>9</v>
      </c>
      <c r="I161" s="20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15.75" customHeight="1" x14ac:dyDescent="0.45">
      <c r="A162" s="69"/>
      <c r="B162" s="111" t="s">
        <v>369</v>
      </c>
      <c r="C162" s="436" t="str">
        <f>'LISTA CHEQUEO'!$M$8</f>
        <v>OP-SS-128</v>
      </c>
      <c r="D162" s="195"/>
      <c r="E162" s="195"/>
      <c r="F162" s="252"/>
      <c r="G162" s="112" t="s">
        <v>180</v>
      </c>
      <c r="H162" s="439"/>
      <c r="I162" s="252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15.75" customHeight="1" x14ac:dyDescent="0.45">
      <c r="A163" s="69"/>
      <c r="B163" s="114" t="s">
        <v>370</v>
      </c>
      <c r="C163" s="429" t="str">
        <f>'LISTA CHEQUEO'!$F$7</f>
        <v>LIMPIADOR ILUMINADOR ACIDO KOJICO</v>
      </c>
      <c r="D163" s="186"/>
      <c r="E163" s="186"/>
      <c r="F163" s="189"/>
      <c r="G163" s="115" t="s">
        <v>371</v>
      </c>
      <c r="H163" s="437" t="str">
        <f>'LISTA CHEQUEO'!$F$8</f>
        <v>252601</v>
      </c>
      <c r="I163" s="252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15.75" customHeight="1" x14ac:dyDescent="0.45">
      <c r="A164" s="69"/>
      <c r="B164" s="114" t="s">
        <v>372</v>
      </c>
      <c r="C164" s="429" t="str">
        <f>OP!B25</f>
        <v>TWEEN 80</v>
      </c>
      <c r="D164" s="186"/>
      <c r="E164" s="186"/>
      <c r="F164" s="189"/>
      <c r="G164" s="116" t="s">
        <v>373</v>
      </c>
      <c r="H164" s="436">
        <f>OP!J25</f>
        <v>36149</v>
      </c>
      <c r="I164" s="252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15.75" customHeight="1" x14ac:dyDescent="0.45">
      <c r="A165" s="69"/>
      <c r="B165" s="117" t="s">
        <v>374</v>
      </c>
      <c r="C165" s="430">
        <f>OP!N25</f>
        <v>1000</v>
      </c>
      <c r="D165" s="195"/>
      <c r="E165" s="195"/>
      <c r="F165" s="195"/>
      <c r="G165" s="118"/>
      <c r="H165" s="113"/>
      <c r="I165" s="11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15.75" customHeight="1" x14ac:dyDescent="0.45">
      <c r="A166" s="69"/>
      <c r="B166" s="117" t="s">
        <v>375</v>
      </c>
      <c r="C166" s="431"/>
      <c r="D166" s="195"/>
      <c r="E166" s="195"/>
      <c r="F166" s="195"/>
      <c r="G166" s="113"/>
      <c r="H166" s="113"/>
      <c r="I166" s="11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15.75" customHeight="1" x14ac:dyDescent="0.45">
      <c r="A167" s="69"/>
      <c r="B167" s="117" t="s">
        <v>376</v>
      </c>
      <c r="C167" s="431"/>
      <c r="D167" s="195"/>
      <c r="E167" s="195"/>
      <c r="F167" s="195"/>
      <c r="G167" s="118" t="s">
        <v>377</v>
      </c>
      <c r="H167" s="120"/>
      <c r="I167" s="121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15.75" customHeight="1" x14ac:dyDescent="0.45">
      <c r="A168" s="69"/>
      <c r="B168" s="117" t="s">
        <v>378</v>
      </c>
      <c r="C168" s="431"/>
      <c r="D168" s="195"/>
      <c r="E168" s="195"/>
      <c r="F168" s="195"/>
      <c r="G168" s="118" t="s">
        <v>178</v>
      </c>
      <c r="H168" s="120"/>
      <c r="I168" s="121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15.75" customHeight="1" x14ac:dyDescent="0.45">
      <c r="A169" s="69"/>
      <c r="B169" s="122" t="s">
        <v>379</v>
      </c>
      <c r="C169" s="123"/>
      <c r="D169" s="123"/>
      <c r="E169" s="123"/>
      <c r="F169" s="124"/>
      <c r="G169" s="123"/>
      <c r="H169" s="123"/>
      <c r="I169" s="125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15.75" customHeight="1" x14ac:dyDescent="0.45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15.75" customHeight="1" x14ac:dyDescent="0.45">
      <c r="A171" s="69"/>
      <c r="B171" s="432"/>
      <c r="C171" s="434" t="s">
        <v>0</v>
      </c>
      <c r="D171" s="201"/>
      <c r="E171" s="201"/>
      <c r="F171" s="255"/>
      <c r="G171" s="109" t="s">
        <v>1</v>
      </c>
      <c r="H171" s="261" t="s">
        <v>367</v>
      </c>
      <c r="I171" s="212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15.75" customHeight="1" x14ac:dyDescent="0.45">
      <c r="A172" s="69"/>
      <c r="B172" s="422"/>
      <c r="C172" s="266"/>
      <c r="D172" s="203"/>
      <c r="E172" s="203"/>
      <c r="F172" s="232"/>
      <c r="G172" s="9" t="s">
        <v>3</v>
      </c>
      <c r="H172" s="278">
        <v>1</v>
      </c>
      <c r="I172" s="187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15.75" customHeight="1" x14ac:dyDescent="0.45">
      <c r="A173" s="69"/>
      <c r="B173" s="422"/>
      <c r="C173" s="267"/>
      <c r="D173" s="195"/>
      <c r="E173" s="195"/>
      <c r="F173" s="252"/>
      <c r="G173" s="9" t="s">
        <v>5</v>
      </c>
      <c r="H173" s="235" t="s">
        <v>6</v>
      </c>
      <c r="I173" s="187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15.75" customHeight="1" x14ac:dyDescent="0.45">
      <c r="A174" s="69"/>
      <c r="B174" s="422"/>
      <c r="C174" s="248" t="s">
        <v>368</v>
      </c>
      <c r="D174" s="203"/>
      <c r="E174" s="203"/>
      <c r="F174" s="232"/>
      <c r="G174" s="342" t="s">
        <v>7</v>
      </c>
      <c r="H174" s="235" t="s">
        <v>8</v>
      </c>
      <c r="I174" s="187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5.75" customHeight="1" x14ac:dyDescent="0.45">
      <c r="A175" s="69"/>
      <c r="B175" s="433"/>
      <c r="C175" s="198"/>
      <c r="D175" s="198"/>
      <c r="E175" s="198"/>
      <c r="F175" s="435"/>
      <c r="G175" s="440"/>
      <c r="H175" s="438" t="s">
        <v>9</v>
      </c>
      <c r="I175" s="20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15.75" customHeight="1" x14ac:dyDescent="0.45">
      <c r="A176" s="69"/>
      <c r="B176" s="111" t="s">
        <v>369</v>
      </c>
      <c r="C176" s="436" t="str">
        <f>'LISTA CHEQUEO'!$M$8</f>
        <v>OP-SS-128</v>
      </c>
      <c r="D176" s="195"/>
      <c r="E176" s="195"/>
      <c r="F176" s="252"/>
      <c r="G176" s="112" t="s">
        <v>180</v>
      </c>
      <c r="H176" s="439"/>
      <c r="I176" s="252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15.75" customHeight="1" x14ac:dyDescent="0.45">
      <c r="A177" s="69"/>
      <c r="B177" s="114" t="s">
        <v>370</v>
      </c>
      <c r="C177" s="429" t="str">
        <f>'LISTA CHEQUEO'!$F$7</f>
        <v>LIMPIADOR ILUMINADOR ACIDO KOJICO</v>
      </c>
      <c r="D177" s="186"/>
      <c r="E177" s="186"/>
      <c r="F177" s="189"/>
      <c r="G177" s="115" t="s">
        <v>371</v>
      </c>
      <c r="H177" s="437" t="str">
        <f>'LISTA CHEQUEO'!$F$8</f>
        <v>252601</v>
      </c>
      <c r="I177" s="252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15.75" customHeight="1" x14ac:dyDescent="0.45">
      <c r="A178" s="69"/>
      <c r="B178" s="114" t="s">
        <v>372</v>
      </c>
      <c r="C178" s="429" t="str">
        <f>OP!B26</f>
        <v>ACIDO LACTICO</v>
      </c>
      <c r="D178" s="186"/>
      <c r="E178" s="186"/>
      <c r="F178" s="189"/>
      <c r="G178" s="116" t="s">
        <v>373</v>
      </c>
      <c r="H178" s="436">
        <f>OP!J26</f>
        <v>2203300727</v>
      </c>
      <c r="I178" s="252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15.75" customHeight="1" x14ac:dyDescent="0.45">
      <c r="A179" s="69"/>
      <c r="B179" s="117" t="s">
        <v>374</v>
      </c>
      <c r="C179" s="430">
        <f>OP!N26</f>
        <v>600</v>
      </c>
      <c r="D179" s="195"/>
      <c r="E179" s="195"/>
      <c r="F179" s="195"/>
      <c r="G179" s="118"/>
      <c r="H179" s="113"/>
      <c r="I179" s="11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15.75" customHeight="1" x14ac:dyDescent="0.45">
      <c r="A180" s="69"/>
      <c r="B180" s="117" t="s">
        <v>375</v>
      </c>
      <c r="C180" s="431"/>
      <c r="D180" s="195"/>
      <c r="E180" s="195"/>
      <c r="F180" s="195"/>
      <c r="G180" s="113"/>
      <c r="H180" s="113"/>
      <c r="I180" s="11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15.75" customHeight="1" x14ac:dyDescent="0.45">
      <c r="A181" s="69"/>
      <c r="B181" s="117" t="s">
        <v>376</v>
      </c>
      <c r="C181" s="431"/>
      <c r="D181" s="195"/>
      <c r="E181" s="195"/>
      <c r="F181" s="195"/>
      <c r="G181" s="118" t="s">
        <v>377</v>
      </c>
      <c r="H181" s="120"/>
      <c r="I181" s="121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15.75" customHeight="1" x14ac:dyDescent="0.45">
      <c r="A182" s="69"/>
      <c r="B182" s="117" t="s">
        <v>378</v>
      </c>
      <c r="C182" s="431"/>
      <c r="D182" s="195"/>
      <c r="E182" s="195"/>
      <c r="F182" s="195"/>
      <c r="G182" s="118" t="s">
        <v>178</v>
      </c>
      <c r="H182" s="120"/>
      <c r="I182" s="121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15.75" customHeight="1" x14ac:dyDescent="0.45">
      <c r="A183" s="69"/>
      <c r="B183" s="122" t="s">
        <v>379</v>
      </c>
      <c r="C183" s="123"/>
      <c r="D183" s="123"/>
      <c r="E183" s="123"/>
      <c r="F183" s="124"/>
      <c r="G183" s="123"/>
      <c r="H183" s="123"/>
      <c r="I183" s="125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15.75" customHeight="1" x14ac:dyDescent="0.45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15.75" customHeight="1" x14ac:dyDescent="0.45">
      <c r="A185" s="69"/>
      <c r="B185" s="432"/>
      <c r="C185" s="434" t="s">
        <v>0</v>
      </c>
      <c r="D185" s="201"/>
      <c r="E185" s="201"/>
      <c r="F185" s="255"/>
      <c r="G185" s="109" t="s">
        <v>1</v>
      </c>
      <c r="H185" s="261" t="s">
        <v>367</v>
      </c>
      <c r="I185" s="212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15.75" customHeight="1" x14ac:dyDescent="0.45">
      <c r="A186" s="69"/>
      <c r="B186" s="422"/>
      <c r="C186" s="266"/>
      <c r="D186" s="203"/>
      <c r="E186" s="203"/>
      <c r="F186" s="232"/>
      <c r="G186" s="9" t="s">
        <v>3</v>
      </c>
      <c r="H186" s="278">
        <v>1</v>
      </c>
      <c r="I186" s="187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15.75" customHeight="1" x14ac:dyDescent="0.45">
      <c r="A187" s="69"/>
      <c r="B187" s="422"/>
      <c r="C187" s="267"/>
      <c r="D187" s="195"/>
      <c r="E187" s="195"/>
      <c r="F187" s="252"/>
      <c r="G187" s="9" t="s">
        <v>5</v>
      </c>
      <c r="H187" s="235" t="s">
        <v>6</v>
      </c>
      <c r="I187" s="187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15.75" customHeight="1" x14ac:dyDescent="0.45">
      <c r="A188" s="69"/>
      <c r="B188" s="422"/>
      <c r="C188" s="248" t="s">
        <v>368</v>
      </c>
      <c r="D188" s="203"/>
      <c r="E188" s="203"/>
      <c r="F188" s="232"/>
      <c r="G188" s="342" t="s">
        <v>7</v>
      </c>
      <c r="H188" s="235" t="s">
        <v>8</v>
      </c>
      <c r="I188" s="187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15.75" customHeight="1" x14ac:dyDescent="0.45">
      <c r="A189" s="69"/>
      <c r="B189" s="433"/>
      <c r="C189" s="198"/>
      <c r="D189" s="198"/>
      <c r="E189" s="198"/>
      <c r="F189" s="435"/>
      <c r="G189" s="440"/>
      <c r="H189" s="438" t="s">
        <v>9</v>
      </c>
      <c r="I189" s="20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15.75" customHeight="1" x14ac:dyDescent="0.45">
      <c r="A190" s="69"/>
      <c r="B190" s="111" t="s">
        <v>369</v>
      </c>
      <c r="C190" s="436" t="str">
        <f>'LISTA CHEQUEO'!$M$8</f>
        <v>OP-SS-128</v>
      </c>
      <c r="D190" s="195"/>
      <c r="E190" s="195"/>
      <c r="F190" s="252"/>
      <c r="G190" s="112" t="s">
        <v>180</v>
      </c>
      <c r="H190" s="439"/>
      <c r="I190" s="252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15.75" customHeight="1" x14ac:dyDescent="0.45">
      <c r="A191" s="69"/>
      <c r="B191" s="114" t="s">
        <v>370</v>
      </c>
      <c r="C191" s="429" t="str">
        <f>'LISTA CHEQUEO'!$F$7</f>
        <v>LIMPIADOR ILUMINADOR ACIDO KOJICO</v>
      </c>
      <c r="D191" s="186"/>
      <c r="E191" s="186"/>
      <c r="F191" s="189"/>
      <c r="G191" s="115" t="s">
        <v>371</v>
      </c>
      <c r="H191" s="437" t="str">
        <f>'LISTA CHEQUEO'!$F$8</f>
        <v>252601</v>
      </c>
      <c r="I191" s="252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15.75" customHeight="1" x14ac:dyDescent="0.45">
      <c r="A192" s="69"/>
      <c r="B192" s="114" t="s">
        <v>372</v>
      </c>
      <c r="C192" s="429" t="str">
        <f>OP!B27</f>
        <v>SORBATO DE POTASIO</v>
      </c>
      <c r="D192" s="186"/>
      <c r="E192" s="186"/>
      <c r="F192" s="189"/>
      <c r="G192" s="116" t="s">
        <v>373</v>
      </c>
      <c r="H192" s="436" t="str">
        <f>OP!J27</f>
        <v>PS20240530-03</v>
      </c>
      <c r="I192" s="252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15.75" customHeight="1" x14ac:dyDescent="0.45">
      <c r="A193" s="69"/>
      <c r="B193" s="117" t="s">
        <v>374</v>
      </c>
      <c r="C193" s="430">
        <f>OP!N27</f>
        <v>600</v>
      </c>
      <c r="D193" s="195"/>
      <c r="E193" s="195"/>
      <c r="F193" s="195"/>
      <c r="G193" s="118"/>
      <c r="H193" s="113"/>
      <c r="I193" s="11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15.75" customHeight="1" x14ac:dyDescent="0.45">
      <c r="A194" s="69"/>
      <c r="B194" s="117" t="s">
        <v>375</v>
      </c>
      <c r="C194" s="431"/>
      <c r="D194" s="195"/>
      <c r="E194" s="195"/>
      <c r="F194" s="195"/>
      <c r="G194" s="113"/>
      <c r="H194" s="113"/>
      <c r="I194" s="11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15.75" customHeight="1" x14ac:dyDescent="0.45">
      <c r="A195" s="69"/>
      <c r="B195" s="117" t="s">
        <v>376</v>
      </c>
      <c r="C195" s="431"/>
      <c r="D195" s="195"/>
      <c r="E195" s="195"/>
      <c r="F195" s="195"/>
      <c r="G195" s="118" t="s">
        <v>377</v>
      </c>
      <c r="H195" s="120"/>
      <c r="I195" s="121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15.75" customHeight="1" x14ac:dyDescent="0.45">
      <c r="A196" s="69"/>
      <c r="B196" s="117" t="s">
        <v>378</v>
      </c>
      <c r="C196" s="431"/>
      <c r="D196" s="195"/>
      <c r="E196" s="195"/>
      <c r="F196" s="195"/>
      <c r="G196" s="118" t="s">
        <v>178</v>
      </c>
      <c r="H196" s="120"/>
      <c r="I196" s="121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15.75" customHeight="1" x14ac:dyDescent="0.45">
      <c r="A197" s="69"/>
      <c r="B197" s="122" t="s">
        <v>379</v>
      </c>
      <c r="C197" s="123"/>
      <c r="D197" s="123"/>
      <c r="E197" s="123"/>
      <c r="F197" s="124"/>
      <c r="G197" s="123"/>
      <c r="H197" s="123"/>
      <c r="I197" s="125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15.75" customHeight="1" x14ac:dyDescent="0.45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15.75" customHeight="1" x14ac:dyDescent="0.45">
      <c r="A199" s="69"/>
      <c r="B199" s="432"/>
      <c r="C199" s="434" t="s">
        <v>0</v>
      </c>
      <c r="D199" s="201"/>
      <c r="E199" s="201"/>
      <c r="F199" s="255"/>
      <c r="G199" s="109" t="s">
        <v>1</v>
      </c>
      <c r="H199" s="261" t="s">
        <v>367</v>
      </c>
      <c r="I199" s="212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15.75" customHeight="1" x14ac:dyDescent="0.45">
      <c r="A200" s="69"/>
      <c r="B200" s="422"/>
      <c r="C200" s="266"/>
      <c r="D200" s="203"/>
      <c r="E200" s="203"/>
      <c r="F200" s="232"/>
      <c r="G200" s="9" t="s">
        <v>3</v>
      </c>
      <c r="H200" s="278">
        <v>1</v>
      </c>
      <c r="I200" s="187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15.75" customHeight="1" x14ac:dyDescent="0.45">
      <c r="A201" s="69"/>
      <c r="B201" s="422"/>
      <c r="C201" s="267"/>
      <c r="D201" s="195"/>
      <c r="E201" s="195"/>
      <c r="F201" s="252"/>
      <c r="G201" s="9" t="s">
        <v>5</v>
      </c>
      <c r="H201" s="235" t="s">
        <v>6</v>
      </c>
      <c r="I201" s="187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15.75" customHeight="1" x14ac:dyDescent="0.45">
      <c r="A202" s="69"/>
      <c r="B202" s="422"/>
      <c r="C202" s="248" t="s">
        <v>368</v>
      </c>
      <c r="D202" s="203"/>
      <c r="E202" s="203"/>
      <c r="F202" s="232"/>
      <c r="G202" s="342" t="s">
        <v>7</v>
      </c>
      <c r="H202" s="235" t="s">
        <v>8</v>
      </c>
      <c r="I202" s="187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15.75" customHeight="1" x14ac:dyDescent="0.45">
      <c r="A203" s="69"/>
      <c r="B203" s="433"/>
      <c r="C203" s="198"/>
      <c r="D203" s="198"/>
      <c r="E203" s="198"/>
      <c r="F203" s="435"/>
      <c r="G203" s="440"/>
      <c r="H203" s="438" t="s">
        <v>9</v>
      </c>
      <c r="I203" s="20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15.75" customHeight="1" x14ac:dyDescent="0.45">
      <c r="A204" s="69"/>
      <c r="B204" s="111" t="s">
        <v>369</v>
      </c>
      <c r="C204" s="436" t="str">
        <f>'LISTA CHEQUEO'!$M$8</f>
        <v>OP-SS-128</v>
      </c>
      <c r="D204" s="195"/>
      <c r="E204" s="195"/>
      <c r="F204" s="252"/>
      <c r="G204" s="112" t="s">
        <v>180</v>
      </c>
      <c r="H204" s="439"/>
      <c r="I204" s="252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15.75" customHeight="1" x14ac:dyDescent="0.45">
      <c r="A205" s="69"/>
      <c r="B205" s="114" t="s">
        <v>370</v>
      </c>
      <c r="C205" s="429" t="str">
        <f>'LISTA CHEQUEO'!$F$7</f>
        <v>LIMPIADOR ILUMINADOR ACIDO KOJICO</v>
      </c>
      <c r="D205" s="186"/>
      <c r="E205" s="186"/>
      <c r="F205" s="189"/>
      <c r="G205" s="115" t="s">
        <v>371</v>
      </c>
      <c r="H205" s="437" t="str">
        <f>'LISTA CHEQUEO'!$F$8</f>
        <v>252601</v>
      </c>
      <c r="I205" s="252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15.75" customHeight="1" x14ac:dyDescent="0.45">
      <c r="A206" s="69"/>
      <c r="B206" s="114" t="s">
        <v>372</v>
      </c>
      <c r="C206" s="429" t="str">
        <f>OP!B28</f>
        <v>BENZOATO DE SODIO</v>
      </c>
      <c r="D206" s="186"/>
      <c r="E206" s="186"/>
      <c r="F206" s="189"/>
      <c r="G206" s="116" t="s">
        <v>373</v>
      </c>
      <c r="H206" s="436">
        <f>OP!J28</f>
        <v>20240217</v>
      </c>
      <c r="I206" s="252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15.75" customHeight="1" x14ac:dyDescent="0.45">
      <c r="A207" s="69"/>
      <c r="B207" s="117" t="s">
        <v>374</v>
      </c>
      <c r="C207" s="430">
        <f>OP!N28</f>
        <v>600</v>
      </c>
      <c r="D207" s="195"/>
      <c r="E207" s="195"/>
      <c r="F207" s="195"/>
      <c r="G207" s="118"/>
      <c r="H207" s="113"/>
      <c r="I207" s="11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15.75" customHeight="1" x14ac:dyDescent="0.45">
      <c r="A208" s="69"/>
      <c r="B208" s="117" t="s">
        <v>375</v>
      </c>
      <c r="C208" s="431"/>
      <c r="D208" s="195"/>
      <c r="E208" s="195"/>
      <c r="F208" s="195"/>
      <c r="G208" s="113"/>
      <c r="H208" s="113"/>
      <c r="I208" s="11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15.75" customHeight="1" x14ac:dyDescent="0.45">
      <c r="A209" s="69"/>
      <c r="B209" s="117" t="s">
        <v>376</v>
      </c>
      <c r="C209" s="431"/>
      <c r="D209" s="195"/>
      <c r="E209" s="195"/>
      <c r="F209" s="195"/>
      <c r="G209" s="118" t="s">
        <v>377</v>
      </c>
      <c r="H209" s="120"/>
      <c r="I209" s="121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15.75" customHeight="1" x14ac:dyDescent="0.45">
      <c r="A210" s="69"/>
      <c r="B210" s="117" t="s">
        <v>378</v>
      </c>
      <c r="C210" s="431"/>
      <c r="D210" s="195"/>
      <c r="E210" s="195"/>
      <c r="F210" s="195"/>
      <c r="G210" s="118" t="s">
        <v>178</v>
      </c>
      <c r="H210" s="120"/>
      <c r="I210" s="121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15.75" customHeight="1" x14ac:dyDescent="0.45">
      <c r="A211" s="69"/>
      <c r="B211" s="122" t="s">
        <v>379</v>
      </c>
      <c r="C211" s="123"/>
      <c r="D211" s="123"/>
      <c r="E211" s="123"/>
      <c r="F211" s="124"/>
      <c r="G211" s="123"/>
      <c r="H211" s="123"/>
      <c r="I211" s="125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15.75" customHeight="1" x14ac:dyDescent="0.45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15.75" customHeight="1" x14ac:dyDescent="0.45">
      <c r="A213" s="69"/>
      <c r="B213" s="432"/>
      <c r="C213" s="434" t="s">
        <v>0</v>
      </c>
      <c r="D213" s="201"/>
      <c r="E213" s="201"/>
      <c r="F213" s="255"/>
      <c r="G213" s="109" t="s">
        <v>1</v>
      </c>
      <c r="H213" s="261" t="s">
        <v>367</v>
      </c>
      <c r="I213" s="212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15.75" customHeight="1" x14ac:dyDescent="0.45">
      <c r="A214" s="69"/>
      <c r="B214" s="422"/>
      <c r="C214" s="266"/>
      <c r="D214" s="203"/>
      <c r="E214" s="203"/>
      <c r="F214" s="232"/>
      <c r="G214" s="9" t="s">
        <v>3</v>
      </c>
      <c r="H214" s="278">
        <v>1</v>
      </c>
      <c r="I214" s="187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15.75" customHeight="1" x14ac:dyDescent="0.45">
      <c r="A215" s="69"/>
      <c r="B215" s="422"/>
      <c r="C215" s="267"/>
      <c r="D215" s="195"/>
      <c r="E215" s="195"/>
      <c r="F215" s="252"/>
      <c r="G215" s="9" t="s">
        <v>5</v>
      </c>
      <c r="H215" s="235" t="s">
        <v>6</v>
      </c>
      <c r="I215" s="187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15.75" customHeight="1" x14ac:dyDescent="0.45">
      <c r="A216" s="69"/>
      <c r="B216" s="422"/>
      <c r="C216" s="248" t="s">
        <v>368</v>
      </c>
      <c r="D216" s="203"/>
      <c r="E216" s="203"/>
      <c r="F216" s="232"/>
      <c r="G216" s="342" t="s">
        <v>7</v>
      </c>
      <c r="H216" s="235" t="s">
        <v>8</v>
      </c>
      <c r="I216" s="187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15.75" customHeight="1" x14ac:dyDescent="0.45">
      <c r="A217" s="69"/>
      <c r="B217" s="433"/>
      <c r="C217" s="198"/>
      <c r="D217" s="198"/>
      <c r="E217" s="198"/>
      <c r="F217" s="435"/>
      <c r="G217" s="440"/>
      <c r="H217" s="438" t="s">
        <v>9</v>
      </c>
      <c r="I217" s="20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15.75" customHeight="1" x14ac:dyDescent="0.45">
      <c r="A218" s="69"/>
      <c r="B218" s="111" t="s">
        <v>369</v>
      </c>
      <c r="C218" s="436" t="str">
        <f>'LISTA CHEQUEO'!$M$8</f>
        <v>OP-SS-128</v>
      </c>
      <c r="D218" s="195"/>
      <c r="E218" s="195"/>
      <c r="F218" s="252"/>
      <c r="G218" s="112" t="s">
        <v>180</v>
      </c>
      <c r="H218" s="439"/>
      <c r="I218" s="252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15.75" customHeight="1" x14ac:dyDescent="0.45">
      <c r="A219" s="69"/>
      <c r="B219" s="114" t="s">
        <v>370</v>
      </c>
      <c r="C219" s="429" t="str">
        <f>'LISTA CHEQUEO'!$F$7</f>
        <v>LIMPIADOR ILUMINADOR ACIDO KOJICO</v>
      </c>
      <c r="D219" s="186"/>
      <c r="E219" s="186"/>
      <c r="F219" s="189"/>
      <c r="G219" s="115" t="s">
        <v>371</v>
      </c>
      <c r="H219" s="437" t="str">
        <f>'LISTA CHEQUEO'!$F$8</f>
        <v>252601</v>
      </c>
      <c r="I219" s="252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15.75" customHeight="1" x14ac:dyDescent="0.45">
      <c r="A220" s="69"/>
      <c r="B220" s="114" t="s">
        <v>372</v>
      </c>
      <c r="C220" s="429" t="str">
        <f>OP!B29</f>
        <v>BETAGLUCAN</v>
      </c>
      <c r="D220" s="186"/>
      <c r="E220" s="186"/>
      <c r="F220" s="189"/>
      <c r="G220" s="116" t="s">
        <v>373</v>
      </c>
      <c r="H220" s="436" t="str">
        <f>OP!J29</f>
        <v>YT-20240219</v>
      </c>
      <c r="I220" s="252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15.75" customHeight="1" x14ac:dyDescent="0.45">
      <c r="A221" s="69"/>
      <c r="B221" s="117" t="s">
        <v>374</v>
      </c>
      <c r="C221" s="430">
        <f>OP!N29</f>
        <v>600</v>
      </c>
      <c r="D221" s="195"/>
      <c r="E221" s="195"/>
      <c r="F221" s="195"/>
      <c r="G221" s="118"/>
      <c r="H221" s="113"/>
      <c r="I221" s="11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15.75" customHeight="1" x14ac:dyDescent="0.45">
      <c r="A222" s="69"/>
      <c r="B222" s="117" t="s">
        <v>375</v>
      </c>
      <c r="C222" s="431"/>
      <c r="D222" s="195"/>
      <c r="E222" s="195"/>
      <c r="F222" s="195"/>
      <c r="G222" s="113"/>
      <c r="H222" s="113"/>
      <c r="I222" s="11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15.75" customHeight="1" x14ac:dyDescent="0.45">
      <c r="A223" s="69"/>
      <c r="B223" s="117" t="s">
        <v>376</v>
      </c>
      <c r="C223" s="431"/>
      <c r="D223" s="195"/>
      <c r="E223" s="195"/>
      <c r="F223" s="195"/>
      <c r="G223" s="118" t="s">
        <v>377</v>
      </c>
      <c r="H223" s="120"/>
      <c r="I223" s="121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15.75" customHeight="1" x14ac:dyDescent="0.45">
      <c r="A224" s="69"/>
      <c r="B224" s="117" t="s">
        <v>378</v>
      </c>
      <c r="C224" s="431"/>
      <c r="D224" s="195"/>
      <c r="E224" s="195"/>
      <c r="F224" s="195"/>
      <c r="G224" s="118" t="s">
        <v>178</v>
      </c>
      <c r="H224" s="120"/>
      <c r="I224" s="121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15.75" customHeight="1" x14ac:dyDescent="0.45">
      <c r="A225" s="69"/>
      <c r="B225" s="122" t="s">
        <v>379</v>
      </c>
      <c r="C225" s="123"/>
      <c r="D225" s="123"/>
      <c r="E225" s="123"/>
      <c r="F225" s="124"/>
      <c r="G225" s="123"/>
      <c r="H225" s="123"/>
      <c r="I225" s="125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5.75" customHeight="1" x14ac:dyDescent="0.45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15.75" customHeight="1" x14ac:dyDescent="0.45">
      <c r="A227" s="69"/>
      <c r="B227" s="432"/>
      <c r="C227" s="434" t="s">
        <v>0</v>
      </c>
      <c r="D227" s="201"/>
      <c r="E227" s="201"/>
      <c r="F227" s="255"/>
      <c r="G227" s="109" t="s">
        <v>1</v>
      </c>
      <c r="H227" s="261" t="s">
        <v>367</v>
      </c>
      <c r="I227" s="212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15.75" customHeight="1" x14ac:dyDescent="0.45">
      <c r="A228" s="69"/>
      <c r="B228" s="422"/>
      <c r="C228" s="266"/>
      <c r="D228" s="203"/>
      <c r="E228" s="203"/>
      <c r="F228" s="232"/>
      <c r="G228" s="9" t="s">
        <v>3</v>
      </c>
      <c r="H228" s="278">
        <v>1</v>
      </c>
      <c r="I228" s="187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15.75" customHeight="1" x14ac:dyDescent="0.45">
      <c r="A229" s="69"/>
      <c r="B229" s="422"/>
      <c r="C229" s="267"/>
      <c r="D229" s="195"/>
      <c r="E229" s="195"/>
      <c r="F229" s="252"/>
      <c r="G229" s="9" t="s">
        <v>5</v>
      </c>
      <c r="H229" s="235" t="s">
        <v>6</v>
      </c>
      <c r="I229" s="187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15.75" customHeight="1" x14ac:dyDescent="0.45">
      <c r="A230" s="69"/>
      <c r="B230" s="422"/>
      <c r="C230" s="248" t="s">
        <v>368</v>
      </c>
      <c r="D230" s="203"/>
      <c r="E230" s="203"/>
      <c r="F230" s="232"/>
      <c r="G230" s="342" t="s">
        <v>7</v>
      </c>
      <c r="H230" s="235" t="s">
        <v>8</v>
      </c>
      <c r="I230" s="187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15.75" customHeight="1" x14ac:dyDescent="0.45">
      <c r="A231" s="69"/>
      <c r="B231" s="433"/>
      <c r="C231" s="198"/>
      <c r="D231" s="198"/>
      <c r="E231" s="198"/>
      <c r="F231" s="435"/>
      <c r="G231" s="440"/>
      <c r="H231" s="438" t="s">
        <v>9</v>
      </c>
      <c r="I231" s="20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15.75" customHeight="1" x14ac:dyDescent="0.45">
      <c r="A232" s="69"/>
      <c r="B232" s="111" t="s">
        <v>369</v>
      </c>
      <c r="C232" s="436" t="str">
        <f>'LISTA CHEQUEO'!$M$8</f>
        <v>OP-SS-128</v>
      </c>
      <c r="D232" s="195"/>
      <c r="E232" s="195"/>
      <c r="F232" s="252"/>
      <c r="G232" s="112" t="s">
        <v>180</v>
      </c>
      <c r="H232" s="439"/>
      <c r="I232" s="252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15.75" customHeight="1" x14ac:dyDescent="0.45">
      <c r="A233" s="69"/>
      <c r="B233" s="114" t="s">
        <v>370</v>
      </c>
      <c r="C233" s="429" t="str">
        <f>'LISTA CHEQUEO'!$F$7</f>
        <v>LIMPIADOR ILUMINADOR ACIDO KOJICO</v>
      </c>
      <c r="D233" s="186"/>
      <c r="E233" s="186"/>
      <c r="F233" s="189"/>
      <c r="G233" s="115" t="s">
        <v>371</v>
      </c>
      <c r="H233" s="437" t="str">
        <f>'LISTA CHEQUEO'!$F$8</f>
        <v>252601</v>
      </c>
      <c r="I233" s="252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15.75" customHeight="1" x14ac:dyDescent="0.45">
      <c r="A234" s="69"/>
      <c r="B234" s="114" t="s">
        <v>372</v>
      </c>
      <c r="C234" s="429" t="str">
        <f>OP!B30</f>
        <v>ÁCIDO HIALURÓNICO 1500 KD</v>
      </c>
      <c r="D234" s="186"/>
      <c r="E234" s="186"/>
      <c r="F234" s="189"/>
      <c r="G234" s="116" t="s">
        <v>373</v>
      </c>
      <c r="H234" s="436" t="str">
        <f>OP!J29</f>
        <v>YT-20240219</v>
      </c>
      <c r="I234" s="252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15.75" customHeight="1" x14ac:dyDescent="0.45">
      <c r="A235" s="69"/>
      <c r="B235" s="117" t="s">
        <v>374</v>
      </c>
      <c r="C235" s="430">
        <f>OP!N30</f>
        <v>200</v>
      </c>
      <c r="D235" s="195"/>
      <c r="E235" s="195"/>
      <c r="F235" s="195"/>
      <c r="G235" s="118"/>
      <c r="H235" s="113"/>
      <c r="I235" s="11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15.75" customHeight="1" x14ac:dyDescent="0.45">
      <c r="A236" s="69"/>
      <c r="B236" s="117" t="s">
        <v>375</v>
      </c>
      <c r="C236" s="431"/>
      <c r="D236" s="195"/>
      <c r="E236" s="195"/>
      <c r="F236" s="195"/>
      <c r="G236" s="113"/>
      <c r="H236" s="113"/>
      <c r="I236" s="11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15.75" customHeight="1" x14ac:dyDescent="0.45">
      <c r="A237" s="69"/>
      <c r="B237" s="117" t="s">
        <v>376</v>
      </c>
      <c r="C237" s="431"/>
      <c r="D237" s="195"/>
      <c r="E237" s="195"/>
      <c r="F237" s="195"/>
      <c r="G237" s="118" t="s">
        <v>377</v>
      </c>
      <c r="H237" s="120"/>
      <c r="I237" s="121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15.75" customHeight="1" x14ac:dyDescent="0.45">
      <c r="A238" s="69"/>
      <c r="B238" s="117" t="s">
        <v>378</v>
      </c>
      <c r="C238" s="431"/>
      <c r="D238" s="195"/>
      <c r="E238" s="195"/>
      <c r="F238" s="195"/>
      <c r="G238" s="118" t="s">
        <v>178</v>
      </c>
      <c r="H238" s="120"/>
      <c r="I238" s="121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5.75" customHeight="1" x14ac:dyDescent="0.45">
      <c r="A239" s="69"/>
      <c r="B239" s="122" t="s">
        <v>379</v>
      </c>
      <c r="C239" s="123"/>
      <c r="D239" s="123"/>
      <c r="E239" s="123"/>
      <c r="F239" s="124"/>
      <c r="G239" s="123"/>
      <c r="H239" s="123"/>
      <c r="I239" s="125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15.75" customHeight="1" x14ac:dyDescent="0.45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15.75" customHeight="1" x14ac:dyDescent="0.45">
      <c r="A241" s="69"/>
      <c r="B241" s="432"/>
      <c r="C241" s="434" t="s">
        <v>0</v>
      </c>
      <c r="D241" s="201"/>
      <c r="E241" s="201"/>
      <c r="F241" s="255"/>
      <c r="G241" s="109" t="s">
        <v>1</v>
      </c>
      <c r="H241" s="261" t="s">
        <v>367</v>
      </c>
      <c r="I241" s="212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15.75" customHeight="1" x14ac:dyDescent="0.45">
      <c r="A242" s="69"/>
      <c r="B242" s="422"/>
      <c r="C242" s="266"/>
      <c r="D242" s="203"/>
      <c r="E242" s="203"/>
      <c r="F242" s="232"/>
      <c r="G242" s="9" t="s">
        <v>3</v>
      </c>
      <c r="H242" s="278">
        <v>1</v>
      </c>
      <c r="I242" s="187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15.75" customHeight="1" x14ac:dyDescent="0.45">
      <c r="A243" s="69"/>
      <c r="B243" s="422"/>
      <c r="C243" s="267"/>
      <c r="D243" s="195"/>
      <c r="E243" s="195"/>
      <c r="F243" s="252"/>
      <c r="G243" s="9" t="s">
        <v>5</v>
      </c>
      <c r="H243" s="235" t="s">
        <v>6</v>
      </c>
      <c r="I243" s="187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15.75" customHeight="1" x14ac:dyDescent="0.45">
      <c r="A244" s="69"/>
      <c r="B244" s="422"/>
      <c r="C244" s="248" t="s">
        <v>368</v>
      </c>
      <c r="D244" s="203"/>
      <c r="E244" s="203"/>
      <c r="F244" s="232"/>
      <c r="G244" s="342" t="s">
        <v>7</v>
      </c>
      <c r="H244" s="235" t="s">
        <v>8</v>
      </c>
      <c r="I244" s="187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15.75" customHeight="1" x14ac:dyDescent="0.45">
      <c r="A245" s="69"/>
      <c r="B245" s="433"/>
      <c r="C245" s="198"/>
      <c r="D245" s="198"/>
      <c r="E245" s="198"/>
      <c r="F245" s="435"/>
      <c r="G245" s="440"/>
      <c r="H245" s="438" t="s">
        <v>9</v>
      </c>
      <c r="I245" s="20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15.75" customHeight="1" x14ac:dyDescent="0.45">
      <c r="A246" s="69"/>
      <c r="B246" s="111" t="s">
        <v>369</v>
      </c>
      <c r="C246" s="436" t="str">
        <f>'LISTA CHEQUEO'!$M$8</f>
        <v>OP-SS-128</v>
      </c>
      <c r="D246" s="195"/>
      <c r="E246" s="195"/>
      <c r="F246" s="252"/>
      <c r="G246" s="112" t="s">
        <v>180</v>
      </c>
      <c r="H246" s="439"/>
      <c r="I246" s="252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15.75" customHeight="1" x14ac:dyDescent="0.45">
      <c r="A247" s="69"/>
      <c r="B247" s="114" t="s">
        <v>370</v>
      </c>
      <c r="C247" s="429" t="str">
        <f>'LISTA CHEQUEO'!$F$7</f>
        <v>LIMPIADOR ILUMINADOR ACIDO KOJICO</v>
      </c>
      <c r="D247" s="186"/>
      <c r="E247" s="186"/>
      <c r="F247" s="189"/>
      <c r="G247" s="115" t="s">
        <v>371</v>
      </c>
      <c r="H247" s="437" t="str">
        <f>'LISTA CHEQUEO'!$F$8</f>
        <v>252601</v>
      </c>
      <c r="I247" s="252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 ht="15.75" customHeight="1" x14ac:dyDescent="0.45">
      <c r="A248" s="69"/>
      <c r="B248" s="114" t="s">
        <v>372</v>
      </c>
      <c r="C248" s="429" t="str">
        <f>OP!B31</f>
        <v>REGALIZ</v>
      </c>
      <c r="D248" s="186"/>
      <c r="E248" s="186"/>
      <c r="F248" s="189"/>
      <c r="G248" s="116" t="s">
        <v>373</v>
      </c>
      <c r="H248" s="436" t="str">
        <f>OP!J31</f>
        <v>YT-20221015</v>
      </c>
      <c r="I248" s="252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 ht="15.75" customHeight="1" x14ac:dyDescent="0.45">
      <c r="A249" s="69"/>
      <c r="B249" s="117" t="s">
        <v>374</v>
      </c>
      <c r="C249" s="430">
        <f>OP!N31</f>
        <v>100</v>
      </c>
      <c r="D249" s="195"/>
      <c r="E249" s="195"/>
      <c r="F249" s="195"/>
      <c r="G249" s="118"/>
      <c r="H249" s="113"/>
      <c r="I249" s="11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 ht="15.75" customHeight="1" x14ac:dyDescent="0.45">
      <c r="A250" s="69"/>
      <c r="B250" s="117" t="s">
        <v>375</v>
      </c>
      <c r="C250" s="431"/>
      <c r="D250" s="195"/>
      <c r="E250" s="195"/>
      <c r="F250" s="195"/>
      <c r="G250" s="113"/>
      <c r="H250" s="113"/>
      <c r="I250" s="11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 ht="15.75" customHeight="1" x14ac:dyDescent="0.45">
      <c r="A251" s="69"/>
      <c r="B251" s="117" t="s">
        <v>376</v>
      </c>
      <c r="C251" s="431"/>
      <c r="D251" s="195"/>
      <c r="E251" s="195"/>
      <c r="F251" s="195"/>
      <c r="G251" s="118" t="s">
        <v>377</v>
      </c>
      <c r="H251" s="120"/>
      <c r="I251" s="121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 ht="15.75" customHeight="1" x14ac:dyDescent="0.45">
      <c r="A252" s="69"/>
      <c r="B252" s="117" t="s">
        <v>378</v>
      </c>
      <c r="C252" s="431"/>
      <c r="D252" s="195"/>
      <c r="E252" s="195"/>
      <c r="F252" s="195"/>
      <c r="G252" s="118" t="s">
        <v>178</v>
      </c>
      <c r="H252" s="120"/>
      <c r="I252" s="121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 ht="15.75" customHeight="1" x14ac:dyDescent="0.45">
      <c r="A253" s="69"/>
      <c r="B253" s="122" t="s">
        <v>379</v>
      </c>
      <c r="C253" s="123"/>
      <c r="D253" s="123"/>
      <c r="E253" s="123"/>
      <c r="F253" s="124"/>
      <c r="G253" s="123"/>
      <c r="H253" s="123"/>
      <c r="I253" s="125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 ht="15.75" customHeight="1" x14ac:dyDescent="0.45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 ht="15.75" customHeight="1" x14ac:dyDescent="0.4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 ht="15.75" customHeight="1" x14ac:dyDescent="0.45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 ht="15.75" customHeight="1" x14ac:dyDescent="0.45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 ht="15.75" customHeight="1" x14ac:dyDescent="0.45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 ht="15.75" customHeight="1" x14ac:dyDescent="0.45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 ht="15.75" customHeight="1" x14ac:dyDescent="0.45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 ht="15.75" customHeight="1" x14ac:dyDescent="0.45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 ht="15.75" customHeight="1" x14ac:dyDescent="0.45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 ht="15.75" customHeight="1" x14ac:dyDescent="0.45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 ht="15.75" customHeight="1" x14ac:dyDescent="0.45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 ht="15.75" customHeight="1" x14ac:dyDescent="0.4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 ht="15.75" customHeight="1" x14ac:dyDescent="0.45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 ht="15.75" customHeight="1" x14ac:dyDescent="0.45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 ht="15.75" customHeight="1" x14ac:dyDescent="0.45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 ht="15.75" customHeight="1" x14ac:dyDescent="0.45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 ht="15.75" customHeight="1" x14ac:dyDescent="0.45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 ht="15.75" customHeight="1" x14ac:dyDescent="0.45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 ht="15.75" customHeight="1" x14ac:dyDescent="0.45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 ht="15.75" customHeight="1" x14ac:dyDescent="0.45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 ht="15.75" customHeight="1" x14ac:dyDescent="0.45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 ht="15.75" customHeight="1" x14ac:dyDescent="0.4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 ht="15.75" customHeight="1" x14ac:dyDescent="0.45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 ht="15.75" customHeight="1" x14ac:dyDescent="0.45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 ht="15.75" customHeight="1" x14ac:dyDescent="0.4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 ht="15.75" customHeight="1" x14ac:dyDescent="0.4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 ht="15.75" customHeight="1" x14ac:dyDescent="0.4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 ht="15.75" customHeight="1" x14ac:dyDescent="0.4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 ht="15.75" customHeight="1" x14ac:dyDescent="0.4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 ht="15.75" customHeight="1" x14ac:dyDescent="0.4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 ht="15.75" customHeight="1" x14ac:dyDescent="0.4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 ht="15.75" customHeight="1" x14ac:dyDescent="0.4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 ht="15.75" customHeight="1" x14ac:dyDescent="0.4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 ht="15.75" customHeight="1" x14ac:dyDescent="0.4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 ht="15.75" customHeight="1" x14ac:dyDescent="0.4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 ht="15.75" customHeight="1" x14ac:dyDescent="0.4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 ht="15.75" customHeight="1" x14ac:dyDescent="0.4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 ht="15.75" customHeight="1" x14ac:dyDescent="0.4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 ht="15.75" customHeight="1" x14ac:dyDescent="0.4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 ht="15.75" customHeight="1" x14ac:dyDescent="0.4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 ht="15.75" customHeight="1" x14ac:dyDescent="0.4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 ht="15.75" customHeight="1" x14ac:dyDescent="0.4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 ht="15.75" customHeight="1" x14ac:dyDescent="0.4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 ht="15.75" customHeight="1" x14ac:dyDescent="0.4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 ht="15.75" customHeight="1" x14ac:dyDescent="0.4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 ht="15.75" customHeight="1" x14ac:dyDescent="0.4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 ht="15.75" customHeight="1" x14ac:dyDescent="0.4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 ht="15.75" customHeight="1" x14ac:dyDescent="0.4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 ht="15.75" customHeight="1" x14ac:dyDescent="0.4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 ht="15.75" customHeight="1" x14ac:dyDescent="0.4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 ht="15.75" customHeight="1" x14ac:dyDescent="0.4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 ht="15.75" customHeight="1" x14ac:dyDescent="0.4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 ht="15.75" customHeight="1" x14ac:dyDescent="0.4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 ht="15.75" customHeight="1" x14ac:dyDescent="0.4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 ht="15.75" customHeight="1" x14ac:dyDescent="0.4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 ht="15.75" customHeight="1" x14ac:dyDescent="0.4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 ht="15.75" customHeight="1" x14ac:dyDescent="0.4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 ht="15.75" customHeight="1" x14ac:dyDescent="0.4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15.75" customHeight="1" x14ac:dyDescent="0.4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 ht="15.75" customHeight="1" x14ac:dyDescent="0.4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 ht="15.75" customHeight="1" x14ac:dyDescent="0.4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 ht="15.75" customHeight="1" x14ac:dyDescent="0.4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 ht="15.75" customHeight="1" x14ac:dyDescent="0.4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 ht="15.75" customHeight="1" x14ac:dyDescent="0.4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15.75" customHeight="1" x14ac:dyDescent="0.4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15.75" customHeight="1" x14ac:dyDescent="0.4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15.75" customHeight="1" x14ac:dyDescent="0.4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15.75" customHeight="1" x14ac:dyDescent="0.4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15.75" customHeight="1" x14ac:dyDescent="0.4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15.75" customHeight="1" x14ac:dyDescent="0.4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15.75" customHeight="1" x14ac:dyDescent="0.4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15.75" customHeight="1" x14ac:dyDescent="0.4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15.75" customHeight="1" x14ac:dyDescent="0.45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15.75" customHeight="1" x14ac:dyDescent="0.45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15.75" customHeight="1" x14ac:dyDescent="0.45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15.75" customHeight="1" x14ac:dyDescent="0.45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15.75" customHeight="1" x14ac:dyDescent="0.45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15.75" customHeight="1" x14ac:dyDescent="0.45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15.75" customHeight="1" x14ac:dyDescent="0.45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15.75" customHeight="1" x14ac:dyDescent="0.45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15.75" customHeight="1" x14ac:dyDescent="0.45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15.75" customHeight="1" x14ac:dyDescent="0.4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15.75" customHeight="1" x14ac:dyDescent="0.45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15.75" customHeight="1" x14ac:dyDescent="0.45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15.75" customHeight="1" x14ac:dyDescent="0.45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15.75" customHeight="1" x14ac:dyDescent="0.45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15.75" customHeight="1" x14ac:dyDescent="0.45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15.75" customHeight="1" x14ac:dyDescent="0.45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15.75" customHeight="1" x14ac:dyDescent="0.45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5.75" customHeight="1" x14ac:dyDescent="0.45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15.75" customHeight="1" x14ac:dyDescent="0.45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15.75" customHeight="1" x14ac:dyDescent="0.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15.75" customHeight="1" x14ac:dyDescent="0.45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15.75" customHeight="1" x14ac:dyDescent="0.45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15.75" customHeight="1" x14ac:dyDescent="0.45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15.75" customHeight="1" x14ac:dyDescent="0.45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15.75" customHeight="1" x14ac:dyDescent="0.45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15.75" customHeight="1" x14ac:dyDescent="0.45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15.75" customHeight="1" x14ac:dyDescent="0.45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15.75" customHeight="1" x14ac:dyDescent="0.45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15.75" customHeight="1" x14ac:dyDescent="0.45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15.75" customHeight="1" x14ac:dyDescent="0.4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15.75" customHeight="1" x14ac:dyDescent="0.4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15.75" customHeight="1" x14ac:dyDescent="0.4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15.75" customHeight="1" x14ac:dyDescent="0.4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15.75" customHeight="1" x14ac:dyDescent="0.4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15.75" customHeight="1" x14ac:dyDescent="0.4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15.75" customHeight="1" x14ac:dyDescent="0.4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15.75" customHeight="1" x14ac:dyDescent="0.4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15.75" customHeight="1" x14ac:dyDescent="0.4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15.75" customHeight="1" x14ac:dyDescent="0.45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15.75" customHeight="1" x14ac:dyDescent="0.4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15.75" customHeight="1" x14ac:dyDescent="0.45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15.75" customHeight="1" x14ac:dyDescent="0.45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15.75" customHeight="1" x14ac:dyDescent="0.45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15.75" customHeight="1" x14ac:dyDescent="0.45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15.75" customHeight="1" x14ac:dyDescent="0.45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15.75" customHeight="1" x14ac:dyDescent="0.45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15.75" customHeight="1" x14ac:dyDescent="0.4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15.75" customHeight="1" x14ac:dyDescent="0.45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15.75" customHeight="1" x14ac:dyDescent="0.45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15.75" customHeight="1" x14ac:dyDescent="0.4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15.75" customHeight="1" x14ac:dyDescent="0.45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15.75" customHeight="1" x14ac:dyDescent="0.45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15.75" customHeight="1" x14ac:dyDescent="0.45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15.75" customHeight="1" x14ac:dyDescent="0.45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15.75" customHeight="1" x14ac:dyDescent="0.45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15.75" customHeight="1" x14ac:dyDescent="0.45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15.75" customHeight="1" x14ac:dyDescent="0.45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15.75" customHeight="1" x14ac:dyDescent="0.45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15.75" customHeight="1" x14ac:dyDescent="0.45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15.75" customHeight="1" x14ac:dyDescent="0.4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15.75" customHeight="1" x14ac:dyDescent="0.45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15.75" customHeight="1" x14ac:dyDescent="0.45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15.75" customHeight="1" x14ac:dyDescent="0.45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15.75" customHeight="1" x14ac:dyDescent="0.45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15.75" customHeight="1" x14ac:dyDescent="0.45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15.75" customHeight="1" x14ac:dyDescent="0.45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15.75" customHeight="1" x14ac:dyDescent="0.45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15.75" customHeight="1" x14ac:dyDescent="0.45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15.75" customHeight="1" x14ac:dyDescent="0.45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15.75" customHeight="1" x14ac:dyDescent="0.4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15.75" customHeight="1" x14ac:dyDescent="0.45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15.75" customHeight="1" x14ac:dyDescent="0.45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15.75" customHeight="1" x14ac:dyDescent="0.45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15.75" customHeight="1" x14ac:dyDescent="0.45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15.75" customHeight="1" x14ac:dyDescent="0.45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15.75" customHeight="1" x14ac:dyDescent="0.45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15.75" customHeight="1" x14ac:dyDescent="0.45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15.75" customHeight="1" x14ac:dyDescent="0.45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15.75" customHeight="1" x14ac:dyDescent="0.45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15.75" customHeight="1" x14ac:dyDescent="0.4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15.75" customHeight="1" x14ac:dyDescent="0.45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15.75" customHeight="1" x14ac:dyDescent="0.45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15.75" customHeight="1" x14ac:dyDescent="0.45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15.75" customHeight="1" x14ac:dyDescent="0.45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15.75" customHeight="1" x14ac:dyDescent="0.45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15.75" customHeight="1" x14ac:dyDescent="0.45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15.75" customHeight="1" x14ac:dyDescent="0.45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15.75" customHeight="1" x14ac:dyDescent="0.45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15.75" customHeight="1" x14ac:dyDescent="0.45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15.75" customHeight="1" x14ac:dyDescent="0.4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15.75" customHeight="1" x14ac:dyDescent="0.4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15.75" customHeight="1" x14ac:dyDescent="0.45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15.75" customHeight="1" x14ac:dyDescent="0.45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15.75" customHeight="1" x14ac:dyDescent="0.45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15.75" customHeight="1" x14ac:dyDescent="0.45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15.75" customHeight="1" x14ac:dyDescent="0.45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15.75" customHeight="1" x14ac:dyDescent="0.45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15.75" customHeight="1" x14ac:dyDescent="0.45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15.75" customHeight="1" x14ac:dyDescent="0.45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15.75" customHeight="1" x14ac:dyDescent="0.4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15.75" customHeight="1" x14ac:dyDescent="0.45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15.75" customHeight="1" x14ac:dyDescent="0.45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15.75" customHeight="1" x14ac:dyDescent="0.45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15.75" customHeight="1" x14ac:dyDescent="0.45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15.75" customHeight="1" x14ac:dyDescent="0.45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15.75" customHeight="1" x14ac:dyDescent="0.45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15.75" customHeight="1" x14ac:dyDescent="0.45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15.75" customHeight="1" x14ac:dyDescent="0.45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15.75" customHeight="1" x14ac:dyDescent="0.45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15.75" customHeight="1" x14ac:dyDescent="0.4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15.75" customHeight="1" x14ac:dyDescent="0.45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15.75" customHeight="1" x14ac:dyDescent="0.45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15.75" customHeight="1" x14ac:dyDescent="0.45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15.75" customHeight="1" x14ac:dyDescent="0.45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15.75" customHeight="1" x14ac:dyDescent="0.45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15.75" customHeight="1" x14ac:dyDescent="0.45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15.75" customHeight="1" x14ac:dyDescent="0.45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15.75" customHeight="1" x14ac:dyDescent="0.45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15.75" customHeight="1" x14ac:dyDescent="0.45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15.75" customHeight="1" x14ac:dyDescent="0.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15.75" customHeight="1" x14ac:dyDescent="0.45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15.75" customHeight="1" x14ac:dyDescent="0.45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15.75" customHeight="1" x14ac:dyDescent="0.45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15.75" customHeight="1" x14ac:dyDescent="0.45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15.75" customHeight="1" x14ac:dyDescent="0.45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15.75" customHeight="1" x14ac:dyDescent="0.4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15.75" customHeight="1" x14ac:dyDescent="0.45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15.75" customHeight="1" x14ac:dyDescent="0.45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15.75" customHeight="1" x14ac:dyDescent="0.45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15.75" customHeight="1" x14ac:dyDescent="0.4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15.75" customHeight="1" x14ac:dyDescent="0.45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15.75" customHeight="1" x14ac:dyDescent="0.45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15.75" customHeight="1" x14ac:dyDescent="0.45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15.75" customHeight="1" x14ac:dyDescent="0.4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15.75" customHeight="1" x14ac:dyDescent="0.4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15.75" customHeight="1" x14ac:dyDescent="0.4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15.75" customHeight="1" x14ac:dyDescent="0.4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15.75" customHeight="1" x14ac:dyDescent="0.4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15.75" customHeight="1" x14ac:dyDescent="0.4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15.75" customHeight="1" x14ac:dyDescent="0.4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15.75" customHeight="1" x14ac:dyDescent="0.4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15.75" customHeight="1" x14ac:dyDescent="0.4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15.75" customHeight="1" x14ac:dyDescent="0.4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15.75" customHeight="1" x14ac:dyDescent="0.4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15.75" customHeight="1" x14ac:dyDescent="0.4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15.75" customHeight="1" x14ac:dyDescent="0.4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15.75" customHeight="1" x14ac:dyDescent="0.4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15.75" customHeight="1" x14ac:dyDescent="0.4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15.75" customHeight="1" x14ac:dyDescent="0.4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15.75" customHeight="1" x14ac:dyDescent="0.4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15.75" customHeight="1" x14ac:dyDescent="0.4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15.75" customHeight="1" x14ac:dyDescent="0.4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15.75" customHeight="1" x14ac:dyDescent="0.4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15.75" customHeight="1" x14ac:dyDescent="0.4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15.75" customHeight="1" x14ac:dyDescent="0.4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15.75" customHeight="1" x14ac:dyDescent="0.4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15.75" customHeight="1" x14ac:dyDescent="0.4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15.75" customHeight="1" x14ac:dyDescent="0.4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15.75" customHeight="1" x14ac:dyDescent="0.4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15.75" customHeight="1" x14ac:dyDescent="0.4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15.75" customHeight="1" x14ac:dyDescent="0.4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15.75" customHeight="1" x14ac:dyDescent="0.4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15.75" customHeight="1" x14ac:dyDescent="0.4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15.75" customHeight="1" x14ac:dyDescent="0.4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15.75" customHeight="1" x14ac:dyDescent="0.4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15.75" customHeight="1" x14ac:dyDescent="0.4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15.75" customHeight="1" x14ac:dyDescent="0.4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15.75" customHeight="1" x14ac:dyDescent="0.4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15.75" customHeight="1" x14ac:dyDescent="0.4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15.75" customHeight="1" x14ac:dyDescent="0.4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15.75" customHeight="1" x14ac:dyDescent="0.4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15.75" customHeight="1" x14ac:dyDescent="0.4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15.75" customHeight="1" x14ac:dyDescent="0.4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15.75" customHeight="1" x14ac:dyDescent="0.4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15.75" customHeight="1" x14ac:dyDescent="0.4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15.75" customHeight="1" x14ac:dyDescent="0.4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15.75" customHeight="1" x14ac:dyDescent="0.4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15.75" customHeight="1" x14ac:dyDescent="0.4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15.75" customHeight="1" x14ac:dyDescent="0.4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15.75" customHeight="1" x14ac:dyDescent="0.4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15.75" customHeight="1" x14ac:dyDescent="0.4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15.75" customHeight="1" x14ac:dyDescent="0.4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15.75" customHeight="1" x14ac:dyDescent="0.4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15.75" customHeight="1" x14ac:dyDescent="0.4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15.75" customHeight="1" x14ac:dyDescent="0.4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15.75" customHeight="1" x14ac:dyDescent="0.4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15.75" customHeight="1" x14ac:dyDescent="0.4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15.75" customHeight="1" x14ac:dyDescent="0.4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15.75" customHeight="1" x14ac:dyDescent="0.4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15.75" customHeight="1" x14ac:dyDescent="0.4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15.75" customHeight="1" x14ac:dyDescent="0.4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15.75" customHeight="1" x14ac:dyDescent="0.4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15.75" customHeight="1" x14ac:dyDescent="0.4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15.75" customHeight="1" x14ac:dyDescent="0.4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15.75" customHeight="1" x14ac:dyDescent="0.4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15.75" customHeight="1" x14ac:dyDescent="0.4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15.75" customHeight="1" x14ac:dyDescent="0.4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15.75" customHeight="1" x14ac:dyDescent="0.4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15.75" customHeight="1" x14ac:dyDescent="0.4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15.75" customHeight="1" x14ac:dyDescent="0.4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15.75" customHeight="1" x14ac:dyDescent="0.4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15.75" customHeight="1" x14ac:dyDescent="0.4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15.75" customHeight="1" x14ac:dyDescent="0.4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15.75" customHeight="1" x14ac:dyDescent="0.4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15.75" customHeight="1" x14ac:dyDescent="0.4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15.75" customHeight="1" x14ac:dyDescent="0.4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15.75" customHeight="1" x14ac:dyDescent="0.4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15.75" customHeight="1" x14ac:dyDescent="0.4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15.75" customHeight="1" x14ac:dyDescent="0.4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15.75" customHeight="1" x14ac:dyDescent="0.4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15.75" customHeight="1" x14ac:dyDescent="0.4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15.75" customHeight="1" x14ac:dyDescent="0.4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15.75" customHeight="1" x14ac:dyDescent="0.4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15.75" customHeight="1" x14ac:dyDescent="0.4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15.75" customHeight="1" x14ac:dyDescent="0.4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15.75" customHeight="1" x14ac:dyDescent="0.4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15.75" customHeight="1" x14ac:dyDescent="0.4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15.75" customHeight="1" x14ac:dyDescent="0.4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15.75" customHeight="1" x14ac:dyDescent="0.4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15.75" customHeight="1" x14ac:dyDescent="0.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15.75" customHeight="1" x14ac:dyDescent="0.4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15.75" customHeight="1" x14ac:dyDescent="0.4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15.75" customHeight="1" x14ac:dyDescent="0.4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15.75" customHeight="1" x14ac:dyDescent="0.4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15.75" customHeight="1" x14ac:dyDescent="0.4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15.75" customHeight="1" x14ac:dyDescent="0.4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15.75" customHeight="1" x14ac:dyDescent="0.4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15.75" customHeight="1" x14ac:dyDescent="0.4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15.75" customHeight="1" x14ac:dyDescent="0.4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15.75" customHeight="1" x14ac:dyDescent="0.4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15.75" customHeight="1" x14ac:dyDescent="0.4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15.75" customHeight="1" x14ac:dyDescent="0.4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15.75" customHeight="1" x14ac:dyDescent="0.4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15.75" customHeight="1" x14ac:dyDescent="0.4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15.75" customHeight="1" x14ac:dyDescent="0.4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15.75" customHeight="1" x14ac:dyDescent="0.4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15.75" customHeight="1" x14ac:dyDescent="0.4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15.75" customHeight="1" x14ac:dyDescent="0.4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15.75" customHeight="1" x14ac:dyDescent="0.4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15.75" customHeight="1" x14ac:dyDescent="0.4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15.75" customHeight="1" x14ac:dyDescent="0.4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15.75" customHeight="1" x14ac:dyDescent="0.4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15.75" customHeight="1" x14ac:dyDescent="0.4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15.75" customHeight="1" x14ac:dyDescent="0.4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15.75" customHeight="1" x14ac:dyDescent="0.4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15.75" customHeight="1" x14ac:dyDescent="0.4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15.75" customHeight="1" x14ac:dyDescent="0.4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15.75" customHeight="1" x14ac:dyDescent="0.4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15.75" customHeight="1" x14ac:dyDescent="0.4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15.75" customHeight="1" x14ac:dyDescent="0.4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15.75" customHeight="1" x14ac:dyDescent="0.4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15.75" customHeight="1" x14ac:dyDescent="0.4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15.75" customHeight="1" x14ac:dyDescent="0.4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15.75" customHeight="1" x14ac:dyDescent="0.4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15.75" customHeight="1" x14ac:dyDescent="0.4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15.75" customHeight="1" x14ac:dyDescent="0.4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15.75" customHeight="1" x14ac:dyDescent="0.4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15.75" customHeight="1" x14ac:dyDescent="0.4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15.75" customHeight="1" x14ac:dyDescent="0.4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15.75" customHeight="1" x14ac:dyDescent="0.4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15.75" customHeight="1" x14ac:dyDescent="0.4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15.75" customHeight="1" x14ac:dyDescent="0.4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15.75" customHeight="1" x14ac:dyDescent="0.4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15.75" customHeight="1" x14ac:dyDescent="0.4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15.75" customHeight="1" x14ac:dyDescent="0.4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15.75" customHeight="1" x14ac:dyDescent="0.4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15.75" customHeight="1" x14ac:dyDescent="0.4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15.75" customHeight="1" x14ac:dyDescent="0.4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15.75" customHeight="1" x14ac:dyDescent="0.4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15.75" customHeight="1" x14ac:dyDescent="0.4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15.75" customHeight="1" x14ac:dyDescent="0.4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15.75" customHeight="1" x14ac:dyDescent="0.4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15.75" customHeight="1" x14ac:dyDescent="0.4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15.75" customHeight="1" x14ac:dyDescent="0.4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15.75" customHeight="1" x14ac:dyDescent="0.4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15.75" customHeight="1" x14ac:dyDescent="0.4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15.75" customHeight="1" x14ac:dyDescent="0.4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15.75" customHeight="1" x14ac:dyDescent="0.4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15.75" customHeight="1" x14ac:dyDescent="0.4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15.75" customHeight="1" x14ac:dyDescent="0.4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15.75" customHeight="1" x14ac:dyDescent="0.4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15.75" customHeight="1" x14ac:dyDescent="0.4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15.75" customHeight="1" x14ac:dyDescent="0.4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15.75" customHeight="1" x14ac:dyDescent="0.4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15.75" customHeight="1" x14ac:dyDescent="0.4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15.75" customHeight="1" x14ac:dyDescent="0.4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15.75" customHeight="1" x14ac:dyDescent="0.4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15.75" customHeight="1" x14ac:dyDescent="0.4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15.75" customHeight="1" x14ac:dyDescent="0.4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15.75" customHeight="1" x14ac:dyDescent="0.4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15.75" customHeight="1" x14ac:dyDescent="0.4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15.75" customHeight="1" x14ac:dyDescent="0.4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15.75" customHeight="1" x14ac:dyDescent="0.4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15.75" customHeight="1" x14ac:dyDescent="0.4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15.75" customHeight="1" x14ac:dyDescent="0.4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15.75" customHeight="1" x14ac:dyDescent="0.4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15.75" customHeight="1" x14ac:dyDescent="0.4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15.75" customHeight="1" x14ac:dyDescent="0.4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15.75" customHeight="1" x14ac:dyDescent="0.4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15.75" customHeight="1" x14ac:dyDescent="0.4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15.75" customHeight="1" x14ac:dyDescent="0.4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15.75" customHeight="1" x14ac:dyDescent="0.4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15.75" customHeight="1" x14ac:dyDescent="0.4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15.75" customHeight="1" x14ac:dyDescent="0.4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15.75" customHeight="1" x14ac:dyDescent="0.4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15.75" customHeight="1" x14ac:dyDescent="0.4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15.75" customHeight="1" x14ac:dyDescent="0.4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15.75" customHeight="1" x14ac:dyDescent="0.4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15.75" customHeight="1" x14ac:dyDescent="0.4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15.75" customHeight="1" x14ac:dyDescent="0.4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15.75" customHeight="1" x14ac:dyDescent="0.4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15.75" customHeight="1" x14ac:dyDescent="0.4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15.75" customHeight="1" x14ac:dyDescent="0.4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15.75" customHeight="1" x14ac:dyDescent="0.4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15.75" customHeight="1" x14ac:dyDescent="0.4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15.75" customHeight="1" x14ac:dyDescent="0.4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15.75" customHeight="1" x14ac:dyDescent="0.4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15.75" customHeight="1" x14ac:dyDescent="0.4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15.75" customHeight="1" x14ac:dyDescent="0.4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15.75" customHeight="1" x14ac:dyDescent="0.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15.75" customHeight="1" x14ac:dyDescent="0.4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15.75" customHeight="1" x14ac:dyDescent="0.4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15.75" customHeight="1" x14ac:dyDescent="0.4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15.75" customHeight="1" x14ac:dyDescent="0.4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15.75" customHeight="1" x14ac:dyDescent="0.4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15.75" customHeight="1" x14ac:dyDescent="0.4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15.75" customHeight="1" x14ac:dyDescent="0.4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15.75" customHeight="1" x14ac:dyDescent="0.4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15.75" customHeight="1" x14ac:dyDescent="0.4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15.75" customHeight="1" x14ac:dyDescent="0.4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15.75" customHeight="1" x14ac:dyDescent="0.4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15.75" customHeight="1" x14ac:dyDescent="0.4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15.75" customHeight="1" x14ac:dyDescent="0.4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15.75" customHeight="1" x14ac:dyDescent="0.4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15.75" customHeight="1" x14ac:dyDescent="0.4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15.75" customHeight="1" x14ac:dyDescent="0.4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15.75" customHeight="1" x14ac:dyDescent="0.4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15.75" customHeight="1" x14ac:dyDescent="0.4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15.75" customHeight="1" x14ac:dyDescent="0.4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15.75" customHeight="1" x14ac:dyDescent="0.4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15.75" customHeight="1" x14ac:dyDescent="0.4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15.75" customHeight="1" x14ac:dyDescent="0.4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15.75" customHeight="1" x14ac:dyDescent="0.4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15.75" customHeight="1" x14ac:dyDescent="0.4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15.75" customHeight="1" x14ac:dyDescent="0.4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15.75" customHeight="1" x14ac:dyDescent="0.4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15.75" customHeight="1" x14ac:dyDescent="0.4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15.75" customHeight="1" x14ac:dyDescent="0.4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15.75" customHeight="1" x14ac:dyDescent="0.4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15.75" customHeight="1" x14ac:dyDescent="0.4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15.75" customHeight="1" x14ac:dyDescent="0.4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15.75" customHeight="1" x14ac:dyDescent="0.4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15.75" customHeight="1" x14ac:dyDescent="0.4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15.75" customHeight="1" x14ac:dyDescent="0.4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15.75" customHeight="1" x14ac:dyDescent="0.4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15.75" customHeight="1" x14ac:dyDescent="0.4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15.75" customHeight="1" x14ac:dyDescent="0.4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15.75" customHeight="1" x14ac:dyDescent="0.4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15.75" customHeight="1" x14ac:dyDescent="0.4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15.75" customHeight="1" x14ac:dyDescent="0.4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15.75" customHeight="1" x14ac:dyDescent="0.4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15.75" customHeight="1" x14ac:dyDescent="0.4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15.75" customHeight="1" x14ac:dyDescent="0.4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15.75" customHeight="1" x14ac:dyDescent="0.4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15.75" customHeight="1" x14ac:dyDescent="0.4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15.75" customHeight="1" x14ac:dyDescent="0.4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15.75" customHeight="1" x14ac:dyDescent="0.4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15.75" customHeight="1" x14ac:dyDescent="0.4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15.75" customHeight="1" x14ac:dyDescent="0.4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15.75" customHeight="1" x14ac:dyDescent="0.4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15.75" customHeight="1" x14ac:dyDescent="0.4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15.75" customHeight="1" x14ac:dyDescent="0.4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15.75" customHeight="1" x14ac:dyDescent="0.4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15.75" customHeight="1" x14ac:dyDescent="0.4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15.75" customHeight="1" x14ac:dyDescent="0.4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15.75" customHeight="1" x14ac:dyDescent="0.4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15.75" customHeight="1" x14ac:dyDescent="0.4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15.75" customHeight="1" x14ac:dyDescent="0.4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15.75" customHeight="1" x14ac:dyDescent="0.4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15.75" customHeight="1" x14ac:dyDescent="0.4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15.75" customHeight="1" x14ac:dyDescent="0.4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15.75" customHeight="1" x14ac:dyDescent="0.4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15.75" customHeight="1" x14ac:dyDescent="0.4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15.75" customHeight="1" x14ac:dyDescent="0.4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15.75" customHeight="1" x14ac:dyDescent="0.4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15.75" customHeight="1" x14ac:dyDescent="0.4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15.75" customHeight="1" x14ac:dyDescent="0.4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15.75" customHeight="1" x14ac:dyDescent="0.4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15.75" customHeight="1" x14ac:dyDescent="0.4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15.75" customHeight="1" x14ac:dyDescent="0.4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15.75" customHeight="1" x14ac:dyDescent="0.4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15.75" customHeight="1" x14ac:dyDescent="0.4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15.75" customHeight="1" x14ac:dyDescent="0.4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15.75" customHeight="1" x14ac:dyDescent="0.4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15.75" customHeight="1" x14ac:dyDescent="0.4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15.75" customHeight="1" x14ac:dyDescent="0.4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15.75" customHeight="1" x14ac:dyDescent="0.4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15.75" customHeight="1" x14ac:dyDescent="0.4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15.75" customHeight="1" x14ac:dyDescent="0.4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15.75" customHeight="1" x14ac:dyDescent="0.4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15.75" customHeight="1" x14ac:dyDescent="0.4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15.75" customHeight="1" x14ac:dyDescent="0.4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15.75" customHeight="1" x14ac:dyDescent="0.4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15.75" customHeight="1" x14ac:dyDescent="0.4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15.75" customHeight="1" x14ac:dyDescent="0.4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15.75" customHeight="1" x14ac:dyDescent="0.4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15.75" customHeight="1" x14ac:dyDescent="0.4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15.75" customHeight="1" x14ac:dyDescent="0.4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15.75" customHeight="1" x14ac:dyDescent="0.4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15.75" customHeight="1" x14ac:dyDescent="0.4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15.75" customHeight="1" x14ac:dyDescent="0.4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15.75" customHeight="1" x14ac:dyDescent="0.4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15.75" customHeight="1" x14ac:dyDescent="0.4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15.75" customHeight="1" x14ac:dyDescent="0.4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15.75" customHeight="1" x14ac:dyDescent="0.4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15.75" customHeight="1" x14ac:dyDescent="0.4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15.75" customHeight="1" x14ac:dyDescent="0.4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15.75" customHeight="1" x14ac:dyDescent="0.4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15.75" customHeight="1" x14ac:dyDescent="0.4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15.75" customHeight="1" x14ac:dyDescent="0.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15.75" customHeight="1" x14ac:dyDescent="0.4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15.75" customHeight="1" x14ac:dyDescent="0.4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15.75" customHeight="1" x14ac:dyDescent="0.4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15.75" customHeight="1" x14ac:dyDescent="0.4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15.75" customHeight="1" x14ac:dyDescent="0.4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15.75" customHeight="1" x14ac:dyDescent="0.4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15.75" customHeight="1" x14ac:dyDescent="0.4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15.75" customHeight="1" x14ac:dyDescent="0.4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15.75" customHeight="1" x14ac:dyDescent="0.4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15.75" customHeight="1" x14ac:dyDescent="0.4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15.75" customHeight="1" x14ac:dyDescent="0.4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15.75" customHeight="1" x14ac:dyDescent="0.4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15.75" customHeight="1" x14ac:dyDescent="0.4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15.75" customHeight="1" x14ac:dyDescent="0.4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15.75" customHeight="1" x14ac:dyDescent="0.4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15.75" customHeight="1" x14ac:dyDescent="0.4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15.75" customHeight="1" x14ac:dyDescent="0.4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15.75" customHeight="1" x14ac:dyDescent="0.4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15.75" customHeight="1" x14ac:dyDescent="0.4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15.75" customHeight="1" x14ac:dyDescent="0.4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15.75" customHeight="1" x14ac:dyDescent="0.4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15.75" customHeight="1" x14ac:dyDescent="0.4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15.75" customHeight="1" x14ac:dyDescent="0.4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15.75" customHeight="1" x14ac:dyDescent="0.4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15.75" customHeight="1" x14ac:dyDescent="0.4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15.75" customHeight="1" x14ac:dyDescent="0.4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15.75" customHeight="1" x14ac:dyDescent="0.4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15.75" customHeight="1" x14ac:dyDescent="0.4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15.75" customHeight="1" x14ac:dyDescent="0.4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15.75" customHeight="1" x14ac:dyDescent="0.4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15.75" customHeight="1" x14ac:dyDescent="0.4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15.75" customHeight="1" x14ac:dyDescent="0.4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15.75" customHeight="1" x14ac:dyDescent="0.4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15.75" customHeight="1" x14ac:dyDescent="0.4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15.75" customHeight="1" x14ac:dyDescent="0.4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15.75" customHeight="1" x14ac:dyDescent="0.4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15.75" customHeight="1" x14ac:dyDescent="0.4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15.75" customHeight="1" x14ac:dyDescent="0.45">
      <c r="A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15.75" customHeight="1" x14ac:dyDescent="0.45">
      <c r="A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15.75" customHeight="1" x14ac:dyDescent="0.45">
      <c r="A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15.75" customHeight="1" x14ac:dyDescent="0.45">
      <c r="A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15.75" customHeight="1" x14ac:dyDescent="0.45">
      <c r="A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15.75" customHeight="1" x14ac:dyDescent="0.45">
      <c r="A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15.75" customHeight="1" x14ac:dyDescent="0.45">
      <c r="A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15.75" customHeight="1" x14ac:dyDescent="0.45">
      <c r="A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15.75" customHeight="1" x14ac:dyDescent="0.45">
      <c r="A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15.75" customHeight="1" x14ac:dyDescent="0.45">
      <c r="A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15.75" customHeight="1" x14ac:dyDescent="0.45">
      <c r="A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15.75" customHeight="1" x14ac:dyDescent="0.45">
      <c r="A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15.75" customHeight="1" x14ac:dyDescent="0.45">
      <c r="A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15.75" customHeight="1" x14ac:dyDescent="0.45">
      <c r="A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15.75" customHeight="1" x14ac:dyDescent="0.45">
      <c r="A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15.75" customHeight="1" x14ac:dyDescent="0.45">
      <c r="A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</sheetData>
  <mergeCells count="342">
    <mergeCell ref="B31:B35"/>
    <mergeCell ref="C31:F33"/>
    <mergeCell ref="H31:I31"/>
    <mergeCell ref="H32:I32"/>
    <mergeCell ref="H33:I33"/>
    <mergeCell ref="C34:F35"/>
    <mergeCell ref="G34:G35"/>
    <mergeCell ref="B16:B20"/>
    <mergeCell ref="C16:F18"/>
    <mergeCell ref="C19:F20"/>
    <mergeCell ref="G19:G20"/>
    <mergeCell ref="H16:I16"/>
    <mergeCell ref="H17:I17"/>
    <mergeCell ref="H18:I18"/>
    <mergeCell ref="H19:I19"/>
    <mergeCell ref="H20:I20"/>
    <mergeCell ref="C22:F22"/>
    <mergeCell ref="C23:F23"/>
    <mergeCell ref="C24:F24"/>
    <mergeCell ref="C25:F25"/>
    <mergeCell ref="C26:F26"/>
    <mergeCell ref="C27:F27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H4:I4"/>
    <mergeCell ref="H5:I5"/>
    <mergeCell ref="C7:F7"/>
    <mergeCell ref="H7:I7"/>
    <mergeCell ref="C8:F8"/>
    <mergeCell ref="H8:I8"/>
    <mergeCell ref="C9:F9"/>
    <mergeCell ref="C10:F10"/>
    <mergeCell ref="C11:F11"/>
    <mergeCell ref="C12:F12"/>
    <mergeCell ref="C21:F21"/>
    <mergeCell ref="C36:F36"/>
    <mergeCell ref="H36:I36"/>
    <mergeCell ref="H21:I21"/>
    <mergeCell ref="H22:I22"/>
    <mergeCell ref="H23:I23"/>
    <mergeCell ref="H34:I34"/>
    <mergeCell ref="H35:I35"/>
    <mergeCell ref="C37:F37"/>
    <mergeCell ref="H37:I37"/>
    <mergeCell ref="C38:F38"/>
    <mergeCell ref="H38:I38"/>
    <mergeCell ref="C39:F39"/>
    <mergeCell ref="C73:F75"/>
    <mergeCell ref="C76:F77"/>
    <mergeCell ref="G76:G77"/>
    <mergeCell ref="C65:F65"/>
    <mergeCell ref="C66:F66"/>
    <mergeCell ref="C67:F67"/>
    <mergeCell ref="C68:F68"/>
    <mergeCell ref="C69:F69"/>
    <mergeCell ref="C70:F70"/>
    <mergeCell ref="H52:I52"/>
    <mergeCell ref="H59:I59"/>
    <mergeCell ref="H60:I60"/>
    <mergeCell ref="C55:F55"/>
    <mergeCell ref="C56:F56"/>
    <mergeCell ref="C50:F50"/>
    <mergeCell ref="C51:F51"/>
    <mergeCell ref="C52:F52"/>
    <mergeCell ref="C53:F53"/>
    <mergeCell ref="C54:F54"/>
    <mergeCell ref="H47:I47"/>
    <mergeCell ref="H48:I48"/>
    <mergeCell ref="B73:B77"/>
    <mergeCell ref="H61:I61"/>
    <mergeCell ref="H62:I62"/>
    <mergeCell ref="H63:I63"/>
    <mergeCell ref="H64:I64"/>
    <mergeCell ref="H65:I65"/>
    <mergeCell ref="H66:I66"/>
    <mergeCell ref="H73:I73"/>
    <mergeCell ref="H74:I74"/>
    <mergeCell ref="H75:I75"/>
    <mergeCell ref="H76:I76"/>
    <mergeCell ref="H77:I77"/>
    <mergeCell ref="B59:B63"/>
    <mergeCell ref="C59:F61"/>
    <mergeCell ref="C62:F63"/>
    <mergeCell ref="G62:G63"/>
    <mergeCell ref="C64:F64"/>
    <mergeCell ref="H78:I78"/>
    <mergeCell ref="H79:I79"/>
    <mergeCell ref="H80:I80"/>
    <mergeCell ref="H94:I94"/>
    <mergeCell ref="H101:I101"/>
    <mergeCell ref="H87:I87"/>
    <mergeCell ref="H88:I88"/>
    <mergeCell ref="H89:I89"/>
    <mergeCell ref="H90:I90"/>
    <mergeCell ref="H91:I91"/>
    <mergeCell ref="H92:I92"/>
    <mergeCell ref="H93:I93"/>
    <mergeCell ref="B213:B217"/>
    <mergeCell ref="C213:F215"/>
    <mergeCell ref="H213:I213"/>
    <mergeCell ref="H214:I214"/>
    <mergeCell ref="H215:I215"/>
    <mergeCell ref="H216:I216"/>
    <mergeCell ref="H217:I217"/>
    <mergeCell ref="B129:B133"/>
    <mergeCell ref="H144:I144"/>
    <mergeCell ref="H145:I145"/>
    <mergeCell ref="H131:I131"/>
    <mergeCell ref="H132:I132"/>
    <mergeCell ref="H133:I133"/>
    <mergeCell ref="H134:I134"/>
    <mergeCell ref="H135:I135"/>
    <mergeCell ref="H136:I136"/>
    <mergeCell ref="H143:I143"/>
    <mergeCell ref="C139:F139"/>
    <mergeCell ref="C140:F140"/>
    <mergeCell ref="C129:F131"/>
    <mergeCell ref="C132:F133"/>
    <mergeCell ref="G132:G133"/>
    <mergeCell ref="C164:F164"/>
    <mergeCell ref="C165:F165"/>
    <mergeCell ref="C166:F166"/>
    <mergeCell ref="C167:F167"/>
    <mergeCell ref="C168:F168"/>
    <mergeCell ref="B171:B175"/>
    <mergeCell ref="C171:F173"/>
    <mergeCell ref="H171:I171"/>
    <mergeCell ref="H172:I172"/>
    <mergeCell ref="H173:I173"/>
    <mergeCell ref="G174:G175"/>
    <mergeCell ref="H174:I174"/>
    <mergeCell ref="H175:I175"/>
    <mergeCell ref="H176:I176"/>
    <mergeCell ref="C174:F175"/>
    <mergeCell ref="C176:F176"/>
    <mergeCell ref="C177:F177"/>
    <mergeCell ref="C178:F178"/>
    <mergeCell ref="C179:F179"/>
    <mergeCell ref="C180:F180"/>
    <mergeCell ref="C181:F181"/>
    <mergeCell ref="H177:I177"/>
    <mergeCell ref="H178:I178"/>
    <mergeCell ref="B199:B203"/>
    <mergeCell ref="C199:F201"/>
    <mergeCell ref="H185:I185"/>
    <mergeCell ref="H186:I186"/>
    <mergeCell ref="H187:I187"/>
    <mergeCell ref="H188:I188"/>
    <mergeCell ref="H189:I189"/>
    <mergeCell ref="C182:F182"/>
    <mergeCell ref="B185:B189"/>
    <mergeCell ref="C185:F187"/>
    <mergeCell ref="C188:F189"/>
    <mergeCell ref="G188:G189"/>
    <mergeCell ref="H50:I50"/>
    <mergeCell ref="H51:I51"/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78:F78"/>
    <mergeCell ref="C79:F79"/>
    <mergeCell ref="C80:F80"/>
    <mergeCell ref="C81:F81"/>
    <mergeCell ref="C82:F82"/>
    <mergeCell ref="C83:F83"/>
    <mergeCell ref="C84:F84"/>
    <mergeCell ref="B87:B91"/>
    <mergeCell ref="C87:F89"/>
    <mergeCell ref="C90:F91"/>
    <mergeCell ref="G90:G91"/>
    <mergeCell ref="C92:F92"/>
    <mergeCell ref="C93:F93"/>
    <mergeCell ref="C94:F94"/>
    <mergeCell ref="H103:I103"/>
    <mergeCell ref="H104:I104"/>
    <mergeCell ref="B143:B147"/>
    <mergeCell ref="C143:F145"/>
    <mergeCell ref="C146:F147"/>
    <mergeCell ref="G146:G147"/>
    <mergeCell ref="H146:I146"/>
    <mergeCell ref="H147:I147"/>
    <mergeCell ref="H116:I116"/>
    <mergeCell ref="H117:I117"/>
    <mergeCell ref="C111:F111"/>
    <mergeCell ref="C112:F112"/>
    <mergeCell ref="B115:B119"/>
    <mergeCell ref="C115:F117"/>
    <mergeCell ref="C118:F119"/>
    <mergeCell ref="G118:G119"/>
    <mergeCell ref="C120:F120"/>
    <mergeCell ref="H118:I118"/>
    <mergeCell ref="H119:I119"/>
    <mergeCell ref="H120:I120"/>
    <mergeCell ref="H148:I148"/>
    <mergeCell ref="C148:F148"/>
    <mergeCell ref="C149:F149"/>
    <mergeCell ref="H149:I149"/>
    <mergeCell ref="C150:F150"/>
    <mergeCell ref="H150:I150"/>
    <mergeCell ref="C151:F151"/>
    <mergeCell ref="C152:F152"/>
    <mergeCell ref="C160:F161"/>
    <mergeCell ref="G160:G161"/>
    <mergeCell ref="C153:F153"/>
    <mergeCell ref="C154:F154"/>
    <mergeCell ref="H160:I160"/>
    <mergeCell ref="H161:I161"/>
    <mergeCell ref="B157:B161"/>
    <mergeCell ref="C157:F159"/>
    <mergeCell ref="H157:I157"/>
    <mergeCell ref="H158:I158"/>
    <mergeCell ref="H159:I159"/>
    <mergeCell ref="C95:F95"/>
    <mergeCell ref="C96:F96"/>
    <mergeCell ref="C97:F97"/>
    <mergeCell ref="C98:F98"/>
    <mergeCell ref="B101:B105"/>
    <mergeCell ref="H102:I102"/>
    <mergeCell ref="G104:G105"/>
    <mergeCell ref="C101:F103"/>
    <mergeCell ref="C104:F105"/>
    <mergeCell ref="C106:F106"/>
    <mergeCell ref="C107:F107"/>
    <mergeCell ref="C108:F108"/>
    <mergeCell ref="C109:F109"/>
    <mergeCell ref="C110:F110"/>
    <mergeCell ref="H105:I105"/>
    <mergeCell ref="H106:I106"/>
    <mergeCell ref="H107:I107"/>
    <mergeCell ref="H108:I108"/>
    <mergeCell ref="H115:I115"/>
    <mergeCell ref="H121:I121"/>
    <mergeCell ref="H122:I122"/>
    <mergeCell ref="H129:I129"/>
    <mergeCell ref="H130:I130"/>
    <mergeCell ref="C134:F134"/>
    <mergeCell ref="C135:F135"/>
    <mergeCell ref="C136:F136"/>
    <mergeCell ref="C137:F137"/>
    <mergeCell ref="C138:F138"/>
    <mergeCell ref="C121:F121"/>
    <mergeCell ref="C122:F122"/>
    <mergeCell ref="C123:F123"/>
    <mergeCell ref="C124:F124"/>
    <mergeCell ref="C125:F125"/>
    <mergeCell ref="C126:F126"/>
    <mergeCell ref="C162:F162"/>
    <mergeCell ref="H162:I162"/>
    <mergeCell ref="C163:F163"/>
    <mergeCell ref="H163:I163"/>
    <mergeCell ref="H164:I164"/>
    <mergeCell ref="H203:I203"/>
    <mergeCell ref="H204:I204"/>
    <mergeCell ref="H190:I190"/>
    <mergeCell ref="H191:I191"/>
    <mergeCell ref="H192:I192"/>
    <mergeCell ref="H199:I199"/>
    <mergeCell ref="H200:I200"/>
    <mergeCell ref="H201:I201"/>
    <mergeCell ref="H202:I202"/>
    <mergeCell ref="C202:F203"/>
    <mergeCell ref="G202:G203"/>
    <mergeCell ref="C204:F204"/>
    <mergeCell ref="C190:F190"/>
    <mergeCell ref="C191:F191"/>
    <mergeCell ref="C192:F192"/>
    <mergeCell ref="C193:F193"/>
    <mergeCell ref="C194:F194"/>
    <mergeCell ref="C195:F195"/>
    <mergeCell ref="C196:F196"/>
    <mergeCell ref="C205:F205"/>
    <mergeCell ref="H205:I205"/>
    <mergeCell ref="C206:F206"/>
    <mergeCell ref="H206:I206"/>
    <mergeCell ref="C207:F207"/>
    <mergeCell ref="C208:F208"/>
    <mergeCell ref="C220:F220"/>
    <mergeCell ref="C221:F221"/>
    <mergeCell ref="C222:F222"/>
    <mergeCell ref="C218:F218"/>
    <mergeCell ref="H218:I218"/>
    <mergeCell ref="C219:F219"/>
    <mergeCell ref="H219:I219"/>
    <mergeCell ref="H220:I220"/>
    <mergeCell ref="C216:F217"/>
    <mergeCell ref="G216:G217"/>
    <mergeCell ref="C209:F209"/>
    <mergeCell ref="C210:F210"/>
    <mergeCell ref="C223:F223"/>
    <mergeCell ref="C224:F224"/>
    <mergeCell ref="B227:B231"/>
    <mergeCell ref="C227:F229"/>
    <mergeCell ref="H227:I227"/>
    <mergeCell ref="H228:I228"/>
    <mergeCell ref="H229:I229"/>
    <mergeCell ref="G230:G231"/>
    <mergeCell ref="H230:I230"/>
    <mergeCell ref="H231:I231"/>
    <mergeCell ref="H232:I232"/>
    <mergeCell ref="C230:F231"/>
    <mergeCell ref="C232:F232"/>
    <mergeCell ref="C233:F233"/>
    <mergeCell ref="C234:F234"/>
    <mergeCell ref="C235:F235"/>
    <mergeCell ref="C236:F236"/>
    <mergeCell ref="C237:F237"/>
    <mergeCell ref="H246:I246"/>
    <mergeCell ref="G244:G245"/>
    <mergeCell ref="H247:I247"/>
    <mergeCell ref="H248:I248"/>
    <mergeCell ref="H233:I233"/>
    <mergeCell ref="H234:I234"/>
    <mergeCell ref="H241:I241"/>
    <mergeCell ref="H242:I242"/>
    <mergeCell ref="H243:I243"/>
    <mergeCell ref="H244:I244"/>
    <mergeCell ref="H245:I245"/>
    <mergeCell ref="C248:F248"/>
    <mergeCell ref="C249:F249"/>
    <mergeCell ref="C250:F250"/>
    <mergeCell ref="C251:F251"/>
    <mergeCell ref="C252:F252"/>
    <mergeCell ref="C238:F238"/>
    <mergeCell ref="B241:B245"/>
    <mergeCell ref="C241:F243"/>
    <mergeCell ref="C244:F245"/>
    <mergeCell ref="C246:F246"/>
    <mergeCell ref="C247:F247"/>
  </mergeCells>
  <pageMargins left="0.7" right="0.7" top="0.75" bottom="0.75" header="0" footer="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6.86328125" customWidth="1"/>
    <col min="3" max="3" width="21.73046875" customWidth="1"/>
    <col min="4" max="5" width="15.73046875" customWidth="1"/>
    <col min="6" max="6" width="14.265625" customWidth="1"/>
    <col min="7" max="7" width="25.1328125" customWidth="1"/>
    <col min="8" max="8" width="17.265625" customWidth="1"/>
    <col min="10" max="10" width="18.53125" customWidth="1"/>
    <col min="11" max="11" width="34" customWidth="1"/>
    <col min="12" max="23" width="11.3984375" customWidth="1"/>
  </cols>
  <sheetData>
    <row r="1" spans="1:26" ht="24.75" customHeight="1" x14ac:dyDescent="0.45">
      <c r="A1" s="70"/>
      <c r="B1" s="387"/>
      <c r="C1" s="224"/>
      <c r="D1" s="387" t="s">
        <v>0</v>
      </c>
      <c r="E1" s="193"/>
      <c r="F1" s="193"/>
      <c r="G1" s="193"/>
      <c r="H1" s="193"/>
      <c r="I1" s="224"/>
      <c r="J1" s="84" t="s">
        <v>1</v>
      </c>
      <c r="K1" s="84" t="s">
        <v>380</v>
      </c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69"/>
      <c r="Y1" s="69"/>
      <c r="Z1" s="69"/>
    </row>
    <row r="2" spans="1:26" ht="24.75" customHeight="1" x14ac:dyDescent="0.45">
      <c r="A2" s="70"/>
      <c r="B2" s="266"/>
      <c r="C2" s="232"/>
      <c r="D2" s="266"/>
      <c r="E2" s="203"/>
      <c r="F2" s="203"/>
      <c r="G2" s="203"/>
      <c r="H2" s="203"/>
      <c r="I2" s="232"/>
      <c r="J2" s="84" t="s">
        <v>3</v>
      </c>
      <c r="K2" s="85">
        <v>1</v>
      </c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69"/>
      <c r="Y2" s="69"/>
      <c r="Z2" s="69"/>
    </row>
    <row r="3" spans="1:26" ht="24.75" customHeight="1" x14ac:dyDescent="0.45">
      <c r="A3" s="70"/>
      <c r="B3" s="266"/>
      <c r="C3" s="232"/>
      <c r="D3" s="267"/>
      <c r="E3" s="195"/>
      <c r="F3" s="195"/>
      <c r="G3" s="195"/>
      <c r="H3" s="195"/>
      <c r="I3" s="252"/>
      <c r="J3" s="84" t="s">
        <v>5</v>
      </c>
      <c r="K3" s="84" t="s">
        <v>6</v>
      </c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69"/>
      <c r="Y3" s="69"/>
      <c r="Z3" s="69"/>
    </row>
    <row r="4" spans="1:26" ht="21" customHeight="1" x14ac:dyDescent="0.45">
      <c r="A4" s="69"/>
      <c r="B4" s="266"/>
      <c r="C4" s="232"/>
      <c r="D4" s="387" t="s">
        <v>381</v>
      </c>
      <c r="E4" s="193"/>
      <c r="F4" s="193"/>
      <c r="G4" s="193"/>
      <c r="H4" s="193"/>
      <c r="I4" s="224"/>
      <c r="J4" s="391" t="s">
        <v>7</v>
      </c>
      <c r="K4" s="84" t="s">
        <v>200</v>
      </c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18" customHeight="1" x14ac:dyDescent="0.45">
      <c r="A5" s="69"/>
      <c r="B5" s="267"/>
      <c r="C5" s="252"/>
      <c r="D5" s="267"/>
      <c r="E5" s="195"/>
      <c r="F5" s="195"/>
      <c r="G5" s="195"/>
      <c r="H5" s="195"/>
      <c r="I5" s="252"/>
      <c r="J5" s="338"/>
      <c r="K5" s="86" t="s">
        <v>201</v>
      </c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24.75" customHeight="1" x14ac:dyDescent="0.45">
      <c r="A6" s="69"/>
      <c r="B6" s="8"/>
      <c r="C6" s="92"/>
      <c r="D6" s="92"/>
      <c r="E6" s="92"/>
      <c r="F6" s="92"/>
      <c r="G6" s="92"/>
      <c r="H6" s="92"/>
      <c r="I6" s="92"/>
      <c r="J6" s="92"/>
      <c r="K6" s="133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24.75" customHeight="1" x14ac:dyDescent="0.45">
      <c r="A7" s="69"/>
      <c r="B7" s="11"/>
      <c r="C7" s="12"/>
      <c r="D7" s="12"/>
      <c r="E7" s="12"/>
      <c r="F7" s="12"/>
      <c r="G7" s="12"/>
      <c r="H7" s="12"/>
      <c r="I7" s="12"/>
      <c r="J7" s="12"/>
      <c r="K7" s="134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57" customHeight="1" x14ac:dyDescent="0.45">
      <c r="A8" s="69"/>
      <c r="B8" s="90" t="s">
        <v>10</v>
      </c>
      <c r="C8" s="191" t="s">
        <v>11</v>
      </c>
      <c r="D8" s="186"/>
      <c r="E8" s="186"/>
      <c r="F8" s="187"/>
      <c r="G8" s="90" t="s">
        <v>21</v>
      </c>
      <c r="H8" s="417" t="s">
        <v>22</v>
      </c>
      <c r="I8" s="186"/>
      <c r="J8" s="186"/>
      <c r="K8" s="18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ht="42.75" customHeight="1" x14ac:dyDescent="0.45">
      <c r="A9" s="69"/>
      <c r="B9" s="90" t="s">
        <v>232</v>
      </c>
      <c r="C9" s="418"/>
      <c r="D9" s="186"/>
      <c r="E9" s="186"/>
      <c r="F9" s="189"/>
      <c r="G9" s="90" t="s">
        <v>59</v>
      </c>
      <c r="H9" s="456"/>
      <c r="I9" s="186"/>
      <c r="J9" s="186"/>
      <c r="K9" s="18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54.75" customHeight="1" x14ac:dyDescent="0.45">
      <c r="A10" s="69"/>
      <c r="B10" s="90" t="s">
        <v>337</v>
      </c>
      <c r="C10" s="417"/>
      <c r="D10" s="186"/>
      <c r="E10" s="186"/>
      <c r="F10" s="189"/>
      <c r="G10" s="90" t="s">
        <v>16</v>
      </c>
      <c r="H10" s="417"/>
      <c r="I10" s="186"/>
      <c r="J10" s="186"/>
      <c r="K10" s="18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33.75" customHeight="1" x14ac:dyDescent="0.45">
      <c r="A11" s="69"/>
      <c r="B11" s="135"/>
      <c r="C11" s="136"/>
      <c r="D11" s="136"/>
      <c r="E11" s="136"/>
      <c r="F11" s="136"/>
      <c r="G11" s="136"/>
      <c r="H11" s="136"/>
      <c r="I11" s="136"/>
      <c r="J11" s="136"/>
      <c r="K11" s="137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 ht="37.5" customHeight="1" x14ac:dyDescent="0.45">
      <c r="A12" s="69"/>
      <c r="B12" s="385" t="s">
        <v>382</v>
      </c>
      <c r="C12" s="186"/>
      <c r="D12" s="186"/>
      <c r="E12" s="186"/>
      <c r="F12" s="186"/>
      <c r="G12" s="186"/>
      <c r="H12" s="186"/>
      <c r="I12" s="186"/>
      <c r="J12" s="186"/>
      <c r="K12" s="18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ht="42" customHeight="1" x14ac:dyDescent="0.45">
      <c r="A13" s="69"/>
      <c r="B13" s="90" t="s">
        <v>28</v>
      </c>
      <c r="C13" s="385" t="s">
        <v>29</v>
      </c>
      <c r="D13" s="186"/>
      <c r="E13" s="186"/>
      <c r="F13" s="186"/>
      <c r="G13" s="189"/>
      <c r="H13" s="385" t="s">
        <v>30</v>
      </c>
      <c r="I13" s="189"/>
      <c r="J13" s="385" t="s">
        <v>31</v>
      </c>
      <c r="K13" s="18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ht="36" customHeight="1" x14ac:dyDescent="0.45">
      <c r="A14" s="69"/>
      <c r="B14" s="90">
        <v>1</v>
      </c>
      <c r="C14" s="451" t="s">
        <v>383</v>
      </c>
      <c r="D14" s="186"/>
      <c r="E14" s="186"/>
      <c r="F14" s="186"/>
      <c r="G14" s="189"/>
      <c r="H14" s="385"/>
      <c r="I14" s="189"/>
      <c r="J14" s="452"/>
      <c r="K14" s="18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 ht="42" customHeight="1" x14ac:dyDescent="0.45">
      <c r="A15" s="69"/>
      <c r="B15" s="104">
        <v>2</v>
      </c>
      <c r="C15" s="451" t="s">
        <v>384</v>
      </c>
      <c r="D15" s="186"/>
      <c r="E15" s="186"/>
      <c r="F15" s="186"/>
      <c r="G15" s="189"/>
      <c r="H15" s="385"/>
      <c r="I15" s="189"/>
      <c r="J15" s="452"/>
      <c r="K15" s="18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39.75" customHeight="1" x14ac:dyDescent="0.45">
      <c r="A16" s="69"/>
      <c r="B16" s="139">
        <v>3</v>
      </c>
      <c r="C16" s="451" t="s">
        <v>385</v>
      </c>
      <c r="D16" s="186"/>
      <c r="E16" s="186"/>
      <c r="F16" s="186"/>
      <c r="G16" s="189"/>
      <c r="H16" s="91"/>
      <c r="I16" s="140"/>
      <c r="J16" s="452"/>
      <c r="K16" s="18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35.25" customHeight="1" x14ac:dyDescent="0.45">
      <c r="A17" s="69"/>
      <c r="B17" s="139">
        <v>4</v>
      </c>
      <c r="C17" s="451" t="s">
        <v>386</v>
      </c>
      <c r="D17" s="186"/>
      <c r="E17" s="186"/>
      <c r="F17" s="186"/>
      <c r="G17" s="189"/>
      <c r="H17" s="91"/>
      <c r="I17" s="140"/>
      <c r="J17" s="452"/>
      <c r="K17" s="18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35.25" customHeight="1" x14ac:dyDescent="0.45">
      <c r="A18" s="69"/>
      <c r="B18" s="139">
        <v>5</v>
      </c>
      <c r="C18" s="451" t="s">
        <v>387</v>
      </c>
      <c r="D18" s="186"/>
      <c r="E18" s="186"/>
      <c r="F18" s="186"/>
      <c r="G18" s="189"/>
      <c r="H18" s="91"/>
      <c r="I18" s="140"/>
      <c r="J18" s="138"/>
      <c r="K18" s="141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33.75" customHeight="1" x14ac:dyDescent="0.45">
      <c r="A19" s="69"/>
      <c r="B19" s="139">
        <v>6</v>
      </c>
      <c r="C19" s="451" t="s">
        <v>388</v>
      </c>
      <c r="D19" s="186"/>
      <c r="E19" s="186"/>
      <c r="F19" s="186"/>
      <c r="G19" s="189"/>
      <c r="H19" s="91"/>
      <c r="I19" s="140"/>
      <c r="J19" s="452"/>
      <c r="K19" s="18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36" customHeight="1" x14ac:dyDescent="0.45">
      <c r="A20" s="69"/>
      <c r="B20" s="139">
        <v>7</v>
      </c>
      <c r="C20" s="451" t="s">
        <v>389</v>
      </c>
      <c r="D20" s="186"/>
      <c r="E20" s="186"/>
      <c r="F20" s="186"/>
      <c r="G20" s="189"/>
      <c r="H20" s="91"/>
      <c r="I20" s="140"/>
      <c r="J20" s="452"/>
      <c r="K20" s="18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36" customHeight="1" x14ac:dyDescent="0.45">
      <c r="A21" s="69"/>
      <c r="B21" s="139">
        <v>8</v>
      </c>
      <c r="C21" s="451" t="s">
        <v>390</v>
      </c>
      <c r="D21" s="186"/>
      <c r="E21" s="186"/>
      <c r="F21" s="186"/>
      <c r="G21" s="189"/>
      <c r="H21" s="91"/>
      <c r="I21" s="140"/>
      <c r="J21" s="452"/>
      <c r="K21" s="18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39" customHeight="1" x14ac:dyDescent="0.45">
      <c r="A22" s="69"/>
      <c r="B22" s="139">
        <v>9</v>
      </c>
      <c r="C22" s="451" t="s">
        <v>391</v>
      </c>
      <c r="D22" s="186"/>
      <c r="E22" s="186"/>
      <c r="F22" s="186"/>
      <c r="G22" s="189"/>
      <c r="H22" s="91"/>
      <c r="I22" s="140"/>
      <c r="J22" s="452"/>
      <c r="K22" s="18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39" customHeight="1" x14ac:dyDescent="0.45">
      <c r="A23" s="69"/>
      <c r="B23" s="139">
        <v>10</v>
      </c>
      <c r="C23" s="451" t="s">
        <v>392</v>
      </c>
      <c r="D23" s="186"/>
      <c r="E23" s="186"/>
      <c r="F23" s="186"/>
      <c r="G23" s="189"/>
      <c r="H23" s="91"/>
      <c r="I23" s="140"/>
      <c r="J23" s="138"/>
      <c r="K23" s="141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39" customHeight="1" x14ac:dyDescent="0.45">
      <c r="A24" s="69"/>
      <c r="B24" s="139">
        <v>11</v>
      </c>
      <c r="C24" s="451" t="s">
        <v>393</v>
      </c>
      <c r="D24" s="186"/>
      <c r="E24" s="186"/>
      <c r="F24" s="186"/>
      <c r="G24" s="189"/>
      <c r="H24" s="91"/>
      <c r="I24" s="140"/>
      <c r="J24" s="138"/>
      <c r="K24" s="141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39" customHeight="1" x14ac:dyDescent="0.45">
      <c r="A25" s="69"/>
      <c r="B25" s="139">
        <v>12</v>
      </c>
      <c r="C25" s="451" t="s">
        <v>394</v>
      </c>
      <c r="D25" s="186"/>
      <c r="E25" s="186"/>
      <c r="F25" s="186"/>
      <c r="G25" s="189"/>
      <c r="H25" s="91"/>
      <c r="I25" s="140"/>
      <c r="J25" s="138"/>
      <c r="K25" s="141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22.5" customHeight="1" x14ac:dyDescent="0.45">
      <c r="A26" s="69"/>
      <c r="B26" s="142"/>
      <c r="C26" s="97"/>
      <c r="D26" s="97"/>
      <c r="E26" s="143"/>
      <c r="F26" s="143"/>
      <c r="G26" s="143"/>
      <c r="H26" s="144"/>
      <c r="I26" s="144"/>
      <c r="J26" s="144"/>
      <c r="K26" s="145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26.25" customHeight="1" x14ac:dyDescent="0.45">
      <c r="A27" s="69"/>
      <c r="B27" s="455" t="s">
        <v>45</v>
      </c>
      <c r="C27" s="453"/>
      <c r="D27" s="193"/>
      <c r="E27" s="193"/>
      <c r="F27" s="193"/>
      <c r="G27" s="193"/>
      <c r="H27" s="193"/>
      <c r="I27" s="193"/>
      <c r="J27" s="193"/>
      <c r="K27" s="224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28.5" customHeight="1" x14ac:dyDescent="0.45">
      <c r="A28" s="69"/>
      <c r="B28" s="338"/>
      <c r="C28" s="267"/>
      <c r="D28" s="195"/>
      <c r="E28" s="195"/>
      <c r="F28" s="195"/>
      <c r="G28" s="195"/>
      <c r="H28" s="195"/>
      <c r="I28" s="195"/>
      <c r="J28" s="195"/>
      <c r="K28" s="252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22.5" customHeight="1" x14ac:dyDescent="0.45">
      <c r="A29" s="69"/>
      <c r="B29" s="135"/>
      <c r="C29" s="136"/>
      <c r="D29" s="136"/>
      <c r="E29" s="136"/>
      <c r="F29" s="136"/>
      <c r="G29" s="136"/>
      <c r="H29" s="136"/>
      <c r="I29" s="136"/>
      <c r="J29" s="136"/>
      <c r="K29" s="137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273" customHeight="1" x14ac:dyDescent="0.45">
      <c r="A30" s="69"/>
      <c r="B30" s="455" t="s">
        <v>395</v>
      </c>
      <c r="C30" s="453"/>
      <c r="D30" s="193"/>
      <c r="E30" s="193"/>
      <c r="F30" s="193"/>
      <c r="G30" s="193"/>
      <c r="H30" s="193"/>
      <c r="I30" s="193"/>
      <c r="J30" s="193"/>
      <c r="K30" s="224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243.75" customHeight="1" x14ac:dyDescent="0.45">
      <c r="A31" s="69"/>
      <c r="B31" s="338"/>
      <c r="C31" s="267"/>
      <c r="D31" s="195"/>
      <c r="E31" s="195"/>
      <c r="F31" s="195"/>
      <c r="G31" s="195"/>
      <c r="H31" s="195"/>
      <c r="I31" s="195"/>
      <c r="J31" s="195"/>
      <c r="K31" s="252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34.5" customHeight="1" x14ac:dyDescent="0.45">
      <c r="A32" s="69"/>
      <c r="B32" s="454" t="s">
        <v>396</v>
      </c>
      <c r="C32" s="186"/>
      <c r="D32" s="186"/>
      <c r="E32" s="186"/>
      <c r="F32" s="189"/>
      <c r="G32" s="146"/>
      <c r="H32" s="146"/>
      <c r="I32" s="146"/>
      <c r="J32" s="146"/>
      <c r="K32" s="147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34.5" customHeight="1" x14ac:dyDescent="0.45">
      <c r="A33" s="69"/>
      <c r="B33" s="454" t="s">
        <v>397</v>
      </c>
      <c r="C33" s="186"/>
      <c r="D33" s="186"/>
      <c r="E33" s="186"/>
      <c r="F33" s="189"/>
      <c r="G33" s="385"/>
      <c r="H33" s="186"/>
      <c r="I33" s="186"/>
      <c r="J33" s="186"/>
      <c r="K33" s="18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37.5" customHeight="1" x14ac:dyDescent="0.45">
      <c r="A34" s="69"/>
      <c r="B34" s="454" t="s">
        <v>332</v>
      </c>
      <c r="C34" s="186"/>
      <c r="D34" s="186"/>
      <c r="E34" s="186"/>
      <c r="F34" s="189"/>
      <c r="G34" s="385"/>
      <c r="H34" s="186"/>
      <c r="I34" s="186"/>
      <c r="J34" s="186"/>
      <c r="K34" s="18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15.75" customHeight="1" x14ac:dyDescent="0.45">
      <c r="A35" s="69"/>
      <c r="B35" s="251" t="s">
        <v>52</v>
      </c>
      <c r="C35" s="195"/>
      <c r="D35" s="195"/>
      <c r="E35" s="195"/>
      <c r="F35" s="195"/>
      <c r="G35" s="195"/>
      <c r="H35" s="195"/>
      <c r="I35" s="195"/>
      <c r="J35" s="195"/>
      <c r="K35" s="252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15.75" customHeight="1" x14ac:dyDescent="0.45">
      <c r="A36" s="69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15.75" customHeight="1" x14ac:dyDescent="0.45">
      <c r="A37" s="69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5.75" customHeight="1" x14ac:dyDescent="0.45">
      <c r="A38" s="69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5.75" customHeight="1" x14ac:dyDescent="0.45">
      <c r="A39" s="69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5.75" customHeight="1" x14ac:dyDescent="0.45">
      <c r="A40" s="69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5.75" customHeight="1" x14ac:dyDescent="0.45">
      <c r="A41" s="69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5.75" customHeight="1" x14ac:dyDescent="0.45">
      <c r="A42" s="69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5.75" customHeight="1" x14ac:dyDescent="0.45">
      <c r="A43" s="69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5.75" customHeight="1" x14ac:dyDescent="0.45">
      <c r="A44" s="69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5.75" customHeight="1" x14ac:dyDescent="0.45">
      <c r="A45" s="69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5.75" customHeight="1" x14ac:dyDescent="0.45">
      <c r="A46" s="69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5.75" customHeight="1" x14ac:dyDescent="0.45">
      <c r="A47" s="69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5.75" customHeight="1" x14ac:dyDescent="0.45">
      <c r="A48" s="69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5.75" customHeight="1" x14ac:dyDescent="0.45">
      <c r="A49" s="69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5.75" customHeight="1" x14ac:dyDescent="0.45">
      <c r="A50" s="69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5.75" customHeight="1" x14ac:dyDescent="0.45">
      <c r="A51" s="69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5.75" customHeight="1" x14ac:dyDescent="0.45">
      <c r="A52" s="69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5.75" customHeight="1" x14ac:dyDescent="0.45">
      <c r="A53" s="69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5.75" customHeight="1" x14ac:dyDescent="0.45">
      <c r="A54" s="69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5.75" customHeight="1" x14ac:dyDescent="0.45">
      <c r="A55" s="69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5.75" customHeight="1" x14ac:dyDescent="0.45">
      <c r="A56" s="69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5.75" customHeight="1" x14ac:dyDescent="0.45">
      <c r="A57" s="69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5.75" customHeight="1" x14ac:dyDescent="0.45">
      <c r="A58" s="69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5.75" customHeight="1" x14ac:dyDescent="0.45">
      <c r="A59" s="69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5.75" customHeight="1" x14ac:dyDescent="0.45">
      <c r="A60" s="69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5.75" customHeight="1" x14ac:dyDescent="0.45">
      <c r="A61" s="69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5.75" customHeight="1" x14ac:dyDescent="0.45">
      <c r="A62" s="69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5.75" customHeight="1" x14ac:dyDescent="0.45">
      <c r="A63" s="69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5.75" customHeight="1" x14ac:dyDescent="0.45">
      <c r="A64" s="69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5.75" customHeight="1" x14ac:dyDescent="0.45">
      <c r="A65" s="69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5.75" customHeight="1" x14ac:dyDescent="0.45">
      <c r="A66" s="69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5.75" customHeight="1" x14ac:dyDescent="0.45">
      <c r="A67" s="69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5.75" customHeight="1" x14ac:dyDescent="0.45">
      <c r="A68" s="69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5.75" customHeight="1" x14ac:dyDescent="0.45">
      <c r="A69" s="69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5.75" customHeight="1" x14ac:dyDescent="0.45">
      <c r="A70" s="69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5.75" customHeight="1" x14ac:dyDescent="0.45">
      <c r="A71" s="69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5.75" customHeight="1" x14ac:dyDescent="0.45">
      <c r="A72" s="69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5.75" customHeight="1" x14ac:dyDescent="0.45">
      <c r="A73" s="69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5.75" customHeight="1" x14ac:dyDescent="0.45">
      <c r="A74" s="69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5.75" customHeight="1" x14ac:dyDescent="0.45">
      <c r="A75" s="69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5.75" customHeight="1" x14ac:dyDescent="0.45">
      <c r="A76" s="69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5.75" customHeight="1" x14ac:dyDescent="0.45">
      <c r="A77" s="69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5.75" customHeight="1" x14ac:dyDescent="0.45">
      <c r="A78" s="69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5.75" customHeight="1" x14ac:dyDescent="0.45">
      <c r="A79" s="69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5.75" customHeight="1" x14ac:dyDescent="0.45">
      <c r="A80" s="69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5.75" customHeight="1" x14ac:dyDescent="0.45">
      <c r="A81" s="69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5.75" customHeight="1" x14ac:dyDescent="0.45">
      <c r="A82" s="69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5.75" customHeight="1" x14ac:dyDescent="0.45">
      <c r="A83" s="69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5.75" customHeight="1" x14ac:dyDescent="0.45">
      <c r="A84" s="69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5.75" customHeight="1" x14ac:dyDescent="0.45">
      <c r="A85" s="69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5.75" customHeight="1" x14ac:dyDescent="0.45">
      <c r="A86" s="69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5.75" customHeight="1" x14ac:dyDescent="0.45">
      <c r="A87" s="69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5.75" customHeight="1" x14ac:dyDescent="0.45">
      <c r="A88" s="69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5.75" customHeight="1" x14ac:dyDescent="0.45">
      <c r="A89" s="69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5.75" customHeight="1" x14ac:dyDescent="0.45">
      <c r="A90" s="69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5.75" customHeight="1" x14ac:dyDescent="0.45">
      <c r="A91" s="69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5.75" customHeight="1" x14ac:dyDescent="0.45">
      <c r="A92" s="69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5.75" customHeight="1" x14ac:dyDescent="0.45">
      <c r="A93" s="69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5.75" customHeight="1" x14ac:dyDescent="0.45">
      <c r="A94" s="69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5.75" customHeight="1" x14ac:dyDescent="0.45">
      <c r="A95" s="69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5.75" customHeight="1" x14ac:dyDescent="0.45">
      <c r="A96" s="69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5.75" customHeight="1" x14ac:dyDescent="0.45">
      <c r="A97" s="69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5.75" customHeight="1" x14ac:dyDescent="0.45">
      <c r="A98" s="69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5.75" customHeight="1" x14ac:dyDescent="0.45">
      <c r="A99" s="69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5.75" customHeight="1" x14ac:dyDescent="0.45">
      <c r="A100" s="69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5.75" customHeight="1" x14ac:dyDescent="0.45">
      <c r="A101" s="69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5.75" customHeight="1" x14ac:dyDescent="0.45">
      <c r="A102" s="69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5.75" customHeight="1" x14ac:dyDescent="0.45">
      <c r="A103" s="69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5.75" customHeight="1" x14ac:dyDescent="0.45">
      <c r="A104" s="69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5.75" customHeight="1" x14ac:dyDescent="0.45">
      <c r="A105" s="69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5.75" customHeight="1" x14ac:dyDescent="0.45">
      <c r="A106" s="69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5.75" customHeight="1" x14ac:dyDescent="0.45">
      <c r="A107" s="69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5.75" customHeight="1" x14ac:dyDescent="0.45">
      <c r="A108" s="69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5.75" customHeight="1" x14ac:dyDescent="0.45">
      <c r="A109" s="69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5.75" customHeight="1" x14ac:dyDescent="0.45">
      <c r="A110" s="69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5.75" customHeight="1" x14ac:dyDescent="0.45">
      <c r="A111" s="69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5.75" customHeight="1" x14ac:dyDescent="0.45">
      <c r="A112" s="69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5.75" customHeight="1" x14ac:dyDescent="0.45">
      <c r="A113" s="69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5.75" customHeight="1" x14ac:dyDescent="0.45">
      <c r="A114" s="69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5.75" customHeight="1" x14ac:dyDescent="0.45">
      <c r="A115" s="69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5.75" customHeight="1" x14ac:dyDescent="0.45">
      <c r="A116" s="69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5.75" customHeight="1" x14ac:dyDescent="0.45">
      <c r="A117" s="69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5.75" customHeight="1" x14ac:dyDescent="0.45">
      <c r="A118" s="69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5.75" customHeight="1" x14ac:dyDescent="0.45">
      <c r="A119" s="69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5.75" customHeight="1" x14ac:dyDescent="0.45">
      <c r="A120" s="69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5.75" customHeight="1" x14ac:dyDescent="0.45">
      <c r="A121" s="69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5.75" customHeight="1" x14ac:dyDescent="0.45">
      <c r="A122" s="69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5.75" customHeight="1" x14ac:dyDescent="0.45">
      <c r="A123" s="69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5.75" customHeight="1" x14ac:dyDescent="0.45">
      <c r="A124" s="69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5.75" customHeight="1" x14ac:dyDescent="0.45">
      <c r="A125" s="69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5.75" customHeight="1" x14ac:dyDescent="0.45">
      <c r="A126" s="69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5.75" customHeight="1" x14ac:dyDescent="0.45">
      <c r="A127" s="69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5.75" customHeight="1" x14ac:dyDescent="0.45">
      <c r="A128" s="69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5.75" customHeight="1" x14ac:dyDescent="0.45">
      <c r="A129" s="69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5.75" customHeight="1" x14ac:dyDescent="0.45">
      <c r="A130" s="69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5.75" customHeight="1" x14ac:dyDescent="0.45">
      <c r="A131" s="69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5.75" customHeight="1" x14ac:dyDescent="0.45">
      <c r="A132" s="69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5.75" customHeight="1" x14ac:dyDescent="0.45">
      <c r="A133" s="69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5.75" customHeight="1" x14ac:dyDescent="0.45">
      <c r="A134" s="69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5.75" customHeight="1" x14ac:dyDescent="0.45">
      <c r="A135" s="69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15.75" customHeight="1" x14ac:dyDescent="0.45">
      <c r="A136" s="69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15.75" customHeight="1" x14ac:dyDescent="0.45">
      <c r="A137" s="69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15.75" customHeight="1" x14ac:dyDescent="0.45">
      <c r="A138" s="69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15.75" customHeight="1" x14ac:dyDescent="0.45">
      <c r="A139" s="69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15.75" customHeight="1" x14ac:dyDescent="0.45">
      <c r="A140" s="69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15.75" customHeight="1" x14ac:dyDescent="0.45">
      <c r="A141" s="69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15.75" customHeight="1" x14ac:dyDescent="0.45">
      <c r="A142" s="69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15.75" customHeight="1" x14ac:dyDescent="0.45">
      <c r="A143" s="69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15.75" customHeight="1" x14ac:dyDescent="0.45">
      <c r="A144" s="69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15.75" customHeight="1" x14ac:dyDescent="0.45">
      <c r="A145" s="69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15.75" customHeight="1" x14ac:dyDescent="0.45">
      <c r="A146" s="69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15.75" customHeight="1" x14ac:dyDescent="0.45">
      <c r="A147" s="69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15.75" customHeight="1" x14ac:dyDescent="0.45">
      <c r="A148" s="69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15.75" customHeight="1" x14ac:dyDescent="0.45">
      <c r="A149" s="69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15.75" customHeight="1" x14ac:dyDescent="0.45">
      <c r="A150" s="69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15.75" customHeight="1" x14ac:dyDescent="0.45">
      <c r="A151" s="69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15.75" customHeight="1" x14ac:dyDescent="0.45">
      <c r="A152" s="69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15.75" customHeight="1" x14ac:dyDescent="0.45">
      <c r="A153" s="69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15.75" customHeight="1" x14ac:dyDescent="0.45">
      <c r="A154" s="69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5.75" customHeight="1" x14ac:dyDescent="0.45">
      <c r="A155" s="69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15.75" customHeight="1" x14ac:dyDescent="0.45">
      <c r="A156" s="69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15.75" customHeight="1" x14ac:dyDescent="0.45">
      <c r="A157" s="69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15.75" customHeight="1" x14ac:dyDescent="0.45">
      <c r="A158" s="69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15.75" customHeight="1" x14ac:dyDescent="0.45">
      <c r="A159" s="69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15.75" customHeight="1" x14ac:dyDescent="0.45">
      <c r="A160" s="69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15.75" customHeight="1" x14ac:dyDescent="0.45">
      <c r="A161" s="69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15.75" customHeight="1" x14ac:dyDescent="0.45">
      <c r="A162" s="69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15.75" customHeight="1" x14ac:dyDescent="0.45">
      <c r="A163" s="69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15.75" customHeight="1" x14ac:dyDescent="0.45">
      <c r="A164" s="69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15.75" customHeight="1" x14ac:dyDescent="0.45">
      <c r="A165" s="69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15.75" customHeight="1" x14ac:dyDescent="0.45">
      <c r="A166" s="69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15.75" customHeight="1" x14ac:dyDescent="0.45">
      <c r="A167" s="69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15.75" customHeight="1" x14ac:dyDescent="0.45">
      <c r="A168" s="69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15.75" customHeight="1" x14ac:dyDescent="0.45">
      <c r="A169" s="69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15.75" customHeight="1" x14ac:dyDescent="0.45">
      <c r="A170" s="69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15.75" customHeight="1" x14ac:dyDescent="0.45">
      <c r="A171" s="69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15.75" customHeight="1" x14ac:dyDescent="0.45">
      <c r="A172" s="69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15.75" customHeight="1" x14ac:dyDescent="0.45">
      <c r="A173" s="69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15.75" customHeight="1" x14ac:dyDescent="0.45">
      <c r="A174" s="69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5.75" customHeight="1" x14ac:dyDescent="0.45">
      <c r="A175" s="69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15.75" customHeight="1" x14ac:dyDescent="0.45">
      <c r="A176" s="69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15.75" customHeight="1" x14ac:dyDescent="0.45">
      <c r="A177" s="69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15.75" customHeight="1" x14ac:dyDescent="0.45">
      <c r="A178" s="69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15.75" customHeight="1" x14ac:dyDescent="0.45">
      <c r="A179" s="69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15.75" customHeight="1" x14ac:dyDescent="0.45">
      <c r="A180" s="69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15.75" customHeight="1" x14ac:dyDescent="0.45">
      <c r="A181" s="69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15.75" customHeight="1" x14ac:dyDescent="0.45">
      <c r="A182" s="69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15.75" customHeight="1" x14ac:dyDescent="0.45">
      <c r="A183" s="69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15.75" customHeight="1" x14ac:dyDescent="0.45">
      <c r="A184" s="69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15.75" customHeight="1" x14ac:dyDescent="0.45">
      <c r="A185" s="69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15.75" customHeight="1" x14ac:dyDescent="0.45">
      <c r="A186" s="69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15.75" customHeight="1" x14ac:dyDescent="0.45">
      <c r="A187" s="69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15.75" customHeight="1" x14ac:dyDescent="0.45">
      <c r="A188" s="69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15.75" customHeight="1" x14ac:dyDescent="0.45">
      <c r="A189" s="69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15.75" customHeight="1" x14ac:dyDescent="0.45">
      <c r="A190" s="69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15.75" customHeight="1" x14ac:dyDescent="0.45">
      <c r="A191" s="69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15.75" customHeight="1" x14ac:dyDescent="0.45">
      <c r="A192" s="69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15.75" customHeight="1" x14ac:dyDescent="0.45">
      <c r="A193" s="69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15.75" customHeight="1" x14ac:dyDescent="0.45">
      <c r="A194" s="69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15.75" customHeight="1" x14ac:dyDescent="0.45">
      <c r="A195" s="69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15.75" customHeight="1" x14ac:dyDescent="0.45">
      <c r="A196" s="69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15.75" customHeight="1" x14ac:dyDescent="0.45">
      <c r="A197" s="69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15.75" customHeight="1" x14ac:dyDescent="0.45">
      <c r="A198" s="69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15.75" customHeight="1" x14ac:dyDescent="0.45">
      <c r="A199" s="69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15.75" customHeight="1" x14ac:dyDescent="0.45">
      <c r="A200" s="69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15.75" customHeight="1" x14ac:dyDescent="0.45">
      <c r="A201" s="69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15.75" customHeight="1" x14ac:dyDescent="0.45">
      <c r="A202" s="69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15.75" customHeight="1" x14ac:dyDescent="0.45">
      <c r="A203" s="69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15.75" customHeight="1" x14ac:dyDescent="0.45">
      <c r="A204" s="69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15.75" customHeight="1" x14ac:dyDescent="0.45">
      <c r="A205" s="69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15.75" customHeight="1" x14ac:dyDescent="0.45">
      <c r="A206" s="69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15.75" customHeight="1" x14ac:dyDescent="0.45">
      <c r="A207" s="69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15.75" customHeight="1" x14ac:dyDescent="0.45">
      <c r="A208" s="69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15.75" customHeight="1" x14ac:dyDescent="0.45">
      <c r="A209" s="69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15.75" customHeight="1" x14ac:dyDescent="0.45">
      <c r="A210" s="69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15.75" customHeight="1" x14ac:dyDescent="0.45">
      <c r="A211" s="69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15.75" customHeight="1" x14ac:dyDescent="0.45">
      <c r="A212" s="69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15.75" customHeight="1" x14ac:dyDescent="0.45">
      <c r="A213" s="69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15.75" customHeight="1" x14ac:dyDescent="0.45">
      <c r="A214" s="69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15.75" customHeight="1" x14ac:dyDescent="0.45">
      <c r="A215" s="69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15.75" customHeight="1" x14ac:dyDescent="0.45">
      <c r="A216" s="69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15.75" customHeight="1" x14ac:dyDescent="0.45">
      <c r="A217" s="69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15.75" customHeight="1" x14ac:dyDescent="0.45">
      <c r="A218" s="69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15.75" customHeight="1" x14ac:dyDescent="0.45">
      <c r="A219" s="69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15.75" customHeight="1" x14ac:dyDescent="0.45">
      <c r="A220" s="69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15.75" customHeight="1" x14ac:dyDescent="0.45">
      <c r="A221" s="69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15.75" customHeight="1" x14ac:dyDescent="0.45">
      <c r="A222" s="69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15.75" customHeight="1" x14ac:dyDescent="0.45">
      <c r="A223" s="69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15.75" customHeight="1" x14ac:dyDescent="0.45">
      <c r="A224" s="69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15.75" customHeight="1" x14ac:dyDescent="0.45">
      <c r="A225" s="69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5.75" customHeight="1" x14ac:dyDescent="0.45">
      <c r="A226" s="69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15.75" customHeight="1" x14ac:dyDescent="0.45">
      <c r="A227" s="69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15.75" customHeight="1" x14ac:dyDescent="0.45">
      <c r="A228" s="69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15.75" customHeight="1" x14ac:dyDescent="0.45">
      <c r="A229" s="69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15.75" customHeight="1" x14ac:dyDescent="0.45">
      <c r="A230" s="69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15.75" customHeight="1" x14ac:dyDescent="0.45">
      <c r="A231" s="69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15.75" customHeight="1" x14ac:dyDescent="0.45">
      <c r="A232" s="69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15.75" customHeight="1" x14ac:dyDescent="0.45">
      <c r="A233" s="69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15.75" customHeight="1" x14ac:dyDescent="0.45">
      <c r="A234" s="69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15.75" customHeight="1" x14ac:dyDescent="0.45">
      <c r="A235" s="69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15.75" customHeight="1" x14ac:dyDescent="0.45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15.75" customHeight="1" x14ac:dyDescent="0.45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15.75" customHeight="1" x14ac:dyDescent="0.45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5.75" customHeight="1" x14ac:dyDescent="0.45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15.75" customHeight="1" x14ac:dyDescent="0.45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15.75" customHeight="1" x14ac:dyDescent="0.45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15.75" customHeight="1" x14ac:dyDescent="0.45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15.75" customHeight="1" x14ac:dyDescent="0.45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15.75" customHeight="1" x14ac:dyDescent="0.45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15.75" customHeight="1" x14ac:dyDescent="0.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15.75" customHeight="1" x14ac:dyDescent="0.45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15.75" customHeight="1" x14ac:dyDescent="0.45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 ht="15.75" customHeight="1" x14ac:dyDescent="0.45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 ht="15.75" customHeight="1" x14ac:dyDescent="0.45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 ht="15.75" customHeight="1" x14ac:dyDescent="0.45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 ht="15.75" customHeight="1" x14ac:dyDescent="0.45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 ht="15.75" customHeight="1" x14ac:dyDescent="0.45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 ht="15.75" customHeight="1" x14ac:dyDescent="0.45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 ht="15.75" customHeight="1" x14ac:dyDescent="0.45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 ht="15.75" customHeight="1" x14ac:dyDescent="0.4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 ht="15.75" customHeight="1" x14ac:dyDescent="0.45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 ht="15.75" customHeight="1" x14ac:dyDescent="0.45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 ht="15.75" customHeight="1" x14ac:dyDescent="0.45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 ht="15.75" customHeight="1" x14ac:dyDescent="0.45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 ht="15.75" customHeight="1" x14ac:dyDescent="0.45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 ht="15.75" customHeight="1" x14ac:dyDescent="0.45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 ht="15.75" customHeight="1" x14ac:dyDescent="0.45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 ht="15.75" customHeight="1" x14ac:dyDescent="0.45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 ht="15.75" customHeight="1" x14ac:dyDescent="0.45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 ht="15.75" customHeight="1" x14ac:dyDescent="0.4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 ht="15.75" customHeight="1" x14ac:dyDescent="0.45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 ht="15.75" customHeight="1" x14ac:dyDescent="0.45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 ht="15.75" customHeight="1" x14ac:dyDescent="0.45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 ht="15.75" customHeight="1" x14ac:dyDescent="0.45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 ht="15.75" customHeight="1" x14ac:dyDescent="0.45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 ht="15.75" customHeight="1" x14ac:dyDescent="0.45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 ht="15.75" customHeight="1" x14ac:dyDescent="0.45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 ht="15.75" customHeight="1" x14ac:dyDescent="0.45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 ht="15.75" customHeight="1" x14ac:dyDescent="0.45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 ht="15.75" customHeight="1" x14ac:dyDescent="0.4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 ht="15.75" customHeight="1" x14ac:dyDescent="0.45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 ht="15.75" customHeight="1" x14ac:dyDescent="0.45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 ht="15.75" customHeight="1" x14ac:dyDescent="0.4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 ht="15.75" customHeight="1" x14ac:dyDescent="0.4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 ht="15.75" customHeight="1" x14ac:dyDescent="0.4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 ht="15.75" customHeight="1" x14ac:dyDescent="0.4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 ht="15.75" customHeight="1" x14ac:dyDescent="0.4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 ht="15.75" customHeight="1" x14ac:dyDescent="0.4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 ht="15.75" customHeight="1" x14ac:dyDescent="0.4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 ht="15.75" customHeight="1" x14ac:dyDescent="0.4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 ht="15.75" customHeight="1" x14ac:dyDescent="0.4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 ht="15.75" customHeight="1" x14ac:dyDescent="0.4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 ht="15.75" customHeight="1" x14ac:dyDescent="0.4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 ht="15.75" customHeight="1" x14ac:dyDescent="0.4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 ht="15.75" customHeight="1" x14ac:dyDescent="0.4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 ht="15.75" customHeight="1" x14ac:dyDescent="0.4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 ht="15.75" customHeight="1" x14ac:dyDescent="0.4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 ht="15.75" customHeight="1" x14ac:dyDescent="0.4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 ht="15.75" customHeight="1" x14ac:dyDescent="0.4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 ht="15.75" customHeight="1" x14ac:dyDescent="0.4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 ht="15.75" customHeight="1" x14ac:dyDescent="0.4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 ht="15.75" customHeight="1" x14ac:dyDescent="0.4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 ht="15.75" customHeight="1" x14ac:dyDescent="0.4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 ht="15.75" customHeight="1" x14ac:dyDescent="0.4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 ht="15.75" customHeight="1" x14ac:dyDescent="0.4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 ht="15.75" customHeight="1" x14ac:dyDescent="0.4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 ht="15.75" customHeight="1" x14ac:dyDescent="0.4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 ht="15.75" customHeight="1" x14ac:dyDescent="0.4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 ht="15.75" customHeight="1" x14ac:dyDescent="0.4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 ht="15.75" customHeight="1" x14ac:dyDescent="0.4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 ht="15.75" customHeight="1" x14ac:dyDescent="0.4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 ht="15.75" customHeight="1" x14ac:dyDescent="0.4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 ht="15.75" customHeight="1" x14ac:dyDescent="0.4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 ht="15.75" customHeight="1" x14ac:dyDescent="0.4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 ht="15.75" customHeight="1" x14ac:dyDescent="0.4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 ht="15.75" customHeight="1" x14ac:dyDescent="0.4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15.75" customHeight="1" x14ac:dyDescent="0.4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 ht="15.75" customHeight="1" x14ac:dyDescent="0.4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 ht="15.75" customHeight="1" x14ac:dyDescent="0.4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 ht="15.75" customHeight="1" x14ac:dyDescent="0.4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 ht="15.75" customHeight="1" x14ac:dyDescent="0.4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 ht="15.75" customHeight="1" x14ac:dyDescent="0.4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15.75" customHeight="1" x14ac:dyDescent="0.4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15.75" customHeight="1" x14ac:dyDescent="0.4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15.75" customHeight="1" x14ac:dyDescent="0.4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15.75" customHeight="1" x14ac:dyDescent="0.4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15.75" customHeight="1" x14ac:dyDescent="0.4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15.75" customHeight="1" x14ac:dyDescent="0.4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15.75" customHeight="1" x14ac:dyDescent="0.4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15.75" customHeight="1" x14ac:dyDescent="0.4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15.75" customHeight="1" x14ac:dyDescent="0.45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15.75" customHeight="1" x14ac:dyDescent="0.45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15.75" customHeight="1" x14ac:dyDescent="0.45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15.75" customHeight="1" x14ac:dyDescent="0.45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15.75" customHeight="1" x14ac:dyDescent="0.45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15.75" customHeight="1" x14ac:dyDescent="0.45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15.75" customHeight="1" x14ac:dyDescent="0.45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15.75" customHeight="1" x14ac:dyDescent="0.45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15.75" customHeight="1" x14ac:dyDescent="0.45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15.75" customHeight="1" x14ac:dyDescent="0.4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15.75" customHeight="1" x14ac:dyDescent="0.45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15.75" customHeight="1" x14ac:dyDescent="0.45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15.75" customHeight="1" x14ac:dyDescent="0.45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15.75" customHeight="1" x14ac:dyDescent="0.45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15.75" customHeight="1" x14ac:dyDescent="0.45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15.75" customHeight="1" x14ac:dyDescent="0.45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15.75" customHeight="1" x14ac:dyDescent="0.45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5.75" customHeight="1" x14ac:dyDescent="0.45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15.75" customHeight="1" x14ac:dyDescent="0.45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15.75" customHeight="1" x14ac:dyDescent="0.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15.75" customHeight="1" x14ac:dyDescent="0.45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15.75" customHeight="1" x14ac:dyDescent="0.45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15.75" customHeight="1" x14ac:dyDescent="0.45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15.75" customHeight="1" x14ac:dyDescent="0.45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15.75" customHeight="1" x14ac:dyDescent="0.45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15.75" customHeight="1" x14ac:dyDescent="0.45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15.75" customHeight="1" x14ac:dyDescent="0.45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15.75" customHeight="1" x14ac:dyDescent="0.45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15.75" customHeight="1" x14ac:dyDescent="0.45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15.75" customHeight="1" x14ac:dyDescent="0.4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15.75" customHeight="1" x14ac:dyDescent="0.4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15.75" customHeight="1" x14ac:dyDescent="0.4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15.75" customHeight="1" x14ac:dyDescent="0.4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15.75" customHeight="1" x14ac:dyDescent="0.4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15.75" customHeight="1" x14ac:dyDescent="0.4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15.75" customHeight="1" x14ac:dyDescent="0.4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15.75" customHeight="1" x14ac:dyDescent="0.4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15.75" customHeight="1" x14ac:dyDescent="0.4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15.75" customHeight="1" x14ac:dyDescent="0.45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15.75" customHeight="1" x14ac:dyDescent="0.4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15.75" customHeight="1" x14ac:dyDescent="0.45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15.75" customHeight="1" x14ac:dyDescent="0.45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15.75" customHeight="1" x14ac:dyDescent="0.45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15.75" customHeight="1" x14ac:dyDescent="0.45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15.75" customHeight="1" x14ac:dyDescent="0.45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15.75" customHeight="1" x14ac:dyDescent="0.45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15.75" customHeight="1" x14ac:dyDescent="0.4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15.75" customHeight="1" x14ac:dyDescent="0.45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15.75" customHeight="1" x14ac:dyDescent="0.45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15.75" customHeight="1" x14ac:dyDescent="0.4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15.75" customHeight="1" x14ac:dyDescent="0.45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15.75" customHeight="1" x14ac:dyDescent="0.45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15.75" customHeight="1" x14ac:dyDescent="0.45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15.75" customHeight="1" x14ac:dyDescent="0.45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15.75" customHeight="1" x14ac:dyDescent="0.45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15.75" customHeight="1" x14ac:dyDescent="0.45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15.75" customHeight="1" x14ac:dyDescent="0.45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15.75" customHeight="1" x14ac:dyDescent="0.45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15.75" customHeight="1" x14ac:dyDescent="0.45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15.75" customHeight="1" x14ac:dyDescent="0.4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15.75" customHeight="1" x14ac:dyDescent="0.45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15.75" customHeight="1" x14ac:dyDescent="0.45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15.75" customHeight="1" x14ac:dyDescent="0.45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15.75" customHeight="1" x14ac:dyDescent="0.45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15.75" customHeight="1" x14ac:dyDescent="0.45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15.75" customHeight="1" x14ac:dyDescent="0.45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15.75" customHeight="1" x14ac:dyDescent="0.45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15.75" customHeight="1" x14ac:dyDescent="0.45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15.75" customHeight="1" x14ac:dyDescent="0.45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15.75" customHeight="1" x14ac:dyDescent="0.4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15.75" customHeight="1" x14ac:dyDescent="0.45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15.75" customHeight="1" x14ac:dyDescent="0.45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15.75" customHeight="1" x14ac:dyDescent="0.45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15.75" customHeight="1" x14ac:dyDescent="0.45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15.75" customHeight="1" x14ac:dyDescent="0.45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15.75" customHeight="1" x14ac:dyDescent="0.45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15.75" customHeight="1" x14ac:dyDescent="0.45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15.75" customHeight="1" x14ac:dyDescent="0.45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15.75" customHeight="1" x14ac:dyDescent="0.45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15.75" customHeight="1" x14ac:dyDescent="0.4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15.75" customHeight="1" x14ac:dyDescent="0.45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15.75" customHeight="1" x14ac:dyDescent="0.45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15.75" customHeight="1" x14ac:dyDescent="0.45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15.75" customHeight="1" x14ac:dyDescent="0.45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15.75" customHeight="1" x14ac:dyDescent="0.45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15.75" customHeight="1" x14ac:dyDescent="0.45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15.75" customHeight="1" x14ac:dyDescent="0.45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15.75" customHeight="1" x14ac:dyDescent="0.45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15.75" customHeight="1" x14ac:dyDescent="0.45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15.75" customHeight="1" x14ac:dyDescent="0.4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15.75" customHeight="1" x14ac:dyDescent="0.4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15.75" customHeight="1" x14ac:dyDescent="0.45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15.75" customHeight="1" x14ac:dyDescent="0.45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15.75" customHeight="1" x14ac:dyDescent="0.45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15.75" customHeight="1" x14ac:dyDescent="0.45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15.75" customHeight="1" x14ac:dyDescent="0.45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15.75" customHeight="1" x14ac:dyDescent="0.45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15.75" customHeight="1" x14ac:dyDescent="0.45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15.75" customHeight="1" x14ac:dyDescent="0.45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15.75" customHeight="1" x14ac:dyDescent="0.4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15.75" customHeight="1" x14ac:dyDescent="0.45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15.75" customHeight="1" x14ac:dyDescent="0.45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15.75" customHeight="1" x14ac:dyDescent="0.45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15.75" customHeight="1" x14ac:dyDescent="0.45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15.75" customHeight="1" x14ac:dyDescent="0.45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15.75" customHeight="1" x14ac:dyDescent="0.45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15.75" customHeight="1" x14ac:dyDescent="0.45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15.75" customHeight="1" x14ac:dyDescent="0.45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15.75" customHeight="1" x14ac:dyDescent="0.45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15.75" customHeight="1" x14ac:dyDescent="0.4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15.75" customHeight="1" x14ac:dyDescent="0.45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15.75" customHeight="1" x14ac:dyDescent="0.45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15.75" customHeight="1" x14ac:dyDescent="0.45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15.75" customHeight="1" x14ac:dyDescent="0.45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15.75" customHeight="1" x14ac:dyDescent="0.45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15.75" customHeight="1" x14ac:dyDescent="0.45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15.75" customHeight="1" x14ac:dyDescent="0.45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15.75" customHeight="1" x14ac:dyDescent="0.45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15.75" customHeight="1" x14ac:dyDescent="0.45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15.75" customHeight="1" x14ac:dyDescent="0.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15.75" customHeight="1" x14ac:dyDescent="0.45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15.75" customHeight="1" x14ac:dyDescent="0.45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15.75" customHeight="1" x14ac:dyDescent="0.45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15.75" customHeight="1" x14ac:dyDescent="0.45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15.75" customHeight="1" x14ac:dyDescent="0.45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15.75" customHeight="1" x14ac:dyDescent="0.4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15.75" customHeight="1" x14ac:dyDescent="0.45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15.75" customHeight="1" x14ac:dyDescent="0.45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15.75" customHeight="1" x14ac:dyDescent="0.45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15.75" customHeight="1" x14ac:dyDescent="0.4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15.75" customHeight="1" x14ac:dyDescent="0.45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15.75" customHeight="1" x14ac:dyDescent="0.45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15.75" customHeight="1" x14ac:dyDescent="0.45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15.75" customHeight="1" x14ac:dyDescent="0.4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15.75" customHeight="1" x14ac:dyDescent="0.4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15.75" customHeight="1" x14ac:dyDescent="0.4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15.75" customHeight="1" x14ac:dyDescent="0.4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15.75" customHeight="1" x14ac:dyDescent="0.4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15.75" customHeight="1" x14ac:dyDescent="0.4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15.75" customHeight="1" x14ac:dyDescent="0.4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15.75" customHeight="1" x14ac:dyDescent="0.4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15.75" customHeight="1" x14ac:dyDescent="0.4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15.75" customHeight="1" x14ac:dyDescent="0.4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15.75" customHeight="1" x14ac:dyDescent="0.4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15.75" customHeight="1" x14ac:dyDescent="0.4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15.75" customHeight="1" x14ac:dyDescent="0.4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15.75" customHeight="1" x14ac:dyDescent="0.4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15.75" customHeight="1" x14ac:dyDescent="0.4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15.75" customHeight="1" x14ac:dyDescent="0.4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15.75" customHeight="1" x14ac:dyDescent="0.4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15.75" customHeight="1" x14ac:dyDescent="0.4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15.75" customHeight="1" x14ac:dyDescent="0.4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15.75" customHeight="1" x14ac:dyDescent="0.4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15.75" customHeight="1" x14ac:dyDescent="0.4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15.75" customHeight="1" x14ac:dyDescent="0.4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15.75" customHeight="1" x14ac:dyDescent="0.4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15.75" customHeight="1" x14ac:dyDescent="0.4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15.75" customHeight="1" x14ac:dyDescent="0.4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15.75" customHeight="1" x14ac:dyDescent="0.4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15.75" customHeight="1" x14ac:dyDescent="0.4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15.75" customHeight="1" x14ac:dyDescent="0.4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15.75" customHeight="1" x14ac:dyDescent="0.4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15.75" customHeight="1" x14ac:dyDescent="0.4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15.75" customHeight="1" x14ac:dyDescent="0.4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15.75" customHeight="1" x14ac:dyDescent="0.4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15.75" customHeight="1" x14ac:dyDescent="0.4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15.75" customHeight="1" x14ac:dyDescent="0.4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15.75" customHeight="1" x14ac:dyDescent="0.4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15.75" customHeight="1" x14ac:dyDescent="0.4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15.75" customHeight="1" x14ac:dyDescent="0.4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15.75" customHeight="1" x14ac:dyDescent="0.4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15.75" customHeight="1" x14ac:dyDescent="0.4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15.75" customHeight="1" x14ac:dyDescent="0.4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15.75" customHeight="1" x14ac:dyDescent="0.4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15.75" customHeight="1" x14ac:dyDescent="0.4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15.75" customHeight="1" x14ac:dyDescent="0.4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15.75" customHeight="1" x14ac:dyDescent="0.4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15.75" customHeight="1" x14ac:dyDescent="0.4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15.75" customHeight="1" x14ac:dyDescent="0.4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15.75" customHeight="1" x14ac:dyDescent="0.4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15.75" customHeight="1" x14ac:dyDescent="0.4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15.75" customHeight="1" x14ac:dyDescent="0.4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15.75" customHeight="1" x14ac:dyDescent="0.4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15.75" customHeight="1" x14ac:dyDescent="0.4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15.75" customHeight="1" x14ac:dyDescent="0.4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15.75" customHeight="1" x14ac:dyDescent="0.4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15.75" customHeight="1" x14ac:dyDescent="0.4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15.75" customHeight="1" x14ac:dyDescent="0.4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15.75" customHeight="1" x14ac:dyDescent="0.4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15.75" customHeight="1" x14ac:dyDescent="0.4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15.75" customHeight="1" x14ac:dyDescent="0.4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15.75" customHeight="1" x14ac:dyDescent="0.4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15.75" customHeight="1" x14ac:dyDescent="0.4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15.75" customHeight="1" x14ac:dyDescent="0.4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15.75" customHeight="1" x14ac:dyDescent="0.4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15.75" customHeight="1" x14ac:dyDescent="0.4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15.75" customHeight="1" x14ac:dyDescent="0.4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15.75" customHeight="1" x14ac:dyDescent="0.4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15.75" customHeight="1" x14ac:dyDescent="0.4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15.75" customHeight="1" x14ac:dyDescent="0.4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15.75" customHeight="1" x14ac:dyDescent="0.4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15.75" customHeight="1" x14ac:dyDescent="0.4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15.75" customHeight="1" x14ac:dyDescent="0.4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15.75" customHeight="1" x14ac:dyDescent="0.4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15.75" customHeight="1" x14ac:dyDescent="0.4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15.75" customHeight="1" x14ac:dyDescent="0.4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15.75" customHeight="1" x14ac:dyDescent="0.4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15.75" customHeight="1" x14ac:dyDescent="0.4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15.75" customHeight="1" x14ac:dyDescent="0.4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15.75" customHeight="1" x14ac:dyDescent="0.4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15.75" customHeight="1" x14ac:dyDescent="0.4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15.75" customHeight="1" x14ac:dyDescent="0.4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15.75" customHeight="1" x14ac:dyDescent="0.4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15.75" customHeight="1" x14ac:dyDescent="0.4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15.75" customHeight="1" x14ac:dyDescent="0.4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15.75" customHeight="1" x14ac:dyDescent="0.4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15.75" customHeight="1" x14ac:dyDescent="0.4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15.75" customHeight="1" x14ac:dyDescent="0.4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15.75" customHeight="1" x14ac:dyDescent="0.4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15.75" customHeight="1" x14ac:dyDescent="0.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15.75" customHeight="1" x14ac:dyDescent="0.4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15.75" customHeight="1" x14ac:dyDescent="0.4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15.75" customHeight="1" x14ac:dyDescent="0.4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15.75" customHeight="1" x14ac:dyDescent="0.4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15.75" customHeight="1" x14ac:dyDescent="0.4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15.75" customHeight="1" x14ac:dyDescent="0.4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15.75" customHeight="1" x14ac:dyDescent="0.4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15.75" customHeight="1" x14ac:dyDescent="0.4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15.75" customHeight="1" x14ac:dyDescent="0.4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15.75" customHeight="1" x14ac:dyDescent="0.4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15.75" customHeight="1" x14ac:dyDescent="0.4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15.75" customHeight="1" x14ac:dyDescent="0.4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15.75" customHeight="1" x14ac:dyDescent="0.4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15.75" customHeight="1" x14ac:dyDescent="0.4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15.75" customHeight="1" x14ac:dyDescent="0.4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15.75" customHeight="1" x14ac:dyDescent="0.4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15.75" customHeight="1" x14ac:dyDescent="0.4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15.75" customHeight="1" x14ac:dyDescent="0.4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15.75" customHeight="1" x14ac:dyDescent="0.4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15.75" customHeight="1" x14ac:dyDescent="0.4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15.75" customHeight="1" x14ac:dyDescent="0.4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15.75" customHeight="1" x14ac:dyDescent="0.4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15.75" customHeight="1" x14ac:dyDescent="0.4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15.75" customHeight="1" x14ac:dyDescent="0.4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15.75" customHeight="1" x14ac:dyDescent="0.4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15.75" customHeight="1" x14ac:dyDescent="0.4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15.75" customHeight="1" x14ac:dyDescent="0.4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15.75" customHeight="1" x14ac:dyDescent="0.4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15.75" customHeight="1" x14ac:dyDescent="0.4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15.75" customHeight="1" x14ac:dyDescent="0.4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15.75" customHeight="1" x14ac:dyDescent="0.4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15.75" customHeight="1" x14ac:dyDescent="0.4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15.75" customHeight="1" x14ac:dyDescent="0.4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15.75" customHeight="1" x14ac:dyDescent="0.4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15.75" customHeight="1" x14ac:dyDescent="0.4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15.75" customHeight="1" x14ac:dyDescent="0.4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15.75" customHeight="1" x14ac:dyDescent="0.4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15.75" customHeight="1" x14ac:dyDescent="0.4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15.75" customHeight="1" x14ac:dyDescent="0.4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15.75" customHeight="1" x14ac:dyDescent="0.4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15.75" customHeight="1" x14ac:dyDescent="0.4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15.75" customHeight="1" x14ac:dyDescent="0.4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15.75" customHeight="1" x14ac:dyDescent="0.4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15.75" customHeight="1" x14ac:dyDescent="0.4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15.75" customHeight="1" x14ac:dyDescent="0.4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15.75" customHeight="1" x14ac:dyDescent="0.4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15.75" customHeight="1" x14ac:dyDescent="0.4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15.75" customHeight="1" x14ac:dyDescent="0.4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15.75" customHeight="1" x14ac:dyDescent="0.4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15.75" customHeight="1" x14ac:dyDescent="0.4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15.75" customHeight="1" x14ac:dyDescent="0.4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15.75" customHeight="1" x14ac:dyDescent="0.4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15.75" customHeight="1" x14ac:dyDescent="0.4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15.75" customHeight="1" x14ac:dyDescent="0.4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15.75" customHeight="1" x14ac:dyDescent="0.4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15.75" customHeight="1" x14ac:dyDescent="0.4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15.75" customHeight="1" x14ac:dyDescent="0.4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15.75" customHeight="1" x14ac:dyDescent="0.4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15.75" customHeight="1" x14ac:dyDescent="0.4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15.75" customHeight="1" x14ac:dyDescent="0.4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15.75" customHeight="1" x14ac:dyDescent="0.4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15.75" customHeight="1" x14ac:dyDescent="0.4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15.75" customHeight="1" x14ac:dyDescent="0.4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15.75" customHeight="1" x14ac:dyDescent="0.4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15.75" customHeight="1" x14ac:dyDescent="0.4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15.75" customHeight="1" x14ac:dyDescent="0.4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15.75" customHeight="1" x14ac:dyDescent="0.4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15.75" customHeight="1" x14ac:dyDescent="0.4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15.75" customHeight="1" x14ac:dyDescent="0.4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15.75" customHeight="1" x14ac:dyDescent="0.4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15.75" customHeight="1" x14ac:dyDescent="0.4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15.75" customHeight="1" x14ac:dyDescent="0.4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15.75" customHeight="1" x14ac:dyDescent="0.4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15.75" customHeight="1" x14ac:dyDescent="0.4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15.75" customHeight="1" x14ac:dyDescent="0.4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15.75" customHeight="1" x14ac:dyDescent="0.4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15.75" customHeight="1" x14ac:dyDescent="0.4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15.75" customHeight="1" x14ac:dyDescent="0.4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15.75" customHeight="1" x14ac:dyDescent="0.4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15.75" customHeight="1" x14ac:dyDescent="0.4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15.75" customHeight="1" x14ac:dyDescent="0.4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15.75" customHeight="1" x14ac:dyDescent="0.4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15.75" customHeight="1" x14ac:dyDescent="0.4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15.75" customHeight="1" x14ac:dyDescent="0.4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15.75" customHeight="1" x14ac:dyDescent="0.4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15.75" customHeight="1" x14ac:dyDescent="0.4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15.75" customHeight="1" x14ac:dyDescent="0.4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15.75" customHeight="1" x14ac:dyDescent="0.4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15.75" customHeight="1" x14ac:dyDescent="0.4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15.75" customHeight="1" x14ac:dyDescent="0.4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15.75" customHeight="1" x14ac:dyDescent="0.4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15.75" customHeight="1" x14ac:dyDescent="0.4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15.75" customHeight="1" x14ac:dyDescent="0.4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15.75" customHeight="1" x14ac:dyDescent="0.4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15.75" customHeight="1" x14ac:dyDescent="0.4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15.75" customHeight="1" x14ac:dyDescent="0.4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15.75" customHeight="1" x14ac:dyDescent="0.4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15.75" customHeight="1" x14ac:dyDescent="0.4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15.75" customHeight="1" x14ac:dyDescent="0.4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15.75" customHeight="1" x14ac:dyDescent="0.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15.75" customHeight="1" x14ac:dyDescent="0.4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15.75" customHeight="1" x14ac:dyDescent="0.4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15.75" customHeight="1" x14ac:dyDescent="0.4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15.75" customHeight="1" x14ac:dyDescent="0.4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15.75" customHeight="1" x14ac:dyDescent="0.4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15.75" customHeight="1" x14ac:dyDescent="0.4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15.75" customHeight="1" x14ac:dyDescent="0.4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15.75" customHeight="1" x14ac:dyDescent="0.4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15.75" customHeight="1" x14ac:dyDescent="0.4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15.75" customHeight="1" x14ac:dyDescent="0.4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15.75" customHeight="1" x14ac:dyDescent="0.4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15.75" customHeight="1" x14ac:dyDescent="0.4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15.75" customHeight="1" x14ac:dyDescent="0.4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15.75" customHeight="1" x14ac:dyDescent="0.4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15.75" customHeight="1" x14ac:dyDescent="0.4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15.75" customHeight="1" x14ac:dyDescent="0.4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15.75" customHeight="1" x14ac:dyDescent="0.4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15.75" customHeight="1" x14ac:dyDescent="0.4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15.75" customHeight="1" x14ac:dyDescent="0.4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15.75" customHeight="1" x14ac:dyDescent="0.4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15.75" customHeight="1" x14ac:dyDescent="0.4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15.75" customHeight="1" x14ac:dyDescent="0.4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15.75" customHeight="1" x14ac:dyDescent="0.4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15.75" customHeight="1" x14ac:dyDescent="0.4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15.75" customHeight="1" x14ac:dyDescent="0.4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15.75" customHeight="1" x14ac:dyDescent="0.4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15.75" customHeight="1" x14ac:dyDescent="0.4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15.75" customHeight="1" x14ac:dyDescent="0.4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15.75" customHeight="1" x14ac:dyDescent="0.4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15.75" customHeight="1" x14ac:dyDescent="0.4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15.75" customHeight="1" x14ac:dyDescent="0.4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15.75" customHeight="1" x14ac:dyDescent="0.4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15.75" customHeight="1" x14ac:dyDescent="0.4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15.75" customHeight="1" x14ac:dyDescent="0.4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15.75" customHeight="1" x14ac:dyDescent="0.4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15.75" customHeight="1" x14ac:dyDescent="0.4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15.75" customHeight="1" x14ac:dyDescent="0.4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15.75" customHeight="1" x14ac:dyDescent="0.4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15.75" customHeight="1" x14ac:dyDescent="0.4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15.75" customHeight="1" x14ac:dyDescent="0.4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15.75" customHeight="1" x14ac:dyDescent="0.4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15.75" customHeight="1" x14ac:dyDescent="0.4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15.75" customHeight="1" x14ac:dyDescent="0.4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15.75" customHeight="1" x14ac:dyDescent="0.4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15.75" customHeight="1" x14ac:dyDescent="0.4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15.75" customHeight="1" x14ac:dyDescent="0.4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15.75" customHeight="1" x14ac:dyDescent="0.4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15.75" customHeight="1" x14ac:dyDescent="0.4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15.75" customHeight="1" x14ac:dyDescent="0.4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15.75" customHeight="1" x14ac:dyDescent="0.4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15.75" customHeight="1" x14ac:dyDescent="0.4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15.75" customHeight="1" x14ac:dyDescent="0.4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15.75" customHeight="1" x14ac:dyDescent="0.4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15.75" customHeight="1" x14ac:dyDescent="0.4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15.75" customHeight="1" x14ac:dyDescent="0.4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15.75" customHeight="1" x14ac:dyDescent="0.4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15.75" customHeight="1" x14ac:dyDescent="0.4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15.75" customHeight="1" x14ac:dyDescent="0.4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15.75" customHeight="1" x14ac:dyDescent="0.4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15.75" customHeight="1" x14ac:dyDescent="0.4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15.75" customHeight="1" x14ac:dyDescent="0.4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15.75" customHeight="1" x14ac:dyDescent="0.4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15.75" customHeight="1" x14ac:dyDescent="0.4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15.75" customHeight="1" x14ac:dyDescent="0.4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15.75" customHeight="1" x14ac:dyDescent="0.4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15.75" customHeight="1" x14ac:dyDescent="0.4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15.75" customHeight="1" x14ac:dyDescent="0.4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15.75" customHeight="1" x14ac:dyDescent="0.4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15.75" customHeight="1" x14ac:dyDescent="0.4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15.75" customHeight="1" x14ac:dyDescent="0.4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15.75" customHeight="1" x14ac:dyDescent="0.4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15.75" customHeight="1" x14ac:dyDescent="0.4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15.75" customHeight="1" x14ac:dyDescent="0.4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15.75" customHeight="1" x14ac:dyDescent="0.4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15.75" customHeight="1" x14ac:dyDescent="0.4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15.75" customHeight="1" x14ac:dyDescent="0.4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15.75" customHeight="1" x14ac:dyDescent="0.4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15.75" customHeight="1" x14ac:dyDescent="0.4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15.75" customHeight="1" x14ac:dyDescent="0.4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15.75" customHeight="1" x14ac:dyDescent="0.4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15.75" customHeight="1" x14ac:dyDescent="0.4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15.75" customHeight="1" x14ac:dyDescent="0.4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15.75" customHeight="1" x14ac:dyDescent="0.4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15.75" customHeight="1" x14ac:dyDescent="0.4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15.75" customHeight="1" x14ac:dyDescent="0.4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15.75" customHeight="1" x14ac:dyDescent="0.4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15.75" customHeight="1" x14ac:dyDescent="0.4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15.75" customHeight="1" x14ac:dyDescent="0.4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15.75" customHeight="1" x14ac:dyDescent="0.4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15.75" customHeight="1" x14ac:dyDescent="0.4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15.75" customHeight="1" x14ac:dyDescent="0.4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15.75" customHeight="1" x14ac:dyDescent="0.4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15.75" customHeight="1" x14ac:dyDescent="0.4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15.75" customHeight="1" x14ac:dyDescent="0.4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15.75" customHeight="1" x14ac:dyDescent="0.4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15.75" customHeight="1" x14ac:dyDescent="0.4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15.75" customHeight="1" x14ac:dyDescent="0.4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15.75" customHeight="1" x14ac:dyDescent="0.4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15.75" customHeight="1" x14ac:dyDescent="0.4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15.75" customHeight="1" x14ac:dyDescent="0.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15.75" customHeight="1" x14ac:dyDescent="0.4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15.75" customHeight="1" x14ac:dyDescent="0.4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15.75" customHeight="1" x14ac:dyDescent="0.4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15.75" customHeight="1" x14ac:dyDescent="0.4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15.75" customHeight="1" x14ac:dyDescent="0.4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15.75" customHeight="1" x14ac:dyDescent="0.4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15.75" customHeight="1" x14ac:dyDescent="0.4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15.75" customHeight="1" x14ac:dyDescent="0.4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15.75" customHeight="1" x14ac:dyDescent="0.4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15.75" customHeight="1" x14ac:dyDescent="0.4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15.75" customHeight="1" x14ac:dyDescent="0.4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15.75" customHeight="1" x14ac:dyDescent="0.4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15.75" customHeight="1" x14ac:dyDescent="0.4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15.75" customHeight="1" x14ac:dyDescent="0.4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15.75" customHeight="1" x14ac:dyDescent="0.4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15.75" customHeight="1" x14ac:dyDescent="0.4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15.75" customHeight="1" x14ac:dyDescent="0.4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15.75" customHeight="1" x14ac:dyDescent="0.4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15.75" customHeight="1" x14ac:dyDescent="0.4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15.75" customHeight="1" x14ac:dyDescent="0.4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15.75" customHeight="1" x14ac:dyDescent="0.4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15.75" customHeight="1" x14ac:dyDescent="0.4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15.75" customHeight="1" x14ac:dyDescent="0.4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15.75" customHeight="1" x14ac:dyDescent="0.4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15.75" customHeight="1" x14ac:dyDescent="0.4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15.75" customHeight="1" x14ac:dyDescent="0.4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15.75" customHeight="1" x14ac:dyDescent="0.4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15.75" customHeight="1" x14ac:dyDescent="0.4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15.75" customHeight="1" x14ac:dyDescent="0.4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15.75" customHeight="1" x14ac:dyDescent="0.4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15.75" customHeight="1" x14ac:dyDescent="0.4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15.75" customHeight="1" x14ac:dyDescent="0.4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15.75" customHeight="1" x14ac:dyDescent="0.4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15.75" customHeight="1" x14ac:dyDescent="0.4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15.75" customHeight="1" x14ac:dyDescent="0.4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15.75" customHeight="1" x14ac:dyDescent="0.4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15.75" customHeight="1" x14ac:dyDescent="0.4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15.75" customHeight="1" x14ac:dyDescent="0.45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15.75" customHeight="1" x14ac:dyDescent="0.45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15.75" customHeight="1" x14ac:dyDescent="0.4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15.75" customHeight="1" x14ac:dyDescent="0.45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15.75" customHeight="1" x14ac:dyDescent="0.45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15.75" customHeight="1" x14ac:dyDescent="0.45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15.75" customHeight="1" x14ac:dyDescent="0.45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15.75" customHeight="1" x14ac:dyDescent="0.45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15.75" customHeight="1" x14ac:dyDescent="0.45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15.75" customHeight="1" x14ac:dyDescent="0.45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15.75" customHeight="1" x14ac:dyDescent="0.45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15.75" customHeight="1" x14ac:dyDescent="0.45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15.75" customHeight="1" x14ac:dyDescent="0.4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15.75" customHeight="1" x14ac:dyDescent="0.45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15.75" customHeight="1" x14ac:dyDescent="0.45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15.75" customHeight="1" x14ac:dyDescent="0.45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 ht="15.75" customHeight="1" x14ac:dyDescent="0.45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 ht="15.75" customHeight="1" x14ac:dyDescent="0.45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 ht="15.75" customHeight="1" x14ac:dyDescent="0.45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 ht="15.75" customHeight="1" x14ac:dyDescent="0.45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 ht="15.75" customHeight="1" x14ac:dyDescent="0.45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 ht="15.75" customHeight="1" x14ac:dyDescent="0.45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 ht="15.75" customHeight="1" x14ac:dyDescent="0.4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 ht="15.75" customHeight="1" x14ac:dyDescent="0.45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 ht="15.75" customHeight="1" x14ac:dyDescent="0.45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 ht="15.75" customHeight="1" x14ac:dyDescent="0.45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 ht="15.75" customHeight="1" x14ac:dyDescent="0.45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 ht="15.75" customHeight="1" x14ac:dyDescent="0.45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 ht="15.75" customHeight="1" x14ac:dyDescent="0.45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 ht="15.75" customHeight="1" x14ac:dyDescent="0.45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 ht="15.75" customHeight="1" x14ac:dyDescent="0.45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 ht="15.75" customHeight="1" x14ac:dyDescent="0.45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 ht="15.75" customHeight="1" x14ac:dyDescent="0.4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 ht="15.75" customHeight="1" x14ac:dyDescent="0.45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 ht="15.75" customHeight="1" x14ac:dyDescent="0.45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 ht="15.75" customHeight="1" x14ac:dyDescent="0.45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 ht="15.75" customHeight="1" x14ac:dyDescent="0.45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 ht="15.75" customHeight="1" x14ac:dyDescent="0.45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 ht="15.75" customHeight="1" x14ac:dyDescent="0.4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 ht="15.75" customHeight="1" x14ac:dyDescent="0.45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 ht="15.75" customHeight="1" x14ac:dyDescent="0.45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 ht="15.75" customHeight="1" x14ac:dyDescent="0.4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 ht="15.75" customHeight="1" x14ac:dyDescent="0.4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 ht="15.75" customHeight="1" x14ac:dyDescent="0.45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 ht="15.75" customHeight="1" x14ac:dyDescent="0.4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 ht="15.75" customHeight="1" x14ac:dyDescent="0.45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 ht="15.75" customHeight="1" x14ac:dyDescent="0.4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 ht="15.75" customHeight="1" x14ac:dyDescent="0.45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 ht="15.75" customHeight="1" x14ac:dyDescent="0.45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 ht="15.75" customHeight="1" x14ac:dyDescent="0.45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 ht="15.75" customHeight="1" x14ac:dyDescent="0.45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 ht="15.75" customHeight="1" x14ac:dyDescent="0.45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 ht="15.75" customHeight="1" x14ac:dyDescent="0.4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 ht="15.75" customHeight="1" x14ac:dyDescent="0.45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 ht="15.75" customHeight="1" x14ac:dyDescent="0.45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 ht="15.75" customHeight="1" x14ac:dyDescent="0.45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 ht="15.75" customHeight="1" x14ac:dyDescent="0.45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 ht="15.75" customHeight="1" x14ac:dyDescent="0.45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 ht="15.75" customHeight="1" x14ac:dyDescent="0.45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 ht="15.75" customHeight="1" x14ac:dyDescent="0.45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 ht="15.75" customHeight="1" x14ac:dyDescent="0.45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 ht="15.75" customHeight="1" x14ac:dyDescent="0.45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 ht="15.75" customHeight="1" x14ac:dyDescent="0.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 ht="15.75" customHeight="1" x14ac:dyDescent="0.45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 ht="15.75" customHeight="1" x14ac:dyDescent="0.45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 ht="15.75" customHeight="1" x14ac:dyDescent="0.45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 ht="15.75" customHeight="1" x14ac:dyDescent="0.45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 ht="15.75" customHeight="1" x14ac:dyDescent="0.45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 ht="15.75" customHeight="1" x14ac:dyDescent="0.45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 ht="15.75" customHeight="1" x14ac:dyDescent="0.45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 ht="15.75" customHeight="1" x14ac:dyDescent="0.45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 ht="15.75" customHeight="1" x14ac:dyDescent="0.45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 ht="15.75" customHeight="1" x14ac:dyDescent="0.4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 ht="15.75" customHeight="1" x14ac:dyDescent="0.45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 ht="15.75" customHeight="1" x14ac:dyDescent="0.45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 ht="15.75" customHeight="1" x14ac:dyDescent="0.45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 ht="15.75" customHeight="1" x14ac:dyDescent="0.45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 ht="15.75" customHeight="1" x14ac:dyDescent="0.45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 ht="15.75" customHeight="1" x14ac:dyDescent="0.45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 ht="15.75" customHeight="1" x14ac:dyDescent="0.45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 ht="15.75" customHeight="1" x14ac:dyDescent="0.45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 ht="15.75" customHeight="1" x14ac:dyDescent="0.45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 ht="15.75" customHeight="1" x14ac:dyDescent="0.4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 ht="15.75" customHeight="1" x14ac:dyDescent="0.45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 ht="15.75" customHeight="1" x14ac:dyDescent="0.45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 ht="15.75" customHeight="1" x14ac:dyDescent="0.45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 ht="15.75" customHeight="1" x14ac:dyDescent="0.45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 ht="15.75" customHeight="1" x14ac:dyDescent="0.4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 ht="15.75" customHeight="1" x14ac:dyDescent="0.45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 ht="15.75" customHeight="1" x14ac:dyDescent="0.45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 ht="15.75" customHeight="1" x14ac:dyDescent="0.45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 ht="15.75" customHeight="1" x14ac:dyDescent="0.45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 ht="15.75" customHeight="1" x14ac:dyDescent="0.4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 ht="15.75" customHeight="1" x14ac:dyDescent="0.45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 ht="15.75" customHeight="1" x14ac:dyDescent="0.45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 ht="15.75" customHeight="1" x14ac:dyDescent="0.45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 ht="15.75" customHeight="1" x14ac:dyDescent="0.45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 ht="15.75" customHeight="1" x14ac:dyDescent="0.45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 ht="15.75" customHeight="1" x14ac:dyDescent="0.45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 ht="15.75" customHeight="1" x14ac:dyDescent="0.45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 ht="15.75" customHeight="1" x14ac:dyDescent="0.45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 ht="15.75" customHeight="1" x14ac:dyDescent="0.45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 ht="15.75" customHeight="1" x14ac:dyDescent="0.4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 ht="15.75" customHeight="1" x14ac:dyDescent="0.45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 ht="15.75" customHeight="1" x14ac:dyDescent="0.45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 ht="15.75" customHeight="1" x14ac:dyDescent="0.45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 ht="15.75" customHeight="1" x14ac:dyDescent="0.45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 ht="15.75" customHeight="1" x14ac:dyDescent="0.45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 ht="15.75" customHeight="1" x14ac:dyDescent="0.4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 ht="15.75" customHeight="1" x14ac:dyDescent="0.45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 ht="15.75" customHeight="1" x14ac:dyDescent="0.45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 ht="15.75" customHeight="1" x14ac:dyDescent="0.45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 ht="15.75" customHeight="1" x14ac:dyDescent="0.4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 ht="15.75" customHeight="1" x14ac:dyDescent="0.45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 ht="15.75" customHeight="1" x14ac:dyDescent="0.45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 ht="15.75" customHeight="1" x14ac:dyDescent="0.45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 ht="15.75" customHeight="1" x14ac:dyDescent="0.45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 ht="15.75" customHeight="1" x14ac:dyDescent="0.45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 ht="15.75" customHeight="1" x14ac:dyDescent="0.45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 ht="15.75" customHeight="1" x14ac:dyDescent="0.45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 ht="15.75" customHeight="1" x14ac:dyDescent="0.45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 ht="15.75" customHeight="1" x14ac:dyDescent="0.45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 ht="15.75" customHeight="1" x14ac:dyDescent="0.4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 ht="15.75" customHeight="1" x14ac:dyDescent="0.45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 ht="15.75" customHeight="1" x14ac:dyDescent="0.45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 ht="15.75" customHeight="1" x14ac:dyDescent="0.45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 ht="15.75" customHeight="1" x14ac:dyDescent="0.45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 ht="15.75" customHeight="1" x14ac:dyDescent="0.45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 ht="15.75" customHeight="1" x14ac:dyDescent="0.45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 ht="15.75" customHeight="1" x14ac:dyDescent="0.45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 ht="15.75" customHeight="1" x14ac:dyDescent="0.45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 ht="15.75" customHeight="1" x14ac:dyDescent="0.45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 ht="15.75" customHeight="1" x14ac:dyDescent="0.4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 ht="15.75" customHeight="1" x14ac:dyDescent="0.45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 ht="15.75" customHeight="1" x14ac:dyDescent="0.45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 ht="15.75" customHeight="1" x14ac:dyDescent="0.45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 ht="15.75" customHeight="1" x14ac:dyDescent="0.45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 ht="15.75" customHeight="1" x14ac:dyDescent="0.45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 ht="15.75" customHeight="1" x14ac:dyDescent="0.45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 ht="15.75" customHeight="1" x14ac:dyDescent="0.45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 ht="15.75" customHeight="1" x14ac:dyDescent="0.45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 ht="15.75" customHeight="1" x14ac:dyDescent="0.45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 ht="15.75" customHeight="1" x14ac:dyDescent="0.4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 ht="15.75" customHeight="1" x14ac:dyDescent="0.45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 ht="15.75" customHeight="1" x14ac:dyDescent="0.45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 ht="15.75" customHeight="1" x14ac:dyDescent="0.45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 ht="15.75" customHeight="1" x14ac:dyDescent="0.45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 ht="15.75" customHeight="1" x14ac:dyDescent="0.45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 ht="15.75" customHeight="1" x14ac:dyDescent="0.45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 ht="15.75" customHeight="1" x14ac:dyDescent="0.45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 ht="15.75" customHeight="1" x14ac:dyDescent="0.45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 ht="15.75" customHeight="1" x14ac:dyDescent="0.45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 ht="15.75" customHeight="1" x14ac:dyDescent="0.4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 ht="15.75" customHeight="1" x14ac:dyDescent="0.45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 ht="15.75" customHeight="1" x14ac:dyDescent="0.45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 ht="15.75" customHeight="1" x14ac:dyDescent="0.45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 ht="15.75" customHeight="1" x14ac:dyDescent="0.45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 ht="15.75" customHeight="1" x14ac:dyDescent="0.45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 ht="15.75" customHeight="1" x14ac:dyDescent="0.45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 ht="15.75" customHeight="1" x14ac:dyDescent="0.45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 ht="15.75" customHeight="1" x14ac:dyDescent="0.45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 ht="15.75" customHeight="1" x14ac:dyDescent="0.45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 ht="15.75" customHeight="1" x14ac:dyDescent="0.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 ht="15.75" customHeight="1" x14ac:dyDescent="0.45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 ht="15.75" customHeight="1" x14ac:dyDescent="0.45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 ht="15.75" customHeight="1" x14ac:dyDescent="0.45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 ht="15.75" customHeight="1" x14ac:dyDescent="0.45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 ht="15.75" customHeight="1" x14ac:dyDescent="0.45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 ht="15.75" customHeight="1" x14ac:dyDescent="0.45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 ht="15.75" customHeight="1" x14ac:dyDescent="0.45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 ht="15.75" customHeight="1" x14ac:dyDescent="0.45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 ht="15.75" customHeight="1" x14ac:dyDescent="0.45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 ht="15.75" customHeight="1" x14ac:dyDescent="0.4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 ht="15.75" customHeight="1" x14ac:dyDescent="0.45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 ht="15.75" customHeight="1" x14ac:dyDescent="0.45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 ht="15.75" customHeight="1" x14ac:dyDescent="0.45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 ht="15.75" customHeight="1" x14ac:dyDescent="0.45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 ht="15.75" customHeight="1" x14ac:dyDescent="0.45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 ht="15.75" customHeight="1" x14ac:dyDescent="0.45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 ht="15.75" customHeight="1" x14ac:dyDescent="0.45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 ht="15.75" customHeight="1" x14ac:dyDescent="0.45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 ht="15.75" customHeight="1" x14ac:dyDescent="0.45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 ht="15.75" customHeight="1" x14ac:dyDescent="0.4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 ht="15.75" customHeight="1" x14ac:dyDescent="0.45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 ht="15.75" customHeight="1" x14ac:dyDescent="0.45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 ht="15.75" customHeight="1" x14ac:dyDescent="0.45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 ht="15.75" customHeight="1" x14ac:dyDescent="0.45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 ht="15.75" customHeight="1" x14ac:dyDescent="0.45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 ht="15.75" customHeight="1" x14ac:dyDescent="0.45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 ht="15.75" customHeight="1" x14ac:dyDescent="0.45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 ht="15.75" customHeight="1" x14ac:dyDescent="0.45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 ht="15.75" customHeight="1" x14ac:dyDescent="0.45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 ht="15.75" customHeight="1" x14ac:dyDescent="0.4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 ht="15.75" customHeight="1" x14ac:dyDescent="0.45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 ht="15.75" customHeight="1" x14ac:dyDescent="0.45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 ht="15.75" customHeight="1" x14ac:dyDescent="0.45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 ht="15.75" customHeight="1" x14ac:dyDescent="0.45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 ht="15.75" customHeight="1" x14ac:dyDescent="0.45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 ht="15.75" customHeight="1" x14ac:dyDescent="0.45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 ht="15.75" customHeight="1" x14ac:dyDescent="0.45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 ht="15.75" customHeight="1" x14ac:dyDescent="0.45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 ht="15.75" customHeight="1" x14ac:dyDescent="0.45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 ht="15.75" customHeight="1" x14ac:dyDescent="0.4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 ht="15.75" customHeight="1" x14ac:dyDescent="0.45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 ht="15.75" customHeight="1" x14ac:dyDescent="0.45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 ht="15.75" customHeight="1" x14ac:dyDescent="0.45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 ht="15.75" customHeight="1" x14ac:dyDescent="0.45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 ht="15.75" customHeight="1" x14ac:dyDescent="0.45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 ht="15.75" customHeight="1" x14ac:dyDescent="0.45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 ht="15.75" customHeight="1" x14ac:dyDescent="0.45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 ht="15.75" customHeight="1" x14ac:dyDescent="0.45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1:26" ht="15.75" customHeight="1" x14ac:dyDescent="0.45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1:26" ht="15.75" customHeight="1" x14ac:dyDescent="0.4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spans="1:26" ht="15.75" customHeight="1" x14ac:dyDescent="0.45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spans="1:26" ht="15.75" customHeight="1" x14ac:dyDescent="0.45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spans="1:26" ht="15.75" customHeight="1" x14ac:dyDescent="0.45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spans="1:26" ht="15.75" customHeight="1" x14ac:dyDescent="0.45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spans="1:26" ht="15.75" customHeight="1" x14ac:dyDescent="0.45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mergeCells count="46">
    <mergeCell ref="J4:J5"/>
    <mergeCell ref="C8:F8"/>
    <mergeCell ref="H8:K8"/>
    <mergeCell ref="H9:K9"/>
    <mergeCell ref="H10:K10"/>
    <mergeCell ref="C9:F9"/>
    <mergeCell ref="C10:F10"/>
    <mergeCell ref="B1:C5"/>
    <mergeCell ref="D1:I3"/>
    <mergeCell ref="D4:I5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5:K35"/>
    <mergeCell ref="C21:G21"/>
    <mergeCell ref="C22:G22"/>
    <mergeCell ref="J22:K22"/>
    <mergeCell ref="C23:G23"/>
    <mergeCell ref="C24:G24"/>
    <mergeCell ref="C25:G25"/>
    <mergeCell ref="C27:K28"/>
    <mergeCell ref="B32:F32"/>
    <mergeCell ref="B33:F33"/>
    <mergeCell ref="G33:K33"/>
    <mergeCell ref="B34:F34"/>
    <mergeCell ref="G34:K34"/>
  </mergeCells>
  <pageMargins left="0.7" right="0.7" top="0.75" bottom="0.75" header="0" footer="0"/>
  <pageSetup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31.265625" customWidth="1"/>
    <col min="3" max="3" width="21.73046875" customWidth="1"/>
    <col min="4" max="4" width="15.73046875" customWidth="1"/>
    <col min="5" max="5" width="19.73046875" customWidth="1"/>
    <col min="6" max="6" width="15.73046875" customWidth="1"/>
    <col min="7" max="7" width="19.53125" customWidth="1"/>
    <col min="8" max="8" width="17.265625" customWidth="1"/>
    <col min="9" max="9" width="15.73046875" customWidth="1"/>
    <col min="10" max="10" width="18.53125" customWidth="1"/>
    <col min="11" max="11" width="27.3984375" customWidth="1"/>
    <col min="12" max="23" width="11.3984375" customWidth="1"/>
  </cols>
  <sheetData>
    <row r="1" spans="1:26" ht="24.75" customHeight="1" x14ac:dyDescent="0.45">
      <c r="A1" s="70"/>
      <c r="B1" s="387"/>
      <c r="C1" s="224"/>
      <c r="D1" s="387" t="s">
        <v>0</v>
      </c>
      <c r="E1" s="193"/>
      <c r="F1" s="193"/>
      <c r="G1" s="193"/>
      <c r="H1" s="193"/>
      <c r="I1" s="224"/>
      <c r="J1" s="84" t="s">
        <v>1</v>
      </c>
      <c r="K1" s="84" t="s">
        <v>398</v>
      </c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69"/>
      <c r="Y1" s="69"/>
      <c r="Z1" s="69"/>
    </row>
    <row r="2" spans="1:26" ht="24.75" customHeight="1" x14ac:dyDescent="0.45">
      <c r="A2" s="70"/>
      <c r="B2" s="266"/>
      <c r="C2" s="232"/>
      <c r="D2" s="266"/>
      <c r="E2" s="203"/>
      <c r="F2" s="203"/>
      <c r="G2" s="203"/>
      <c r="H2" s="203"/>
      <c r="I2" s="232"/>
      <c r="J2" s="84" t="s">
        <v>3</v>
      </c>
      <c r="K2" s="85">
        <v>1</v>
      </c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69"/>
      <c r="Y2" s="69"/>
      <c r="Z2" s="69"/>
    </row>
    <row r="3" spans="1:26" ht="24.75" customHeight="1" x14ac:dyDescent="0.45">
      <c r="A3" s="70"/>
      <c r="B3" s="266"/>
      <c r="C3" s="232"/>
      <c r="D3" s="267"/>
      <c r="E3" s="195"/>
      <c r="F3" s="195"/>
      <c r="G3" s="195"/>
      <c r="H3" s="195"/>
      <c r="I3" s="252"/>
      <c r="J3" s="84" t="s">
        <v>5</v>
      </c>
      <c r="K3" s="84" t="s">
        <v>6</v>
      </c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69"/>
      <c r="Y3" s="69"/>
      <c r="Z3" s="69"/>
    </row>
    <row r="4" spans="1:26" ht="15.75" customHeight="1" x14ac:dyDescent="0.45">
      <c r="A4" s="69"/>
      <c r="B4" s="266"/>
      <c r="C4" s="232"/>
      <c r="D4" s="387" t="s">
        <v>399</v>
      </c>
      <c r="E4" s="193"/>
      <c r="F4" s="193"/>
      <c r="G4" s="193"/>
      <c r="H4" s="193"/>
      <c r="I4" s="224"/>
      <c r="J4" s="391" t="s">
        <v>7</v>
      </c>
      <c r="K4" s="84" t="s">
        <v>200</v>
      </c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24.75" customHeight="1" x14ac:dyDescent="0.45">
      <c r="A5" s="69"/>
      <c r="B5" s="267"/>
      <c r="C5" s="252"/>
      <c r="D5" s="267"/>
      <c r="E5" s="195"/>
      <c r="F5" s="195"/>
      <c r="G5" s="195"/>
      <c r="H5" s="195"/>
      <c r="I5" s="252"/>
      <c r="J5" s="338"/>
      <c r="K5" s="86" t="s">
        <v>201</v>
      </c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24.75" customHeight="1" x14ac:dyDescent="0.45">
      <c r="A6" s="69"/>
      <c r="B6" s="8"/>
      <c r="C6" s="92"/>
      <c r="D6" s="92"/>
      <c r="E6" s="92"/>
      <c r="F6" s="92"/>
      <c r="G6" s="92"/>
      <c r="H6" s="92"/>
      <c r="I6" s="92"/>
      <c r="J6" s="92"/>
      <c r="K6" s="133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24.75" customHeight="1" x14ac:dyDescent="0.45">
      <c r="A7" s="69"/>
      <c r="B7" s="11"/>
      <c r="C7" s="12"/>
      <c r="D7" s="12"/>
      <c r="E7" s="12"/>
      <c r="F7" s="12"/>
      <c r="G7" s="12"/>
      <c r="H7" s="12"/>
      <c r="I7" s="12"/>
      <c r="J7" s="12"/>
      <c r="K7" s="134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57" customHeight="1" x14ac:dyDescent="0.45">
      <c r="A8" s="69"/>
      <c r="B8" s="90" t="s">
        <v>400</v>
      </c>
      <c r="C8" s="191" t="str">
        <f>'LISTA CHEQUEO'!F7</f>
        <v>LIMPIADOR ILUMINADOR ACIDO KOJICO</v>
      </c>
      <c r="D8" s="186"/>
      <c r="E8" s="186"/>
      <c r="F8" s="187"/>
      <c r="G8" s="90" t="s">
        <v>401</v>
      </c>
      <c r="H8" s="191" t="str">
        <f>'LISTA CHEQUEO'!F10</f>
        <v>ANIMUS LAB</v>
      </c>
      <c r="I8" s="186"/>
      <c r="J8" s="186"/>
      <c r="K8" s="18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ht="45" customHeight="1" x14ac:dyDescent="0.45">
      <c r="A9" s="69"/>
      <c r="B9" s="90" t="s">
        <v>21</v>
      </c>
      <c r="C9" s="418" t="str">
        <f>'LISTA CHEQUEO'!F11</f>
        <v>NSOC35368-24CO</v>
      </c>
      <c r="D9" s="189"/>
      <c r="E9" s="90" t="s">
        <v>338</v>
      </c>
      <c r="F9" s="418" t="str">
        <f>'LISTA CHEQUEO'!M8</f>
        <v>OP-SS-128</v>
      </c>
      <c r="G9" s="189"/>
      <c r="H9" s="385" t="s">
        <v>337</v>
      </c>
      <c r="I9" s="189"/>
      <c r="J9" s="415" t="str">
        <f>'LISTA CHEQUEO'!F8</f>
        <v>252601</v>
      </c>
      <c r="K9" s="18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57" customHeight="1" x14ac:dyDescent="0.55000000000000004">
      <c r="A10" s="69"/>
      <c r="B10" s="90" t="s">
        <v>402</v>
      </c>
      <c r="C10" s="459"/>
      <c r="D10" s="189"/>
      <c r="E10" s="90" t="s">
        <v>403</v>
      </c>
      <c r="F10" s="458"/>
      <c r="G10" s="189"/>
      <c r="H10" s="385" t="s">
        <v>404</v>
      </c>
      <c r="I10" s="189"/>
      <c r="J10" s="457"/>
      <c r="K10" s="18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71.25" customHeight="1" x14ac:dyDescent="0.55000000000000004">
      <c r="A11" s="69"/>
      <c r="B11" s="90" t="s">
        <v>405</v>
      </c>
      <c r="C11" s="459"/>
      <c r="D11" s="189"/>
      <c r="E11" s="90" t="s">
        <v>406</v>
      </c>
      <c r="F11" s="458"/>
      <c r="G11" s="189"/>
      <c r="H11" s="385" t="s">
        <v>407</v>
      </c>
      <c r="I11" s="189"/>
      <c r="J11" s="457"/>
      <c r="K11" s="18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 ht="33.75" customHeight="1" x14ac:dyDescent="0.45">
      <c r="A12" s="69"/>
      <c r="B12" s="135"/>
      <c r="C12" s="136"/>
      <c r="D12" s="136"/>
      <c r="E12" s="136"/>
      <c r="F12" s="136"/>
      <c r="G12" s="136"/>
      <c r="H12" s="136"/>
      <c r="I12" s="136"/>
      <c r="J12" s="136"/>
      <c r="K12" s="137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ht="37.5" customHeight="1" x14ac:dyDescent="0.45">
      <c r="A13" s="69"/>
      <c r="B13" s="385" t="s">
        <v>27</v>
      </c>
      <c r="C13" s="186"/>
      <c r="D13" s="186"/>
      <c r="E13" s="186"/>
      <c r="F13" s="186"/>
      <c r="G13" s="186"/>
      <c r="H13" s="186"/>
      <c r="I13" s="186"/>
      <c r="J13" s="186"/>
      <c r="K13" s="18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ht="42" customHeight="1" x14ac:dyDescent="0.45">
      <c r="A14" s="69"/>
      <c r="B14" s="90" t="s">
        <v>69</v>
      </c>
      <c r="C14" s="385" t="s">
        <v>408</v>
      </c>
      <c r="D14" s="186"/>
      <c r="E14" s="186"/>
      <c r="F14" s="186"/>
      <c r="G14" s="189"/>
      <c r="H14" s="385" t="s">
        <v>30</v>
      </c>
      <c r="I14" s="189"/>
      <c r="J14" s="385" t="s">
        <v>31</v>
      </c>
      <c r="K14" s="18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 ht="48" customHeight="1" x14ac:dyDescent="0.45">
      <c r="A15" s="69"/>
      <c r="B15" s="90" t="s">
        <v>321</v>
      </c>
      <c r="C15" s="451" t="s">
        <v>409</v>
      </c>
      <c r="D15" s="186"/>
      <c r="E15" s="186"/>
      <c r="F15" s="186"/>
      <c r="G15" s="189"/>
      <c r="H15" s="385"/>
      <c r="I15" s="189"/>
      <c r="J15" s="452"/>
      <c r="K15" s="18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51.75" customHeight="1" x14ac:dyDescent="0.45">
      <c r="A16" s="69"/>
      <c r="B16" s="90" t="s">
        <v>410</v>
      </c>
      <c r="C16" s="451" t="s">
        <v>411</v>
      </c>
      <c r="D16" s="186"/>
      <c r="E16" s="186"/>
      <c r="F16" s="186"/>
      <c r="G16" s="189"/>
      <c r="H16" s="385"/>
      <c r="I16" s="189"/>
      <c r="J16" s="138"/>
      <c r="K16" s="141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63.75" customHeight="1" x14ac:dyDescent="0.45">
      <c r="A17" s="69"/>
      <c r="B17" s="90" t="s">
        <v>412</v>
      </c>
      <c r="C17" s="451" t="s">
        <v>413</v>
      </c>
      <c r="D17" s="186"/>
      <c r="E17" s="186"/>
      <c r="F17" s="186"/>
      <c r="G17" s="189"/>
      <c r="H17" s="385"/>
      <c r="I17" s="189"/>
      <c r="J17" s="138"/>
      <c r="K17" s="141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50.25" customHeight="1" x14ac:dyDescent="0.45">
      <c r="A18" s="69"/>
      <c r="B18" s="90" t="s">
        <v>414</v>
      </c>
      <c r="C18" s="451" t="s">
        <v>415</v>
      </c>
      <c r="D18" s="186"/>
      <c r="E18" s="186"/>
      <c r="F18" s="186"/>
      <c r="G18" s="189"/>
      <c r="H18" s="385"/>
      <c r="I18" s="189"/>
      <c r="J18" s="138"/>
      <c r="K18" s="141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60" customHeight="1" x14ac:dyDescent="0.45">
      <c r="A19" s="69"/>
      <c r="B19" s="90" t="s">
        <v>416</v>
      </c>
      <c r="C19" s="451" t="s">
        <v>417</v>
      </c>
      <c r="D19" s="186"/>
      <c r="E19" s="186"/>
      <c r="F19" s="186"/>
      <c r="G19" s="189"/>
      <c r="H19" s="385"/>
      <c r="I19" s="189"/>
      <c r="J19" s="138"/>
      <c r="K19" s="141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54" customHeight="1" x14ac:dyDescent="0.45">
      <c r="A20" s="69"/>
      <c r="B20" s="104" t="s">
        <v>418</v>
      </c>
      <c r="C20" s="451" t="s">
        <v>419</v>
      </c>
      <c r="D20" s="186"/>
      <c r="E20" s="186"/>
      <c r="F20" s="186"/>
      <c r="G20" s="189"/>
      <c r="H20" s="385"/>
      <c r="I20" s="189"/>
      <c r="J20" s="452"/>
      <c r="K20" s="18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45.75" customHeight="1" x14ac:dyDescent="0.45">
      <c r="A21" s="69"/>
      <c r="B21" s="139" t="s">
        <v>420</v>
      </c>
      <c r="C21" s="451" t="s">
        <v>421</v>
      </c>
      <c r="D21" s="186"/>
      <c r="E21" s="186"/>
      <c r="F21" s="186"/>
      <c r="G21" s="189"/>
      <c r="H21" s="385"/>
      <c r="I21" s="189"/>
      <c r="J21" s="452"/>
      <c r="K21" s="18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51" customHeight="1" x14ac:dyDescent="0.45">
      <c r="A22" s="69"/>
      <c r="B22" s="139" t="s">
        <v>422</v>
      </c>
      <c r="C22" s="451" t="s">
        <v>423</v>
      </c>
      <c r="D22" s="186"/>
      <c r="E22" s="186"/>
      <c r="F22" s="186"/>
      <c r="G22" s="189"/>
      <c r="H22" s="385"/>
      <c r="I22" s="189"/>
      <c r="J22" s="452"/>
      <c r="K22" s="18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54" customHeight="1" x14ac:dyDescent="0.45">
      <c r="A23" s="69"/>
      <c r="B23" s="139" t="s">
        <v>424</v>
      </c>
      <c r="C23" s="451" t="s">
        <v>425</v>
      </c>
      <c r="D23" s="186"/>
      <c r="E23" s="186"/>
      <c r="F23" s="186"/>
      <c r="G23" s="189"/>
      <c r="H23" s="385"/>
      <c r="I23" s="189"/>
      <c r="J23" s="452"/>
      <c r="K23" s="18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54" customHeight="1" x14ac:dyDescent="0.45">
      <c r="A24" s="69"/>
      <c r="B24" s="139" t="s">
        <v>426</v>
      </c>
      <c r="C24" s="451" t="s">
        <v>427</v>
      </c>
      <c r="D24" s="186"/>
      <c r="E24" s="186"/>
      <c r="F24" s="186"/>
      <c r="G24" s="189"/>
      <c r="H24" s="385"/>
      <c r="I24" s="189"/>
      <c r="J24" s="452"/>
      <c r="K24" s="18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54" customHeight="1" x14ac:dyDescent="0.45">
      <c r="A25" s="69"/>
      <c r="B25" s="139" t="s">
        <v>428</v>
      </c>
      <c r="C25" s="414" t="s">
        <v>429</v>
      </c>
      <c r="D25" s="186"/>
      <c r="E25" s="186"/>
      <c r="F25" s="186"/>
      <c r="G25" s="189"/>
      <c r="H25" s="385"/>
      <c r="I25" s="189"/>
      <c r="J25" s="452"/>
      <c r="K25" s="18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49.5" customHeight="1" x14ac:dyDescent="0.45">
      <c r="A26" s="69"/>
      <c r="B26" s="139" t="s">
        <v>430</v>
      </c>
      <c r="C26" s="414" t="s">
        <v>431</v>
      </c>
      <c r="D26" s="186"/>
      <c r="E26" s="186"/>
      <c r="F26" s="186"/>
      <c r="G26" s="189"/>
      <c r="H26" s="385"/>
      <c r="I26" s="189"/>
      <c r="J26" s="452"/>
      <c r="K26" s="18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72.75" customHeight="1" x14ac:dyDescent="0.45">
      <c r="A27" s="69"/>
      <c r="B27" s="139" t="s">
        <v>414</v>
      </c>
      <c r="C27" s="414" t="s">
        <v>432</v>
      </c>
      <c r="D27" s="186"/>
      <c r="E27" s="186"/>
      <c r="F27" s="186"/>
      <c r="G27" s="189"/>
      <c r="H27" s="385"/>
      <c r="I27" s="189"/>
      <c r="J27" s="138"/>
      <c r="K27" s="141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55.5" customHeight="1" x14ac:dyDescent="0.45">
      <c r="A28" s="69"/>
      <c r="B28" s="139" t="s">
        <v>433</v>
      </c>
      <c r="C28" s="414" t="s">
        <v>434</v>
      </c>
      <c r="D28" s="186"/>
      <c r="E28" s="186"/>
      <c r="F28" s="186"/>
      <c r="G28" s="189"/>
      <c r="H28" s="385"/>
      <c r="I28" s="189"/>
      <c r="J28" s="452"/>
      <c r="K28" s="18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22.5" customHeight="1" x14ac:dyDescent="0.45">
      <c r="A29" s="69"/>
      <c r="B29" s="142"/>
      <c r="C29" s="97"/>
      <c r="D29" s="97"/>
      <c r="E29" s="143"/>
      <c r="F29" s="143"/>
      <c r="G29" s="143"/>
      <c r="H29" s="144"/>
      <c r="I29" s="144"/>
      <c r="J29" s="144"/>
      <c r="K29" s="145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45.75" customHeight="1" x14ac:dyDescent="0.45">
      <c r="A30" s="69"/>
      <c r="B30" s="455" t="s">
        <v>45</v>
      </c>
      <c r="C30" s="453"/>
      <c r="D30" s="193"/>
      <c r="E30" s="193"/>
      <c r="F30" s="193"/>
      <c r="G30" s="193"/>
      <c r="H30" s="193"/>
      <c r="I30" s="193"/>
      <c r="J30" s="193"/>
      <c r="K30" s="224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65.25" customHeight="1" x14ac:dyDescent="0.45">
      <c r="A31" s="69"/>
      <c r="B31" s="338"/>
      <c r="C31" s="267"/>
      <c r="D31" s="195"/>
      <c r="E31" s="195"/>
      <c r="F31" s="195"/>
      <c r="G31" s="195"/>
      <c r="H31" s="195"/>
      <c r="I31" s="195"/>
      <c r="J31" s="195"/>
      <c r="K31" s="252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22.5" customHeight="1" x14ac:dyDescent="0.45">
      <c r="A32" s="69"/>
      <c r="B32" s="135"/>
      <c r="C32" s="136"/>
      <c r="D32" s="136"/>
      <c r="E32" s="136"/>
      <c r="F32" s="136"/>
      <c r="G32" s="136"/>
      <c r="H32" s="136"/>
      <c r="I32" s="136"/>
      <c r="J32" s="136"/>
      <c r="K32" s="137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5.75" customHeight="1" x14ac:dyDescent="0.45">
      <c r="A33" s="69"/>
      <c r="B33" s="135"/>
      <c r="C33" s="136"/>
      <c r="D33" s="136"/>
      <c r="E33" s="136"/>
      <c r="F33" s="136"/>
      <c r="G33" s="136"/>
      <c r="H33" s="136"/>
      <c r="I33" s="136"/>
      <c r="J33" s="136"/>
      <c r="K33" s="137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36" customHeight="1" x14ac:dyDescent="0.45">
      <c r="A34" s="69"/>
      <c r="B34" s="388" t="s">
        <v>224</v>
      </c>
      <c r="C34" s="186"/>
      <c r="D34" s="148"/>
      <c r="E34" s="385" t="s">
        <v>225</v>
      </c>
      <c r="F34" s="189"/>
      <c r="G34" s="149"/>
      <c r="H34" s="385" t="s">
        <v>226</v>
      </c>
      <c r="I34" s="189"/>
      <c r="J34" s="150"/>
      <c r="K34" s="90" t="s">
        <v>227</v>
      </c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36" customHeight="1" x14ac:dyDescent="0.45">
      <c r="A35" s="69"/>
      <c r="B35" s="388" t="s">
        <v>252</v>
      </c>
      <c r="C35" s="189"/>
      <c r="D35" s="101"/>
      <c r="E35" s="151"/>
      <c r="F35" s="151"/>
      <c r="G35" s="152"/>
      <c r="H35" s="460" t="s">
        <v>435</v>
      </c>
      <c r="I35" s="252"/>
      <c r="J35" s="153"/>
      <c r="K35" s="154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31.5" customHeight="1" x14ac:dyDescent="0.45">
      <c r="A36" s="69"/>
      <c r="B36" s="388" t="s">
        <v>397</v>
      </c>
      <c r="C36" s="189"/>
      <c r="D36" s="461"/>
      <c r="E36" s="195"/>
      <c r="F36" s="195"/>
      <c r="G36" s="252"/>
      <c r="H36" s="460" t="s">
        <v>436</v>
      </c>
      <c r="I36" s="252"/>
      <c r="J36" s="461"/>
      <c r="K36" s="252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31.5" customHeight="1" x14ac:dyDescent="0.45">
      <c r="A37" s="69"/>
      <c r="B37" s="388" t="s">
        <v>437</v>
      </c>
      <c r="C37" s="189"/>
      <c r="D37" s="462"/>
      <c r="E37" s="186"/>
      <c r="F37" s="186"/>
      <c r="G37" s="186"/>
      <c r="H37" s="186"/>
      <c r="I37" s="186"/>
      <c r="J37" s="186"/>
      <c r="K37" s="18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5.75" customHeight="1" x14ac:dyDescent="0.45">
      <c r="A38" s="69"/>
      <c r="B38" s="135"/>
      <c r="C38" s="136"/>
      <c r="D38" s="136"/>
      <c r="E38" s="136"/>
      <c r="F38" s="136"/>
      <c r="G38" s="136"/>
      <c r="H38" s="136"/>
      <c r="I38" s="136"/>
      <c r="J38" s="136"/>
      <c r="K38" s="137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5.75" customHeight="1" x14ac:dyDescent="0.45">
      <c r="A39" s="69"/>
      <c r="B39" s="251" t="s">
        <v>52</v>
      </c>
      <c r="C39" s="195"/>
      <c r="D39" s="195"/>
      <c r="E39" s="195"/>
      <c r="F39" s="195"/>
      <c r="G39" s="195"/>
      <c r="H39" s="195"/>
      <c r="I39" s="195"/>
      <c r="J39" s="195"/>
      <c r="K39" s="252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5.75" customHeight="1" x14ac:dyDescent="0.45">
      <c r="A40" s="69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5.75" customHeight="1" x14ac:dyDescent="0.45">
      <c r="A41" s="69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5.75" customHeight="1" x14ac:dyDescent="0.45">
      <c r="A42" s="69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5.75" customHeight="1" x14ac:dyDescent="0.45">
      <c r="A43" s="69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5.75" customHeight="1" x14ac:dyDescent="0.45">
      <c r="A44" s="69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5.75" customHeight="1" x14ac:dyDescent="0.45">
      <c r="A45" s="69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5.75" customHeight="1" x14ac:dyDescent="0.45">
      <c r="A46" s="69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5.75" customHeight="1" x14ac:dyDescent="0.45">
      <c r="A47" s="69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5.75" customHeight="1" x14ac:dyDescent="0.45">
      <c r="A48" s="69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5.75" customHeight="1" x14ac:dyDescent="0.45">
      <c r="A49" s="69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5.75" customHeight="1" x14ac:dyDescent="0.45">
      <c r="A50" s="69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5.75" customHeight="1" x14ac:dyDescent="0.45">
      <c r="A51" s="69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5.75" customHeight="1" x14ac:dyDescent="0.45">
      <c r="A52" s="69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5.75" customHeight="1" x14ac:dyDescent="0.45">
      <c r="A53" s="69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5.75" customHeight="1" x14ac:dyDescent="0.45">
      <c r="A54" s="69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5.75" customHeight="1" x14ac:dyDescent="0.45">
      <c r="A55" s="69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5.75" customHeight="1" x14ac:dyDescent="0.45">
      <c r="A56" s="69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5.75" customHeight="1" x14ac:dyDescent="0.45">
      <c r="A57" s="69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5.75" customHeight="1" x14ac:dyDescent="0.45">
      <c r="A58" s="69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5.75" customHeight="1" x14ac:dyDescent="0.45">
      <c r="A59" s="69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5.75" customHeight="1" x14ac:dyDescent="0.45">
      <c r="A60" s="69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5.75" customHeight="1" x14ac:dyDescent="0.45">
      <c r="A61" s="69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5.75" customHeight="1" x14ac:dyDescent="0.45">
      <c r="A62" s="69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5.75" customHeight="1" x14ac:dyDescent="0.45">
      <c r="A63" s="69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5.75" customHeight="1" x14ac:dyDescent="0.45">
      <c r="A64" s="69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5.75" customHeight="1" x14ac:dyDescent="0.45">
      <c r="A65" s="69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5.75" customHeight="1" x14ac:dyDescent="0.45">
      <c r="A66" s="69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5.75" customHeight="1" x14ac:dyDescent="0.45">
      <c r="A67" s="69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5.75" customHeight="1" x14ac:dyDescent="0.45">
      <c r="A68" s="69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5.75" customHeight="1" x14ac:dyDescent="0.45">
      <c r="A69" s="69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5.75" customHeight="1" x14ac:dyDescent="0.45">
      <c r="A70" s="69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5.75" customHeight="1" x14ac:dyDescent="0.45">
      <c r="A71" s="69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5.75" customHeight="1" x14ac:dyDescent="0.45">
      <c r="A72" s="69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5.75" customHeight="1" x14ac:dyDescent="0.45">
      <c r="A73" s="69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5.75" customHeight="1" x14ac:dyDescent="0.45">
      <c r="A74" s="69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5.75" customHeight="1" x14ac:dyDescent="0.45">
      <c r="A75" s="69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5.75" customHeight="1" x14ac:dyDescent="0.45">
      <c r="A76" s="69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5.75" customHeight="1" x14ac:dyDescent="0.45">
      <c r="A77" s="69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5.75" customHeight="1" x14ac:dyDescent="0.45">
      <c r="A78" s="69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5.75" customHeight="1" x14ac:dyDescent="0.45">
      <c r="A79" s="69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5.75" customHeight="1" x14ac:dyDescent="0.45">
      <c r="A80" s="69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5.75" customHeight="1" x14ac:dyDescent="0.45">
      <c r="A81" s="69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5.75" customHeight="1" x14ac:dyDescent="0.45">
      <c r="A82" s="69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5.75" customHeight="1" x14ac:dyDescent="0.45">
      <c r="A83" s="69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5.75" customHeight="1" x14ac:dyDescent="0.45">
      <c r="A84" s="69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5.75" customHeight="1" x14ac:dyDescent="0.45">
      <c r="A85" s="69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5.75" customHeight="1" x14ac:dyDescent="0.45">
      <c r="A86" s="69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5.75" customHeight="1" x14ac:dyDescent="0.45">
      <c r="A87" s="69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5.75" customHeight="1" x14ac:dyDescent="0.45">
      <c r="A88" s="69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5.75" customHeight="1" x14ac:dyDescent="0.45">
      <c r="A89" s="69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5.75" customHeight="1" x14ac:dyDescent="0.45">
      <c r="A90" s="69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5.75" customHeight="1" x14ac:dyDescent="0.45">
      <c r="A91" s="69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5.75" customHeight="1" x14ac:dyDescent="0.45">
      <c r="A92" s="69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5.75" customHeight="1" x14ac:dyDescent="0.45">
      <c r="A93" s="69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5.75" customHeight="1" x14ac:dyDescent="0.45">
      <c r="A94" s="69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5.75" customHeight="1" x14ac:dyDescent="0.45">
      <c r="A95" s="69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5.75" customHeight="1" x14ac:dyDescent="0.45">
      <c r="A96" s="69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5.75" customHeight="1" x14ac:dyDescent="0.45">
      <c r="A97" s="69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5.75" customHeight="1" x14ac:dyDescent="0.45">
      <c r="A98" s="69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5.75" customHeight="1" x14ac:dyDescent="0.45">
      <c r="A99" s="69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5.75" customHeight="1" x14ac:dyDescent="0.45">
      <c r="A100" s="69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5.75" customHeight="1" x14ac:dyDescent="0.45">
      <c r="A101" s="69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5.75" customHeight="1" x14ac:dyDescent="0.45">
      <c r="A102" s="69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5.75" customHeight="1" x14ac:dyDescent="0.45">
      <c r="A103" s="69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5.75" customHeight="1" x14ac:dyDescent="0.45">
      <c r="A104" s="69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5.75" customHeight="1" x14ac:dyDescent="0.45">
      <c r="A105" s="69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5.75" customHeight="1" x14ac:dyDescent="0.45">
      <c r="A106" s="69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5.75" customHeight="1" x14ac:dyDescent="0.45">
      <c r="A107" s="69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5.75" customHeight="1" x14ac:dyDescent="0.45">
      <c r="A108" s="69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5.75" customHeight="1" x14ac:dyDescent="0.45">
      <c r="A109" s="69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5.75" customHeight="1" x14ac:dyDescent="0.45">
      <c r="A110" s="69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5.75" customHeight="1" x14ac:dyDescent="0.45">
      <c r="A111" s="69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5.75" customHeight="1" x14ac:dyDescent="0.45">
      <c r="A112" s="69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5.75" customHeight="1" x14ac:dyDescent="0.45">
      <c r="A113" s="69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5.75" customHeight="1" x14ac:dyDescent="0.45">
      <c r="A114" s="69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5.75" customHeight="1" x14ac:dyDescent="0.45">
      <c r="A115" s="69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5.75" customHeight="1" x14ac:dyDescent="0.45">
      <c r="A116" s="69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5.75" customHeight="1" x14ac:dyDescent="0.45">
      <c r="A117" s="69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5.75" customHeight="1" x14ac:dyDescent="0.45">
      <c r="A118" s="69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5.75" customHeight="1" x14ac:dyDescent="0.45">
      <c r="A119" s="69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5.75" customHeight="1" x14ac:dyDescent="0.45">
      <c r="A120" s="69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5.75" customHeight="1" x14ac:dyDescent="0.45">
      <c r="A121" s="69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5.75" customHeight="1" x14ac:dyDescent="0.45">
      <c r="A122" s="69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5.75" customHeight="1" x14ac:dyDescent="0.45">
      <c r="A123" s="69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5.75" customHeight="1" x14ac:dyDescent="0.45">
      <c r="A124" s="69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5.75" customHeight="1" x14ac:dyDescent="0.45">
      <c r="A125" s="69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5.75" customHeight="1" x14ac:dyDescent="0.45">
      <c r="A126" s="69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5.75" customHeight="1" x14ac:dyDescent="0.45">
      <c r="A127" s="69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5.75" customHeight="1" x14ac:dyDescent="0.45">
      <c r="A128" s="69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5.75" customHeight="1" x14ac:dyDescent="0.45">
      <c r="A129" s="69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5.75" customHeight="1" x14ac:dyDescent="0.45">
      <c r="A130" s="69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5.75" customHeight="1" x14ac:dyDescent="0.45">
      <c r="A131" s="69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5.75" customHeight="1" x14ac:dyDescent="0.45">
      <c r="A132" s="69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5.75" customHeight="1" x14ac:dyDescent="0.45">
      <c r="A133" s="69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5.75" customHeight="1" x14ac:dyDescent="0.45">
      <c r="A134" s="69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5.75" customHeight="1" x14ac:dyDescent="0.45">
      <c r="A135" s="69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15.75" customHeight="1" x14ac:dyDescent="0.45">
      <c r="A136" s="69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15.75" customHeight="1" x14ac:dyDescent="0.45">
      <c r="A137" s="69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15.75" customHeight="1" x14ac:dyDescent="0.45">
      <c r="A138" s="69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15.75" customHeight="1" x14ac:dyDescent="0.45">
      <c r="A139" s="69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15.75" customHeight="1" x14ac:dyDescent="0.45">
      <c r="A140" s="69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15.75" customHeight="1" x14ac:dyDescent="0.45">
      <c r="A141" s="69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15.75" customHeight="1" x14ac:dyDescent="0.45">
      <c r="A142" s="69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15.75" customHeight="1" x14ac:dyDescent="0.45">
      <c r="A143" s="69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15.75" customHeight="1" x14ac:dyDescent="0.45">
      <c r="A144" s="69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15.75" customHeight="1" x14ac:dyDescent="0.45">
      <c r="A145" s="69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15.75" customHeight="1" x14ac:dyDescent="0.45">
      <c r="A146" s="69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15.75" customHeight="1" x14ac:dyDescent="0.45">
      <c r="A147" s="69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15.75" customHeight="1" x14ac:dyDescent="0.45">
      <c r="A148" s="69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15.75" customHeight="1" x14ac:dyDescent="0.45">
      <c r="A149" s="69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15.75" customHeight="1" x14ac:dyDescent="0.45">
      <c r="A150" s="69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15.75" customHeight="1" x14ac:dyDescent="0.45">
      <c r="A151" s="69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15.75" customHeight="1" x14ac:dyDescent="0.45">
      <c r="A152" s="69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15.75" customHeight="1" x14ac:dyDescent="0.45">
      <c r="A153" s="69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15.75" customHeight="1" x14ac:dyDescent="0.45">
      <c r="A154" s="69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5.75" customHeight="1" x14ac:dyDescent="0.45">
      <c r="A155" s="69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15.75" customHeight="1" x14ac:dyDescent="0.45">
      <c r="A156" s="69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15.75" customHeight="1" x14ac:dyDescent="0.45">
      <c r="A157" s="69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15.75" customHeight="1" x14ac:dyDescent="0.45">
      <c r="A158" s="69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15.75" customHeight="1" x14ac:dyDescent="0.45">
      <c r="A159" s="69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15.75" customHeight="1" x14ac:dyDescent="0.45">
      <c r="A160" s="69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15.75" customHeight="1" x14ac:dyDescent="0.45">
      <c r="A161" s="69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15.75" customHeight="1" x14ac:dyDescent="0.45">
      <c r="A162" s="69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15.75" customHeight="1" x14ac:dyDescent="0.45">
      <c r="A163" s="69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15.75" customHeight="1" x14ac:dyDescent="0.45">
      <c r="A164" s="69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15.75" customHeight="1" x14ac:dyDescent="0.45">
      <c r="A165" s="69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15.75" customHeight="1" x14ac:dyDescent="0.45">
      <c r="A166" s="69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15.75" customHeight="1" x14ac:dyDescent="0.45">
      <c r="A167" s="69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15.75" customHeight="1" x14ac:dyDescent="0.45">
      <c r="A168" s="69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15.75" customHeight="1" x14ac:dyDescent="0.45">
      <c r="A169" s="69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15.75" customHeight="1" x14ac:dyDescent="0.45">
      <c r="A170" s="69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15.75" customHeight="1" x14ac:dyDescent="0.45">
      <c r="A171" s="69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15.75" customHeight="1" x14ac:dyDescent="0.45">
      <c r="A172" s="69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15.75" customHeight="1" x14ac:dyDescent="0.45">
      <c r="A173" s="69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15.75" customHeight="1" x14ac:dyDescent="0.45">
      <c r="A174" s="69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5.75" customHeight="1" x14ac:dyDescent="0.45">
      <c r="A175" s="69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15.75" customHeight="1" x14ac:dyDescent="0.45">
      <c r="A176" s="69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15.75" customHeight="1" x14ac:dyDescent="0.45">
      <c r="A177" s="69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15.75" customHeight="1" x14ac:dyDescent="0.45">
      <c r="A178" s="69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15.75" customHeight="1" x14ac:dyDescent="0.45">
      <c r="A179" s="69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15.75" customHeight="1" x14ac:dyDescent="0.45">
      <c r="A180" s="69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15.75" customHeight="1" x14ac:dyDescent="0.45">
      <c r="A181" s="69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15.75" customHeight="1" x14ac:dyDescent="0.45">
      <c r="A182" s="69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15.75" customHeight="1" x14ac:dyDescent="0.45">
      <c r="A183" s="69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15.75" customHeight="1" x14ac:dyDescent="0.45">
      <c r="A184" s="69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15.75" customHeight="1" x14ac:dyDescent="0.45">
      <c r="A185" s="69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15.75" customHeight="1" x14ac:dyDescent="0.45">
      <c r="A186" s="69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15.75" customHeight="1" x14ac:dyDescent="0.45">
      <c r="A187" s="69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15.75" customHeight="1" x14ac:dyDescent="0.45">
      <c r="A188" s="69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15.75" customHeight="1" x14ac:dyDescent="0.45">
      <c r="A189" s="69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15.75" customHeight="1" x14ac:dyDescent="0.45">
      <c r="A190" s="69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15.75" customHeight="1" x14ac:dyDescent="0.45">
      <c r="A191" s="69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15.75" customHeight="1" x14ac:dyDescent="0.45">
      <c r="A192" s="69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15.75" customHeight="1" x14ac:dyDescent="0.45">
      <c r="A193" s="69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15.75" customHeight="1" x14ac:dyDescent="0.45">
      <c r="A194" s="69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15.75" customHeight="1" x14ac:dyDescent="0.45">
      <c r="A195" s="69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15.75" customHeight="1" x14ac:dyDescent="0.45">
      <c r="A196" s="69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15.75" customHeight="1" x14ac:dyDescent="0.45">
      <c r="A197" s="69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15.75" customHeight="1" x14ac:dyDescent="0.45">
      <c r="A198" s="69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15.75" customHeight="1" x14ac:dyDescent="0.45">
      <c r="A199" s="69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15.75" customHeight="1" x14ac:dyDescent="0.45">
      <c r="A200" s="69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15.75" customHeight="1" x14ac:dyDescent="0.45">
      <c r="A201" s="69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15.75" customHeight="1" x14ac:dyDescent="0.45">
      <c r="A202" s="69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15.75" customHeight="1" x14ac:dyDescent="0.45">
      <c r="A203" s="69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15.75" customHeight="1" x14ac:dyDescent="0.45">
      <c r="A204" s="69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15.75" customHeight="1" x14ac:dyDescent="0.45">
      <c r="A205" s="69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15.75" customHeight="1" x14ac:dyDescent="0.45">
      <c r="A206" s="69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15.75" customHeight="1" x14ac:dyDescent="0.45">
      <c r="A207" s="69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15.75" customHeight="1" x14ac:dyDescent="0.45">
      <c r="A208" s="69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15.75" customHeight="1" x14ac:dyDescent="0.45">
      <c r="A209" s="69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15.75" customHeight="1" x14ac:dyDescent="0.45">
      <c r="A210" s="69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15.75" customHeight="1" x14ac:dyDescent="0.45">
      <c r="A211" s="69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15.75" customHeight="1" x14ac:dyDescent="0.45">
      <c r="A212" s="69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15.75" customHeight="1" x14ac:dyDescent="0.45">
      <c r="A213" s="69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15.75" customHeight="1" x14ac:dyDescent="0.45">
      <c r="A214" s="69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15.75" customHeight="1" x14ac:dyDescent="0.45">
      <c r="A215" s="69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15.75" customHeight="1" x14ac:dyDescent="0.45">
      <c r="A216" s="69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15.75" customHeight="1" x14ac:dyDescent="0.45">
      <c r="A217" s="69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15.75" customHeight="1" x14ac:dyDescent="0.45">
      <c r="A218" s="69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15.75" customHeight="1" x14ac:dyDescent="0.45">
      <c r="A219" s="69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15.75" customHeight="1" x14ac:dyDescent="0.45">
      <c r="A220" s="69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15.75" customHeight="1" x14ac:dyDescent="0.45">
      <c r="A221" s="69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15.75" customHeight="1" x14ac:dyDescent="0.45">
      <c r="A222" s="69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15.75" customHeight="1" x14ac:dyDescent="0.45">
      <c r="A223" s="69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15.75" customHeight="1" x14ac:dyDescent="0.45">
      <c r="A224" s="69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15.75" customHeight="1" x14ac:dyDescent="0.45">
      <c r="A225" s="69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5.75" customHeight="1" x14ac:dyDescent="0.45">
      <c r="A226" s="69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15.75" customHeight="1" x14ac:dyDescent="0.45">
      <c r="A227" s="69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15.75" customHeight="1" x14ac:dyDescent="0.45">
      <c r="A228" s="69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15.75" customHeight="1" x14ac:dyDescent="0.45">
      <c r="A229" s="69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15.75" customHeight="1" x14ac:dyDescent="0.45">
      <c r="A230" s="69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15.75" customHeight="1" x14ac:dyDescent="0.45">
      <c r="A231" s="69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15.75" customHeight="1" x14ac:dyDescent="0.45">
      <c r="A232" s="69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15.75" customHeight="1" x14ac:dyDescent="0.45">
      <c r="A233" s="69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15.75" customHeight="1" x14ac:dyDescent="0.45">
      <c r="A234" s="69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15.75" customHeight="1" x14ac:dyDescent="0.45">
      <c r="A235" s="69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15.75" customHeight="1" x14ac:dyDescent="0.45">
      <c r="A236" s="69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15.75" customHeight="1" x14ac:dyDescent="0.45">
      <c r="A237" s="69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15.75" customHeight="1" x14ac:dyDescent="0.45">
      <c r="A238" s="69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5.75" customHeight="1" x14ac:dyDescent="0.45">
      <c r="A239" s="69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15.75" customHeight="1" x14ac:dyDescent="0.45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15.75" customHeight="1" x14ac:dyDescent="0.45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15.75" customHeight="1" x14ac:dyDescent="0.45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15.75" customHeight="1" x14ac:dyDescent="0.45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15.75" customHeight="1" x14ac:dyDescent="0.45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15.75" customHeight="1" x14ac:dyDescent="0.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15.75" customHeight="1" x14ac:dyDescent="0.45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15.75" customHeight="1" x14ac:dyDescent="0.45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 ht="15.75" customHeight="1" x14ac:dyDescent="0.45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 ht="15.75" customHeight="1" x14ac:dyDescent="0.45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 ht="15.75" customHeight="1" x14ac:dyDescent="0.45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 ht="15.75" customHeight="1" x14ac:dyDescent="0.45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 ht="15.75" customHeight="1" x14ac:dyDescent="0.45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 ht="15.75" customHeight="1" x14ac:dyDescent="0.45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 ht="15.75" customHeight="1" x14ac:dyDescent="0.45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 ht="15.75" customHeight="1" x14ac:dyDescent="0.4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 ht="15.75" customHeight="1" x14ac:dyDescent="0.45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 ht="15.75" customHeight="1" x14ac:dyDescent="0.45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 ht="15.75" customHeight="1" x14ac:dyDescent="0.45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 ht="15.75" customHeight="1" x14ac:dyDescent="0.45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 ht="15.75" customHeight="1" x14ac:dyDescent="0.45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 ht="15.75" customHeight="1" x14ac:dyDescent="0.45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 ht="15.75" customHeight="1" x14ac:dyDescent="0.45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 ht="15.75" customHeight="1" x14ac:dyDescent="0.45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 ht="15.75" customHeight="1" x14ac:dyDescent="0.45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 ht="15.75" customHeight="1" x14ac:dyDescent="0.4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 ht="15.75" customHeight="1" x14ac:dyDescent="0.45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 ht="15.75" customHeight="1" x14ac:dyDescent="0.45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 ht="15.75" customHeight="1" x14ac:dyDescent="0.45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 ht="15.75" customHeight="1" x14ac:dyDescent="0.45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 ht="15.75" customHeight="1" x14ac:dyDescent="0.45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 ht="15.75" customHeight="1" x14ac:dyDescent="0.45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 ht="15.75" customHeight="1" x14ac:dyDescent="0.45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 ht="15.75" customHeight="1" x14ac:dyDescent="0.45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 ht="15.75" customHeight="1" x14ac:dyDescent="0.45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 ht="15.75" customHeight="1" x14ac:dyDescent="0.4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 ht="15.75" customHeight="1" x14ac:dyDescent="0.45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 ht="15.75" customHeight="1" x14ac:dyDescent="0.45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 ht="15.75" customHeight="1" x14ac:dyDescent="0.4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 ht="15.75" customHeight="1" x14ac:dyDescent="0.4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 ht="15.75" customHeight="1" x14ac:dyDescent="0.4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 ht="15.75" customHeight="1" x14ac:dyDescent="0.4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 ht="15.75" customHeight="1" x14ac:dyDescent="0.4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 ht="15.75" customHeight="1" x14ac:dyDescent="0.4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 ht="15.75" customHeight="1" x14ac:dyDescent="0.4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 ht="15.75" customHeight="1" x14ac:dyDescent="0.4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 ht="15.75" customHeight="1" x14ac:dyDescent="0.4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 ht="15.75" customHeight="1" x14ac:dyDescent="0.4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 ht="15.75" customHeight="1" x14ac:dyDescent="0.4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 ht="15.75" customHeight="1" x14ac:dyDescent="0.4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 ht="15.75" customHeight="1" x14ac:dyDescent="0.4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 ht="15.75" customHeight="1" x14ac:dyDescent="0.4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 ht="15.75" customHeight="1" x14ac:dyDescent="0.4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 ht="15.75" customHeight="1" x14ac:dyDescent="0.4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 ht="15.75" customHeight="1" x14ac:dyDescent="0.4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 ht="15.75" customHeight="1" x14ac:dyDescent="0.4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 ht="15.75" customHeight="1" x14ac:dyDescent="0.4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 ht="15.75" customHeight="1" x14ac:dyDescent="0.4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 ht="15.75" customHeight="1" x14ac:dyDescent="0.4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 ht="15.75" customHeight="1" x14ac:dyDescent="0.4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 ht="15.75" customHeight="1" x14ac:dyDescent="0.4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 ht="15.75" customHeight="1" x14ac:dyDescent="0.4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 ht="15.75" customHeight="1" x14ac:dyDescent="0.4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 ht="15.75" customHeight="1" x14ac:dyDescent="0.4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 ht="15.75" customHeight="1" x14ac:dyDescent="0.4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 ht="15.75" customHeight="1" x14ac:dyDescent="0.4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 ht="15.75" customHeight="1" x14ac:dyDescent="0.4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 ht="15.75" customHeight="1" x14ac:dyDescent="0.4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 ht="15.75" customHeight="1" x14ac:dyDescent="0.4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 ht="15.75" customHeight="1" x14ac:dyDescent="0.4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 ht="15.75" customHeight="1" x14ac:dyDescent="0.4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 ht="15.75" customHeight="1" x14ac:dyDescent="0.4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15.75" customHeight="1" x14ac:dyDescent="0.4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 ht="15.75" customHeight="1" x14ac:dyDescent="0.4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 ht="15.75" customHeight="1" x14ac:dyDescent="0.4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 ht="15.75" customHeight="1" x14ac:dyDescent="0.4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 ht="15.75" customHeight="1" x14ac:dyDescent="0.4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 ht="15.75" customHeight="1" x14ac:dyDescent="0.4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15.75" customHeight="1" x14ac:dyDescent="0.4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15.75" customHeight="1" x14ac:dyDescent="0.4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15.75" customHeight="1" x14ac:dyDescent="0.4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15.75" customHeight="1" x14ac:dyDescent="0.4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15.75" customHeight="1" x14ac:dyDescent="0.4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15.75" customHeight="1" x14ac:dyDescent="0.4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15.75" customHeight="1" x14ac:dyDescent="0.4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15.75" customHeight="1" x14ac:dyDescent="0.4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15.75" customHeight="1" x14ac:dyDescent="0.45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15.75" customHeight="1" x14ac:dyDescent="0.45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15.75" customHeight="1" x14ac:dyDescent="0.45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15.75" customHeight="1" x14ac:dyDescent="0.45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15.75" customHeight="1" x14ac:dyDescent="0.45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15.75" customHeight="1" x14ac:dyDescent="0.45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15.75" customHeight="1" x14ac:dyDescent="0.45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15.75" customHeight="1" x14ac:dyDescent="0.45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15.75" customHeight="1" x14ac:dyDescent="0.45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15.75" customHeight="1" x14ac:dyDescent="0.4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15.75" customHeight="1" x14ac:dyDescent="0.45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15.75" customHeight="1" x14ac:dyDescent="0.45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15.75" customHeight="1" x14ac:dyDescent="0.45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15.75" customHeight="1" x14ac:dyDescent="0.45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15.75" customHeight="1" x14ac:dyDescent="0.45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15.75" customHeight="1" x14ac:dyDescent="0.45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15.75" customHeight="1" x14ac:dyDescent="0.45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5.75" customHeight="1" x14ac:dyDescent="0.45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15.75" customHeight="1" x14ac:dyDescent="0.45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15.75" customHeight="1" x14ac:dyDescent="0.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15.75" customHeight="1" x14ac:dyDescent="0.45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15.75" customHeight="1" x14ac:dyDescent="0.45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15.75" customHeight="1" x14ac:dyDescent="0.45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15.75" customHeight="1" x14ac:dyDescent="0.45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15.75" customHeight="1" x14ac:dyDescent="0.45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15.75" customHeight="1" x14ac:dyDescent="0.45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15.75" customHeight="1" x14ac:dyDescent="0.45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15.75" customHeight="1" x14ac:dyDescent="0.45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15.75" customHeight="1" x14ac:dyDescent="0.45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15.75" customHeight="1" x14ac:dyDescent="0.4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15.75" customHeight="1" x14ac:dyDescent="0.4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15.75" customHeight="1" x14ac:dyDescent="0.4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15.75" customHeight="1" x14ac:dyDescent="0.4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15.75" customHeight="1" x14ac:dyDescent="0.4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15.75" customHeight="1" x14ac:dyDescent="0.4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15.75" customHeight="1" x14ac:dyDescent="0.4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15.75" customHeight="1" x14ac:dyDescent="0.4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15.75" customHeight="1" x14ac:dyDescent="0.4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15.75" customHeight="1" x14ac:dyDescent="0.45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15.75" customHeight="1" x14ac:dyDescent="0.4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15.75" customHeight="1" x14ac:dyDescent="0.45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15.75" customHeight="1" x14ac:dyDescent="0.45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15.75" customHeight="1" x14ac:dyDescent="0.45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15.75" customHeight="1" x14ac:dyDescent="0.45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15.75" customHeight="1" x14ac:dyDescent="0.45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15.75" customHeight="1" x14ac:dyDescent="0.45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15.75" customHeight="1" x14ac:dyDescent="0.4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15.75" customHeight="1" x14ac:dyDescent="0.45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15.75" customHeight="1" x14ac:dyDescent="0.45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15.75" customHeight="1" x14ac:dyDescent="0.4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15.75" customHeight="1" x14ac:dyDescent="0.45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15.75" customHeight="1" x14ac:dyDescent="0.45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15.75" customHeight="1" x14ac:dyDescent="0.45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15.75" customHeight="1" x14ac:dyDescent="0.45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15.75" customHeight="1" x14ac:dyDescent="0.45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15.75" customHeight="1" x14ac:dyDescent="0.45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15.75" customHeight="1" x14ac:dyDescent="0.45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15.75" customHeight="1" x14ac:dyDescent="0.45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15.75" customHeight="1" x14ac:dyDescent="0.45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15.75" customHeight="1" x14ac:dyDescent="0.4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15.75" customHeight="1" x14ac:dyDescent="0.45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15.75" customHeight="1" x14ac:dyDescent="0.45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15.75" customHeight="1" x14ac:dyDescent="0.45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15.75" customHeight="1" x14ac:dyDescent="0.45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15.75" customHeight="1" x14ac:dyDescent="0.45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15.75" customHeight="1" x14ac:dyDescent="0.45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15.75" customHeight="1" x14ac:dyDescent="0.45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15.75" customHeight="1" x14ac:dyDescent="0.45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15.75" customHeight="1" x14ac:dyDescent="0.45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15.75" customHeight="1" x14ac:dyDescent="0.4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15.75" customHeight="1" x14ac:dyDescent="0.45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15.75" customHeight="1" x14ac:dyDescent="0.45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15.75" customHeight="1" x14ac:dyDescent="0.45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15.75" customHeight="1" x14ac:dyDescent="0.45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15.75" customHeight="1" x14ac:dyDescent="0.45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15.75" customHeight="1" x14ac:dyDescent="0.45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15.75" customHeight="1" x14ac:dyDescent="0.45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15.75" customHeight="1" x14ac:dyDescent="0.45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15.75" customHeight="1" x14ac:dyDescent="0.45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15.75" customHeight="1" x14ac:dyDescent="0.4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15.75" customHeight="1" x14ac:dyDescent="0.45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15.75" customHeight="1" x14ac:dyDescent="0.45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15.75" customHeight="1" x14ac:dyDescent="0.45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15.75" customHeight="1" x14ac:dyDescent="0.45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15.75" customHeight="1" x14ac:dyDescent="0.45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15.75" customHeight="1" x14ac:dyDescent="0.45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15.75" customHeight="1" x14ac:dyDescent="0.45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15.75" customHeight="1" x14ac:dyDescent="0.45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15.75" customHeight="1" x14ac:dyDescent="0.45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15.75" customHeight="1" x14ac:dyDescent="0.4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15.75" customHeight="1" x14ac:dyDescent="0.4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15.75" customHeight="1" x14ac:dyDescent="0.45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15.75" customHeight="1" x14ac:dyDescent="0.45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15.75" customHeight="1" x14ac:dyDescent="0.45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15.75" customHeight="1" x14ac:dyDescent="0.45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15.75" customHeight="1" x14ac:dyDescent="0.45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15.75" customHeight="1" x14ac:dyDescent="0.45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15.75" customHeight="1" x14ac:dyDescent="0.45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15.75" customHeight="1" x14ac:dyDescent="0.45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15.75" customHeight="1" x14ac:dyDescent="0.4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15.75" customHeight="1" x14ac:dyDescent="0.45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15.75" customHeight="1" x14ac:dyDescent="0.45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15.75" customHeight="1" x14ac:dyDescent="0.45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15.75" customHeight="1" x14ac:dyDescent="0.45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15.75" customHeight="1" x14ac:dyDescent="0.45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15.75" customHeight="1" x14ac:dyDescent="0.45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15.75" customHeight="1" x14ac:dyDescent="0.45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15.75" customHeight="1" x14ac:dyDescent="0.45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15.75" customHeight="1" x14ac:dyDescent="0.45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15.75" customHeight="1" x14ac:dyDescent="0.4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15.75" customHeight="1" x14ac:dyDescent="0.45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15.75" customHeight="1" x14ac:dyDescent="0.45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15.75" customHeight="1" x14ac:dyDescent="0.45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15.75" customHeight="1" x14ac:dyDescent="0.45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15.75" customHeight="1" x14ac:dyDescent="0.45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15.75" customHeight="1" x14ac:dyDescent="0.45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15.75" customHeight="1" x14ac:dyDescent="0.45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15.75" customHeight="1" x14ac:dyDescent="0.45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15.75" customHeight="1" x14ac:dyDescent="0.45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15.75" customHeight="1" x14ac:dyDescent="0.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15.75" customHeight="1" x14ac:dyDescent="0.45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15.75" customHeight="1" x14ac:dyDescent="0.45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15.75" customHeight="1" x14ac:dyDescent="0.45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15.75" customHeight="1" x14ac:dyDescent="0.45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15.75" customHeight="1" x14ac:dyDescent="0.45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15.75" customHeight="1" x14ac:dyDescent="0.4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15.75" customHeight="1" x14ac:dyDescent="0.45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15.75" customHeight="1" x14ac:dyDescent="0.45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15.75" customHeight="1" x14ac:dyDescent="0.45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15.75" customHeight="1" x14ac:dyDescent="0.4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15.75" customHeight="1" x14ac:dyDescent="0.45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15.75" customHeight="1" x14ac:dyDescent="0.45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15.75" customHeight="1" x14ac:dyDescent="0.45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15.75" customHeight="1" x14ac:dyDescent="0.4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15.75" customHeight="1" x14ac:dyDescent="0.4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15.75" customHeight="1" x14ac:dyDescent="0.4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15.75" customHeight="1" x14ac:dyDescent="0.4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15.75" customHeight="1" x14ac:dyDescent="0.4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15.75" customHeight="1" x14ac:dyDescent="0.4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15.75" customHeight="1" x14ac:dyDescent="0.4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15.75" customHeight="1" x14ac:dyDescent="0.4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15.75" customHeight="1" x14ac:dyDescent="0.4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15.75" customHeight="1" x14ac:dyDescent="0.4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15.75" customHeight="1" x14ac:dyDescent="0.4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15.75" customHeight="1" x14ac:dyDescent="0.4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15.75" customHeight="1" x14ac:dyDescent="0.4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15.75" customHeight="1" x14ac:dyDescent="0.4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15.75" customHeight="1" x14ac:dyDescent="0.4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15.75" customHeight="1" x14ac:dyDescent="0.4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15.75" customHeight="1" x14ac:dyDescent="0.4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15.75" customHeight="1" x14ac:dyDescent="0.4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15.75" customHeight="1" x14ac:dyDescent="0.4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15.75" customHeight="1" x14ac:dyDescent="0.4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15.75" customHeight="1" x14ac:dyDescent="0.4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15.75" customHeight="1" x14ac:dyDescent="0.4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15.75" customHeight="1" x14ac:dyDescent="0.4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15.75" customHeight="1" x14ac:dyDescent="0.4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15.75" customHeight="1" x14ac:dyDescent="0.4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15.75" customHeight="1" x14ac:dyDescent="0.4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15.75" customHeight="1" x14ac:dyDescent="0.4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15.75" customHeight="1" x14ac:dyDescent="0.4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15.75" customHeight="1" x14ac:dyDescent="0.4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15.75" customHeight="1" x14ac:dyDescent="0.4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15.75" customHeight="1" x14ac:dyDescent="0.4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15.75" customHeight="1" x14ac:dyDescent="0.4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15.75" customHeight="1" x14ac:dyDescent="0.4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15.75" customHeight="1" x14ac:dyDescent="0.4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15.75" customHeight="1" x14ac:dyDescent="0.4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15.75" customHeight="1" x14ac:dyDescent="0.4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15.75" customHeight="1" x14ac:dyDescent="0.4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15.75" customHeight="1" x14ac:dyDescent="0.4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15.75" customHeight="1" x14ac:dyDescent="0.4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15.75" customHeight="1" x14ac:dyDescent="0.4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15.75" customHeight="1" x14ac:dyDescent="0.4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15.75" customHeight="1" x14ac:dyDescent="0.4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15.75" customHeight="1" x14ac:dyDescent="0.4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15.75" customHeight="1" x14ac:dyDescent="0.4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15.75" customHeight="1" x14ac:dyDescent="0.4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15.75" customHeight="1" x14ac:dyDescent="0.4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15.75" customHeight="1" x14ac:dyDescent="0.4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15.75" customHeight="1" x14ac:dyDescent="0.4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15.75" customHeight="1" x14ac:dyDescent="0.4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15.75" customHeight="1" x14ac:dyDescent="0.4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15.75" customHeight="1" x14ac:dyDescent="0.4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15.75" customHeight="1" x14ac:dyDescent="0.4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15.75" customHeight="1" x14ac:dyDescent="0.4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15.75" customHeight="1" x14ac:dyDescent="0.4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15.75" customHeight="1" x14ac:dyDescent="0.4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15.75" customHeight="1" x14ac:dyDescent="0.4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15.75" customHeight="1" x14ac:dyDescent="0.4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15.75" customHeight="1" x14ac:dyDescent="0.4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15.75" customHeight="1" x14ac:dyDescent="0.4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15.75" customHeight="1" x14ac:dyDescent="0.4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15.75" customHeight="1" x14ac:dyDescent="0.4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15.75" customHeight="1" x14ac:dyDescent="0.4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15.75" customHeight="1" x14ac:dyDescent="0.4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15.75" customHeight="1" x14ac:dyDescent="0.4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15.75" customHeight="1" x14ac:dyDescent="0.4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15.75" customHeight="1" x14ac:dyDescent="0.4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15.75" customHeight="1" x14ac:dyDescent="0.4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15.75" customHeight="1" x14ac:dyDescent="0.4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15.75" customHeight="1" x14ac:dyDescent="0.4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15.75" customHeight="1" x14ac:dyDescent="0.4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15.75" customHeight="1" x14ac:dyDescent="0.4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15.75" customHeight="1" x14ac:dyDescent="0.4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15.75" customHeight="1" x14ac:dyDescent="0.4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15.75" customHeight="1" x14ac:dyDescent="0.4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15.75" customHeight="1" x14ac:dyDescent="0.4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15.75" customHeight="1" x14ac:dyDescent="0.4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15.75" customHeight="1" x14ac:dyDescent="0.4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15.75" customHeight="1" x14ac:dyDescent="0.4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15.75" customHeight="1" x14ac:dyDescent="0.4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15.75" customHeight="1" x14ac:dyDescent="0.4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15.75" customHeight="1" x14ac:dyDescent="0.4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15.75" customHeight="1" x14ac:dyDescent="0.4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15.75" customHeight="1" x14ac:dyDescent="0.4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15.75" customHeight="1" x14ac:dyDescent="0.4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15.75" customHeight="1" x14ac:dyDescent="0.4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15.75" customHeight="1" x14ac:dyDescent="0.4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15.75" customHeight="1" x14ac:dyDescent="0.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15.75" customHeight="1" x14ac:dyDescent="0.4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15.75" customHeight="1" x14ac:dyDescent="0.4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15.75" customHeight="1" x14ac:dyDescent="0.4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15.75" customHeight="1" x14ac:dyDescent="0.4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15.75" customHeight="1" x14ac:dyDescent="0.4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15.75" customHeight="1" x14ac:dyDescent="0.4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15.75" customHeight="1" x14ac:dyDescent="0.4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15.75" customHeight="1" x14ac:dyDescent="0.4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15.75" customHeight="1" x14ac:dyDescent="0.4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15.75" customHeight="1" x14ac:dyDescent="0.4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15.75" customHeight="1" x14ac:dyDescent="0.4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15.75" customHeight="1" x14ac:dyDescent="0.4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15.75" customHeight="1" x14ac:dyDescent="0.4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15.75" customHeight="1" x14ac:dyDescent="0.4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15.75" customHeight="1" x14ac:dyDescent="0.4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15.75" customHeight="1" x14ac:dyDescent="0.4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15.75" customHeight="1" x14ac:dyDescent="0.4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15.75" customHeight="1" x14ac:dyDescent="0.4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15.75" customHeight="1" x14ac:dyDescent="0.4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15.75" customHeight="1" x14ac:dyDescent="0.4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15.75" customHeight="1" x14ac:dyDescent="0.4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15.75" customHeight="1" x14ac:dyDescent="0.4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15.75" customHeight="1" x14ac:dyDescent="0.4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15.75" customHeight="1" x14ac:dyDescent="0.4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15.75" customHeight="1" x14ac:dyDescent="0.4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15.75" customHeight="1" x14ac:dyDescent="0.4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15.75" customHeight="1" x14ac:dyDescent="0.4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15.75" customHeight="1" x14ac:dyDescent="0.4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15.75" customHeight="1" x14ac:dyDescent="0.4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15.75" customHeight="1" x14ac:dyDescent="0.4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15.75" customHeight="1" x14ac:dyDescent="0.4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15.75" customHeight="1" x14ac:dyDescent="0.4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15.75" customHeight="1" x14ac:dyDescent="0.4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15.75" customHeight="1" x14ac:dyDescent="0.4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15.75" customHeight="1" x14ac:dyDescent="0.4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15.75" customHeight="1" x14ac:dyDescent="0.4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15.75" customHeight="1" x14ac:dyDescent="0.4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15.75" customHeight="1" x14ac:dyDescent="0.4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15.75" customHeight="1" x14ac:dyDescent="0.4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15.75" customHeight="1" x14ac:dyDescent="0.4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15.75" customHeight="1" x14ac:dyDescent="0.4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15.75" customHeight="1" x14ac:dyDescent="0.4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15.75" customHeight="1" x14ac:dyDescent="0.4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15.75" customHeight="1" x14ac:dyDescent="0.4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15.75" customHeight="1" x14ac:dyDescent="0.4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15.75" customHeight="1" x14ac:dyDescent="0.4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15.75" customHeight="1" x14ac:dyDescent="0.4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15.75" customHeight="1" x14ac:dyDescent="0.4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15.75" customHeight="1" x14ac:dyDescent="0.4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15.75" customHeight="1" x14ac:dyDescent="0.4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15.75" customHeight="1" x14ac:dyDescent="0.4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15.75" customHeight="1" x14ac:dyDescent="0.4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15.75" customHeight="1" x14ac:dyDescent="0.4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15.75" customHeight="1" x14ac:dyDescent="0.4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15.75" customHeight="1" x14ac:dyDescent="0.4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15.75" customHeight="1" x14ac:dyDescent="0.4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15.75" customHeight="1" x14ac:dyDescent="0.4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15.75" customHeight="1" x14ac:dyDescent="0.4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15.75" customHeight="1" x14ac:dyDescent="0.4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15.75" customHeight="1" x14ac:dyDescent="0.4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15.75" customHeight="1" x14ac:dyDescent="0.4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15.75" customHeight="1" x14ac:dyDescent="0.4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15.75" customHeight="1" x14ac:dyDescent="0.4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15.75" customHeight="1" x14ac:dyDescent="0.4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15.75" customHeight="1" x14ac:dyDescent="0.4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15.75" customHeight="1" x14ac:dyDescent="0.4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15.75" customHeight="1" x14ac:dyDescent="0.4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15.75" customHeight="1" x14ac:dyDescent="0.4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15.75" customHeight="1" x14ac:dyDescent="0.4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15.75" customHeight="1" x14ac:dyDescent="0.4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15.75" customHeight="1" x14ac:dyDescent="0.4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15.75" customHeight="1" x14ac:dyDescent="0.4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15.75" customHeight="1" x14ac:dyDescent="0.4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15.75" customHeight="1" x14ac:dyDescent="0.4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15.75" customHeight="1" x14ac:dyDescent="0.4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15.75" customHeight="1" x14ac:dyDescent="0.4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15.75" customHeight="1" x14ac:dyDescent="0.4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15.75" customHeight="1" x14ac:dyDescent="0.4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15.75" customHeight="1" x14ac:dyDescent="0.4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15.75" customHeight="1" x14ac:dyDescent="0.4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15.75" customHeight="1" x14ac:dyDescent="0.4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15.75" customHeight="1" x14ac:dyDescent="0.4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15.75" customHeight="1" x14ac:dyDescent="0.4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15.75" customHeight="1" x14ac:dyDescent="0.4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15.75" customHeight="1" x14ac:dyDescent="0.4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15.75" customHeight="1" x14ac:dyDescent="0.4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15.75" customHeight="1" x14ac:dyDescent="0.4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15.75" customHeight="1" x14ac:dyDescent="0.4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15.75" customHeight="1" x14ac:dyDescent="0.4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15.75" customHeight="1" x14ac:dyDescent="0.4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15.75" customHeight="1" x14ac:dyDescent="0.4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15.75" customHeight="1" x14ac:dyDescent="0.4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15.75" customHeight="1" x14ac:dyDescent="0.4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15.75" customHeight="1" x14ac:dyDescent="0.4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15.75" customHeight="1" x14ac:dyDescent="0.4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15.75" customHeight="1" x14ac:dyDescent="0.4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15.75" customHeight="1" x14ac:dyDescent="0.4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15.75" customHeight="1" x14ac:dyDescent="0.4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15.75" customHeight="1" x14ac:dyDescent="0.4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15.75" customHeight="1" x14ac:dyDescent="0.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15.75" customHeight="1" x14ac:dyDescent="0.4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15.75" customHeight="1" x14ac:dyDescent="0.4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15.75" customHeight="1" x14ac:dyDescent="0.4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15.75" customHeight="1" x14ac:dyDescent="0.4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15.75" customHeight="1" x14ac:dyDescent="0.4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15.75" customHeight="1" x14ac:dyDescent="0.4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15.75" customHeight="1" x14ac:dyDescent="0.4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15.75" customHeight="1" x14ac:dyDescent="0.4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15.75" customHeight="1" x14ac:dyDescent="0.4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15.75" customHeight="1" x14ac:dyDescent="0.4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15.75" customHeight="1" x14ac:dyDescent="0.4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15.75" customHeight="1" x14ac:dyDescent="0.4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15.75" customHeight="1" x14ac:dyDescent="0.4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15.75" customHeight="1" x14ac:dyDescent="0.4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15.75" customHeight="1" x14ac:dyDescent="0.4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15.75" customHeight="1" x14ac:dyDescent="0.4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15.75" customHeight="1" x14ac:dyDescent="0.4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15.75" customHeight="1" x14ac:dyDescent="0.4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15.75" customHeight="1" x14ac:dyDescent="0.4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15.75" customHeight="1" x14ac:dyDescent="0.4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15.75" customHeight="1" x14ac:dyDescent="0.4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15.75" customHeight="1" x14ac:dyDescent="0.4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15.75" customHeight="1" x14ac:dyDescent="0.4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15.75" customHeight="1" x14ac:dyDescent="0.4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15.75" customHeight="1" x14ac:dyDescent="0.4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15.75" customHeight="1" x14ac:dyDescent="0.4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15.75" customHeight="1" x14ac:dyDescent="0.4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15.75" customHeight="1" x14ac:dyDescent="0.4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15.75" customHeight="1" x14ac:dyDescent="0.4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15.75" customHeight="1" x14ac:dyDescent="0.4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15.75" customHeight="1" x14ac:dyDescent="0.4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15.75" customHeight="1" x14ac:dyDescent="0.4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15.75" customHeight="1" x14ac:dyDescent="0.4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15.75" customHeight="1" x14ac:dyDescent="0.4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15.75" customHeight="1" x14ac:dyDescent="0.4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15.75" customHeight="1" x14ac:dyDescent="0.4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15.75" customHeight="1" x14ac:dyDescent="0.4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15.75" customHeight="1" x14ac:dyDescent="0.4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15.75" customHeight="1" x14ac:dyDescent="0.4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15.75" customHeight="1" x14ac:dyDescent="0.4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15.75" customHeight="1" x14ac:dyDescent="0.4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15.75" customHeight="1" x14ac:dyDescent="0.4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15.75" customHeight="1" x14ac:dyDescent="0.4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15.75" customHeight="1" x14ac:dyDescent="0.4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15.75" customHeight="1" x14ac:dyDescent="0.4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15.75" customHeight="1" x14ac:dyDescent="0.4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15.75" customHeight="1" x14ac:dyDescent="0.4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15.75" customHeight="1" x14ac:dyDescent="0.4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15.75" customHeight="1" x14ac:dyDescent="0.4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15.75" customHeight="1" x14ac:dyDescent="0.4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15.75" customHeight="1" x14ac:dyDescent="0.4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15.75" customHeight="1" x14ac:dyDescent="0.4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15.75" customHeight="1" x14ac:dyDescent="0.4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15.75" customHeight="1" x14ac:dyDescent="0.4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15.75" customHeight="1" x14ac:dyDescent="0.4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15.75" customHeight="1" x14ac:dyDescent="0.4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15.75" customHeight="1" x14ac:dyDescent="0.4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15.75" customHeight="1" x14ac:dyDescent="0.4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15.75" customHeight="1" x14ac:dyDescent="0.4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15.75" customHeight="1" x14ac:dyDescent="0.4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15.75" customHeight="1" x14ac:dyDescent="0.4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15.75" customHeight="1" x14ac:dyDescent="0.4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15.75" customHeight="1" x14ac:dyDescent="0.4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15.75" customHeight="1" x14ac:dyDescent="0.4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15.75" customHeight="1" x14ac:dyDescent="0.4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15.75" customHeight="1" x14ac:dyDescent="0.4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15.75" customHeight="1" x14ac:dyDescent="0.4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15.75" customHeight="1" x14ac:dyDescent="0.4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15.75" customHeight="1" x14ac:dyDescent="0.4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15.75" customHeight="1" x14ac:dyDescent="0.4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15.75" customHeight="1" x14ac:dyDescent="0.4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15.75" customHeight="1" x14ac:dyDescent="0.4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15.75" customHeight="1" x14ac:dyDescent="0.4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15.75" customHeight="1" x14ac:dyDescent="0.4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15.75" customHeight="1" x14ac:dyDescent="0.4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15.75" customHeight="1" x14ac:dyDescent="0.4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15.75" customHeight="1" x14ac:dyDescent="0.4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15.75" customHeight="1" x14ac:dyDescent="0.4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15.75" customHeight="1" x14ac:dyDescent="0.4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15.75" customHeight="1" x14ac:dyDescent="0.4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15.75" customHeight="1" x14ac:dyDescent="0.4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15.75" customHeight="1" x14ac:dyDescent="0.4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15.75" customHeight="1" x14ac:dyDescent="0.4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15.75" customHeight="1" x14ac:dyDescent="0.4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15.75" customHeight="1" x14ac:dyDescent="0.4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15.75" customHeight="1" x14ac:dyDescent="0.4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15.75" customHeight="1" x14ac:dyDescent="0.4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15.75" customHeight="1" x14ac:dyDescent="0.4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15.75" customHeight="1" x14ac:dyDescent="0.4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15.75" customHeight="1" x14ac:dyDescent="0.4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15.75" customHeight="1" x14ac:dyDescent="0.4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15.75" customHeight="1" x14ac:dyDescent="0.4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15.75" customHeight="1" x14ac:dyDescent="0.4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15.75" customHeight="1" x14ac:dyDescent="0.4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15.75" customHeight="1" x14ac:dyDescent="0.4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15.75" customHeight="1" x14ac:dyDescent="0.4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15.75" customHeight="1" x14ac:dyDescent="0.4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15.75" customHeight="1" x14ac:dyDescent="0.4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15.75" customHeight="1" x14ac:dyDescent="0.4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15.75" customHeight="1" x14ac:dyDescent="0.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15.75" customHeight="1" x14ac:dyDescent="0.4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15.75" customHeight="1" x14ac:dyDescent="0.4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15.75" customHeight="1" x14ac:dyDescent="0.4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15.75" customHeight="1" x14ac:dyDescent="0.4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15.75" customHeight="1" x14ac:dyDescent="0.4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15.75" customHeight="1" x14ac:dyDescent="0.4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15.75" customHeight="1" x14ac:dyDescent="0.4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15.75" customHeight="1" x14ac:dyDescent="0.4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15.75" customHeight="1" x14ac:dyDescent="0.4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15.75" customHeight="1" x14ac:dyDescent="0.4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15.75" customHeight="1" x14ac:dyDescent="0.4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15.75" customHeight="1" x14ac:dyDescent="0.4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15.75" customHeight="1" x14ac:dyDescent="0.4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15.75" customHeight="1" x14ac:dyDescent="0.4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15.75" customHeight="1" x14ac:dyDescent="0.4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15.75" customHeight="1" x14ac:dyDescent="0.4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15.75" customHeight="1" x14ac:dyDescent="0.4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15.75" customHeight="1" x14ac:dyDescent="0.4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15.75" customHeight="1" x14ac:dyDescent="0.4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15.75" customHeight="1" x14ac:dyDescent="0.4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15.75" customHeight="1" x14ac:dyDescent="0.4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15.75" customHeight="1" x14ac:dyDescent="0.4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15.75" customHeight="1" x14ac:dyDescent="0.4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15.75" customHeight="1" x14ac:dyDescent="0.4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15.75" customHeight="1" x14ac:dyDescent="0.4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15.75" customHeight="1" x14ac:dyDescent="0.4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15.75" customHeight="1" x14ac:dyDescent="0.4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15.75" customHeight="1" x14ac:dyDescent="0.4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15.75" customHeight="1" x14ac:dyDescent="0.4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15.75" customHeight="1" x14ac:dyDescent="0.4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15.75" customHeight="1" x14ac:dyDescent="0.4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15.75" customHeight="1" x14ac:dyDescent="0.4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15.75" customHeight="1" x14ac:dyDescent="0.4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15.75" customHeight="1" x14ac:dyDescent="0.4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15.75" customHeight="1" x14ac:dyDescent="0.4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15.75" customHeight="1" x14ac:dyDescent="0.4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15.75" customHeight="1" x14ac:dyDescent="0.4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15.75" customHeight="1" x14ac:dyDescent="0.45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15.75" customHeight="1" x14ac:dyDescent="0.45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15.75" customHeight="1" x14ac:dyDescent="0.4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15.75" customHeight="1" x14ac:dyDescent="0.45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15.75" customHeight="1" x14ac:dyDescent="0.45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15.75" customHeight="1" x14ac:dyDescent="0.45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15.75" customHeight="1" x14ac:dyDescent="0.45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15.75" customHeight="1" x14ac:dyDescent="0.45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15.75" customHeight="1" x14ac:dyDescent="0.45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15.75" customHeight="1" x14ac:dyDescent="0.45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15.75" customHeight="1" x14ac:dyDescent="0.45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15.75" customHeight="1" x14ac:dyDescent="0.45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15.75" customHeight="1" x14ac:dyDescent="0.4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15.75" customHeight="1" x14ac:dyDescent="0.45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15.75" customHeight="1" x14ac:dyDescent="0.45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15.75" customHeight="1" x14ac:dyDescent="0.45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 ht="15.75" customHeight="1" x14ac:dyDescent="0.45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 ht="15.75" customHeight="1" x14ac:dyDescent="0.45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 ht="15.75" customHeight="1" x14ac:dyDescent="0.45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 ht="15.75" customHeight="1" x14ac:dyDescent="0.45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 ht="15.75" customHeight="1" x14ac:dyDescent="0.45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 ht="15.75" customHeight="1" x14ac:dyDescent="0.45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 ht="15.75" customHeight="1" x14ac:dyDescent="0.4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 ht="15.75" customHeight="1" x14ac:dyDescent="0.45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 ht="15.75" customHeight="1" x14ac:dyDescent="0.45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 ht="15.75" customHeight="1" x14ac:dyDescent="0.45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 ht="15.75" customHeight="1" x14ac:dyDescent="0.45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 ht="15.75" customHeight="1" x14ac:dyDescent="0.45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 ht="15.75" customHeight="1" x14ac:dyDescent="0.45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 ht="15.75" customHeight="1" x14ac:dyDescent="0.45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 ht="15.75" customHeight="1" x14ac:dyDescent="0.45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 ht="15.75" customHeight="1" x14ac:dyDescent="0.45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 ht="15.75" customHeight="1" x14ac:dyDescent="0.4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 ht="15.75" customHeight="1" x14ac:dyDescent="0.45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 ht="15.75" customHeight="1" x14ac:dyDescent="0.45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 ht="15.75" customHeight="1" x14ac:dyDescent="0.45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 ht="15.75" customHeight="1" x14ac:dyDescent="0.45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 ht="15.75" customHeight="1" x14ac:dyDescent="0.45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 ht="15.75" customHeight="1" x14ac:dyDescent="0.4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 ht="15.75" customHeight="1" x14ac:dyDescent="0.45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 ht="15.75" customHeight="1" x14ac:dyDescent="0.45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 ht="15.75" customHeight="1" x14ac:dyDescent="0.4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 ht="15.75" customHeight="1" x14ac:dyDescent="0.4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 ht="15.75" customHeight="1" x14ac:dyDescent="0.45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 ht="15.75" customHeight="1" x14ac:dyDescent="0.4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 ht="15.75" customHeight="1" x14ac:dyDescent="0.45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 ht="15.75" customHeight="1" x14ac:dyDescent="0.4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 ht="15.75" customHeight="1" x14ac:dyDescent="0.45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 ht="15.75" customHeight="1" x14ac:dyDescent="0.45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 ht="15.75" customHeight="1" x14ac:dyDescent="0.45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 ht="15.75" customHeight="1" x14ac:dyDescent="0.45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 ht="15.75" customHeight="1" x14ac:dyDescent="0.45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 ht="15.75" customHeight="1" x14ac:dyDescent="0.4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 ht="15.75" customHeight="1" x14ac:dyDescent="0.45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 ht="15.75" customHeight="1" x14ac:dyDescent="0.45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 ht="15.75" customHeight="1" x14ac:dyDescent="0.45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 ht="15.75" customHeight="1" x14ac:dyDescent="0.45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 ht="15.75" customHeight="1" x14ac:dyDescent="0.45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 ht="15.75" customHeight="1" x14ac:dyDescent="0.45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 ht="15.75" customHeight="1" x14ac:dyDescent="0.45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 ht="15.75" customHeight="1" x14ac:dyDescent="0.45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 ht="15.75" customHeight="1" x14ac:dyDescent="0.45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 ht="15.75" customHeight="1" x14ac:dyDescent="0.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 ht="15.75" customHeight="1" x14ac:dyDescent="0.45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 ht="15.75" customHeight="1" x14ac:dyDescent="0.45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 ht="15.75" customHeight="1" x14ac:dyDescent="0.45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 ht="15.75" customHeight="1" x14ac:dyDescent="0.45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 ht="15.75" customHeight="1" x14ac:dyDescent="0.45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 ht="15.75" customHeight="1" x14ac:dyDescent="0.45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 ht="15.75" customHeight="1" x14ac:dyDescent="0.45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 ht="15.75" customHeight="1" x14ac:dyDescent="0.45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 ht="15.75" customHeight="1" x14ac:dyDescent="0.45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 ht="15.75" customHeight="1" x14ac:dyDescent="0.4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 ht="15.75" customHeight="1" x14ac:dyDescent="0.45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 ht="15.75" customHeight="1" x14ac:dyDescent="0.45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 ht="15.75" customHeight="1" x14ac:dyDescent="0.45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 ht="15.75" customHeight="1" x14ac:dyDescent="0.45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 ht="15.75" customHeight="1" x14ac:dyDescent="0.45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 ht="15.75" customHeight="1" x14ac:dyDescent="0.45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 ht="15.75" customHeight="1" x14ac:dyDescent="0.45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 ht="15.75" customHeight="1" x14ac:dyDescent="0.45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 ht="15.75" customHeight="1" x14ac:dyDescent="0.45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 ht="15.75" customHeight="1" x14ac:dyDescent="0.4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 ht="15.75" customHeight="1" x14ac:dyDescent="0.45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 ht="15.75" customHeight="1" x14ac:dyDescent="0.45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 ht="15.75" customHeight="1" x14ac:dyDescent="0.45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 ht="15.75" customHeight="1" x14ac:dyDescent="0.45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 ht="15.75" customHeight="1" x14ac:dyDescent="0.4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 ht="15.75" customHeight="1" x14ac:dyDescent="0.45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 ht="15.75" customHeight="1" x14ac:dyDescent="0.45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 ht="15.75" customHeight="1" x14ac:dyDescent="0.45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 ht="15.75" customHeight="1" x14ac:dyDescent="0.45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 ht="15.75" customHeight="1" x14ac:dyDescent="0.4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 ht="15.75" customHeight="1" x14ac:dyDescent="0.45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 ht="15.75" customHeight="1" x14ac:dyDescent="0.45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 ht="15.75" customHeight="1" x14ac:dyDescent="0.45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 ht="15.75" customHeight="1" x14ac:dyDescent="0.45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 ht="15.75" customHeight="1" x14ac:dyDescent="0.45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 ht="15.75" customHeight="1" x14ac:dyDescent="0.45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 ht="15.75" customHeight="1" x14ac:dyDescent="0.45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 ht="15.75" customHeight="1" x14ac:dyDescent="0.45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 ht="15.75" customHeight="1" x14ac:dyDescent="0.45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 ht="15.75" customHeight="1" x14ac:dyDescent="0.4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 ht="15.75" customHeight="1" x14ac:dyDescent="0.45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 ht="15.75" customHeight="1" x14ac:dyDescent="0.45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 ht="15.75" customHeight="1" x14ac:dyDescent="0.45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 ht="15.75" customHeight="1" x14ac:dyDescent="0.45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 ht="15.75" customHeight="1" x14ac:dyDescent="0.45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 ht="15.75" customHeight="1" x14ac:dyDescent="0.4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 ht="15.75" customHeight="1" x14ac:dyDescent="0.45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 ht="15.75" customHeight="1" x14ac:dyDescent="0.45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 ht="15.75" customHeight="1" x14ac:dyDescent="0.45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 ht="15.75" customHeight="1" x14ac:dyDescent="0.4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 ht="15.75" customHeight="1" x14ac:dyDescent="0.45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 ht="15.75" customHeight="1" x14ac:dyDescent="0.45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 ht="15.75" customHeight="1" x14ac:dyDescent="0.45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 ht="15.75" customHeight="1" x14ac:dyDescent="0.45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 ht="15.75" customHeight="1" x14ac:dyDescent="0.45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 ht="15.75" customHeight="1" x14ac:dyDescent="0.45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 ht="15.75" customHeight="1" x14ac:dyDescent="0.45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 ht="15.75" customHeight="1" x14ac:dyDescent="0.45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 ht="15.75" customHeight="1" x14ac:dyDescent="0.45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 ht="15.75" customHeight="1" x14ac:dyDescent="0.4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 ht="15.75" customHeight="1" x14ac:dyDescent="0.45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 ht="15.75" customHeight="1" x14ac:dyDescent="0.45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 ht="15.75" customHeight="1" x14ac:dyDescent="0.45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 ht="15.75" customHeight="1" x14ac:dyDescent="0.45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 ht="15.75" customHeight="1" x14ac:dyDescent="0.45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 ht="15.75" customHeight="1" x14ac:dyDescent="0.45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 ht="15.75" customHeight="1" x14ac:dyDescent="0.45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 ht="15.75" customHeight="1" x14ac:dyDescent="0.45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 ht="15.75" customHeight="1" x14ac:dyDescent="0.45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 ht="15.75" customHeight="1" x14ac:dyDescent="0.4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 ht="15.75" customHeight="1" x14ac:dyDescent="0.45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 ht="15.75" customHeight="1" x14ac:dyDescent="0.45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 ht="15.75" customHeight="1" x14ac:dyDescent="0.45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 ht="15.75" customHeight="1" x14ac:dyDescent="0.45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 ht="15.75" customHeight="1" x14ac:dyDescent="0.45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 ht="15.75" customHeight="1" x14ac:dyDescent="0.45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 ht="15.75" customHeight="1" x14ac:dyDescent="0.45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 ht="15.75" customHeight="1" x14ac:dyDescent="0.45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 ht="15.75" customHeight="1" x14ac:dyDescent="0.45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 ht="15.75" customHeight="1" x14ac:dyDescent="0.4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 ht="15.75" customHeight="1" x14ac:dyDescent="0.45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 ht="15.75" customHeight="1" x14ac:dyDescent="0.45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 ht="15.75" customHeight="1" x14ac:dyDescent="0.45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 ht="15.75" customHeight="1" x14ac:dyDescent="0.45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 ht="15.75" customHeight="1" x14ac:dyDescent="0.45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 ht="15.75" customHeight="1" x14ac:dyDescent="0.45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 ht="15.75" customHeight="1" x14ac:dyDescent="0.45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 ht="15.75" customHeight="1" x14ac:dyDescent="0.45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 ht="15.75" customHeight="1" x14ac:dyDescent="0.45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 ht="15.75" customHeight="1" x14ac:dyDescent="0.4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 ht="15.75" customHeight="1" x14ac:dyDescent="0.45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 ht="15.75" customHeight="1" x14ac:dyDescent="0.45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 ht="15.75" customHeight="1" x14ac:dyDescent="0.45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 ht="15.75" customHeight="1" x14ac:dyDescent="0.45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 ht="15.75" customHeight="1" x14ac:dyDescent="0.45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 ht="15.75" customHeight="1" x14ac:dyDescent="0.45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 ht="15.75" customHeight="1" x14ac:dyDescent="0.45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 ht="15.75" customHeight="1" x14ac:dyDescent="0.45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 ht="15.75" customHeight="1" x14ac:dyDescent="0.45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 ht="15.75" customHeight="1" x14ac:dyDescent="0.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 ht="15.75" customHeight="1" x14ac:dyDescent="0.45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 ht="15.75" customHeight="1" x14ac:dyDescent="0.45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 ht="15.75" customHeight="1" x14ac:dyDescent="0.45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 ht="15.75" customHeight="1" x14ac:dyDescent="0.45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 ht="15.75" customHeight="1" x14ac:dyDescent="0.45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 ht="15.75" customHeight="1" x14ac:dyDescent="0.45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 ht="15.75" customHeight="1" x14ac:dyDescent="0.45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 ht="15.75" customHeight="1" x14ac:dyDescent="0.45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 ht="15.75" customHeight="1" x14ac:dyDescent="0.45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 ht="15.75" customHeight="1" x14ac:dyDescent="0.4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 ht="15.75" customHeight="1" x14ac:dyDescent="0.45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 ht="15.75" customHeight="1" x14ac:dyDescent="0.45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 ht="15.75" customHeight="1" x14ac:dyDescent="0.45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 ht="15.75" customHeight="1" x14ac:dyDescent="0.45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 ht="15.75" customHeight="1" x14ac:dyDescent="0.45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 ht="15.75" customHeight="1" x14ac:dyDescent="0.45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 ht="15.75" customHeight="1" x14ac:dyDescent="0.45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 ht="15.75" customHeight="1" x14ac:dyDescent="0.45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 ht="15.75" customHeight="1" x14ac:dyDescent="0.45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 ht="15.75" customHeight="1" x14ac:dyDescent="0.4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 ht="15.75" customHeight="1" x14ac:dyDescent="0.45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 ht="15.75" customHeight="1" x14ac:dyDescent="0.45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 ht="15.75" customHeight="1" x14ac:dyDescent="0.45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 ht="15.75" customHeight="1" x14ac:dyDescent="0.45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 ht="15.75" customHeight="1" x14ac:dyDescent="0.45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 ht="15.75" customHeight="1" x14ac:dyDescent="0.45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 ht="15.75" customHeight="1" x14ac:dyDescent="0.45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 ht="15.75" customHeight="1" x14ac:dyDescent="0.45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 ht="15.75" customHeight="1" x14ac:dyDescent="0.45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 ht="15.75" customHeight="1" x14ac:dyDescent="0.4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 ht="15.75" customHeight="1" x14ac:dyDescent="0.45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 ht="15.75" customHeight="1" x14ac:dyDescent="0.45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 ht="15.75" customHeight="1" x14ac:dyDescent="0.45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 ht="15.75" customHeight="1" x14ac:dyDescent="0.45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 ht="15.75" customHeight="1" x14ac:dyDescent="0.45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 ht="15.75" customHeight="1" x14ac:dyDescent="0.45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 ht="15.75" customHeight="1" x14ac:dyDescent="0.45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 ht="15.75" customHeight="1" x14ac:dyDescent="0.45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 ht="15.75" customHeight="1" x14ac:dyDescent="0.45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 ht="15.75" customHeight="1" x14ac:dyDescent="0.4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 ht="15.75" customHeight="1" x14ac:dyDescent="0.45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 ht="15.75" customHeight="1" x14ac:dyDescent="0.45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 ht="15.75" customHeight="1" x14ac:dyDescent="0.45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 ht="15.75" customHeight="1" x14ac:dyDescent="0.45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 ht="15.75" customHeight="1" x14ac:dyDescent="0.45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 ht="15.75" customHeight="1" x14ac:dyDescent="0.45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 ht="15.75" customHeight="1" x14ac:dyDescent="0.45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 ht="15.75" customHeight="1" x14ac:dyDescent="0.45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1:26" ht="15.75" customHeight="1" x14ac:dyDescent="0.45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1:26" ht="15.75" customHeight="1" x14ac:dyDescent="0.4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spans="1:26" ht="15.75" customHeight="1" x14ac:dyDescent="0.45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spans="1:26" ht="15.75" customHeight="1" x14ac:dyDescent="0.45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spans="1:26" ht="15.75" customHeight="1" x14ac:dyDescent="0.45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spans="1:26" ht="15.75" customHeight="1" x14ac:dyDescent="0.45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spans="1:26" ht="15.75" customHeight="1" x14ac:dyDescent="0.45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mergeCells count="73">
    <mergeCell ref="H26:I26"/>
    <mergeCell ref="J26:K26"/>
    <mergeCell ref="C24:G24"/>
    <mergeCell ref="H24:I24"/>
    <mergeCell ref="J24:K24"/>
    <mergeCell ref="C25:G25"/>
    <mergeCell ref="H25:I25"/>
    <mergeCell ref="J25:K25"/>
    <mergeCell ref="C26:G26"/>
    <mergeCell ref="C27:G27"/>
    <mergeCell ref="H27:I27"/>
    <mergeCell ref="C28:G28"/>
    <mergeCell ref="H28:I28"/>
    <mergeCell ref="J28:K28"/>
    <mergeCell ref="B30:B31"/>
    <mergeCell ref="C30:K31"/>
    <mergeCell ref="H36:I36"/>
    <mergeCell ref="J36:K36"/>
    <mergeCell ref="B37:C37"/>
    <mergeCell ref="D37:K37"/>
    <mergeCell ref="B39:K39"/>
    <mergeCell ref="B34:C34"/>
    <mergeCell ref="E34:F34"/>
    <mergeCell ref="H34:I34"/>
    <mergeCell ref="B35:C35"/>
    <mergeCell ref="H35:I35"/>
    <mergeCell ref="B36:C36"/>
    <mergeCell ref="D36:G36"/>
    <mergeCell ref="J4:J5"/>
    <mergeCell ref="C8:F8"/>
    <mergeCell ref="H8:K8"/>
    <mergeCell ref="J9:K9"/>
    <mergeCell ref="F9:G9"/>
    <mergeCell ref="H9:I9"/>
    <mergeCell ref="C9:D9"/>
    <mergeCell ref="B1:C5"/>
    <mergeCell ref="D1:I3"/>
    <mergeCell ref="D4:I5"/>
    <mergeCell ref="J10:K10"/>
    <mergeCell ref="F11:G11"/>
    <mergeCell ref="H11:I11"/>
    <mergeCell ref="J11:K11"/>
    <mergeCell ref="B13:K13"/>
    <mergeCell ref="C10:D10"/>
    <mergeCell ref="C11:D11"/>
    <mergeCell ref="F10:G10"/>
    <mergeCell ref="H10:I10"/>
    <mergeCell ref="C14:G14"/>
    <mergeCell ref="H14:I14"/>
    <mergeCell ref="J14:K14"/>
    <mergeCell ref="H15:I15"/>
    <mergeCell ref="J15:K15"/>
    <mergeCell ref="C15:G15"/>
    <mergeCell ref="C16:G16"/>
    <mergeCell ref="H16:I16"/>
    <mergeCell ref="C17:G17"/>
    <mergeCell ref="H17:I17"/>
    <mergeCell ref="C18:G18"/>
    <mergeCell ref="H18:I18"/>
    <mergeCell ref="C19:G19"/>
    <mergeCell ref="H19:I19"/>
    <mergeCell ref="C20:G20"/>
    <mergeCell ref="H20:I20"/>
    <mergeCell ref="J20:K20"/>
    <mergeCell ref="C23:G23"/>
    <mergeCell ref="H23:I23"/>
    <mergeCell ref="J23:K23"/>
    <mergeCell ref="H21:I21"/>
    <mergeCell ref="J21:K21"/>
    <mergeCell ref="C21:G21"/>
    <mergeCell ref="C22:G22"/>
    <mergeCell ref="H22:I22"/>
    <mergeCell ref="J22:K22"/>
  </mergeCells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55"/>
      <c r="B1" s="470"/>
      <c r="C1" s="471" t="s">
        <v>0</v>
      </c>
      <c r="D1" s="201"/>
      <c r="E1" s="201"/>
      <c r="F1" s="201"/>
      <c r="G1" s="201"/>
      <c r="H1" s="217"/>
      <c r="I1" s="156" t="s">
        <v>1</v>
      </c>
      <c r="J1" s="157" t="s">
        <v>438</v>
      </c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69"/>
      <c r="X1" s="69"/>
      <c r="Y1" s="69"/>
      <c r="Z1" s="69"/>
    </row>
    <row r="2" spans="1:26" ht="24.75" customHeight="1" x14ac:dyDescent="0.45">
      <c r="A2" s="155"/>
      <c r="B2" s="203"/>
      <c r="C2" s="244"/>
      <c r="D2" s="203"/>
      <c r="E2" s="203"/>
      <c r="F2" s="203"/>
      <c r="G2" s="203"/>
      <c r="H2" s="238"/>
      <c r="I2" s="87" t="s">
        <v>3</v>
      </c>
      <c r="J2" s="158">
        <v>1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69"/>
      <c r="X2" s="69"/>
      <c r="Y2" s="69"/>
      <c r="Z2" s="69"/>
    </row>
    <row r="3" spans="1:26" ht="24.75" customHeight="1" x14ac:dyDescent="0.45">
      <c r="A3" s="155"/>
      <c r="B3" s="203"/>
      <c r="C3" s="276"/>
      <c r="D3" s="195"/>
      <c r="E3" s="195"/>
      <c r="F3" s="195"/>
      <c r="G3" s="195"/>
      <c r="H3" s="321"/>
      <c r="I3" s="159" t="s">
        <v>5</v>
      </c>
      <c r="J3" s="159" t="s">
        <v>6</v>
      </c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69"/>
      <c r="X3" s="69"/>
      <c r="Y3" s="69"/>
      <c r="Z3" s="69"/>
    </row>
    <row r="4" spans="1:26" ht="24.75" customHeight="1" x14ac:dyDescent="0.45">
      <c r="A4" s="160"/>
      <c r="B4" s="203"/>
      <c r="C4" s="471" t="s">
        <v>439</v>
      </c>
      <c r="D4" s="201"/>
      <c r="E4" s="201"/>
      <c r="F4" s="201"/>
      <c r="G4" s="201"/>
      <c r="H4" s="217"/>
      <c r="I4" s="472" t="s">
        <v>7</v>
      </c>
      <c r="J4" s="161" t="s">
        <v>8</v>
      </c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24.75" customHeight="1" x14ac:dyDescent="0.45">
      <c r="A5" s="160"/>
      <c r="B5" s="198"/>
      <c r="C5" s="218"/>
      <c r="D5" s="198"/>
      <c r="E5" s="198"/>
      <c r="F5" s="198"/>
      <c r="G5" s="198"/>
      <c r="H5" s="199"/>
      <c r="I5" s="447"/>
      <c r="J5" s="162" t="s">
        <v>9</v>
      </c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24.75" customHeight="1" x14ac:dyDescent="0.45">
      <c r="A6" s="69"/>
      <c r="B6" s="92"/>
      <c r="C6" s="92"/>
      <c r="D6" s="92"/>
      <c r="E6" s="92"/>
      <c r="F6" s="92"/>
      <c r="G6" s="92"/>
      <c r="H6" s="92"/>
      <c r="I6" s="92"/>
      <c r="J6" s="110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15.75" customHeight="1" x14ac:dyDescent="0.45">
      <c r="A7" s="69"/>
      <c r="B7" s="12"/>
      <c r="C7" s="12"/>
      <c r="D7" s="12"/>
      <c r="E7" s="12"/>
      <c r="F7" s="12"/>
      <c r="G7" s="12"/>
      <c r="H7" s="12"/>
      <c r="I7" s="12"/>
      <c r="J7" s="12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18.75" customHeight="1" x14ac:dyDescent="0.45">
      <c r="A8" s="69"/>
      <c r="B8" s="466"/>
      <c r="C8" s="445" t="s">
        <v>0</v>
      </c>
      <c r="D8" s="131" t="s">
        <v>1</v>
      </c>
      <c r="E8" s="131" t="s">
        <v>438</v>
      </c>
      <c r="F8" s="12"/>
      <c r="G8" s="466"/>
      <c r="H8" s="445" t="s">
        <v>0</v>
      </c>
      <c r="I8" s="131" t="s">
        <v>1</v>
      </c>
      <c r="J8" s="131" t="s">
        <v>438</v>
      </c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ht="20.25" customHeight="1" x14ac:dyDescent="0.45">
      <c r="A9" s="69"/>
      <c r="B9" s="244"/>
      <c r="C9" s="446"/>
      <c r="D9" s="132" t="s">
        <v>3</v>
      </c>
      <c r="E9" s="163">
        <v>1</v>
      </c>
      <c r="F9" s="12"/>
      <c r="G9" s="244"/>
      <c r="H9" s="446"/>
      <c r="I9" s="132" t="s">
        <v>3</v>
      </c>
      <c r="J9" s="163">
        <v>1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18" customHeight="1" x14ac:dyDescent="0.45">
      <c r="A10" s="69"/>
      <c r="B10" s="244"/>
      <c r="C10" s="447"/>
      <c r="D10" s="131" t="s">
        <v>5</v>
      </c>
      <c r="E10" s="131" t="s">
        <v>6</v>
      </c>
      <c r="F10" s="12"/>
      <c r="G10" s="244"/>
      <c r="H10" s="447"/>
      <c r="I10" s="131" t="s">
        <v>5</v>
      </c>
      <c r="J10" s="131" t="s">
        <v>6</v>
      </c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18.75" customHeight="1" x14ac:dyDescent="0.45">
      <c r="A11" s="69"/>
      <c r="B11" s="244"/>
      <c r="C11" s="445" t="s">
        <v>439</v>
      </c>
      <c r="D11" s="469" t="s">
        <v>7</v>
      </c>
      <c r="E11" s="164" t="s">
        <v>8</v>
      </c>
      <c r="F11" s="12"/>
      <c r="G11" s="244"/>
      <c r="H11" s="445" t="s">
        <v>439</v>
      </c>
      <c r="I11" s="469" t="s">
        <v>7</v>
      </c>
      <c r="J11" s="164" t="s">
        <v>8</v>
      </c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 ht="15" customHeight="1" x14ac:dyDescent="0.45">
      <c r="A12" s="160"/>
      <c r="B12" s="244"/>
      <c r="C12" s="447"/>
      <c r="D12" s="321"/>
      <c r="E12" s="165" t="s">
        <v>9</v>
      </c>
      <c r="F12" s="12"/>
      <c r="G12" s="244"/>
      <c r="H12" s="447"/>
      <c r="I12" s="321"/>
      <c r="J12" s="165" t="s">
        <v>9</v>
      </c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ht="36" customHeight="1" x14ac:dyDescent="0.45">
      <c r="A13" s="69"/>
      <c r="B13" s="166" t="s">
        <v>440</v>
      </c>
      <c r="C13" s="464"/>
      <c r="D13" s="201"/>
      <c r="E13" s="217"/>
      <c r="F13" s="167"/>
      <c r="G13" s="166" t="s">
        <v>440</v>
      </c>
      <c r="H13" s="464"/>
      <c r="I13" s="201"/>
      <c r="J13" s="217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ht="21" customHeight="1" x14ac:dyDescent="0.45">
      <c r="A14" s="69"/>
      <c r="B14" s="168" t="s">
        <v>295</v>
      </c>
      <c r="C14" s="465"/>
      <c r="D14" s="228"/>
      <c r="E14" s="240"/>
      <c r="F14" s="167"/>
      <c r="G14" s="168" t="s">
        <v>295</v>
      </c>
      <c r="H14" s="465"/>
      <c r="I14" s="228"/>
      <c r="J14" s="240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 ht="33" customHeight="1" x14ac:dyDescent="0.45">
      <c r="A15" s="69"/>
      <c r="B15" s="166" t="s">
        <v>441</v>
      </c>
      <c r="C15" s="465"/>
      <c r="D15" s="228"/>
      <c r="E15" s="240"/>
      <c r="F15" s="167"/>
      <c r="G15" s="166" t="s">
        <v>441</v>
      </c>
      <c r="H15" s="465"/>
      <c r="I15" s="228"/>
      <c r="J15" s="240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32.25" customHeight="1" x14ac:dyDescent="0.45">
      <c r="A16" s="69"/>
      <c r="B16" s="168" t="s">
        <v>442</v>
      </c>
      <c r="C16" s="170"/>
      <c r="D16" s="170" t="s">
        <v>443</v>
      </c>
      <c r="E16" s="171"/>
      <c r="F16" s="172"/>
      <c r="G16" s="168" t="s">
        <v>442</v>
      </c>
      <c r="H16" s="170"/>
      <c r="I16" s="170" t="s">
        <v>443</v>
      </c>
      <c r="J16" s="171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15.75" customHeight="1" x14ac:dyDescent="0.45">
      <c r="A17" s="69"/>
      <c r="B17" s="463" t="s">
        <v>31</v>
      </c>
      <c r="C17" s="467"/>
      <c r="D17" s="201"/>
      <c r="E17" s="217"/>
      <c r="F17" s="172"/>
      <c r="G17" s="463" t="s">
        <v>31</v>
      </c>
      <c r="H17" s="467"/>
      <c r="I17" s="201"/>
      <c r="J17" s="217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15" customHeight="1" x14ac:dyDescent="0.45">
      <c r="A18" s="69"/>
      <c r="B18" s="446"/>
      <c r="C18" s="244"/>
      <c r="D18" s="203"/>
      <c r="E18" s="238"/>
      <c r="F18" s="167"/>
      <c r="G18" s="446"/>
      <c r="H18" s="244"/>
      <c r="I18" s="203"/>
      <c r="J18" s="238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15.75" customHeight="1" x14ac:dyDescent="0.45">
      <c r="A19" s="69"/>
      <c r="B19" s="446"/>
      <c r="C19" s="244"/>
      <c r="D19" s="203"/>
      <c r="E19" s="238"/>
      <c r="F19" s="167"/>
      <c r="G19" s="446"/>
      <c r="H19" s="244"/>
      <c r="I19" s="203"/>
      <c r="J19" s="238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15.75" customHeight="1" x14ac:dyDescent="0.45">
      <c r="A20" s="69"/>
      <c r="B20" s="446"/>
      <c r="C20" s="244"/>
      <c r="D20" s="203"/>
      <c r="E20" s="238"/>
      <c r="F20" s="167"/>
      <c r="G20" s="447"/>
      <c r="H20" s="218"/>
      <c r="I20" s="198"/>
      <c r="J20" s="19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21" customHeight="1" x14ac:dyDescent="0.45">
      <c r="A21" s="69"/>
      <c r="B21" s="173" t="s">
        <v>86</v>
      </c>
      <c r="C21" s="468"/>
      <c r="D21" s="228"/>
      <c r="E21" s="240"/>
      <c r="F21" s="12"/>
      <c r="G21" s="173" t="s">
        <v>86</v>
      </c>
      <c r="H21" s="468"/>
      <c r="I21" s="228"/>
      <c r="J21" s="240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21.75" customHeight="1" x14ac:dyDescent="0.45">
      <c r="A22" s="69"/>
      <c r="B22" s="174" t="s">
        <v>87</v>
      </c>
      <c r="C22" s="123"/>
      <c r="D22" s="175" t="s">
        <v>67</v>
      </c>
      <c r="E22" s="176"/>
      <c r="F22" s="12"/>
      <c r="G22" s="174" t="s">
        <v>87</v>
      </c>
      <c r="H22" s="123"/>
      <c r="I22" s="175" t="s">
        <v>67</v>
      </c>
      <c r="J22" s="176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15.75" customHeight="1" x14ac:dyDescent="0.45">
      <c r="A23" s="69"/>
      <c r="B23" s="12"/>
      <c r="C23" s="12"/>
      <c r="D23" s="12"/>
      <c r="E23" s="12"/>
      <c r="F23" s="12"/>
      <c r="G23" s="12"/>
      <c r="H23" s="12"/>
      <c r="I23" s="12"/>
      <c r="J23" s="12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15.75" customHeight="1" x14ac:dyDescent="0.45">
      <c r="A24" s="69"/>
      <c r="B24" s="466"/>
      <c r="C24" s="445" t="s">
        <v>0</v>
      </c>
      <c r="D24" s="131" t="s">
        <v>1</v>
      </c>
      <c r="E24" s="131" t="s">
        <v>438</v>
      </c>
      <c r="F24" s="12"/>
      <c r="G24" s="466"/>
      <c r="H24" s="445" t="s">
        <v>0</v>
      </c>
      <c r="I24" s="131" t="s">
        <v>1</v>
      </c>
      <c r="J24" s="131" t="s">
        <v>438</v>
      </c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15.75" customHeight="1" x14ac:dyDescent="0.45">
      <c r="A25" s="69"/>
      <c r="B25" s="244"/>
      <c r="C25" s="446"/>
      <c r="D25" s="132" t="s">
        <v>3</v>
      </c>
      <c r="E25" s="163">
        <v>1</v>
      </c>
      <c r="F25" s="12"/>
      <c r="G25" s="244"/>
      <c r="H25" s="446"/>
      <c r="I25" s="132" t="s">
        <v>3</v>
      </c>
      <c r="J25" s="163">
        <v>1</v>
      </c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15.75" customHeight="1" x14ac:dyDescent="0.45">
      <c r="A26" s="69"/>
      <c r="B26" s="244"/>
      <c r="C26" s="447"/>
      <c r="D26" s="131" t="s">
        <v>5</v>
      </c>
      <c r="E26" s="131" t="s">
        <v>6</v>
      </c>
      <c r="F26" s="12"/>
      <c r="G26" s="244"/>
      <c r="H26" s="447"/>
      <c r="I26" s="131" t="s">
        <v>5</v>
      </c>
      <c r="J26" s="131" t="s">
        <v>6</v>
      </c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15.75" customHeight="1" x14ac:dyDescent="0.45">
      <c r="A27" s="69"/>
      <c r="B27" s="244"/>
      <c r="C27" s="445" t="s">
        <v>439</v>
      </c>
      <c r="D27" s="469" t="s">
        <v>7</v>
      </c>
      <c r="E27" s="164" t="s">
        <v>8</v>
      </c>
      <c r="F27" s="12"/>
      <c r="G27" s="244"/>
      <c r="H27" s="445" t="s">
        <v>439</v>
      </c>
      <c r="I27" s="469" t="s">
        <v>7</v>
      </c>
      <c r="J27" s="164" t="s">
        <v>8</v>
      </c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15.75" customHeight="1" x14ac:dyDescent="0.45">
      <c r="A28" s="69"/>
      <c r="B28" s="244"/>
      <c r="C28" s="447"/>
      <c r="D28" s="321"/>
      <c r="E28" s="165" t="s">
        <v>9</v>
      </c>
      <c r="F28" s="12"/>
      <c r="G28" s="244"/>
      <c r="H28" s="447"/>
      <c r="I28" s="321"/>
      <c r="J28" s="165" t="s">
        <v>9</v>
      </c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34.5" customHeight="1" x14ac:dyDescent="0.45">
      <c r="A29" s="69"/>
      <c r="B29" s="166" t="s">
        <v>440</v>
      </c>
      <c r="C29" s="464"/>
      <c r="D29" s="201"/>
      <c r="E29" s="217"/>
      <c r="F29" s="167"/>
      <c r="G29" s="166" t="s">
        <v>440</v>
      </c>
      <c r="H29" s="464"/>
      <c r="I29" s="201"/>
      <c r="J29" s="217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27" customHeight="1" x14ac:dyDescent="0.45">
      <c r="A30" s="69"/>
      <c r="B30" s="168" t="s">
        <v>295</v>
      </c>
      <c r="C30" s="465"/>
      <c r="D30" s="228"/>
      <c r="E30" s="240"/>
      <c r="F30" s="167"/>
      <c r="G30" s="168" t="s">
        <v>295</v>
      </c>
      <c r="H30" s="465"/>
      <c r="I30" s="228"/>
      <c r="J30" s="240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36" customHeight="1" x14ac:dyDescent="0.45">
      <c r="A31" s="69"/>
      <c r="B31" s="166" t="s">
        <v>441</v>
      </c>
      <c r="C31" s="465"/>
      <c r="D31" s="228"/>
      <c r="E31" s="240"/>
      <c r="F31" s="167"/>
      <c r="G31" s="166" t="s">
        <v>441</v>
      </c>
      <c r="H31" s="465"/>
      <c r="I31" s="228"/>
      <c r="J31" s="240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42.75" customHeight="1" x14ac:dyDescent="0.45">
      <c r="A32" s="69"/>
      <c r="B32" s="168" t="s">
        <v>442</v>
      </c>
      <c r="C32" s="170"/>
      <c r="D32" s="177" t="s">
        <v>443</v>
      </c>
      <c r="E32" s="171"/>
      <c r="F32" s="172"/>
      <c r="G32" s="168" t="s">
        <v>442</v>
      </c>
      <c r="H32" s="170"/>
      <c r="I32" s="177" t="s">
        <v>443</v>
      </c>
      <c r="J32" s="171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5.75" customHeight="1" x14ac:dyDescent="0.45">
      <c r="A33" s="69"/>
      <c r="B33" s="463" t="s">
        <v>31</v>
      </c>
      <c r="C33" s="467"/>
      <c r="D33" s="201"/>
      <c r="E33" s="217"/>
      <c r="F33" s="172"/>
      <c r="G33" s="463" t="s">
        <v>31</v>
      </c>
      <c r="H33" s="467"/>
      <c r="I33" s="201"/>
      <c r="J33" s="217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15.75" customHeight="1" x14ac:dyDescent="0.45">
      <c r="A34" s="69"/>
      <c r="B34" s="446"/>
      <c r="C34" s="244"/>
      <c r="D34" s="203"/>
      <c r="E34" s="238"/>
      <c r="F34" s="167"/>
      <c r="G34" s="446"/>
      <c r="H34" s="244"/>
      <c r="I34" s="203"/>
      <c r="J34" s="238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15.75" customHeight="1" x14ac:dyDescent="0.45">
      <c r="A35" s="69"/>
      <c r="B35" s="446"/>
      <c r="C35" s="244"/>
      <c r="D35" s="203"/>
      <c r="E35" s="238"/>
      <c r="F35" s="167"/>
      <c r="G35" s="446"/>
      <c r="H35" s="244"/>
      <c r="I35" s="203"/>
      <c r="J35" s="238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15.75" customHeight="1" x14ac:dyDescent="0.45">
      <c r="A36" s="69"/>
      <c r="B36" s="446"/>
      <c r="C36" s="244"/>
      <c r="D36" s="203"/>
      <c r="E36" s="238"/>
      <c r="F36" s="167"/>
      <c r="G36" s="447"/>
      <c r="H36" s="218"/>
      <c r="I36" s="198"/>
      <c r="J36" s="19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23.25" customHeight="1" x14ac:dyDescent="0.45">
      <c r="A37" s="69"/>
      <c r="B37" s="173" t="s">
        <v>86</v>
      </c>
      <c r="C37" s="468"/>
      <c r="D37" s="228"/>
      <c r="E37" s="240"/>
      <c r="F37" s="12"/>
      <c r="G37" s="173" t="s">
        <v>86</v>
      </c>
      <c r="H37" s="468"/>
      <c r="I37" s="228"/>
      <c r="J37" s="240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21" customHeight="1" x14ac:dyDescent="0.45">
      <c r="A38" s="69"/>
      <c r="B38" s="174" t="s">
        <v>87</v>
      </c>
      <c r="C38" s="123"/>
      <c r="D38" s="175" t="s">
        <v>67</v>
      </c>
      <c r="E38" s="176"/>
      <c r="F38" s="12"/>
      <c r="G38" s="174" t="s">
        <v>87</v>
      </c>
      <c r="H38" s="123"/>
      <c r="I38" s="175" t="s">
        <v>67</v>
      </c>
      <c r="J38" s="176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5.75" customHeight="1" x14ac:dyDescent="0.45">
      <c r="A39" s="69"/>
      <c r="B39" s="12"/>
      <c r="C39" s="12"/>
      <c r="D39" s="12"/>
      <c r="E39" s="12"/>
      <c r="F39" s="12"/>
      <c r="G39" s="12"/>
      <c r="H39" s="12"/>
      <c r="I39" s="12"/>
      <c r="J39" s="12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5.75" customHeight="1" x14ac:dyDescent="0.45">
      <c r="A40" s="69"/>
      <c r="B40" s="466"/>
      <c r="C40" s="445" t="s">
        <v>0</v>
      </c>
      <c r="D40" s="131" t="s">
        <v>1</v>
      </c>
      <c r="E40" s="131" t="s">
        <v>438</v>
      </c>
      <c r="F40" s="12"/>
      <c r="G40" s="466"/>
      <c r="H40" s="445" t="s">
        <v>0</v>
      </c>
      <c r="I40" s="131" t="s">
        <v>1</v>
      </c>
      <c r="J40" s="131" t="s">
        <v>438</v>
      </c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5.75" customHeight="1" x14ac:dyDescent="0.45">
      <c r="A41" s="69"/>
      <c r="B41" s="244"/>
      <c r="C41" s="446"/>
      <c r="D41" s="132" t="s">
        <v>3</v>
      </c>
      <c r="E41" s="163">
        <v>1</v>
      </c>
      <c r="F41" s="12"/>
      <c r="G41" s="244"/>
      <c r="H41" s="446"/>
      <c r="I41" s="132" t="s">
        <v>3</v>
      </c>
      <c r="J41" s="163">
        <v>1</v>
      </c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5.75" customHeight="1" x14ac:dyDescent="0.45">
      <c r="A42" s="69"/>
      <c r="B42" s="244"/>
      <c r="C42" s="447"/>
      <c r="D42" s="131" t="s">
        <v>5</v>
      </c>
      <c r="E42" s="131" t="s">
        <v>6</v>
      </c>
      <c r="F42" s="12"/>
      <c r="G42" s="244"/>
      <c r="H42" s="447"/>
      <c r="I42" s="131" t="s">
        <v>5</v>
      </c>
      <c r="J42" s="131" t="s">
        <v>6</v>
      </c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5.75" customHeight="1" x14ac:dyDescent="0.45">
      <c r="A43" s="69"/>
      <c r="B43" s="244"/>
      <c r="C43" s="445" t="s">
        <v>439</v>
      </c>
      <c r="D43" s="469" t="s">
        <v>7</v>
      </c>
      <c r="E43" s="164" t="s">
        <v>8</v>
      </c>
      <c r="F43" s="12"/>
      <c r="G43" s="244"/>
      <c r="H43" s="445" t="s">
        <v>439</v>
      </c>
      <c r="I43" s="469" t="s">
        <v>7</v>
      </c>
      <c r="J43" s="164" t="s">
        <v>8</v>
      </c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5.75" customHeight="1" x14ac:dyDescent="0.45">
      <c r="A44" s="69"/>
      <c r="B44" s="244"/>
      <c r="C44" s="447"/>
      <c r="D44" s="321"/>
      <c r="E44" s="165" t="s">
        <v>9</v>
      </c>
      <c r="F44" s="12"/>
      <c r="G44" s="244"/>
      <c r="H44" s="447"/>
      <c r="I44" s="321"/>
      <c r="J44" s="165" t="s">
        <v>9</v>
      </c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24.75" customHeight="1" x14ac:dyDescent="0.45">
      <c r="A45" s="69"/>
      <c r="B45" s="166" t="s">
        <v>440</v>
      </c>
      <c r="C45" s="464"/>
      <c r="D45" s="201"/>
      <c r="E45" s="217"/>
      <c r="F45" s="167"/>
      <c r="G45" s="166" t="s">
        <v>440</v>
      </c>
      <c r="H45" s="464"/>
      <c r="I45" s="201"/>
      <c r="J45" s="217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22.5" customHeight="1" x14ac:dyDescent="0.45">
      <c r="A46" s="69"/>
      <c r="B46" s="168" t="s">
        <v>295</v>
      </c>
      <c r="C46" s="465"/>
      <c r="D46" s="228"/>
      <c r="E46" s="240"/>
      <c r="F46" s="167"/>
      <c r="G46" s="168" t="s">
        <v>295</v>
      </c>
      <c r="H46" s="465"/>
      <c r="I46" s="228"/>
      <c r="J46" s="240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34.5" customHeight="1" x14ac:dyDescent="0.45">
      <c r="A47" s="69"/>
      <c r="B47" s="166" t="s">
        <v>441</v>
      </c>
      <c r="C47" s="465"/>
      <c r="D47" s="228"/>
      <c r="E47" s="240"/>
      <c r="F47" s="167"/>
      <c r="G47" s="166" t="s">
        <v>441</v>
      </c>
      <c r="H47" s="465"/>
      <c r="I47" s="228"/>
      <c r="J47" s="240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38.25" customHeight="1" x14ac:dyDescent="0.45">
      <c r="A48" s="69"/>
      <c r="B48" s="168" t="s">
        <v>442</v>
      </c>
      <c r="C48" s="170"/>
      <c r="D48" s="170" t="s">
        <v>443</v>
      </c>
      <c r="E48" s="171"/>
      <c r="F48" s="172"/>
      <c r="G48" s="168" t="s">
        <v>442</v>
      </c>
      <c r="H48" s="170"/>
      <c r="I48" s="170" t="s">
        <v>443</v>
      </c>
      <c r="J48" s="171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5.75" customHeight="1" x14ac:dyDescent="0.45">
      <c r="A49" s="69"/>
      <c r="B49" s="463" t="s">
        <v>31</v>
      </c>
      <c r="C49" s="467"/>
      <c r="D49" s="201"/>
      <c r="E49" s="217"/>
      <c r="F49" s="172"/>
      <c r="G49" s="463" t="s">
        <v>31</v>
      </c>
      <c r="H49" s="467"/>
      <c r="I49" s="201"/>
      <c r="J49" s="217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5.75" customHeight="1" x14ac:dyDescent="0.45">
      <c r="A50" s="69"/>
      <c r="B50" s="446"/>
      <c r="C50" s="244"/>
      <c r="D50" s="203"/>
      <c r="E50" s="238"/>
      <c r="F50" s="167"/>
      <c r="G50" s="446"/>
      <c r="H50" s="244"/>
      <c r="I50" s="203"/>
      <c r="J50" s="238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5.75" customHeight="1" x14ac:dyDescent="0.45">
      <c r="A51" s="69"/>
      <c r="B51" s="446"/>
      <c r="C51" s="244"/>
      <c r="D51" s="203"/>
      <c r="E51" s="238"/>
      <c r="F51" s="167"/>
      <c r="G51" s="446"/>
      <c r="H51" s="244"/>
      <c r="I51" s="203"/>
      <c r="J51" s="238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5.75" customHeight="1" x14ac:dyDescent="0.45">
      <c r="A52" s="69"/>
      <c r="B52" s="446"/>
      <c r="C52" s="244"/>
      <c r="D52" s="203"/>
      <c r="E52" s="238"/>
      <c r="F52" s="167"/>
      <c r="G52" s="447"/>
      <c r="H52" s="218"/>
      <c r="I52" s="198"/>
      <c r="J52" s="19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22.5" customHeight="1" x14ac:dyDescent="0.45">
      <c r="A53" s="69"/>
      <c r="B53" s="173" t="s">
        <v>86</v>
      </c>
      <c r="C53" s="468"/>
      <c r="D53" s="228"/>
      <c r="E53" s="240"/>
      <c r="F53" s="12"/>
      <c r="G53" s="173" t="s">
        <v>86</v>
      </c>
      <c r="H53" s="468"/>
      <c r="I53" s="228"/>
      <c r="J53" s="240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24" customHeight="1" x14ac:dyDescent="0.45">
      <c r="A54" s="69"/>
      <c r="B54" s="174" t="s">
        <v>87</v>
      </c>
      <c r="C54" s="123"/>
      <c r="D54" s="175" t="s">
        <v>67</v>
      </c>
      <c r="E54" s="176"/>
      <c r="F54" s="12"/>
      <c r="G54" s="174" t="s">
        <v>87</v>
      </c>
      <c r="H54" s="123"/>
      <c r="I54" s="175" t="s">
        <v>67</v>
      </c>
      <c r="J54" s="176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5.75" customHeight="1" x14ac:dyDescent="0.45">
      <c r="A55" s="69"/>
      <c r="B55" s="12"/>
      <c r="C55" s="12"/>
      <c r="D55" s="12"/>
      <c r="E55" s="12"/>
      <c r="F55" s="12"/>
      <c r="G55" s="12"/>
      <c r="H55" s="12"/>
      <c r="I55" s="12"/>
      <c r="J55" s="12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5.75" customHeight="1" x14ac:dyDescent="0.45">
      <c r="A56" s="69"/>
      <c r="B56" s="466"/>
      <c r="C56" s="445" t="s">
        <v>0</v>
      </c>
      <c r="D56" s="131" t="s">
        <v>1</v>
      </c>
      <c r="E56" s="131" t="s">
        <v>438</v>
      </c>
      <c r="F56" s="12"/>
      <c r="G56" s="466"/>
      <c r="H56" s="445" t="s">
        <v>0</v>
      </c>
      <c r="I56" s="131" t="s">
        <v>1</v>
      </c>
      <c r="J56" s="131" t="s">
        <v>438</v>
      </c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5.75" customHeight="1" x14ac:dyDescent="0.45">
      <c r="A57" s="69"/>
      <c r="B57" s="244"/>
      <c r="C57" s="446"/>
      <c r="D57" s="132" t="s">
        <v>3</v>
      </c>
      <c r="E57" s="163">
        <v>1</v>
      </c>
      <c r="F57" s="12"/>
      <c r="G57" s="244"/>
      <c r="H57" s="446"/>
      <c r="I57" s="132" t="s">
        <v>3</v>
      </c>
      <c r="J57" s="163">
        <v>1</v>
      </c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5.75" customHeight="1" x14ac:dyDescent="0.45">
      <c r="A58" s="69"/>
      <c r="B58" s="244"/>
      <c r="C58" s="447"/>
      <c r="D58" s="131" t="s">
        <v>5</v>
      </c>
      <c r="E58" s="131" t="s">
        <v>6</v>
      </c>
      <c r="F58" s="12"/>
      <c r="G58" s="244"/>
      <c r="H58" s="447"/>
      <c r="I58" s="131" t="s">
        <v>5</v>
      </c>
      <c r="J58" s="131" t="s">
        <v>6</v>
      </c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5.75" customHeight="1" x14ac:dyDescent="0.45">
      <c r="A59" s="69"/>
      <c r="B59" s="244"/>
      <c r="C59" s="445" t="s">
        <v>439</v>
      </c>
      <c r="D59" s="469" t="s">
        <v>7</v>
      </c>
      <c r="E59" s="164" t="s">
        <v>8</v>
      </c>
      <c r="F59" s="12"/>
      <c r="G59" s="244"/>
      <c r="H59" s="445" t="s">
        <v>439</v>
      </c>
      <c r="I59" s="469" t="s">
        <v>7</v>
      </c>
      <c r="J59" s="164" t="s">
        <v>8</v>
      </c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5.75" customHeight="1" x14ac:dyDescent="0.45">
      <c r="A60" s="69"/>
      <c r="B60" s="244"/>
      <c r="C60" s="447"/>
      <c r="D60" s="321"/>
      <c r="E60" s="165" t="s">
        <v>9</v>
      </c>
      <c r="F60" s="12"/>
      <c r="G60" s="244"/>
      <c r="H60" s="447"/>
      <c r="I60" s="321"/>
      <c r="J60" s="165" t="s">
        <v>9</v>
      </c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33" customHeight="1" x14ac:dyDescent="0.45">
      <c r="A61" s="69"/>
      <c r="B61" s="166" t="s">
        <v>440</v>
      </c>
      <c r="C61" s="464"/>
      <c r="D61" s="201"/>
      <c r="E61" s="217"/>
      <c r="F61" s="167"/>
      <c r="G61" s="166" t="s">
        <v>440</v>
      </c>
      <c r="H61" s="464"/>
      <c r="I61" s="201"/>
      <c r="J61" s="217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33" customHeight="1" x14ac:dyDescent="0.45">
      <c r="A62" s="69"/>
      <c r="B62" s="168" t="s">
        <v>295</v>
      </c>
      <c r="C62" s="465"/>
      <c r="D62" s="228"/>
      <c r="E62" s="240"/>
      <c r="F62" s="167"/>
      <c r="G62" s="168" t="s">
        <v>295</v>
      </c>
      <c r="H62" s="465"/>
      <c r="I62" s="228"/>
      <c r="J62" s="240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45" customHeight="1" x14ac:dyDescent="0.45">
      <c r="A63" s="69"/>
      <c r="B63" s="166" t="s">
        <v>441</v>
      </c>
      <c r="C63" s="465"/>
      <c r="D63" s="228"/>
      <c r="E63" s="240"/>
      <c r="F63" s="167"/>
      <c r="G63" s="166" t="s">
        <v>441</v>
      </c>
      <c r="H63" s="465"/>
      <c r="I63" s="228"/>
      <c r="J63" s="240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36" customHeight="1" x14ac:dyDescent="0.45">
      <c r="A64" s="69"/>
      <c r="B64" s="168" t="s">
        <v>442</v>
      </c>
      <c r="C64" s="170"/>
      <c r="D64" s="170" t="s">
        <v>443</v>
      </c>
      <c r="E64" s="171"/>
      <c r="F64" s="172"/>
      <c r="G64" s="168" t="s">
        <v>442</v>
      </c>
      <c r="H64" s="170"/>
      <c r="I64" s="170" t="s">
        <v>443</v>
      </c>
      <c r="J64" s="171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5.75" customHeight="1" x14ac:dyDescent="0.45">
      <c r="A65" s="69"/>
      <c r="B65" s="463" t="s">
        <v>31</v>
      </c>
      <c r="C65" s="467"/>
      <c r="D65" s="201"/>
      <c r="E65" s="217"/>
      <c r="F65" s="172"/>
      <c r="G65" s="463" t="s">
        <v>31</v>
      </c>
      <c r="H65" s="467"/>
      <c r="I65" s="201"/>
      <c r="J65" s="217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5.75" customHeight="1" x14ac:dyDescent="0.45">
      <c r="A66" s="69"/>
      <c r="B66" s="446"/>
      <c r="C66" s="244"/>
      <c r="D66" s="203"/>
      <c r="E66" s="238"/>
      <c r="F66" s="167"/>
      <c r="G66" s="446"/>
      <c r="H66" s="244"/>
      <c r="I66" s="203"/>
      <c r="J66" s="238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5.75" customHeight="1" x14ac:dyDescent="0.45">
      <c r="A67" s="69"/>
      <c r="B67" s="446"/>
      <c r="C67" s="244"/>
      <c r="D67" s="203"/>
      <c r="E67" s="238"/>
      <c r="F67" s="167"/>
      <c r="G67" s="446"/>
      <c r="H67" s="244"/>
      <c r="I67" s="203"/>
      <c r="J67" s="238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5.75" customHeight="1" x14ac:dyDescent="0.45">
      <c r="A68" s="69"/>
      <c r="B68" s="446"/>
      <c r="C68" s="244"/>
      <c r="D68" s="203"/>
      <c r="E68" s="238"/>
      <c r="F68" s="167"/>
      <c r="G68" s="447"/>
      <c r="H68" s="218"/>
      <c r="I68" s="198"/>
      <c r="J68" s="19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24" customHeight="1" x14ac:dyDescent="0.45">
      <c r="A69" s="69"/>
      <c r="B69" s="173" t="s">
        <v>86</v>
      </c>
      <c r="C69" s="468"/>
      <c r="D69" s="228"/>
      <c r="E69" s="240"/>
      <c r="F69" s="12"/>
      <c r="G69" s="173" t="s">
        <v>86</v>
      </c>
      <c r="H69" s="468"/>
      <c r="I69" s="228"/>
      <c r="J69" s="240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23.25" customHeight="1" x14ac:dyDescent="0.45">
      <c r="A70" s="69"/>
      <c r="B70" s="174" t="s">
        <v>87</v>
      </c>
      <c r="C70" s="123"/>
      <c r="D70" s="175" t="s">
        <v>67</v>
      </c>
      <c r="E70" s="176"/>
      <c r="F70" s="12"/>
      <c r="G70" s="174" t="s">
        <v>87</v>
      </c>
      <c r="H70" s="123"/>
      <c r="I70" s="175" t="s">
        <v>67</v>
      </c>
      <c r="J70" s="176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5.75" customHeight="1" x14ac:dyDescent="0.45">
      <c r="A71" s="69"/>
      <c r="B71" s="12"/>
      <c r="C71" s="12"/>
      <c r="D71" s="12"/>
      <c r="E71" s="12"/>
      <c r="F71" s="12"/>
      <c r="G71" s="12"/>
      <c r="H71" s="12"/>
      <c r="I71" s="12"/>
      <c r="J71" s="12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5.75" customHeight="1" x14ac:dyDescent="0.45">
      <c r="A72" s="69"/>
      <c r="B72" s="12"/>
      <c r="C72" s="12"/>
      <c r="D72" s="12"/>
      <c r="E72" s="12"/>
      <c r="F72" s="12"/>
      <c r="G72" s="12"/>
      <c r="H72" s="12"/>
      <c r="I72" s="12"/>
      <c r="J72" s="12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5.75" customHeight="1" x14ac:dyDescent="0.45">
      <c r="A73" s="69"/>
      <c r="B73" s="12"/>
      <c r="C73" s="12"/>
      <c r="D73" s="12"/>
      <c r="E73" s="12"/>
      <c r="F73" s="12"/>
      <c r="G73" s="12"/>
      <c r="H73" s="12"/>
      <c r="I73" s="12"/>
      <c r="J73" s="12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5.75" customHeight="1" x14ac:dyDescent="0.45">
      <c r="A74" s="69"/>
      <c r="B74" s="12"/>
      <c r="C74" s="12"/>
      <c r="D74" s="12"/>
      <c r="E74" s="12"/>
      <c r="F74" s="12"/>
      <c r="G74" s="12"/>
      <c r="H74" s="12"/>
      <c r="I74" s="12"/>
      <c r="J74" s="12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5.75" customHeight="1" x14ac:dyDescent="0.45">
      <c r="A75" s="69"/>
      <c r="B75" s="12"/>
      <c r="C75" s="12"/>
      <c r="D75" s="12"/>
      <c r="E75" s="12"/>
      <c r="F75" s="12"/>
      <c r="G75" s="12"/>
      <c r="H75" s="12"/>
      <c r="I75" s="12"/>
      <c r="J75" s="12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5.75" customHeight="1" x14ac:dyDescent="0.45">
      <c r="A76" s="69"/>
      <c r="B76" s="12"/>
      <c r="C76" s="12"/>
      <c r="D76" s="12"/>
      <c r="E76" s="12"/>
      <c r="F76" s="12"/>
      <c r="G76" s="12"/>
      <c r="H76" s="12"/>
      <c r="I76" s="12"/>
      <c r="J76" s="12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5.75" customHeight="1" x14ac:dyDescent="0.45">
      <c r="A77" s="69"/>
      <c r="B77" s="12"/>
      <c r="C77" s="12"/>
      <c r="D77" s="12"/>
      <c r="E77" s="12"/>
      <c r="F77" s="12"/>
      <c r="G77" s="12"/>
      <c r="H77" s="12"/>
      <c r="I77" s="12"/>
      <c r="J77" s="12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5.75" customHeight="1" x14ac:dyDescent="0.45">
      <c r="A78" s="69"/>
      <c r="B78" s="12"/>
      <c r="C78" s="12"/>
      <c r="D78" s="12"/>
      <c r="E78" s="12"/>
      <c r="F78" s="12"/>
      <c r="G78" s="12"/>
      <c r="H78" s="12"/>
      <c r="I78" s="12"/>
      <c r="J78" s="12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5.75" customHeight="1" x14ac:dyDescent="0.45">
      <c r="A79" s="69"/>
      <c r="B79" s="12"/>
      <c r="C79" s="12"/>
      <c r="D79" s="12"/>
      <c r="E79" s="12"/>
      <c r="F79" s="12"/>
      <c r="G79" s="12"/>
      <c r="H79" s="12"/>
      <c r="I79" s="12"/>
      <c r="J79" s="12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5.75" customHeight="1" x14ac:dyDescent="0.45">
      <c r="A80" s="69"/>
      <c r="B80" s="12"/>
      <c r="C80" s="12"/>
      <c r="D80" s="12"/>
      <c r="E80" s="12"/>
      <c r="F80" s="12"/>
      <c r="G80" s="12"/>
      <c r="H80" s="12"/>
      <c r="I80" s="12"/>
      <c r="J80" s="12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5.75" customHeight="1" x14ac:dyDescent="0.45">
      <c r="A81" s="69"/>
      <c r="B81" s="12"/>
      <c r="C81" s="12"/>
      <c r="D81" s="12"/>
      <c r="E81" s="12"/>
      <c r="F81" s="12"/>
      <c r="G81" s="12"/>
      <c r="H81" s="12"/>
      <c r="I81" s="12"/>
      <c r="J81" s="12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5.75" customHeight="1" x14ac:dyDescent="0.45">
      <c r="A82" s="69"/>
      <c r="B82" s="12"/>
      <c r="C82" s="12"/>
      <c r="D82" s="12"/>
      <c r="E82" s="12"/>
      <c r="F82" s="12"/>
      <c r="G82" s="12"/>
      <c r="H82" s="12"/>
      <c r="I82" s="12"/>
      <c r="J82" s="12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5.75" customHeight="1" x14ac:dyDescent="0.45">
      <c r="A83" s="69"/>
      <c r="B83" s="12"/>
      <c r="C83" s="12"/>
      <c r="D83" s="12"/>
      <c r="E83" s="12"/>
      <c r="F83" s="12"/>
      <c r="G83" s="12"/>
      <c r="H83" s="12"/>
      <c r="I83" s="12"/>
      <c r="J83" s="12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5.75" customHeight="1" x14ac:dyDescent="0.45">
      <c r="A84" s="69"/>
      <c r="B84" s="12"/>
      <c r="C84" s="12"/>
      <c r="D84" s="12"/>
      <c r="E84" s="12"/>
      <c r="F84" s="12"/>
      <c r="G84" s="12"/>
      <c r="H84" s="12"/>
      <c r="I84" s="12"/>
      <c r="J84" s="12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5.75" customHeight="1" x14ac:dyDescent="0.45">
      <c r="A85" s="69"/>
      <c r="B85" s="12"/>
      <c r="C85" s="12"/>
      <c r="D85" s="12"/>
      <c r="E85" s="12"/>
      <c r="F85" s="12"/>
      <c r="G85" s="12"/>
      <c r="H85" s="12"/>
      <c r="I85" s="12"/>
      <c r="J85" s="12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5.75" customHeight="1" x14ac:dyDescent="0.45">
      <c r="A86" s="69"/>
      <c r="B86" s="12"/>
      <c r="C86" s="12"/>
      <c r="D86" s="12"/>
      <c r="E86" s="12"/>
      <c r="F86" s="12"/>
      <c r="G86" s="12"/>
      <c r="H86" s="12"/>
      <c r="I86" s="12"/>
      <c r="J86" s="12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5.75" customHeight="1" x14ac:dyDescent="0.45">
      <c r="A87" s="69"/>
      <c r="B87" s="12"/>
      <c r="C87" s="12"/>
      <c r="D87" s="12"/>
      <c r="E87" s="12"/>
      <c r="F87" s="12"/>
      <c r="G87" s="12"/>
      <c r="H87" s="12"/>
      <c r="I87" s="12"/>
      <c r="J87" s="12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5.75" customHeight="1" x14ac:dyDescent="0.45">
      <c r="A88" s="69"/>
      <c r="B88" s="12"/>
      <c r="C88" s="12"/>
      <c r="D88" s="12"/>
      <c r="E88" s="12"/>
      <c r="F88" s="12"/>
      <c r="G88" s="12"/>
      <c r="H88" s="12"/>
      <c r="I88" s="12"/>
      <c r="J88" s="12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5.75" customHeight="1" x14ac:dyDescent="0.45">
      <c r="A89" s="69"/>
      <c r="B89" s="12"/>
      <c r="C89" s="12"/>
      <c r="D89" s="12"/>
      <c r="E89" s="12"/>
      <c r="F89" s="12"/>
      <c r="G89" s="12"/>
      <c r="H89" s="12"/>
      <c r="I89" s="12"/>
      <c r="J89" s="12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5.75" customHeight="1" x14ac:dyDescent="0.45">
      <c r="A90" s="69"/>
      <c r="B90" s="12"/>
      <c r="C90" s="12"/>
      <c r="D90" s="12"/>
      <c r="E90" s="12"/>
      <c r="F90" s="12"/>
      <c r="G90" s="12"/>
      <c r="H90" s="12"/>
      <c r="I90" s="12"/>
      <c r="J90" s="12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5.75" customHeight="1" x14ac:dyDescent="0.45">
      <c r="A91" s="69"/>
      <c r="B91" s="12"/>
      <c r="C91" s="12"/>
      <c r="D91" s="12"/>
      <c r="E91" s="12"/>
      <c r="F91" s="12"/>
      <c r="G91" s="12"/>
      <c r="H91" s="12"/>
      <c r="I91" s="12"/>
      <c r="J91" s="12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5.75" customHeight="1" x14ac:dyDescent="0.45">
      <c r="A92" s="69"/>
      <c r="B92" s="12"/>
      <c r="C92" s="12"/>
      <c r="D92" s="12"/>
      <c r="E92" s="12"/>
      <c r="F92" s="12"/>
      <c r="G92" s="12"/>
      <c r="H92" s="12"/>
      <c r="I92" s="12"/>
      <c r="J92" s="12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5.75" customHeight="1" x14ac:dyDescent="0.45">
      <c r="A93" s="69"/>
      <c r="B93" s="12"/>
      <c r="C93" s="12"/>
      <c r="D93" s="12"/>
      <c r="E93" s="12"/>
      <c r="F93" s="12"/>
      <c r="G93" s="12"/>
      <c r="H93" s="12"/>
      <c r="I93" s="12"/>
      <c r="J93" s="12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5.75" customHeight="1" x14ac:dyDescent="0.45">
      <c r="A94" s="69"/>
      <c r="B94" s="12"/>
      <c r="C94" s="12"/>
      <c r="D94" s="12"/>
      <c r="E94" s="12"/>
      <c r="F94" s="12"/>
      <c r="G94" s="12"/>
      <c r="H94" s="12"/>
      <c r="I94" s="12"/>
      <c r="J94" s="12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5.75" customHeight="1" x14ac:dyDescent="0.45">
      <c r="A95" s="69"/>
      <c r="B95" s="12"/>
      <c r="C95" s="12"/>
      <c r="D95" s="12"/>
      <c r="E95" s="12"/>
      <c r="F95" s="12"/>
      <c r="G95" s="12"/>
      <c r="H95" s="12"/>
      <c r="I95" s="12"/>
      <c r="J95" s="12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5.75" customHeight="1" x14ac:dyDescent="0.45">
      <c r="A96" s="69"/>
      <c r="B96" s="12"/>
      <c r="C96" s="12"/>
      <c r="D96" s="12"/>
      <c r="E96" s="12"/>
      <c r="F96" s="12"/>
      <c r="G96" s="12"/>
      <c r="H96" s="12"/>
      <c r="I96" s="12"/>
      <c r="J96" s="12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5.75" customHeight="1" x14ac:dyDescent="0.45">
      <c r="A97" s="69"/>
      <c r="B97" s="12"/>
      <c r="C97" s="12"/>
      <c r="D97" s="12"/>
      <c r="E97" s="12"/>
      <c r="F97" s="12"/>
      <c r="G97" s="12"/>
      <c r="H97" s="12"/>
      <c r="I97" s="12"/>
      <c r="J97" s="12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5.75" customHeight="1" x14ac:dyDescent="0.45">
      <c r="A98" s="69"/>
      <c r="B98" s="12"/>
      <c r="C98" s="12"/>
      <c r="D98" s="12"/>
      <c r="E98" s="12"/>
      <c r="F98" s="12"/>
      <c r="G98" s="12"/>
      <c r="H98" s="12"/>
      <c r="I98" s="12"/>
      <c r="J98" s="12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5.75" customHeight="1" x14ac:dyDescent="0.45">
      <c r="A99" s="69"/>
      <c r="B99" s="12"/>
      <c r="C99" s="12"/>
      <c r="D99" s="12"/>
      <c r="E99" s="12"/>
      <c r="F99" s="12"/>
      <c r="G99" s="12"/>
      <c r="H99" s="12"/>
      <c r="I99" s="12"/>
      <c r="J99" s="12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5.75" customHeight="1" x14ac:dyDescent="0.45">
      <c r="A100" s="69"/>
      <c r="B100" s="12"/>
      <c r="C100" s="12"/>
      <c r="D100" s="12"/>
      <c r="E100" s="12"/>
      <c r="F100" s="12"/>
      <c r="G100" s="12"/>
      <c r="H100" s="12"/>
      <c r="I100" s="12"/>
      <c r="J100" s="12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5.75" customHeight="1" x14ac:dyDescent="0.45">
      <c r="A101" s="69"/>
      <c r="B101" s="12"/>
      <c r="C101" s="12"/>
      <c r="D101" s="12"/>
      <c r="E101" s="12"/>
      <c r="F101" s="12"/>
      <c r="G101" s="12"/>
      <c r="H101" s="12"/>
      <c r="I101" s="12"/>
      <c r="J101" s="12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5.75" customHeight="1" x14ac:dyDescent="0.45">
      <c r="A102" s="69"/>
      <c r="B102" s="12"/>
      <c r="C102" s="12"/>
      <c r="D102" s="12"/>
      <c r="E102" s="12"/>
      <c r="F102" s="12"/>
      <c r="G102" s="12"/>
      <c r="H102" s="12"/>
      <c r="I102" s="12"/>
      <c r="J102" s="12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5.75" customHeight="1" x14ac:dyDescent="0.45">
      <c r="A103" s="69"/>
      <c r="B103" s="12"/>
      <c r="C103" s="12"/>
      <c r="D103" s="12"/>
      <c r="E103" s="12"/>
      <c r="F103" s="12"/>
      <c r="G103" s="12"/>
      <c r="H103" s="12"/>
      <c r="I103" s="12"/>
      <c r="J103" s="12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5.75" customHeight="1" x14ac:dyDescent="0.45">
      <c r="A104" s="69"/>
      <c r="B104" s="12"/>
      <c r="C104" s="12"/>
      <c r="D104" s="12"/>
      <c r="E104" s="12"/>
      <c r="F104" s="12"/>
      <c r="G104" s="12"/>
      <c r="H104" s="12"/>
      <c r="I104" s="12"/>
      <c r="J104" s="12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5.75" customHeight="1" x14ac:dyDescent="0.45">
      <c r="A105" s="69"/>
      <c r="B105" s="12"/>
      <c r="C105" s="12"/>
      <c r="D105" s="12"/>
      <c r="E105" s="12"/>
      <c r="F105" s="12"/>
      <c r="G105" s="12"/>
      <c r="H105" s="12"/>
      <c r="I105" s="12"/>
      <c r="J105" s="12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5.75" customHeight="1" x14ac:dyDescent="0.45">
      <c r="A106" s="69"/>
      <c r="B106" s="12"/>
      <c r="C106" s="12"/>
      <c r="D106" s="12"/>
      <c r="E106" s="12"/>
      <c r="F106" s="12"/>
      <c r="G106" s="12"/>
      <c r="H106" s="12"/>
      <c r="I106" s="12"/>
      <c r="J106" s="12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5.75" customHeight="1" x14ac:dyDescent="0.45">
      <c r="A107" s="69"/>
      <c r="B107" s="12"/>
      <c r="C107" s="12"/>
      <c r="D107" s="12"/>
      <c r="E107" s="12"/>
      <c r="F107" s="12"/>
      <c r="G107" s="12"/>
      <c r="H107" s="12"/>
      <c r="I107" s="12"/>
      <c r="J107" s="12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5.75" customHeight="1" x14ac:dyDescent="0.45">
      <c r="A108" s="69"/>
      <c r="B108" s="12"/>
      <c r="C108" s="12"/>
      <c r="D108" s="12"/>
      <c r="E108" s="12"/>
      <c r="F108" s="12"/>
      <c r="G108" s="12"/>
      <c r="H108" s="12"/>
      <c r="I108" s="12"/>
      <c r="J108" s="12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5.75" customHeight="1" x14ac:dyDescent="0.45">
      <c r="A109" s="69"/>
      <c r="B109" s="12"/>
      <c r="C109" s="12"/>
      <c r="D109" s="12"/>
      <c r="E109" s="12"/>
      <c r="F109" s="12"/>
      <c r="G109" s="12"/>
      <c r="H109" s="12"/>
      <c r="I109" s="12"/>
      <c r="J109" s="12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5.75" customHeight="1" x14ac:dyDescent="0.45">
      <c r="A110" s="69"/>
      <c r="B110" s="12"/>
      <c r="C110" s="12"/>
      <c r="D110" s="12"/>
      <c r="E110" s="12"/>
      <c r="F110" s="12"/>
      <c r="G110" s="12"/>
      <c r="H110" s="12"/>
      <c r="I110" s="12"/>
      <c r="J110" s="12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5.75" customHeight="1" x14ac:dyDescent="0.45">
      <c r="A111" s="69"/>
      <c r="B111" s="12"/>
      <c r="C111" s="12"/>
      <c r="D111" s="12"/>
      <c r="E111" s="12"/>
      <c r="F111" s="12"/>
      <c r="G111" s="12"/>
      <c r="H111" s="12"/>
      <c r="I111" s="12"/>
      <c r="J111" s="12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5.75" customHeight="1" x14ac:dyDescent="0.45">
      <c r="A112" s="69"/>
      <c r="B112" s="12"/>
      <c r="C112" s="12"/>
      <c r="D112" s="12"/>
      <c r="E112" s="12"/>
      <c r="F112" s="12"/>
      <c r="G112" s="12"/>
      <c r="H112" s="12"/>
      <c r="I112" s="12"/>
      <c r="J112" s="12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5.75" customHeight="1" x14ac:dyDescent="0.45">
      <c r="A113" s="69"/>
      <c r="B113" s="12"/>
      <c r="C113" s="12"/>
      <c r="D113" s="12"/>
      <c r="E113" s="12"/>
      <c r="F113" s="12"/>
      <c r="G113" s="12"/>
      <c r="H113" s="12"/>
      <c r="I113" s="12"/>
      <c r="J113" s="12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5.75" customHeight="1" x14ac:dyDescent="0.45">
      <c r="A114" s="69"/>
      <c r="B114" s="12"/>
      <c r="C114" s="12"/>
      <c r="D114" s="12"/>
      <c r="E114" s="12"/>
      <c r="F114" s="12"/>
      <c r="G114" s="12"/>
      <c r="H114" s="12"/>
      <c r="I114" s="12"/>
      <c r="J114" s="12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5.75" customHeight="1" x14ac:dyDescent="0.45">
      <c r="A115" s="69"/>
      <c r="B115" s="12"/>
      <c r="C115" s="12"/>
      <c r="D115" s="12"/>
      <c r="E115" s="12"/>
      <c r="F115" s="12"/>
      <c r="G115" s="12"/>
      <c r="H115" s="12"/>
      <c r="I115" s="12"/>
      <c r="J115" s="12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5.75" customHeight="1" x14ac:dyDescent="0.45">
      <c r="A116" s="69"/>
      <c r="B116" s="12"/>
      <c r="C116" s="12"/>
      <c r="D116" s="12"/>
      <c r="E116" s="12"/>
      <c r="F116" s="12"/>
      <c r="G116" s="12"/>
      <c r="H116" s="12"/>
      <c r="I116" s="12"/>
      <c r="J116" s="12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5.75" customHeight="1" x14ac:dyDescent="0.45">
      <c r="A117" s="69"/>
      <c r="B117" s="12"/>
      <c r="C117" s="12"/>
      <c r="D117" s="12"/>
      <c r="E117" s="12"/>
      <c r="F117" s="12"/>
      <c r="G117" s="12"/>
      <c r="H117" s="12"/>
      <c r="I117" s="12"/>
      <c r="J117" s="12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5.75" customHeight="1" x14ac:dyDescent="0.45">
      <c r="A118" s="69"/>
      <c r="B118" s="12"/>
      <c r="C118" s="12"/>
      <c r="D118" s="12"/>
      <c r="E118" s="12"/>
      <c r="F118" s="12"/>
      <c r="G118" s="12"/>
      <c r="H118" s="12"/>
      <c r="I118" s="12"/>
      <c r="J118" s="12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5.75" customHeight="1" x14ac:dyDescent="0.45">
      <c r="A119" s="69"/>
      <c r="B119" s="12"/>
      <c r="C119" s="12"/>
      <c r="D119" s="12"/>
      <c r="E119" s="12"/>
      <c r="F119" s="12"/>
      <c r="G119" s="12"/>
      <c r="H119" s="12"/>
      <c r="I119" s="12"/>
      <c r="J119" s="12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5.75" customHeight="1" x14ac:dyDescent="0.45">
      <c r="A120" s="69"/>
      <c r="B120" s="12"/>
      <c r="C120" s="12"/>
      <c r="D120" s="12"/>
      <c r="E120" s="12"/>
      <c r="F120" s="12"/>
      <c r="G120" s="12"/>
      <c r="H120" s="12"/>
      <c r="I120" s="12"/>
      <c r="J120" s="12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5.75" customHeight="1" x14ac:dyDescent="0.45">
      <c r="A121" s="69"/>
      <c r="B121" s="12"/>
      <c r="C121" s="12"/>
      <c r="D121" s="12"/>
      <c r="E121" s="12"/>
      <c r="F121" s="12"/>
      <c r="G121" s="12"/>
      <c r="H121" s="12"/>
      <c r="I121" s="12"/>
      <c r="J121" s="12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5.75" customHeight="1" x14ac:dyDescent="0.45">
      <c r="A122" s="69"/>
      <c r="B122" s="12"/>
      <c r="C122" s="12"/>
      <c r="D122" s="12"/>
      <c r="E122" s="12"/>
      <c r="F122" s="12"/>
      <c r="G122" s="12"/>
      <c r="H122" s="12"/>
      <c r="I122" s="12"/>
      <c r="J122" s="12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5.75" customHeight="1" x14ac:dyDescent="0.45">
      <c r="A123" s="69"/>
      <c r="B123" s="12"/>
      <c r="C123" s="12"/>
      <c r="D123" s="12"/>
      <c r="E123" s="12"/>
      <c r="F123" s="12"/>
      <c r="G123" s="12"/>
      <c r="H123" s="12"/>
      <c r="I123" s="12"/>
      <c r="J123" s="12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5.75" customHeight="1" x14ac:dyDescent="0.45">
      <c r="A124" s="69"/>
      <c r="B124" s="12"/>
      <c r="C124" s="12"/>
      <c r="D124" s="12"/>
      <c r="E124" s="12"/>
      <c r="F124" s="12"/>
      <c r="G124" s="12"/>
      <c r="H124" s="12"/>
      <c r="I124" s="12"/>
      <c r="J124" s="12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5.75" customHeight="1" x14ac:dyDescent="0.45">
      <c r="A125" s="69"/>
      <c r="B125" s="12"/>
      <c r="C125" s="12"/>
      <c r="D125" s="12"/>
      <c r="E125" s="12"/>
      <c r="F125" s="12"/>
      <c r="G125" s="12"/>
      <c r="H125" s="12"/>
      <c r="I125" s="12"/>
      <c r="J125" s="12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5.75" customHeight="1" x14ac:dyDescent="0.45">
      <c r="A126" s="69"/>
      <c r="B126" s="12"/>
      <c r="C126" s="12"/>
      <c r="D126" s="12"/>
      <c r="E126" s="12"/>
      <c r="F126" s="12"/>
      <c r="G126" s="12"/>
      <c r="H126" s="12"/>
      <c r="I126" s="12"/>
      <c r="J126" s="12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5.75" customHeight="1" x14ac:dyDescent="0.45">
      <c r="A127" s="69"/>
      <c r="B127" s="12"/>
      <c r="C127" s="12"/>
      <c r="D127" s="12"/>
      <c r="E127" s="12"/>
      <c r="F127" s="12"/>
      <c r="G127" s="12"/>
      <c r="H127" s="12"/>
      <c r="I127" s="12"/>
      <c r="J127" s="12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5.75" customHeight="1" x14ac:dyDescent="0.45">
      <c r="A128" s="69"/>
      <c r="B128" s="12"/>
      <c r="C128" s="12"/>
      <c r="D128" s="12"/>
      <c r="E128" s="12"/>
      <c r="F128" s="12"/>
      <c r="G128" s="12"/>
      <c r="H128" s="12"/>
      <c r="I128" s="12"/>
      <c r="J128" s="12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5.75" customHeight="1" x14ac:dyDescent="0.45">
      <c r="A129" s="69"/>
      <c r="B129" s="12"/>
      <c r="C129" s="12"/>
      <c r="D129" s="12"/>
      <c r="E129" s="12"/>
      <c r="F129" s="12"/>
      <c r="G129" s="12"/>
      <c r="H129" s="12"/>
      <c r="I129" s="12"/>
      <c r="J129" s="12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5.75" customHeight="1" x14ac:dyDescent="0.45">
      <c r="A130" s="69"/>
      <c r="B130" s="12"/>
      <c r="C130" s="12"/>
      <c r="D130" s="12"/>
      <c r="E130" s="12"/>
      <c r="F130" s="12"/>
      <c r="G130" s="12"/>
      <c r="H130" s="12"/>
      <c r="I130" s="12"/>
      <c r="J130" s="12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5.75" customHeight="1" x14ac:dyDescent="0.45">
      <c r="A131" s="69"/>
      <c r="B131" s="12"/>
      <c r="C131" s="12"/>
      <c r="D131" s="12"/>
      <c r="E131" s="12"/>
      <c r="F131" s="12"/>
      <c r="G131" s="12"/>
      <c r="H131" s="12"/>
      <c r="I131" s="12"/>
      <c r="J131" s="12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5.75" customHeight="1" x14ac:dyDescent="0.45">
      <c r="A132" s="69"/>
      <c r="B132" s="12"/>
      <c r="C132" s="12"/>
      <c r="D132" s="12"/>
      <c r="E132" s="12"/>
      <c r="F132" s="12"/>
      <c r="G132" s="12"/>
      <c r="H132" s="12"/>
      <c r="I132" s="12"/>
      <c r="J132" s="12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5.75" customHeight="1" x14ac:dyDescent="0.45">
      <c r="A133" s="69"/>
      <c r="B133" s="12"/>
      <c r="C133" s="12"/>
      <c r="D133" s="12"/>
      <c r="E133" s="12"/>
      <c r="F133" s="12"/>
      <c r="G133" s="12"/>
      <c r="H133" s="12"/>
      <c r="I133" s="12"/>
      <c r="J133" s="12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5.75" customHeight="1" x14ac:dyDescent="0.45">
      <c r="A134" s="69"/>
      <c r="B134" s="12"/>
      <c r="C134" s="12"/>
      <c r="D134" s="12"/>
      <c r="E134" s="12"/>
      <c r="F134" s="12"/>
      <c r="G134" s="12"/>
      <c r="H134" s="12"/>
      <c r="I134" s="12"/>
      <c r="J134" s="12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5.75" customHeight="1" x14ac:dyDescent="0.45">
      <c r="A135" s="69"/>
      <c r="B135" s="12"/>
      <c r="C135" s="12"/>
      <c r="D135" s="12"/>
      <c r="E135" s="12"/>
      <c r="F135" s="12"/>
      <c r="G135" s="12"/>
      <c r="H135" s="12"/>
      <c r="I135" s="12"/>
      <c r="J135" s="12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15.75" customHeight="1" x14ac:dyDescent="0.45">
      <c r="A136" s="69"/>
      <c r="B136" s="12"/>
      <c r="C136" s="12"/>
      <c r="D136" s="12"/>
      <c r="E136" s="12"/>
      <c r="F136" s="12"/>
      <c r="G136" s="12"/>
      <c r="H136" s="12"/>
      <c r="I136" s="12"/>
      <c r="J136" s="12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15.75" customHeight="1" x14ac:dyDescent="0.45">
      <c r="A137" s="69"/>
      <c r="B137" s="12"/>
      <c r="C137" s="12"/>
      <c r="D137" s="12"/>
      <c r="E137" s="12"/>
      <c r="F137" s="12"/>
      <c r="G137" s="12"/>
      <c r="H137" s="12"/>
      <c r="I137" s="12"/>
      <c r="J137" s="12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15.75" customHeight="1" x14ac:dyDescent="0.45">
      <c r="A138" s="69"/>
      <c r="B138" s="12"/>
      <c r="C138" s="12"/>
      <c r="D138" s="12"/>
      <c r="E138" s="12"/>
      <c r="F138" s="12"/>
      <c r="G138" s="12"/>
      <c r="H138" s="12"/>
      <c r="I138" s="12"/>
      <c r="J138" s="12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15.75" customHeight="1" x14ac:dyDescent="0.45">
      <c r="A139" s="69"/>
      <c r="B139" s="12"/>
      <c r="C139" s="12"/>
      <c r="D139" s="12"/>
      <c r="E139" s="12"/>
      <c r="F139" s="12"/>
      <c r="G139" s="12"/>
      <c r="H139" s="12"/>
      <c r="I139" s="12"/>
      <c r="J139" s="12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15.75" customHeight="1" x14ac:dyDescent="0.45">
      <c r="A140" s="69"/>
      <c r="B140" s="12"/>
      <c r="C140" s="12"/>
      <c r="D140" s="12"/>
      <c r="E140" s="12"/>
      <c r="F140" s="12"/>
      <c r="G140" s="12"/>
      <c r="H140" s="12"/>
      <c r="I140" s="12"/>
      <c r="J140" s="12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15.75" customHeight="1" x14ac:dyDescent="0.45">
      <c r="A141" s="69"/>
      <c r="B141" s="12"/>
      <c r="C141" s="12"/>
      <c r="D141" s="12"/>
      <c r="E141" s="12"/>
      <c r="F141" s="12"/>
      <c r="G141" s="12"/>
      <c r="H141" s="12"/>
      <c r="I141" s="12"/>
      <c r="J141" s="12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15.75" customHeight="1" x14ac:dyDescent="0.45">
      <c r="A142" s="69"/>
      <c r="B142" s="12"/>
      <c r="C142" s="12"/>
      <c r="D142" s="12"/>
      <c r="E142" s="12"/>
      <c r="F142" s="12"/>
      <c r="G142" s="12"/>
      <c r="H142" s="12"/>
      <c r="I142" s="12"/>
      <c r="J142" s="12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15.75" customHeight="1" x14ac:dyDescent="0.45">
      <c r="A143" s="69"/>
      <c r="B143" s="12"/>
      <c r="C143" s="12"/>
      <c r="D143" s="12"/>
      <c r="E143" s="12"/>
      <c r="F143" s="12"/>
      <c r="G143" s="12"/>
      <c r="H143" s="12"/>
      <c r="I143" s="12"/>
      <c r="J143" s="12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15.75" customHeight="1" x14ac:dyDescent="0.45">
      <c r="A144" s="69"/>
      <c r="B144" s="12"/>
      <c r="C144" s="12"/>
      <c r="D144" s="12"/>
      <c r="E144" s="12"/>
      <c r="F144" s="12"/>
      <c r="G144" s="12"/>
      <c r="H144" s="12"/>
      <c r="I144" s="12"/>
      <c r="J144" s="12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15.75" customHeight="1" x14ac:dyDescent="0.45">
      <c r="A145" s="69"/>
      <c r="B145" s="12"/>
      <c r="C145" s="12"/>
      <c r="D145" s="12"/>
      <c r="E145" s="12"/>
      <c r="F145" s="12"/>
      <c r="G145" s="12"/>
      <c r="H145" s="12"/>
      <c r="I145" s="12"/>
      <c r="J145" s="12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15.75" customHeight="1" x14ac:dyDescent="0.45">
      <c r="A146" s="69"/>
      <c r="B146" s="12"/>
      <c r="C146" s="12"/>
      <c r="D146" s="12"/>
      <c r="E146" s="12"/>
      <c r="F146" s="12"/>
      <c r="G146" s="12"/>
      <c r="H146" s="12"/>
      <c r="I146" s="12"/>
      <c r="J146" s="12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15.75" customHeight="1" x14ac:dyDescent="0.45">
      <c r="A147" s="69"/>
      <c r="B147" s="12"/>
      <c r="C147" s="12"/>
      <c r="D147" s="12"/>
      <c r="E147" s="12"/>
      <c r="F147" s="12"/>
      <c r="G147" s="12"/>
      <c r="H147" s="12"/>
      <c r="I147" s="12"/>
      <c r="J147" s="12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15.75" customHeight="1" x14ac:dyDescent="0.45">
      <c r="A148" s="69"/>
      <c r="B148" s="12"/>
      <c r="C148" s="12"/>
      <c r="D148" s="12"/>
      <c r="E148" s="12"/>
      <c r="F148" s="12"/>
      <c r="G148" s="12"/>
      <c r="H148" s="12"/>
      <c r="I148" s="12"/>
      <c r="J148" s="12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15.75" customHeight="1" x14ac:dyDescent="0.45">
      <c r="A149" s="69"/>
      <c r="B149" s="12"/>
      <c r="C149" s="12"/>
      <c r="D149" s="12"/>
      <c r="E149" s="12"/>
      <c r="F149" s="12"/>
      <c r="G149" s="12"/>
      <c r="H149" s="12"/>
      <c r="I149" s="12"/>
      <c r="J149" s="12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15.75" customHeight="1" x14ac:dyDescent="0.45">
      <c r="A150" s="69"/>
      <c r="B150" s="12"/>
      <c r="C150" s="12"/>
      <c r="D150" s="12"/>
      <c r="E150" s="12"/>
      <c r="F150" s="12"/>
      <c r="G150" s="12"/>
      <c r="H150" s="12"/>
      <c r="I150" s="12"/>
      <c r="J150" s="12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15.75" customHeight="1" x14ac:dyDescent="0.45">
      <c r="A151" s="69"/>
      <c r="B151" s="12"/>
      <c r="C151" s="12"/>
      <c r="D151" s="12"/>
      <c r="E151" s="12"/>
      <c r="F151" s="12"/>
      <c r="G151" s="12"/>
      <c r="H151" s="12"/>
      <c r="I151" s="12"/>
      <c r="J151" s="12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15.75" customHeight="1" x14ac:dyDescent="0.45">
      <c r="A152" s="69"/>
      <c r="B152" s="12"/>
      <c r="C152" s="12"/>
      <c r="D152" s="12"/>
      <c r="E152" s="12"/>
      <c r="F152" s="12"/>
      <c r="G152" s="12"/>
      <c r="H152" s="12"/>
      <c r="I152" s="12"/>
      <c r="J152" s="12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15.75" customHeight="1" x14ac:dyDescent="0.45">
      <c r="A153" s="69"/>
      <c r="B153" s="12"/>
      <c r="C153" s="12"/>
      <c r="D153" s="12"/>
      <c r="E153" s="12"/>
      <c r="F153" s="12"/>
      <c r="G153" s="12"/>
      <c r="H153" s="12"/>
      <c r="I153" s="12"/>
      <c r="J153" s="12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15.75" customHeight="1" x14ac:dyDescent="0.45">
      <c r="A154" s="69"/>
      <c r="B154" s="12"/>
      <c r="C154" s="12"/>
      <c r="D154" s="12"/>
      <c r="E154" s="12"/>
      <c r="F154" s="12"/>
      <c r="G154" s="12"/>
      <c r="H154" s="12"/>
      <c r="I154" s="12"/>
      <c r="J154" s="12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5.75" customHeight="1" x14ac:dyDescent="0.45">
      <c r="A155" s="69"/>
      <c r="B155" s="12"/>
      <c r="C155" s="12"/>
      <c r="D155" s="12"/>
      <c r="E155" s="12"/>
      <c r="F155" s="12"/>
      <c r="G155" s="12"/>
      <c r="H155" s="12"/>
      <c r="I155" s="12"/>
      <c r="J155" s="12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15.75" customHeight="1" x14ac:dyDescent="0.45">
      <c r="A156" s="69"/>
      <c r="B156" s="12"/>
      <c r="C156" s="12"/>
      <c r="D156" s="12"/>
      <c r="E156" s="12"/>
      <c r="F156" s="12"/>
      <c r="G156" s="12"/>
      <c r="H156" s="12"/>
      <c r="I156" s="12"/>
      <c r="J156" s="12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15.75" customHeight="1" x14ac:dyDescent="0.45">
      <c r="A157" s="69"/>
      <c r="B157" s="12"/>
      <c r="C157" s="12"/>
      <c r="D157" s="12"/>
      <c r="E157" s="12"/>
      <c r="F157" s="12"/>
      <c r="G157" s="12"/>
      <c r="H157" s="12"/>
      <c r="I157" s="12"/>
      <c r="J157" s="12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15.75" customHeight="1" x14ac:dyDescent="0.45">
      <c r="A158" s="69"/>
      <c r="B158" s="12"/>
      <c r="C158" s="12"/>
      <c r="D158" s="12"/>
      <c r="E158" s="12"/>
      <c r="F158" s="12"/>
      <c r="G158" s="12"/>
      <c r="H158" s="12"/>
      <c r="I158" s="12"/>
      <c r="J158" s="12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15.75" customHeight="1" x14ac:dyDescent="0.45">
      <c r="A159" s="69"/>
      <c r="B159" s="12"/>
      <c r="C159" s="12"/>
      <c r="D159" s="12"/>
      <c r="E159" s="12"/>
      <c r="F159" s="12"/>
      <c r="G159" s="12"/>
      <c r="H159" s="12"/>
      <c r="I159" s="12"/>
      <c r="J159" s="12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15.75" customHeight="1" x14ac:dyDescent="0.45">
      <c r="A160" s="69"/>
      <c r="B160" s="12"/>
      <c r="C160" s="12"/>
      <c r="D160" s="12"/>
      <c r="E160" s="12"/>
      <c r="F160" s="12"/>
      <c r="G160" s="12"/>
      <c r="H160" s="12"/>
      <c r="I160" s="12"/>
      <c r="J160" s="12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15.75" customHeight="1" x14ac:dyDescent="0.45">
      <c r="A161" s="69"/>
      <c r="B161" s="12"/>
      <c r="C161" s="12"/>
      <c r="D161" s="12"/>
      <c r="E161" s="12"/>
      <c r="F161" s="12"/>
      <c r="G161" s="12"/>
      <c r="H161" s="12"/>
      <c r="I161" s="12"/>
      <c r="J161" s="12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15.75" customHeight="1" x14ac:dyDescent="0.45">
      <c r="A162" s="69"/>
      <c r="B162" s="12"/>
      <c r="C162" s="12"/>
      <c r="D162" s="12"/>
      <c r="E162" s="12"/>
      <c r="F162" s="12"/>
      <c r="G162" s="12"/>
      <c r="H162" s="12"/>
      <c r="I162" s="12"/>
      <c r="J162" s="12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15.75" customHeight="1" x14ac:dyDescent="0.45">
      <c r="A163" s="69"/>
      <c r="B163" s="12"/>
      <c r="C163" s="12"/>
      <c r="D163" s="12"/>
      <c r="E163" s="12"/>
      <c r="F163" s="12"/>
      <c r="G163" s="12"/>
      <c r="H163" s="12"/>
      <c r="I163" s="12"/>
      <c r="J163" s="12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15.75" customHeight="1" x14ac:dyDescent="0.45">
      <c r="A164" s="69"/>
      <c r="B164" s="12"/>
      <c r="C164" s="12"/>
      <c r="D164" s="12"/>
      <c r="E164" s="12"/>
      <c r="F164" s="12"/>
      <c r="G164" s="12"/>
      <c r="H164" s="12"/>
      <c r="I164" s="12"/>
      <c r="J164" s="12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15.75" customHeight="1" x14ac:dyDescent="0.45">
      <c r="A165" s="69"/>
      <c r="B165" s="12"/>
      <c r="C165" s="12"/>
      <c r="D165" s="12"/>
      <c r="E165" s="12"/>
      <c r="F165" s="12"/>
      <c r="G165" s="12"/>
      <c r="H165" s="12"/>
      <c r="I165" s="12"/>
      <c r="J165" s="12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15.75" customHeight="1" x14ac:dyDescent="0.45">
      <c r="A166" s="69"/>
      <c r="B166" s="12"/>
      <c r="C166" s="12"/>
      <c r="D166" s="12"/>
      <c r="E166" s="12"/>
      <c r="F166" s="12"/>
      <c r="G166" s="12"/>
      <c r="H166" s="12"/>
      <c r="I166" s="12"/>
      <c r="J166" s="12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15.75" customHeight="1" x14ac:dyDescent="0.45">
      <c r="A167" s="69"/>
      <c r="B167" s="12"/>
      <c r="C167" s="12"/>
      <c r="D167" s="12"/>
      <c r="E167" s="12"/>
      <c r="F167" s="12"/>
      <c r="G167" s="12"/>
      <c r="H167" s="12"/>
      <c r="I167" s="12"/>
      <c r="J167" s="12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15.75" customHeight="1" x14ac:dyDescent="0.45">
      <c r="A168" s="69"/>
      <c r="B168" s="12"/>
      <c r="C168" s="12"/>
      <c r="D168" s="12"/>
      <c r="E168" s="12"/>
      <c r="F168" s="12"/>
      <c r="G168" s="12"/>
      <c r="H168" s="12"/>
      <c r="I168" s="12"/>
      <c r="J168" s="12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15.75" customHeight="1" x14ac:dyDescent="0.45">
      <c r="A169" s="69"/>
      <c r="B169" s="12"/>
      <c r="C169" s="12"/>
      <c r="D169" s="12"/>
      <c r="E169" s="12"/>
      <c r="F169" s="12"/>
      <c r="G169" s="12"/>
      <c r="H169" s="12"/>
      <c r="I169" s="12"/>
      <c r="J169" s="12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15.75" customHeight="1" x14ac:dyDescent="0.45">
      <c r="A170" s="69"/>
      <c r="B170" s="12"/>
      <c r="C170" s="12"/>
      <c r="D170" s="12"/>
      <c r="E170" s="12"/>
      <c r="F170" s="12"/>
      <c r="G170" s="12"/>
      <c r="H170" s="12"/>
      <c r="I170" s="12"/>
      <c r="J170" s="12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15.75" customHeight="1" x14ac:dyDescent="0.45">
      <c r="A171" s="69"/>
      <c r="B171" s="12"/>
      <c r="C171" s="12"/>
      <c r="D171" s="12"/>
      <c r="E171" s="12"/>
      <c r="F171" s="12"/>
      <c r="G171" s="12"/>
      <c r="H171" s="12"/>
      <c r="I171" s="12"/>
      <c r="J171" s="12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15.75" customHeight="1" x14ac:dyDescent="0.45">
      <c r="A172" s="69"/>
      <c r="B172" s="12"/>
      <c r="C172" s="12"/>
      <c r="D172" s="12"/>
      <c r="E172" s="12"/>
      <c r="F172" s="12"/>
      <c r="G172" s="12"/>
      <c r="H172" s="12"/>
      <c r="I172" s="12"/>
      <c r="J172" s="12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15.75" customHeight="1" x14ac:dyDescent="0.45">
      <c r="A173" s="69"/>
      <c r="B173" s="12"/>
      <c r="C173" s="12"/>
      <c r="D173" s="12"/>
      <c r="E173" s="12"/>
      <c r="F173" s="12"/>
      <c r="G173" s="12"/>
      <c r="H173" s="12"/>
      <c r="I173" s="12"/>
      <c r="J173" s="12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15.75" customHeight="1" x14ac:dyDescent="0.45">
      <c r="A174" s="69"/>
      <c r="B174" s="12"/>
      <c r="C174" s="12"/>
      <c r="D174" s="12"/>
      <c r="E174" s="12"/>
      <c r="F174" s="12"/>
      <c r="G174" s="12"/>
      <c r="H174" s="12"/>
      <c r="I174" s="12"/>
      <c r="J174" s="12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5.75" customHeight="1" x14ac:dyDescent="0.45">
      <c r="A175" s="69"/>
      <c r="B175" s="12"/>
      <c r="C175" s="12"/>
      <c r="D175" s="12"/>
      <c r="E175" s="12"/>
      <c r="F175" s="12"/>
      <c r="G175" s="12"/>
      <c r="H175" s="12"/>
      <c r="I175" s="12"/>
      <c r="J175" s="12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15.75" customHeight="1" x14ac:dyDescent="0.45">
      <c r="A176" s="69"/>
      <c r="B176" s="12"/>
      <c r="C176" s="12"/>
      <c r="D176" s="12"/>
      <c r="E176" s="12"/>
      <c r="F176" s="12"/>
      <c r="G176" s="12"/>
      <c r="H176" s="12"/>
      <c r="I176" s="12"/>
      <c r="J176" s="12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15.75" customHeight="1" x14ac:dyDescent="0.45">
      <c r="A177" s="69"/>
      <c r="B177" s="12"/>
      <c r="C177" s="12"/>
      <c r="D177" s="12"/>
      <c r="E177" s="12"/>
      <c r="F177" s="12"/>
      <c r="G177" s="12"/>
      <c r="H177" s="12"/>
      <c r="I177" s="12"/>
      <c r="J177" s="12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15.75" customHeight="1" x14ac:dyDescent="0.45">
      <c r="A178" s="69"/>
      <c r="B178" s="12"/>
      <c r="C178" s="12"/>
      <c r="D178" s="12"/>
      <c r="E178" s="12"/>
      <c r="F178" s="12"/>
      <c r="G178" s="12"/>
      <c r="H178" s="12"/>
      <c r="I178" s="12"/>
      <c r="J178" s="12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15.75" customHeight="1" x14ac:dyDescent="0.45">
      <c r="A179" s="69"/>
      <c r="B179" s="12"/>
      <c r="C179" s="12"/>
      <c r="D179" s="12"/>
      <c r="E179" s="12"/>
      <c r="F179" s="12"/>
      <c r="G179" s="12"/>
      <c r="H179" s="12"/>
      <c r="I179" s="12"/>
      <c r="J179" s="12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15.75" customHeight="1" x14ac:dyDescent="0.45">
      <c r="A180" s="69"/>
      <c r="B180" s="12"/>
      <c r="C180" s="12"/>
      <c r="D180" s="12"/>
      <c r="E180" s="12"/>
      <c r="F180" s="12"/>
      <c r="G180" s="12"/>
      <c r="H180" s="12"/>
      <c r="I180" s="12"/>
      <c r="J180" s="12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15.75" customHeight="1" x14ac:dyDescent="0.45">
      <c r="A181" s="69"/>
      <c r="B181" s="12"/>
      <c r="C181" s="12"/>
      <c r="D181" s="12"/>
      <c r="E181" s="12"/>
      <c r="F181" s="12"/>
      <c r="G181" s="12"/>
      <c r="H181" s="12"/>
      <c r="I181" s="12"/>
      <c r="J181" s="12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15.75" customHeight="1" x14ac:dyDescent="0.45">
      <c r="A182" s="69"/>
      <c r="B182" s="12"/>
      <c r="C182" s="12"/>
      <c r="D182" s="12"/>
      <c r="E182" s="12"/>
      <c r="F182" s="12"/>
      <c r="G182" s="12"/>
      <c r="H182" s="12"/>
      <c r="I182" s="12"/>
      <c r="J182" s="12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15.75" customHeight="1" x14ac:dyDescent="0.45">
      <c r="A183" s="69"/>
      <c r="B183" s="12"/>
      <c r="C183" s="12"/>
      <c r="D183" s="12"/>
      <c r="E183" s="12"/>
      <c r="F183" s="12"/>
      <c r="G183" s="12"/>
      <c r="H183" s="12"/>
      <c r="I183" s="12"/>
      <c r="J183" s="12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15.75" customHeight="1" x14ac:dyDescent="0.45">
      <c r="A184" s="69"/>
      <c r="B184" s="12"/>
      <c r="C184" s="12"/>
      <c r="D184" s="12"/>
      <c r="E184" s="12"/>
      <c r="F184" s="12"/>
      <c r="G184" s="12"/>
      <c r="H184" s="12"/>
      <c r="I184" s="12"/>
      <c r="J184" s="12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15.75" customHeight="1" x14ac:dyDescent="0.45">
      <c r="A185" s="69"/>
      <c r="B185" s="12"/>
      <c r="C185" s="12"/>
      <c r="D185" s="12"/>
      <c r="E185" s="12"/>
      <c r="F185" s="12"/>
      <c r="G185" s="12"/>
      <c r="H185" s="12"/>
      <c r="I185" s="12"/>
      <c r="J185" s="12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15.75" customHeight="1" x14ac:dyDescent="0.45">
      <c r="A186" s="69"/>
      <c r="B186" s="12"/>
      <c r="C186" s="12"/>
      <c r="D186" s="12"/>
      <c r="E186" s="12"/>
      <c r="F186" s="12"/>
      <c r="G186" s="12"/>
      <c r="H186" s="12"/>
      <c r="I186" s="12"/>
      <c r="J186" s="12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15.75" customHeight="1" x14ac:dyDescent="0.45">
      <c r="A187" s="69"/>
      <c r="B187" s="12"/>
      <c r="C187" s="12"/>
      <c r="D187" s="12"/>
      <c r="E187" s="12"/>
      <c r="F187" s="12"/>
      <c r="G187" s="12"/>
      <c r="H187" s="12"/>
      <c r="I187" s="12"/>
      <c r="J187" s="12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15.75" customHeight="1" x14ac:dyDescent="0.45">
      <c r="A188" s="69"/>
      <c r="B188" s="12"/>
      <c r="C188" s="12"/>
      <c r="D188" s="12"/>
      <c r="E188" s="12"/>
      <c r="F188" s="12"/>
      <c r="G188" s="12"/>
      <c r="H188" s="12"/>
      <c r="I188" s="12"/>
      <c r="J188" s="12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15.75" customHeight="1" x14ac:dyDescent="0.45">
      <c r="A189" s="69"/>
      <c r="B189" s="12"/>
      <c r="C189" s="12"/>
      <c r="D189" s="12"/>
      <c r="E189" s="12"/>
      <c r="F189" s="12"/>
      <c r="G189" s="12"/>
      <c r="H189" s="12"/>
      <c r="I189" s="12"/>
      <c r="J189" s="12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15.75" customHeight="1" x14ac:dyDescent="0.45">
      <c r="A190" s="69"/>
      <c r="B190" s="12"/>
      <c r="C190" s="12"/>
      <c r="D190" s="12"/>
      <c r="E190" s="12"/>
      <c r="F190" s="12"/>
      <c r="G190" s="12"/>
      <c r="H190" s="12"/>
      <c r="I190" s="12"/>
      <c r="J190" s="12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15.75" customHeight="1" x14ac:dyDescent="0.45">
      <c r="A191" s="69"/>
      <c r="B191" s="12"/>
      <c r="C191" s="12"/>
      <c r="D191" s="12"/>
      <c r="E191" s="12"/>
      <c r="F191" s="12"/>
      <c r="G191" s="12"/>
      <c r="H191" s="12"/>
      <c r="I191" s="12"/>
      <c r="J191" s="12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15.75" customHeight="1" x14ac:dyDescent="0.45">
      <c r="A192" s="69"/>
      <c r="B192" s="12"/>
      <c r="C192" s="12"/>
      <c r="D192" s="12"/>
      <c r="E192" s="12"/>
      <c r="F192" s="12"/>
      <c r="G192" s="12"/>
      <c r="H192" s="12"/>
      <c r="I192" s="12"/>
      <c r="J192" s="12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15.75" customHeight="1" x14ac:dyDescent="0.45">
      <c r="A193" s="69"/>
      <c r="B193" s="12"/>
      <c r="C193" s="12"/>
      <c r="D193" s="12"/>
      <c r="E193" s="12"/>
      <c r="F193" s="12"/>
      <c r="G193" s="12"/>
      <c r="H193" s="12"/>
      <c r="I193" s="12"/>
      <c r="J193" s="12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15.75" customHeight="1" x14ac:dyDescent="0.45">
      <c r="A194" s="69"/>
      <c r="B194" s="12"/>
      <c r="C194" s="12"/>
      <c r="D194" s="12"/>
      <c r="E194" s="12"/>
      <c r="F194" s="12"/>
      <c r="G194" s="12"/>
      <c r="H194" s="12"/>
      <c r="I194" s="12"/>
      <c r="J194" s="12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15.75" customHeight="1" x14ac:dyDescent="0.45">
      <c r="A195" s="69"/>
      <c r="B195" s="12"/>
      <c r="C195" s="12"/>
      <c r="D195" s="12"/>
      <c r="E195" s="12"/>
      <c r="F195" s="12"/>
      <c r="G195" s="12"/>
      <c r="H195" s="12"/>
      <c r="I195" s="12"/>
      <c r="J195" s="12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15.75" customHeight="1" x14ac:dyDescent="0.45">
      <c r="A196" s="69"/>
      <c r="B196" s="12"/>
      <c r="C196" s="12"/>
      <c r="D196" s="12"/>
      <c r="E196" s="12"/>
      <c r="F196" s="12"/>
      <c r="G196" s="12"/>
      <c r="H196" s="12"/>
      <c r="I196" s="12"/>
      <c r="J196" s="12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15.75" customHeight="1" x14ac:dyDescent="0.45">
      <c r="A197" s="69"/>
      <c r="B197" s="12"/>
      <c r="C197" s="12"/>
      <c r="D197" s="12"/>
      <c r="E197" s="12"/>
      <c r="F197" s="12"/>
      <c r="G197" s="12"/>
      <c r="H197" s="12"/>
      <c r="I197" s="12"/>
      <c r="J197" s="12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15.75" customHeight="1" x14ac:dyDescent="0.45">
      <c r="A198" s="69"/>
      <c r="B198" s="12"/>
      <c r="C198" s="12"/>
      <c r="D198" s="12"/>
      <c r="E198" s="12"/>
      <c r="F198" s="12"/>
      <c r="G198" s="12"/>
      <c r="H198" s="12"/>
      <c r="I198" s="12"/>
      <c r="J198" s="12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15.75" customHeight="1" x14ac:dyDescent="0.45">
      <c r="A199" s="69"/>
      <c r="B199" s="12"/>
      <c r="C199" s="12"/>
      <c r="D199" s="12"/>
      <c r="E199" s="12"/>
      <c r="F199" s="12"/>
      <c r="G199" s="12"/>
      <c r="H199" s="12"/>
      <c r="I199" s="12"/>
      <c r="J199" s="12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15.75" customHeight="1" x14ac:dyDescent="0.45">
      <c r="A200" s="69"/>
      <c r="B200" s="12"/>
      <c r="C200" s="12"/>
      <c r="D200" s="12"/>
      <c r="E200" s="12"/>
      <c r="F200" s="12"/>
      <c r="G200" s="12"/>
      <c r="H200" s="12"/>
      <c r="I200" s="12"/>
      <c r="J200" s="12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15.75" customHeight="1" x14ac:dyDescent="0.45">
      <c r="A201" s="69"/>
      <c r="B201" s="12"/>
      <c r="C201" s="12"/>
      <c r="D201" s="12"/>
      <c r="E201" s="12"/>
      <c r="F201" s="12"/>
      <c r="G201" s="12"/>
      <c r="H201" s="12"/>
      <c r="I201" s="12"/>
      <c r="J201" s="12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15.75" customHeight="1" x14ac:dyDescent="0.45">
      <c r="A202" s="69"/>
      <c r="B202" s="12"/>
      <c r="C202" s="12"/>
      <c r="D202" s="12"/>
      <c r="E202" s="12"/>
      <c r="F202" s="12"/>
      <c r="G202" s="12"/>
      <c r="H202" s="12"/>
      <c r="I202" s="12"/>
      <c r="J202" s="12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15.75" customHeight="1" x14ac:dyDescent="0.45">
      <c r="A203" s="69"/>
      <c r="B203" s="12"/>
      <c r="C203" s="12"/>
      <c r="D203" s="12"/>
      <c r="E203" s="12"/>
      <c r="F203" s="12"/>
      <c r="G203" s="12"/>
      <c r="H203" s="12"/>
      <c r="I203" s="12"/>
      <c r="J203" s="12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15.75" customHeight="1" x14ac:dyDescent="0.45">
      <c r="A204" s="69"/>
      <c r="B204" s="12"/>
      <c r="C204" s="12"/>
      <c r="D204" s="12"/>
      <c r="E204" s="12"/>
      <c r="F204" s="12"/>
      <c r="G204" s="12"/>
      <c r="H204" s="12"/>
      <c r="I204" s="12"/>
      <c r="J204" s="12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15.75" customHeight="1" x14ac:dyDescent="0.45">
      <c r="A205" s="69"/>
      <c r="B205" s="12"/>
      <c r="C205" s="12"/>
      <c r="D205" s="12"/>
      <c r="E205" s="12"/>
      <c r="F205" s="12"/>
      <c r="G205" s="12"/>
      <c r="H205" s="12"/>
      <c r="I205" s="12"/>
      <c r="J205" s="12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15.75" customHeight="1" x14ac:dyDescent="0.45">
      <c r="A206" s="69"/>
      <c r="B206" s="12"/>
      <c r="C206" s="12"/>
      <c r="D206" s="12"/>
      <c r="E206" s="12"/>
      <c r="F206" s="12"/>
      <c r="G206" s="12"/>
      <c r="H206" s="12"/>
      <c r="I206" s="12"/>
      <c r="J206" s="12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15.75" customHeight="1" x14ac:dyDescent="0.45">
      <c r="A207" s="69"/>
      <c r="B207" s="12"/>
      <c r="C207" s="12"/>
      <c r="D207" s="12"/>
      <c r="E207" s="12"/>
      <c r="F207" s="12"/>
      <c r="G207" s="12"/>
      <c r="H207" s="12"/>
      <c r="I207" s="12"/>
      <c r="J207" s="12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15.75" customHeight="1" x14ac:dyDescent="0.45">
      <c r="A208" s="69"/>
      <c r="B208" s="12"/>
      <c r="C208" s="12"/>
      <c r="D208" s="12"/>
      <c r="E208" s="12"/>
      <c r="F208" s="12"/>
      <c r="G208" s="12"/>
      <c r="H208" s="12"/>
      <c r="I208" s="12"/>
      <c r="J208" s="12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15.75" customHeight="1" x14ac:dyDescent="0.45">
      <c r="A209" s="69"/>
      <c r="B209" s="12"/>
      <c r="C209" s="12"/>
      <c r="D209" s="12"/>
      <c r="E209" s="12"/>
      <c r="F209" s="12"/>
      <c r="G209" s="12"/>
      <c r="H209" s="12"/>
      <c r="I209" s="12"/>
      <c r="J209" s="12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15.75" customHeight="1" x14ac:dyDescent="0.45">
      <c r="A210" s="69"/>
      <c r="B210" s="12"/>
      <c r="C210" s="12"/>
      <c r="D210" s="12"/>
      <c r="E210" s="12"/>
      <c r="F210" s="12"/>
      <c r="G210" s="12"/>
      <c r="H210" s="12"/>
      <c r="I210" s="12"/>
      <c r="J210" s="12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15.75" customHeight="1" x14ac:dyDescent="0.45">
      <c r="A211" s="69"/>
      <c r="B211" s="12"/>
      <c r="C211" s="12"/>
      <c r="D211" s="12"/>
      <c r="E211" s="12"/>
      <c r="F211" s="12"/>
      <c r="G211" s="12"/>
      <c r="H211" s="12"/>
      <c r="I211" s="12"/>
      <c r="J211" s="12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15.75" customHeight="1" x14ac:dyDescent="0.45">
      <c r="A212" s="69"/>
      <c r="B212" s="12"/>
      <c r="C212" s="12"/>
      <c r="D212" s="12"/>
      <c r="E212" s="12"/>
      <c r="F212" s="12"/>
      <c r="G212" s="12"/>
      <c r="H212" s="12"/>
      <c r="I212" s="12"/>
      <c r="J212" s="12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15.75" customHeight="1" x14ac:dyDescent="0.45">
      <c r="A213" s="69"/>
      <c r="B213" s="12"/>
      <c r="C213" s="12"/>
      <c r="D213" s="12"/>
      <c r="E213" s="12"/>
      <c r="F213" s="12"/>
      <c r="G213" s="12"/>
      <c r="H213" s="12"/>
      <c r="I213" s="12"/>
      <c r="J213" s="12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15.75" customHeight="1" x14ac:dyDescent="0.45">
      <c r="A214" s="69"/>
      <c r="B214" s="12"/>
      <c r="C214" s="12"/>
      <c r="D214" s="12"/>
      <c r="E214" s="12"/>
      <c r="F214" s="12"/>
      <c r="G214" s="12"/>
      <c r="H214" s="12"/>
      <c r="I214" s="12"/>
      <c r="J214" s="12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15.75" customHeight="1" x14ac:dyDescent="0.45">
      <c r="A215" s="69"/>
      <c r="B215" s="12"/>
      <c r="C215" s="12"/>
      <c r="D215" s="12"/>
      <c r="E215" s="12"/>
      <c r="F215" s="12"/>
      <c r="G215" s="12"/>
      <c r="H215" s="12"/>
      <c r="I215" s="12"/>
      <c r="J215" s="12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15.75" customHeight="1" x14ac:dyDescent="0.45">
      <c r="A216" s="69"/>
      <c r="B216" s="12"/>
      <c r="C216" s="12"/>
      <c r="D216" s="12"/>
      <c r="E216" s="12"/>
      <c r="F216" s="12"/>
      <c r="G216" s="12"/>
      <c r="H216" s="12"/>
      <c r="I216" s="12"/>
      <c r="J216" s="12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15.75" customHeight="1" x14ac:dyDescent="0.45">
      <c r="A217" s="69"/>
      <c r="B217" s="12"/>
      <c r="C217" s="12"/>
      <c r="D217" s="12"/>
      <c r="E217" s="12"/>
      <c r="F217" s="12"/>
      <c r="G217" s="12"/>
      <c r="H217" s="12"/>
      <c r="I217" s="12"/>
      <c r="J217" s="12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15.75" customHeight="1" x14ac:dyDescent="0.45">
      <c r="A218" s="69"/>
      <c r="B218" s="12"/>
      <c r="C218" s="12"/>
      <c r="D218" s="12"/>
      <c r="E218" s="12"/>
      <c r="F218" s="12"/>
      <c r="G218" s="12"/>
      <c r="H218" s="12"/>
      <c r="I218" s="12"/>
      <c r="J218" s="12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15.75" customHeight="1" x14ac:dyDescent="0.45">
      <c r="A219" s="69"/>
      <c r="B219" s="12"/>
      <c r="C219" s="12"/>
      <c r="D219" s="12"/>
      <c r="E219" s="12"/>
      <c r="F219" s="12"/>
      <c r="G219" s="12"/>
      <c r="H219" s="12"/>
      <c r="I219" s="12"/>
      <c r="J219" s="12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15.75" customHeight="1" x14ac:dyDescent="0.45">
      <c r="A220" s="69"/>
      <c r="B220" s="12"/>
      <c r="C220" s="12"/>
      <c r="D220" s="12"/>
      <c r="E220" s="12"/>
      <c r="F220" s="12"/>
      <c r="G220" s="12"/>
      <c r="H220" s="12"/>
      <c r="I220" s="12"/>
      <c r="J220" s="12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15.75" customHeight="1" x14ac:dyDescent="0.45">
      <c r="A221" s="69"/>
      <c r="B221" s="12"/>
      <c r="C221" s="12"/>
      <c r="D221" s="12"/>
      <c r="E221" s="12"/>
      <c r="F221" s="12"/>
      <c r="G221" s="12"/>
      <c r="H221" s="12"/>
      <c r="I221" s="12"/>
      <c r="J221" s="12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15.75" customHeight="1" x14ac:dyDescent="0.45">
      <c r="A222" s="69"/>
      <c r="B222" s="12"/>
      <c r="C222" s="12"/>
      <c r="D222" s="12"/>
      <c r="E222" s="12"/>
      <c r="F222" s="12"/>
      <c r="G222" s="12"/>
      <c r="H222" s="12"/>
      <c r="I222" s="12"/>
      <c r="J222" s="12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15.75" customHeight="1" x14ac:dyDescent="0.45">
      <c r="A223" s="69"/>
      <c r="B223" s="12"/>
      <c r="C223" s="12"/>
      <c r="D223" s="12"/>
      <c r="E223" s="12"/>
      <c r="F223" s="12"/>
      <c r="G223" s="12"/>
      <c r="H223" s="12"/>
      <c r="I223" s="12"/>
      <c r="J223" s="12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15.75" customHeight="1" x14ac:dyDescent="0.45">
      <c r="A224" s="69"/>
      <c r="B224" s="12"/>
      <c r="C224" s="12"/>
      <c r="D224" s="12"/>
      <c r="E224" s="12"/>
      <c r="F224" s="12"/>
      <c r="G224" s="12"/>
      <c r="H224" s="12"/>
      <c r="I224" s="12"/>
      <c r="J224" s="12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15.75" customHeight="1" x14ac:dyDescent="0.45">
      <c r="A225" s="69"/>
      <c r="B225" s="12"/>
      <c r="C225" s="12"/>
      <c r="D225" s="12"/>
      <c r="E225" s="12"/>
      <c r="F225" s="12"/>
      <c r="G225" s="12"/>
      <c r="H225" s="12"/>
      <c r="I225" s="12"/>
      <c r="J225" s="12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5.75" customHeight="1" x14ac:dyDescent="0.45">
      <c r="A226" s="69"/>
      <c r="B226" s="12"/>
      <c r="C226" s="12"/>
      <c r="D226" s="12"/>
      <c r="E226" s="12"/>
      <c r="F226" s="12"/>
      <c r="G226" s="12"/>
      <c r="H226" s="12"/>
      <c r="I226" s="12"/>
      <c r="J226" s="12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15.75" customHeight="1" x14ac:dyDescent="0.45">
      <c r="A227" s="69"/>
      <c r="B227" s="12"/>
      <c r="C227" s="12"/>
      <c r="D227" s="12"/>
      <c r="E227" s="12"/>
      <c r="F227" s="12"/>
      <c r="G227" s="12"/>
      <c r="H227" s="12"/>
      <c r="I227" s="12"/>
      <c r="J227" s="12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15.75" customHeight="1" x14ac:dyDescent="0.45">
      <c r="A228" s="69"/>
      <c r="B228" s="12"/>
      <c r="C228" s="12"/>
      <c r="D228" s="12"/>
      <c r="E228" s="12"/>
      <c r="F228" s="12"/>
      <c r="G228" s="12"/>
      <c r="H228" s="12"/>
      <c r="I228" s="12"/>
      <c r="J228" s="12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15.75" customHeight="1" x14ac:dyDescent="0.45">
      <c r="A229" s="69"/>
      <c r="B229" s="12"/>
      <c r="C229" s="12"/>
      <c r="D229" s="12"/>
      <c r="E229" s="12"/>
      <c r="F229" s="12"/>
      <c r="G229" s="12"/>
      <c r="H229" s="12"/>
      <c r="I229" s="12"/>
      <c r="J229" s="12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15.75" customHeight="1" x14ac:dyDescent="0.45">
      <c r="A230" s="69"/>
      <c r="B230" s="12"/>
      <c r="C230" s="12"/>
      <c r="D230" s="12"/>
      <c r="E230" s="12"/>
      <c r="F230" s="12"/>
      <c r="G230" s="12"/>
      <c r="H230" s="12"/>
      <c r="I230" s="12"/>
      <c r="J230" s="12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15.75" customHeight="1" x14ac:dyDescent="0.45">
      <c r="A231" s="69"/>
      <c r="B231" s="12"/>
      <c r="C231" s="12"/>
      <c r="D231" s="12"/>
      <c r="E231" s="12"/>
      <c r="F231" s="12"/>
      <c r="G231" s="12"/>
      <c r="H231" s="12"/>
      <c r="I231" s="12"/>
      <c r="J231" s="12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15.75" customHeight="1" x14ac:dyDescent="0.45">
      <c r="A232" s="69"/>
      <c r="B232" s="12"/>
      <c r="C232" s="12"/>
      <c r="D232" s="12"/>
      <c r="E232" s="12"/>
      <c r="F232" s="12"/>
      <c r="G232" s="12"/>
      <c r="H232" s="12"/>
      <c r="I232" s="12"/>
      <c r="J232" s="12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15.75" customHeight="1" x14ac:dyDescent="0.45">
      <c r="A233" s="69"/>
      <c r="B233" s="12"/>
      <c r="C233" s="12"/>
      <c r="D233" s="12"/>
      <c r="E233" s="12"/>
      <c r="F233" s="12"/>
      <c r="G233" s="12"/>
      <c r="H233" s="12"/>
      <c r="I233" s="12"/>
      <c r="J233" s="12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15.75" customHeight="1" x14ac:dyDescent="0.45">
      <c r="A234" s="69"/>
      <c r="B234" s="12"/>
      <c r="C234" s="12"/>
      <c r="D234" s="12"/>
      <c r="E234" s="12"/>
      <c r="F234" s="12"/>
      <c r="G234" s="12"/>
      <c r="H234" s="12"/>
      <c r="I234" s="12"/>
      <c r="J234" s="12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15.75" customHeight="1" x14ac:dyDescent="0.45">
      <c r="A235" s="69"/>
      <c r="B235" s="12"/>
      <c r="C235" s="12"/>
      <c r="D235" s="12"/>
      <c r="E235" s="12"/>
      <c r="F235" s="12"/>
      <c r="G235" s="12"/>
      <c r="H235" s="12"/>
      <c r="I235" s="12"/>
      <c r="J235" s="12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15.75" customHeight="1" x14ac:dyDescent="0.45">
      <c r="A236" s="69"/>
      <c r="B236" s="12"/>
      <c r="C236" s="12"/>
      <c r="D236" s="12"/>
      <c r="E236" s="12"/>
      <c r="F236" s="12"/>
      <c r="G236" s="12"/>
      <c r="H236" s="12"/>
      <c r="I236" s="12"/>
      <c r="J236" s="12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15.75" customHeight="1" x14ac:dyDescent="0.45">
      <c r="A237" s="69"/>
      <c r="B237" s="12"/>
      <c r="C237" s="12"/>
      <c r="D237" s="12"/>
      <c r="E237" s="12"/>
      <c r="F237" s="12"/>
      <c r="G237" s="12"/>
      <c r="H237" s="12"/>
      <c r="I237" s="12"/>
      <c r="J237" s="12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15.75" customHeight="1" x14ac:dyDescent="0.45">
      <c r="A238" s="69"/>
      <c r="B238" s="12"/>
      <c r="C238" s="12"/>
      <c r="D238" s="12"/>
      <c r="E238" s="12"/>
      <c r="F238" s="12"/>
      <c r="G238" s="12"/>
      <c r="H238" s="12"/>
      <c r="I238" s="12"/>
      <c r="J238" s="12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5.75" customHeight="1" x14ac:dyDescent="0.45">
      <c r="A239" s="69"/>
      <c r="B239" s="12"/>
      <c r="C239" s="12"/>
      <c r="D239" s="12"/>
      <c r="E239" s="12"/>
      <c r="F239" s="12"/>
      <c r="G239" s="12"/>
      <c r="H239" s="12"/>
      <c r="I239" s="12"/>
      <c r="J239" s="12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15.75" customHeight="1" x14ac:dyDescent="0.45">
      <c r="A240" s="69"/>
      <c r="B240" s="12"/>
      <c r="C240" s="12"/>
      <c r="D240" s="12"/>
      <c r="E240" s="12"/>
      <c r="F240" s="12"/>
      <c r="G240" s="12"/>
      <c r="H240" s="12"/>
      <c r="I240" s="12"/>
      <c r="J240" s="12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15.75" customHeight="1" x14ac:dyDescent="0.45">
      <c r="A241" s="69"/>
      <c r="B241" s="12"/>
      <c r="C241" s="12"/>
      <c r="D241" s="12"/>
      <c r="E241" s="12"/>
      <c r="F241" s="12"/>
      <c r="G241" s="12"/>
      <c r="H241" s="12"/>
      <c r="I241" s="12"/>
      <c r="J241" s="12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15.75" customHeight="1" x14ac:dyDescent="0.45">
      <c r="A242" s="69"/>
      <c r="B242" s="12"/>
      <c r="C242" s="12"/>
      <c r="D242" s="12"/>
      <c r="E242" s="12"/>
      <c r="F242" s="12"/>
      <c r="G242" s="12"/>
      <c r="H242" s="12"/>
      <c r="I242" s="12"/>
      <c r="J242" s="12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15.75" customHeight="1" x14ac:dyDescent="0.45">
      <c r="A243" s="69"/>
      <c r="B243" s="12"/>
      <c r="C243" s="12"/>
      <c r="D243" s="12"/>
      <c r="E243" s="12"/>
      <c r="F243" s="12"/>
      <c r="G243" s="12"/>
      <c r="H243" s="12"/>
      <c r="I243" s="12"/>
      <c r="J243" s="12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15.75" customHeight="1" x14ac:dyDescent="0.45">
      <c r="A244" s="69"/>
      <c r="B244" s="12"/>
      <c r="C244" s="12"/>
      <c r="D244" s="12"/>
      <c r="E244" s="12"/>
      <c r="F244" s="12"/>
      <c r="G244" s="12"/>
      <c r="H244" s="12"/>
      <c r="I244" s="12"/>
      <c r="J244" s="12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15.75" customHeight="1" x14ac:dyDescent="0.45">
      <c r="A245" s="69"/>
      <c r="B245" s="12"/>
      <c r="C245" s="12"/>
      <c r="D245" s="12"/>
      <c r="E245" s="12"/>
      <c r="F245" s="12"/>
      <c r="G245" s="12"/>
      <c r="H245" s="12"/>
      <c r="I245" s="12"/>
      <c r="J245" s="12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15.75" customHeight="1" x14ac:dyDescent="0.45">
      <c r="A246" s="69"/>
      <c r="B246" s="12"/>
      <c r="C246" s="12"/>
      <c r="D246" s="12"/>
      <c r="E246" s="12"/>
      <c r="F246" s="12"/>
      <c r="G246" s="12"/>
      <c r="H246" s="12"/>
      <c r="I246" s="12"/>
      <c r="J246" s="12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15.75" customHeight="1" x14ac:dyDescent="0.45">
      <c r="A247" s="69"/>
      <c r="B247" s="12"/>
      <c r="C247" s="12"/>
      <c r="D247" s="12"/>
      <c r="E247" s="12"/>
      <c r="F247" s="12"/>
      <c r="G247" s="12"/>
      <c r="H247" s="12"/>
      <c r="I247" s="12"/>
      <c r="J247" s="12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 ht="15.75" customHeight="1" x14ac:dyDescent="0.45">
      <c r="A248" s="69"/>
      <c r="B248" s="12"/>
      <c r="C248" s="12"/>
      <c r="D248" s="12"/>
      <c r="E248" s="12"/>
      <c r="F248" s="12"/>
      <c r="G248" s="12"/>
      <c r="H248" s="12"/>
      <c r="I248" s="12"/>
      <c r="J248" s="12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 ht="15.75" customHeight="1" x14ac:dyDescent="0.45">
      <c r="A249" s="69"/>
      <c r="B249" s="12"/>
      <c r="C249" s="12"/>
      <c r="D249" s="12"/>
      <c r="E249" s="12"/>
      <c r="F249" s="12"/>
      <c r="G249" s="12"/>
      <c r="H249" s="12"/>
      <c r="I249" s="12"/>
      <c r="J249" s="12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 ht="15.75" customHeight="1" x14ac:dyDescent="0.45">
      <c r="A250" s="69"/>
      <c r="B250" s="12"/>
      <c r="C250" s="12"/>
      <c r="D250" s="12"/>
      <c r="E250" s="12"/>
      <c r="F250" s="12"/>
      <c r="G250" s="12"/>
      <c r="H250" s="12"/>
      <c r="I250" s="12"/>
      <c r="J250" s="12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 ht="15.75" customHeight="1" x14ac:dyDescent="0.45">
      <c r="A251" s="69"/>
      <c r="B251" s="12"/>
      <c r="C251" s="12"/>
      <c r="D251" s="12"/>
      <c r="E251" s="12"/>
      <c r="F251" s="12"/>
      <c r="G251" s="12"/>
      <c r="H251" s="12"/>
      <c r="I251" s="12"/>
      <c r="J251" s="12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 ht="15.75" customHeight="1" x14ac:dyDescent="0.45">
      <c r="A252" s="69"/>
      <c r="B252" s="12"/>
      <c r="C252" s="12"/>
      <c r="D252" s="12"/>
      <c r="E252" s="12"/>
      <c r="F252" s="12"/>
      <c r="G252" s="12"/>
      <c r="H252" s="12"/>
      <c r="I252" s="12"/>
      <c r="J252" s="12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 ht="15.75" customHeight="1" x14ac:dyDescent="0.45">
      <c r="A253" s="69"/>
      <c r="B253" s="12"/>
      <c r="C253" s="12"/>
      <c r="D253" s="12"/>
      <c r="E253" s="12"/>
      <c r="F253" s="12"/>
      <c r="G253" s="12"/>
      <c r="H253" s="12"/>
      <c r="I253" s="12"/>
      <c r="J253" s="12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 ht="15.75" customHeight="1" x14ac:dyDescent="0.45">
      <c r="A254" s="69"/>
      <c r="B254" s="12"/>
      <c r="C254" s="12"/>
      <c r="D254" s="12"/>
      <c r="E254" s="12"/>
      <c r="F254" s="12"/>
      <c r="G254" s="12"/>
      <c r="H254" s="12"/>
      <c r="I254" s="12"/>
      <c r="J254" s="12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 ht="15.75" customHeight="1" x14ac:dyDescent="0.45">
      <c r="A255" s="69"/>
      <c r="B255" s="12"/>
      <c r="C255" s="12"/>
      <c r="D255" s="12"/>
      <c r="E255" s="12"/>
      <c r="F255" s="12"/>
      <c r="G255" s="12"/>
      <c r="H255" s="12"/>
      <c r="I255" s="12"/>
      <c r="J255" s="12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 ht="15.75" customHeight="1" x14ac:dyDescent="0.45">
      <c r="A256" s="69"/>
      <c r="B256" s="12"/>
      <c r="C256" s="12"/>
      <c r="D256" s="12"/>
      <c r="E256" s="12"/>
      <c r="F256" s="12"/>
      <c r="G256" s="12"/>
      <c r="H256" s="12"/>
      <c r="I256" s="12"/>
      <c r="J256" s="12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 ht="15.75" customHeight="1" x14ac:dyDescent="0.45">
      <c r="A257" s="69"/>
      <c r="B257" s="12"/>
      <c r="C257" s="12"/>
      <c r="D257" s="12"/>
      <c r="E257" s="12"/>
      <c r="F257" s="12"/>
      <c r="G257" s="12"/>
      <c r="H257" s="12"/>
      <c r="I257" s="12"/>
      <c r="J257" s="12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 ht="15.75" customHeight="1" x14ac:dyDescent="0.45">
      <c r="A258" s="69"/>
      <c r="B258" s="12"/>
      <c r="C258" s="12"/>
      <c r="D258" s="12"/>
      <c r="E258" s="12"/>
      <c r="F258" s="12"/>
      <c r="G258" s="12"/>
      <c r="H258" s="12"/>
      <c r="I258" s="12"/>
      <c r="J258" s="12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 ht="15.75" customHeight="1" x14ac:dyDescent="0.45">
      <c r="A259" s="69"/>
      <c r="B259" s="12"/>
      <c r="C259" s="12"/>
      <c r="D259" s="12"/>
      <c r="E259" s="12"/>
      <c r="F259" s="12"/>
      <c r="G259" s="12"/>
      <c r="H259" s="12"/>
      <c r="I259" s="12"/>
      <c r="J259" s="12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 ht="15.75" customHeight="1" x14ac:dyDescent="0.45">
      <c r="A260" s="69"/>
      <c r="B260" s="12"/>
      <c r="C260" s="12"/>
      <c r="D260" s="12"/>
      <c r="E260" s="12"/>
      <c r="F260" s="12"/>
      <c r="G260" s="12"/>
      <c r="H260" s="12"/>
      <c r="I260" s="12"/>
      <c r="J260" s="12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 ht="15.75" customHeight="1" x14ac:dyDescent="0.45">
      <c r="A261" s="69"/>
      <c r="B261" s="12"/>
      <c r="C261" s="12"/>
      <c r="D261" s="12"/>
      <c r="E261" s="12"/>
      <c r="F261" s="12"/>
      <c r="G261" s="12"/>
      <c r="H261" s="12"/>
      <c r="I261" s="12"/>
      <c r="J261" s="12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 ht="15.75" customHeight="1" x14ac:dyDescent="0.45">
      <c r="A262" s="69"/>
      <c r="B262" s="12"/>
      <c r="C262" s="12"/>
      <c r="D262" s="12"/>
      <c r="E262" s="12"/>
      <c r="F262" s="12"/>
      <c r="G262" s="12"/>
      <c r="H262" s="12"/>
      <c r="I262" s="12"/>
      <c r="J262" s="12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 ht="15.75" customHeight="1" x14ac:dyDescent="0.45">
      <c r="A263" s="69"/>
      <c r="B263" s="12"/>
      <c r="C263" s="12"/>
      <c r="D263" s="12"/>
      <c r="E263" s="12"/>
      <c r="F263" s="12"/>
      <c r="G263" s="12"/>
      <c r="H263" s="12"/>
      <c r="I263" s="12"/>
      <c r="J263" s="12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 ht="15.75" customHeight="1" x14ac:dyDescent="0.45">
      <c r="A264" s="69"/>
      <c r="B264" s="12"/>
      <c r="C264" s="12"/>
      <c r="D264" s="12"/>
      <c r="E264" s="12"/>
      <c r="F264" s="12"/>
      <c r="G264" s="12"/>
      <c r="H264" s="12"/>
      <c r="I264" s="12"/>
      <c r="J264" s="12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 ht="15.75" customHeight="1" x14ac:dyDescent="0.45">
      <c r="A265" s="69"/>
      <c r="B265" s="12"/>
      <c r="C265" s="12"/>
      <c r="D265" s="12"/>
      <c r="E265" s="12"/>
      <c r="F265" s="12"/>
      <c r="G265" s="12"/>
      <c r="H265" s="12"/>
      <c r="I265" s="12"/>
      <c r="J265" s="12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 ht="15.75" customHeight="1" x14ac:dyDescent="0.45">
      <c r="A266" s="69"/>
      <c r="B266" s="12"/>
      <c r="C266" s="12"/>
      <c r="D266" s="12"/>
      <c r="E266" s="12"/>
      <c r="F266" s="12"/>
      <c r="G266" s="12"/>
      <c r="H266" s="12"/>
      <c r="I266" s="12"/>
      <c r="J266" s="12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 ht="15.75" customHeight="1" x14ac:dyDescent="0.45">
      <c r="A267" s="69"/>
      <c r="B267" s="12"/>
      <c r="C267" s="12"/>
      <c r="D267" s="12"/>
      <c r="E267" s="12"/>
      <c r="F267" s="12"/>
      <c r="G267" s="12"/>
      <c r="H267" s="12"/>
      <c r="I267" s="12"/>
      <c r="J267" s="12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 ht="15.75" customHeight="1" x14ac:dyDescent="0.45">
      <c r="A268" s="69"/>
      <c r="B268" s="12"/>
      <c r="C268" s="12"/>
      <c r="D268" s="12"/>
      <c r="E268" s="12"/>
      <c r="F268" s="12"/>
      <c r="G268" s="12"/>
      <c r="H268" s="12"/>
      <c r="I268" s="12"/>
      <c r="J268" s="12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 ht="15.75" customHeight="1" x14ac:dyDescent="0.45">
      <c r="A269" s="69"/>
      <c r="B269" s="12"/>
      <c r="C269" s="12"/>
      <c r="D269" s="12"/>
      <c r="E269" s="12"/>
      <c r="F269" s="12"/>
      <c r="G269" s="12"/>
      <c r="H269" s="12"/>
      <c r="I269" s="12"/>
      <c r="J269" s="12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 ht="15.75" customHeight="1" x14ac:dyDescent="0.45">
      <c r="A270" s="69"/>
      <c r="B270" s="12"/>
      <c r="C270" s="12"/>
      <c r="D270" s="12"/>
      <c r="E270" s="12"/>
      <c r="F270" s="12"/>
      <c r="G270" s="12"/>
      <c r="H270" s="12"/>
      <c r="I270" s="12"/>
      <c r="J270" s="12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 ht="15.75" customHeight="1" x14ac:dyDescent="0.45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 ht="15.75" customHeight="1" x14ac:dyDescent="0.45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 ht="15.75" customHeight="1" x14ac:dyDescent="0.45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 ht="15.75" customHeight="1" x14ac:dyDescent="0.45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 ht="15.75" customHeight="1" x14ac:dyDescent="0.4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 ht="15.75" customHeight="1" x14ac:dyDescent="0.45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 ht="15.75" customHeight="1" x14ac:dyDescent="0.45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 ht="15.75" customHeight="1" x14ac:dyDescent="0.4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 ht="15.75" customHeight="1" x14ac:dyDescent="0.4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 ht="15.75" customHeight="1" x14ac:dyDescent="0.4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 ht="15.75" customHeight="1" x14ac:dyDescent="0.4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 ht="15.75" customHeight="1" x14ac:dyDescent="0.4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 ht="15.75" customHeight="1" x14ac:dyDescent="0.4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 ht="15.75" customHeight="1" x14ac:dyDescent="0.4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 ht="15.75" customHeight="1" x14ac:dyDescent="0.4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 ht="15.75" customHeight="1" x14ac:dyDescent="0.4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 ht="15.75" customHeight="1" x14ac:dyDescent="0.4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 ht="15.75" customHeight="1" x14ac:dyDescent="0.4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 ht="15.75" customHeight="1" x14ac:dyDescent="0.4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 ht="15.75" customHeight="1" x14ac:dyDescent="0.4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 ht="15.75" customHeight="1" x14ac:dyDescent="0.4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 ht="15.75" customHeight="1" x14ac:dyDescent="0.4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 ht="15.75" customHeight="1" x14ac:dyDescent="0.4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 ht="15.75" customHeight="1" x14ac:dyDescent="0.4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 ht="15.75" customHeight="1" x14ac:dyDescent="0.4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 ht="15.75" customHeight="1" x14ac:dyDescent="0.4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 ht="15.75" customHeight="1" x14ac:dyDescent="0.4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 ht="15.75" customHeight="1" x14ac:dyDescent="0.4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 ht="15.75" customHeight="1" x14ac:dyDescent="0.4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 ht="15.75" customHeight="1" x14ac:dyDescent="0.4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 ht="15.75" customHeight="1" x14ac:dyDescent="0.4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 ht="15.75" customHeight="1" x14ac:dyDescent="0.4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 ht="15.75" customHeight="1" x14ac:dyDescent="0.4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 ht="15.75" customHeight="1" x14ac:dyDescent="0.4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 ht="15.75" customHeight="1" x14ac:dyDescent="0.4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 ht="15.75" customHeight="1" x14ac:dyDescent="0.4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 ht="15.75" customHeight="1" x14ac:dyDescent="0.4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 ht="15.75" customHeight="1" x14ac:dyDescent="0.4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 ht="15.75" customHeight="1" x14ac:dyDescent="0.4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 ht="15.75" customHeight="1" x14ac:dyDescent="0.4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 ht="15.75" customHeight="1" x14ac:dyDescent="0.4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15.75" customHeight="1" x14ac:dyDescent="0.4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 ht="15.75" customHeight="1" x14ac:dyDescent="0.4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 ht="15.75" customHeight="1" x14ac:dyDescent="0.4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 ht="15.75" customHeight="1" x14ac:dyDescent="0.4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 ht="15.75" customHeight="1" x14ac:dyDescent="0.4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 ht="15.75" customHeight="1" x14ac:dyDescent="0.4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15.75" customHeight="1" x14ac:dyDescent="0.4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15.75" customHeight="1" x14ac:dyDescent="0.4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15.75" customHeight="1" x14ac:dyDescent="0.4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15.75" customHeight="1" x14ac:dyDescent="0.4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15.75" customHeight="1" x14ac:dyDescent="0.4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15.75" customHeight="1" x14ac:dyDescent="0.4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15.75" customHeight="1" x14ac:dyDescent="0.4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15.75" customHeight="1" x14ac:dyDescent="0.4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15.75" customHeight="1" x14ac:dyDescent="0.45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15.75" customHeight="1" x14ac:dyDescent="0.45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15.75" customHeight="1" x14ac:dyDescent="0.45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15.75" customHeight="1" x14ac:dyDescent="0.45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15.75" customHeight="1" x14ac:dyDescent="0.45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15.75" customHeight="1" x14ac:dyDescent="0.45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15.75" customHeight="1" x14ac:dyDescent="0.45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15.75" customHeight="1" x14ac:dyDescent="0.45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15.75" customHeight="1" x14ac:dyDescent="0.45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15.75" customHeight="1" x14ac:dyDescent="0.4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15.75" customHeight="1" x14ac:dyDescent="0.45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15.75" customHeight="1" x14ac:dyDescent="0.45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15.75" customHeight="1" x14ac:dyDescent="0.45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15.75" customHeight="1" x14ac:dyDescent="0.45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15.75" customHeight="1" x14ac:dyDescent="0.45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15.75" customHeight="1" x14ac:dyDescent="0.45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15.75" customHeight="1" x14ac:dyDescent="0.45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5.75" customHeight="1" x14ac:dyDescent="0.45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15.75" customHeight="1" x14ac:dyDescent="0.45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15.75" customHeight="1" x14ac:dyDescent="0.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15.75" customHeight="1" x14ac:dyDescent="0.45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15.75" customHeight="1" x14ac:dyDescent="0.45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15.75" customHeight="1" x14ac:dyDescent="0.45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15.75" customHeight="1" x14ac:dyDescent="0.45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15.75" customHeight="1" x14ac:dyDescent="0.45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15.75" customHeight="1" x14ac:dyDescent="0.45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15.75" customHeight="1" x14ac:dyDescent="0.45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15.75" customHeight="1" x14ac:dyDescent="0.45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15.75" customHeight="1" x14ac:dyDescent="0.45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15.75" customHeight="1" x14ac:dyDescent="0.4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15.75" customHeight="1" x14ac:dyDescent="0.4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15.75" customHeight="1" x14ac:dyDescent="0.4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15.75" customHeight="1" x14ac:dyDescent="0.4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15.75" customHeight="1" x14ac:dyDescent="0.4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15.75" customHeight="1" x14ac:dyDescent="0.4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15.75" customHeight="1" x14ac:dyDescent="0.4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15.75" customHeight="1" x14ac:dyDescent="0.4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15.75" customHeight="1" x14ac:dyDescent="0.4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15.75" customHeight="1" x14ac:dyDescent="0.45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15.75" customHeight="1" x14ac:dyDescent="0.4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15.75" customHeight="1" x14ac:dyDescent="0.45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15.75" customHeight="1" x14ac:dyDescent="0.45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15.75" customHeight="1" x14ac:dyDescent="0.45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15.75" customHeight="1" x14ac:dyDescent="0.45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15.75" customHeight="1" x14ac:dyDescent="0.45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15.75" customHeight="1" x14ac:dyDescent="0.45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15.75" customHeight="1" x14ac:dyDescent="0.4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15.75" customHeight="1" x14ac:dyDescent="0.45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15.75" customHeight="1" x14ac:dyDescent="0.45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15.75" customHeight="1" x14ac:dyDescent="0.4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15.75" customHeight="1" x14ac:dyDescent="0.45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15.75" customHeight="1" x14ac:dyDescent="0.45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15.75" customHeight="1" x14ac:dyDescent="0.45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15.75" customHeight="1" x14ac:dyDescent="0.45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15.75" customHeight="1" x14ac:dyDescent="0.45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15.75" customHeight="1" x14ac:dyDescent="0.45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15.75" customHeight="1" x14ac:dyDescent="0.45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15.75" customHeight="1" x14ac:dyDescent="0.45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15.75" customHeight="1" x14ac:dyDescent="0.45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15.75" customHeight="1" x14ac:dyDescent="0.4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15.75" customHeight="1" x14ac:dyDescent="0.45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15.75" customHeight="1" x14ac:dyDescent="0.45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15.75" customHeight="1" x14ac:dyDescent="0.45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15.75" customHeight="1" x14ac:dyDescent="0.45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15.75" customHeight="1" x14ac:dyDescent="0.45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15.75" customHeight="1" x14ac:dyDescent="0.45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15.75" customHeight="1" x14ac:dyDescent="0.45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15.75" customHeight="1" x14ac:dyDescent="0.45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15.75" customHeight="1" x14ac:dyDescent="0.45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15.75" customHeight="1" x14ac:dyDescent="0.4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15.75" customHeight="1" x14ac:dyDescent="0.45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15.75" customHeight="1" x14ac:dyDescent="0.45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15.75" customHeight="1" x14ac:dyDescent="0.45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15.75" customHeight="1" x14ac:dyDescent="0.45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15.75" customHeight="1" x14ac:dyDescent="0.45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15.75" customHeight="1" x14ac:dyDescent="0.45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15.75" customHeight="1" x14ac:dyDescent="0.45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15.75" customHeight="1" x14ac:dyDescent="0.45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15.75" customHeight="1" x14ac:dyDescent="0.45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15.75" customHeight="1" x14ac:dyDescent="0.4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15.75" customHeight="1" x14ac:dyDescent="0.45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15.75" customHeight="1" x14ac:dyDescent="0.45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15.75" customHeight="1" x14ac:dyDescent="0.45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15.75" customHeight="1" x14ac:dyDescent="0.45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15.75" customHeight="1" x14ac:dyDescent="0.45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15.75" customHeight="1" x14ac:dyDescent="0.45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15.75" customHeight="1" x14ac:dyDescent="0.45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15.75" customHeight="1" x14ac:dyDescent="0.45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15.75" customHeight="1" x14ac:dyDescent="0.45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15.75" customHeight="1" x14ac:dyDescent="0.4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15.75" customHeight="1" x14ac:dyDescent="0.4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15.75" customHeight="1" x14ac:dyDescent="0.45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15.75" customHeight="1" x14ac:dyDescent="0.45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15.75" customHeight="1" x14ac:dyDescent="0.45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15.75" customHeight="1" x14ac:dyDescent="0.45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15.75" customHeight="1" x14ac:dyDescent="0.45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15.75" customHeight="1" x14ac:dyDescent="0.45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15.75" customHeight="1" x14ac:dyDescent="0.45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15.75" customHeight="1" x14ac:dyDescent="0.45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15.75" customHeight="1" x14ac:dyDescent="0.4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15.75" customHeight="1" x14ac:dyDescent="0.45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15.75" customHeight="1" x14ac:dyDescent="0.45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15.75" customHeight="1" x14ac:dyDescent="0.45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15.75" customHeight="1" x14ac:dyDescent="0.45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15.75" customHeight="1" x14ac:dyDescent="0.45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15.75" customHeight="1" x14ac:dyDescent="0.45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15.75" customHeight="1" x14ac:dyDescent="0.45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15.75" customHeight="1" x14ac:dyDescent="0.45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15.75" customHeight="1" x14ac:dyDescent="0.45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15.75" customHeight="1" x14ac:dyDescent="0.4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15.75" customHeight="1" x14ac:dyDescent="0.45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15.75" customHeight="1" x14ac:dyDescent="0.45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15.75" customHeight="1" x14ac:dyDescent="0.45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15.75" customHeight="1" x14ac:dyDescent="0.45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15.75" customHeight="1" x14ac:dyDescent="0.45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15.75" customHeight="1" x14ac:dyDescent="0.45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15.75" customHeight="1" x14ac:dyDescent="0.45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15.75" customHeight="1" x14ac:dyDescent="0.45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15.75" customHeight="1" x14ac:dyDescent="0.45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15.75" customHeight="1" x14ac:dyDescent="0.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15.75" customHeight="1" x14ac:dyDescent="0.45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15.75" customHeight="1" x14ac:dyDescent="0.45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15.75" customHeight="1" x14ac:dyDescent="0.45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15.75" customHeight="1" x14ac:dyDescent="0.45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15.75" customHeight="1" x14ac:dyDescent="0.45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15.75" customHeight="1" x14ac:dyDescent="0.4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15.75" customHeight="1" x14ac:dyDescent="0.45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15.75" customHeight="1" x14ac:dyDescent="0.45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15.75" customHeight="1" x14ac:dyDescent="0.45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15.75" customHeight="1" x14ac:dyDescent="0.4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15.75" customHeight="1" x14ac:dyDescent="0.45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15.75" customHeight="1" x14ac:dyDescent="0.45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15.75" customHeight="1" x14ac:dyDescent="0.45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15.75" customHeight="1" x14ac:dyDescent="0.4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15.75" customHeight="1" x14ac:dyDescent="0.4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15.75" customHeight="1" x14ac:dyDescent="0.4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15.75" customHeight="1" x14ac:dyDescent="0.4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15.75" customHeight="1" x14ac:dyDescent="0.4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15.75" customHeight="1" x14ac:dyDescent="0.4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15.75" customHeight="1" x14ac:dyDescent="0.4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15.75" customHeight="1" x14ac:dyDescent="0.4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15.75" customHeight="1" x14ac:dyDescent="0.4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15.75" customHeight="1" x14ac:dyDescent="0.4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15.75" customHeight="1" x14ac:dyDescent="0.4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15.75" customHeight="1" x14ac:dyDescent="0.4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15.75" customHeight="1" x14ac:dyDescent="0.4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15.75" customHeight="1" x14ac:dyDescent="0.4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15.75" customHeight="1" x14ac:dyDescent="0.4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15.75" customHeight="1" x14ac:dyDescent="0.4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15.75" customHeight="1" x14ac:dyDescent="0.4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15.75" customHeight="1" x14ac:dyDescent="0.4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15.75" customHeight="1" x14ac:dyDescent="0.4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15.75" customHeight="1" x14ac:dyDescent="0.4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15.75" customHeight="1" x14ac:dyDescent="0.4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15.75" customHeight="1" x14ac:dyDescent="0.4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15.75" customHeight="1" x14ac:dyDescent="0.4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15.75" customHeight="1" x14ac:dyDescent="0.4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15.75" customHeight="1" x14ac:dyDescent="0.4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15.75" customHeight="1" x14ac:dyDescent="0.4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15.75" customHeight="1" x14ac:dyDescent="0.4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15.75" customHeight="1" x14ac:dyDescent="0.4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15.75" customHeight="1" x14ac:dyDescent="0.4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15.75" customHeight="1" x14ac:dyDescent="0.4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15.75" customHeight="1" x14ac:dyDescent="0.4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15.75" customHeight="1" x14ac:dyDescent="0.4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15.75" customHeight="1" x14ac:dyDescent="0.4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15.75" customHeight="1" x14ac:dyDescent="0.4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15.75" customHeight="1" x14ac:dyDescent="0.4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15.75" customHeight="1" x14ac:dyDescent="0.4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15.75" customHeight="1" x14ac:dyDescent="0.4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15.75" customHeight="1" x14ac:dyDescent="0.4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15.75" customHeight="1" x14ac:dyDescent="0.4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15.75" customHeight="1" x14ac:dyDescent="0.4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15.75" customHeight="1" x14ac:dyDescent="0.4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15.75" customHeight="1" x14ac:dyDescent="0.4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15.75" customHeight="1" x14ac:dyDescent="0.4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15.75" customHeight="1" x14ac:dyDescent="0.4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15.75" customHeight="1" x14ac:dyDescent="0.4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15.75" customHeight="1" x14ac:dyDescent="0.4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15.75" customHeight="1" x14ac:dyDescent="0.4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15.75" customHeight="1" x14ac:dyDescent="0.4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15.75" customHeight="1" x14ac:dyDescent="0.4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15.75" customHeight="1" x14ac:dyDescent="0.4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15.75" customHeight="1" x14ac:dyDescent="0.4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15.75" customHeight="1" x14ac:dyDescent="0.4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15.75" customHeight="1" x14ac:dyDescent="0.4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15.75" customHeight="1" x14ac:dyDescent="0.4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15.75" customHeight="1" x14ac:dyDescent="0.4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15.75" customHeight="1" x14ac:dyDescent="0.4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15.75" customHeight="1" x14ac:dyDescent="0.4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15.75" customHeight="1" x14ac:dyDescent="0.4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15.75" customHeight="1" x14ac:dyDescent="0.4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15.75" customHeight="1" x14ac:dyDescent="0.4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15.75" customHeight="1" x14ac:dyDescent="0.4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15.75" customHeight="1" x14ac:dyDescent="0.4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15.75" customHeight="1" x14ac:dyDescent="0.4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15.75" customHeight="1" x14ac:dyDescent="0.4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15.75" customHeight="1" x14ac:dyDescent="0.4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15.75" customHeight="1" x14ac:dyDescent="0.4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15.75" customHeight="1" x14ac:dyDescent="0.4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15.75" customHeight="1" x14ac:dyDescent="0.4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15.75" customHeight="1" x14ac:dyDescent="0.4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15.75" customHeight="1" x14ac:dyDescent="0.4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15.75" customHeight="1" x14ac:dyDescent="0.4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15.75" customHeight="1" x14ac:dyDescent="0.4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15.75" customHeight="1" x14ac:dyDescent="0.4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15.75" customHeight="1" x14ac:dyDescent="0.4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15.75" customHeight="1" x14ac:dyDescent="0.4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15.75" customHeight="1" x14ac:dyDescent="0.4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15.75" customHeight="1" x14ac:dyDescent="0.4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15.75" customHeight="1" x14ac:dyDescent="0.4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15.75" customHeight="1" x14ac:dyDescent="0.4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15.75" customHeight="1" x14ac:dyDescent="0.4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15.75" customHeight="1" x14ac:dyDescent="0.4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15.75" customHeight="1" x14ac:dyDescent="0.4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15.75" customHeight="1" x14ac:dyDescent="0.4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15.75" customHeight="1" x14ac:dyDescent="0.4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15.75" customHeight="1" x14ac:dyDescent="0.4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15.75" customHeight="1" x14ac:dyDescent="0.4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15.75" customHeight="1" x14ac:dyDescent="0.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15.75" customHeight="1" x14ac:dyDescent="0.4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15.75" customHeight="1" x14ac:dyDescent="0.4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15.75" customHeight="1" x14ac:dyDescent="0.4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15.75" customHeight="1" x14ac:dyDescent="0.4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15.75" customHeight="1" x14ac:dyDescent="0.4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15.75" customHeight="1" x14ac:dyDescent="0.4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15.75" customHeight="1" x14ac:dyDescent="0.4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15.75" customHeight="1" x14ac:dyDescent="0.4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15.75" customHeight="1" x14ac:dyDescent="0.4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15.75" customHeight="1" x14ac:dyDescent="0.4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15.75" customHeight="1" x14ac:dyDescent="0.4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15.75" customHeight="1" x14ac:dyDescent="0.4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15.75" customHeight="1" x14ac:dyDescent="0.4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15.75" customHeight="1" x14ac:dyDescent="0.4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15.75" customHeight="1" x14ac:dyDescent="0.4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15.75" customHeight="1" x14ac:dyDescent="0.4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15.75" customHeight="1" x14ac:dyDescent="0.4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15.75" customHeight="1" x14ac:dyDescent="0.4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15.75" customHeight="1" x14ac:dyDescent="0.4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15.75" customHeight="1" x14ac:dyDescent="0.4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15.75" customHeight="1" x14ac:dyDescent="0.4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15.75" customHeight="1" x14ac:dyDescent="0.4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15.75" customHeight="1" x14ac:dyDescent="0.4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15.75" customHeight="1" x14ac:dyDescent="0.4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15.75" customHeight="1" x14ac:dyDescent="0.4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15.75" customHeight="1" x14ac:dyDescent="0.4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15.75" customHeight="1" x14ac:dyDescent="0.4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15.75" customHeight="1" x14ac:dyDescent="0.4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15.75" customHeight="1" x14ac:dyDescent="0.4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15.75" customHeight="1" x14ac:dyDescent="0.4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15.75" customHeight="1" x14ac:dyDescent="0.4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15.75" customHeight="1" x14ac:dyDescent="0.4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15.75" customHeight="1" x14ac:dyDescent="0.4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15.75" customHeight="1" x14ac:dyDescent="0.4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15.75" customHeight="1" x14ac:dyDescent="0.4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15.75" customHeight="1" x14ac:dyDescent="0.4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15.75" customHeight="1" x14ac:dyDescent="0.4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15.75" customHeight="1" x14ac:dyDescent="0.4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15.75" customHeight="1" x14ac:dyDescent="0.4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15.75" customHeight="1" x14ac:dyDescent="0.4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15.75" customHeight="1" x14ac:dyDescent="0.4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15.75" customHeight="1" x14ac:dyDescent="0.4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15.75" customHeight="1" x14ac:dyDescent="0.4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15.75" customHeight="1" x14ac:dyDescent="0.4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15.75" customHeight="1" x14ac:dyDescent="0.4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15.75" customHeight="1" x14ac:dyDescent="0.4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15.75" customHeight="1" x14ac:dyDescent="0.4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15.75" customHeight="1" x14ac:dyDescent="0.4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15.75" customHeight="1" x14ac:dyDescent="0.4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15.75" customHeight="1" x14ac:dyDescent="0.4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15.75" customHeight="1" x14ac:dyDescent="0.4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15.75" customHeight="1" x14ac:dyDescent="0.4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15.75" customHeight="1" x14ac:dyDescent="0.4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15.75" customHeight="1" x14ac:dyDescent="0.4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15.75" customHeight="1" x14ac:dyDescent="0.4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15.75" customHeight="1" x14ac:dyDescent="0.4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15.75" customHeight="1" x14ac:dyDescent="0.4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15.75" customHeight="1" x14ac:dyDescent="0.4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15.75" customHeight="1" x14ac:dyDescent="0.4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15.75" customHeight="1" x14ac:dyDescent="0.4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15.75" customHeight="1" x14ac:dyDescent="0.4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15.75" customHeight="1" x14ac:dyDescent="0.4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15.75" customHeight="1" x14ac:dyDescent="0.4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15.75" customHeight="1" x14ac:dyDescent="0.4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15.75" customHeight="1" x14ac:dyDescent="0.4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15.75" customHeight="1" x14ac:dyDescent="0.4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15.75" customHeight="1" x14ac:dyDescent="0.4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15.75" customHeight="1" x14ac:dyDescent="0.4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15.75" customHeight="1" x14ac:dyDescent="0.4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15.75" customHeight="1" x14ac:dyDescent="0.4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15.75" customHeight="1" x14ac:dyDescent="0.4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15.75" customHeight="1" x14ac:dyDescent="0.4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15.75" customHeight="1" x14ac:dyDescent="0.4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15.75" customHeight="1" x14ac:dyDescent="0.4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15.75" customHeight="1" x14ac:dyDescent="0.4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15.75" customHeight="1" x14ac:dyDescent="0.4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15.75" customHeight="1" x14ac:dyDescent="0.4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15.75" customHeight="1" x14ac:dyDescent="0.4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15.75" customHeight="1" x14ac:dyDescent="0.4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15.75" customHeight="1" x14ac:dyDescent="0.4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15.75" customHeight="1" x14ac:dyDescent="0.4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15.75" customHeight="1" x14ac:dyDescent="0.4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15.75" customHeight="1" x14ac:dyDescent="0.4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15.75" customHeight="1" x14ac:dyDescent="0.4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15.75" customHeight="1" x14ac:dyDescent="0.4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15.75" customHeight="1" x14ac:dyDescent="0.4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15.75" customHeight="1" x14ac:dyDescent="0.4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15.75" customHeight="1" x14ac:dyDescent="0.4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15.75" customHeight="1" x14ac:dyDescent="0.4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15.75" customHeight="1" x14ac:dyDescent="0.4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15.75" customHeight="1" x14ac:dyDescent="0.4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15.75" customHeight="1" x14ac:dyDescent="0.4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15.75" customHeight="1" x14ac:dyDescent="0.4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15.75" customHeight="1" x14ac:dyDescent="0.4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15.75" customHeight="1" x14ac:dyDescent="0.4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15.75" customHeight="1" x14ac:dyDescent="0.4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15.75" customHeight="1" x14ac:dyDescent="0.4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15.75" customHeight="1" x14ac:dyDescent="0.4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15.75" customHeight="1" x14ac:dyDescent="0.4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15.75" customHeight="1" x14ac:dyDescent="0.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15.75" customHeight="1" x14ac:dyDescent="0.4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15.75" customHeight="1" x14ac:dyDescent="0.4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15.75" customHeight="1" x14ac:dyDescent="0.4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15.75" customHeight="1" x14ac:dyDescent="0.4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15.75" customHeight="1" x14ac:dyDescent="0.4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15.75" customHeight="1" x14ac:dyDescent="0.4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15.75" customHeight="1" x14ac:dyDescent="0.4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15.75" customHeight="1" x14ac:dyDescent="0.4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15.75" customHeight="1" x14ac:dyDescent="0.4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15.75" customHeight="1" x14ac:dyDescent="0.4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15.75" customHeight="1" x14ac:dyDescent="0.4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15.75" customHeight="1" x14ac:dyDescent="0.4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15.75" customHeight="1" x14ac:dyDescent="0.4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15.75" customHeight="1" x14ac:dyDescent="0.4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15.75" customHeight="1" x14ac:dyDescent="0.4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15.75" customHeight="1" x14ac:dyDescent="0.4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15.75" customHeight="1" x14ac:dyDescent="0.4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15.75" customHeight="1" x14ac:dyDescent="0.4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15.75" customHeight="1" x14ac:dyDescent="0.4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15.75" customHeight="1" x14ac:dyDescent="0.4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15.75" customHeight="1" x14ac:dyDescent="0.4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15.75" customHeight="1" x14ac:dyDescent="0.4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15.75" customHeight="1" x14ac:dyDescent="0.4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15.75" customHeight="1" x14ac:dyDescent="0.4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15.75" customHeight="1" x14ac:dyDescent="0.4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15.75" customHeight="1" x14ac:dyDescent="0.4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15.75" customHeight="1" x14ac:dyDescent="0.4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15.75" customHeight="1" x14ac:dyDescent="0.4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15.75" customHeight="1" x14ac:dyDescent="0.4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15.75" customHeight="1" x14ac:dyDescent="0.4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15.75" customHeight="1" x14ac:dyDescent="0.4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15.75" customHeight="1" x14ac:dyDescent="0.4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15.75" customHeight="1" x14ac:dyDescent="0.4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15.75" customHeight="1" x14ac:dyDescent="0.4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15.75" customHeight="1" x14ac:dyDescent="0.4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15.75" customHeight="1" x14ac:dyDescent="0.4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15.75" customHeight="1" x14ac:dyDescent="0.4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15.75" customHeight="1" x14ac:dyDescent="0.4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15.75" customHeight="1" x14ac:dyDescent="0.4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15.75" customHeight="1" x14ac:dyDescent="0.4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15.75" customHeight="1" x14ac:dyDescent="0.4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15.75" customHeight="1" x14ac:dyDescent="0.4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15.75" customHeight="1" x14ac:dyDescent="0.4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15.75" customHeight="1" x14ac:dyDescent="0.4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15.75" customHeight="1" x14ac:dyDescent="0.4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15.75" customHeight="1" x14ac:dyDescent="0.4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15.75" customHeight="1" x14ac:dyDescent="0.4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15.75" customHeight="1" x14ac:dyDescent="0.4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15.75" customHeight="1" x14ac:dyDescent="0.4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15.75" customHeight="1" x14ac:dyDescent="0.4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15.75" customHeight="1" x14ac:dyDescent="0.4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15.75" customHeight="1" x14ac:dyDescent="0.4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15.75" customHeight="1" x14ac:dyDescent="0.4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15.75" customHeight="1" x14ac:dyDescent="0.4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15.75" customHeight="1" x14ac:dyDescent="0.4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15.75" customHeight="1" x14ac:dyDescent="0.4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15.75" customHeight="1" x14ac:dyDescent="0.4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15.75" customHeight="1" x14ac:dyDescent="0.4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15.75" customHeight="1" x14ac:dyDescent="0.4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15.75" customHeight="1" x14ac:dyDescent="0.4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15.75" customHeight="1" x14ac:dyDescent="0.4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15.75" customHeight="1" x14ac:dyDescent="0.4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15.75" customHeight="1" x14ac:dyDescent="0.4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15.75" customHeight="1" x14ac:dyDescent="0.4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15.75" customHeight="1" x14ac:dyDescent="0.4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15.75" customHeight="1" x14ac:dyDescent="0.4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15.75" customHeight="1" x14ac:dyDescent="0.4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15.75" customHeight="1" x14ac:dyDescent="0.4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15.75" customHeight="1" x14ac:dyDescent="0.4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15.75" customHeight="1" x14ac:dyDescent="0.4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15.75" customHeight="1" x14ac:dyDescent="0.4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15.75" customHeight="1" x14ac:dyDescent="0.4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15.75" customHeight="1" x14ac:dyDescent="0.4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15.75" customHeight="1" x14ac:dyDescent="0.4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15.75" customHeight="1" x14ac:dyDescent="0.4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15.75" customHeight="1" x14ac:dyDescent="0.4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15.75" customHeight="1" x14ac:dyDescent="0.4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15.75" customHeight="1" x14ac:dyDescent="0.4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15.75" customHeight="1" x14ac:dyDescent="0.4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15.75" customHeight="1" x14ac:dyDescent="0.4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15.75" customHeight="1" x14ac:dyDescent="0.4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15.75" customHeight="1" x14ac:dyDescent="0.4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15.75" customHeight="1" x14ac:dyDescent="0.4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15.75" customHeight="1" x14ac:dyDescent="0.4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15.75" customHeight="1" x14ac:dyDescent="0.4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15.75" customHeight="1" x14ac:dyDescent="0.4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15.75" customHeight="1" x14ac:dyDescent="0.4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15.75" customHeight="1" x14ac:dyDescent="0.4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15.75" customHeight="1" x14ac:dyDescent="0.4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15.75" customHeight="1" x14ac:dyDescent="0.4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15.75" customHeight="1" x14ac:dyDescent="0.4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15.75" customHeight="1" x14ac:dyDescent="0.4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15.75" customHeight="1" x14ac:dyDescent="0.4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15.75" customHeight="1" x14ac:dyDescent="0.4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15.75" customHeight="1" x14ac:dyDescent="0.4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15.75" customHeight="1" x14ac:dyDescent="0.4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15.75" customHeight="1" x14ac:dyDescent="0.4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15.75" customHeight="1" x14ac:dyDescent="0.4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15.75" customHeight="1" x14ac:dyDescent="0.4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15.75" customHeight="1" x14ac:dyDescent="0.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15.75" customHeight="1" x14ac:dyDescent="0.4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15.75" customHeight="1" x14ac:dyDescent="0.4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15.75" customHeight="1" x14ac:dyDescent="0.4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15.75" customHeight="1" x14ac:dyDescent="0.4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15.75" customHeight="1" x14ac:dyDescent="0.4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15.75" customHeight="1" x14ac:dyDescent="0.4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15.75" customHeight="1" x14ac:dyDescent="0.4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15.75" customHeight="1" x14ac:dyDescent="0.4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15.75" customHeight="1" x14ac:dyDescent="0.4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15.75" customHeight="1" x14ac:dyDescent="0.4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15.75" customHeight="1" x14ac:dyDescent="0.4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15.75" customHeight="1" x14ac:dyDescent="0.4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15.75" customHeight="1" x14ac:dyDescent="0.4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15.75" customHeight="1" x14ac:dyDescent="0.4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15.75" customHeight="1" x14ac:dyDescent="0.4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15.75" customHeight="1" x14ac:dyDescent="0.4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15.75" customHeight="1" x14ac:dyDescent="0.4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15.75" customHeight="1" x14ac:dyDescent="0.4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15.75" customHeight="1" x14ac:dyDescent="0.4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15.75" customHeight="1" x14ac:dyDescent="0.4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15.75" customHeight="1" x14ac:dyDescent="0.4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15.75" customHeight="1" x14ac:dyDescent="0.4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15.75" customHeight="1" x14ac:dyDescent="0.4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15.75" customHeight="1" x14ac:dyDescent="0.4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15.75" customHeight="1" x14ac:dyDescent="0.4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15.75" customHeight="1" x14ac:dyDescent="0.4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15.75" customHeight="1" x14ac:dyDescent="0.4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15.75" customHeight="1" x14ac:dyDescent="0.4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15.75" customHeight="1" x14ac:dyDescent="0.4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15.75" customHeight="1" x14ac:dyDescent="0.4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15.75" customHeight="1" x14ac:dyDescent="0.4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15.75" customHeight="1" x14ac:dyDescent="0.4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15.75" customHeight="1" x14ac:dyDescent="0.4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15.75" customHeight="1" x14ac:dyDescent="0.4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15.75" customHeight="1" x14ac:dyDescent="0.4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15.75" customHeight="1" x14ac:dyDescent="0.4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15.75" customHeight="1" x14ac:dyDescent="0.4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15.75" customHeight="1" x14ac:dyDescent="0.45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15.75" customHeight="1" x14ac:dyDescent="0.45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15.75" customHeight="1" x14ac:dyDescent="0.4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15.75" customHeight="1" x14ac:dyDescent="0.45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15.75" customHeight="1" x14ac:dyDescent="0.45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15.75" customHeight="1" x14ac:dyDescent="0.45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15.75" customHeight="1" x14ac:dyDescent="0.45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15.75" customHeight="1" x14ac:dyDescent="0.45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15.75" customHeight="1" x14ac:dyDescent="0.45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15.75" customHeight="1" x14ac:dyDescent="0.45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15.75" customHeight="1" x14ac:dyDescent="0.45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15.75" customHeight="1" x14ac:dyDescent="0.45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15.75" customHeight="1" x14ac:dyDescent="0.4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15.75" customHeight="1" x14ac:dyDescent="0.45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15.75" customHeight="1" x14ac:dyDescent="0.45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15.75" customHeight="1" x14ac:dyDescent="0.45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 ht="15.75" customHeight="1" x14ac:dyDescent="0.45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 ht="15.75" customHeight="1" x14ac:dyDescent="0.45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 ht="15.75" customHeight="1" x14ac:dyDescent="0.45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 ht="15.75" customHeight="1" x14ac:dyDescent="0.45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 ht="15.75" customHeight="1" x14ac:dyDescent="0.45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 ht="15.75" customHeight="1" x14ac:dyDescent="0.45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 ht="15.75" customHeight="1" x14ac:dyDescent="0.4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 ht="15.75" customHeight="1" x14ac:dyDescent="0.45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 ht="15.75" customHeight="1" x14ac:dyDescent="0.45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 ht="15.75" customHeight="1" x14ac:dyDescent="0.45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 ht="15.75" customHeight="1" x14ac:dyDescent="0.45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 ht="15.75" customHeight="1" x14ac:dyDescent="0.45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 ht="15.75" customHeight="1" x14ac:dyDescent="0.45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 ht="15.75" customHeight="1" x14ac:dyDescent="0.45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 ht="15.75" customHeight="1" x14ac:dyDescent="0.45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 ht="15.75" customHeight="1" x14ac:dyDescent="0.45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 ht="15.75" customHeight="1" x14ac:dyDescent="0.4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 ht="15.75" customHeight="1" x14ac:dyDescent="0.45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 ht="15.75" customHeight="1" x14ac:dyDescent="0.45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 ht="15.75" customHeight="1" x14ac:dyDescent="0.45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 ht="15.75" customHeight="1" x14ac:dyDescent="0.45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 ht="15.75" customHeight="1" x14ac:dyDescent="0.45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 ht="15.75" customHeight="1" x14ac:dyDescent="0.4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 ht="15.75" customHeight="1" x14ac:dyDescent="0.45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 ht="15.75" customHeight="1" x14ac:dyDescent="0.45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 ht="15.75" customHeight="1" x14ac:dyDescent="0.4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 ht="15.75" customHeight="1" x14ac:dyDescent="0.4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 ht="15.75" customHeight="1" x14ac:dyDescent="0.45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 ht="15.75" customHeight="1" x14ac:dyDescent="0.4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 ht="15.75" customHeight="1" x14ac:dyDescent="0.45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 ht="15.75" customHeight="1" x14ac:dyDescent="0.4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 ht="15.75" customHeight="1" x14ac:dyDescent="0.45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 ht="15.75" customHeight="1" x14ac:dyDescent="0.45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 ht="15.75" customHeight="1" x14ac:dyDescent="0.45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 ht="15.75" customHeight="1" x14ac:dyDescent="0.45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 ht="15.75" customHeight="1" x14ac:dyDescent="0.45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 ht="15.75" customHeight="1" x14ac:dyDescent="0.4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 ht="15.75" customHeight="1" x14ac:dyDescent="0.45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 ht="15.75" customHeight="1" x14ac:dyDescent="0.45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 ht="15.75" customHeight="1" x14ac:dyDescent="0.45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 ht="15.75" customHeight="1" x14ac:dyDescent="0.45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 ht="15.75" customHeight="1" x14ac:dyDescent="0.45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 ht="15.75" customHeight="1" x14ac:dyDescent="0.45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 ht="15.75" customHeight="1" x14ac:dyDescent="0.45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 ht="15.75" customHeight="1" x14ac:dyDescent="0.45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 ht="15.75" customHeight="1" x14ac:dyDescent="0.45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 ht="15.75" customHeight="1" x14ac:dyDescent="0.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 ht="15.75" customHeight="1" x14ac:dyDescent="0.45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 ht="15.75" customHeight="1" x14ac:dyDescent="0.45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 ht="15.75" customHeight="1" x14ac:dyDescent="0.45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 ht="15.75" customHeight="1" x14ac:dyDescent="0.45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 ht="15.75" customHeight="1" x14ac:dyDescent="0.45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 ht="15.75" customHeight="1" x14ac:dyDescent="0.45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 ht="15.75" customHeight="1" x14ac:dyDescent="0.45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 ht="15.75" customHeight="1" x14ac:dyDescent="0.45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 ht="15.75" customHeight="1" x14ac:dyDescent="0.45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 ht="15.75" customHeight="1" x14ac:dyDescent="0.4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 ht="15.75" customHeight="1" x14ac:dyDescent="0.45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 ht="15.75" customHeight="1" x14ac:dyDescent="0.45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 ht="15.75" customHeight="1" x14ac:dyDescent="0.45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 ht="15.75" customHeight="1" x14ac:dyDescent="0.45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 ht="15.75" customHeight="1" x14ac:dyDescent="0.45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 ht="15.75" customHeight="1" x14ac:dyDescent="0.45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 ht="15.75" customHeight="1" x14ac:dyDescent="0.45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 ht="15.75" customHeight="1" x14ac:dyDescent="0.45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 ht="15.75" customHeight="1" x14ac:dyDescent="0.45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 ht="15.75" customHeight="1" x14ac:dyDescent="0.4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 ht="15.75" customHeight="1" x14ac:dyDescent="0.45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 ht="15.75" customHeight="1" x14ac:dyDescent="0.45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 ht="15.75" customHeight="1" x14ac:dyDescent="0.45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 ht="15.75" customHeight="1" x14ac:dyDescent="0.45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 ht="15.75" customHeight="1" x14ac:dyDescent="0.4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 ht="15.75" customHeight="1" x14ac:dyDescent="0.45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 ht="15.75" customHeight="1" x14ac:dyDescent="0.45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 ht="15.75" customHeight="1" x14ac:dyDescent="0.45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 ht="15.75" customHeight="1" x14ac:dyDescent="0.45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 ht="15.75" customHeight="1" x14ac:dyDescent="0.4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 ht="15.75" customHeight="1" x14ac:dyDescent="0.45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 ht="15.75" customHeight="1" x14ac:dyDescent="0.45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 ht="15.75" customHeight="1" x14ac:dyDescent="0.45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 ht="15.75" customHeight="1" x14ac:dyDescent="0.45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 ht="15.75" customHeight="1" x14ac:dyDescent="0.45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 ht="15.75" customHeight="1" x14ac:dyDescent="0.45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 ht="15.75" customHeight="1" x14ac:dyDescent="0.45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 ht="15.75" customHeight="1" x14ac:dyDescent="0.45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 ht="15.75" customHeight="1" x14ac:dyDescent="0.45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 ht="15.75" customHeight="1" x14ac:dyDescent="0.4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 ht="15.75" customHeight="1" x14ac:dyDescent="0.45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 ht="15.75" customHeight="1" x14ac:dyDescent="0.45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 ht="15.75" customHeight="1" x14ac:dyDescent="0.45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 ht="15.75" customHeight="1" x14ac:dyDescent="0.45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 ht="15.75" customHeight="1" x14ac:dyDescent="0.45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 ht="15.75" customHeight="1" x14ac:dyDescent="0.4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 ht="15.75" customHeight="1" x14ac:dyDescent="0.45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 ht="15.75" customHeight="1" x14ac:dyDescent="0.45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 ht="15.75" customHeight="1" x14ac:dyDescent="0.45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 ht="15.75" customHeight="1" x14ac:dyDescent="0.4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 ht="15.75" customHeight="1" x14ac:dyDescent="0.45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 ht="15.75" customHeight="1" x14ac:dyDescent="0.45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 ht="15.75" customHeight="1" x14ac:dyDescent="0.45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 ht="15.75" customHeight="1" x14ac:dyDescent="0.45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 ht="15.75" customHeight="1" x14ac:dyDescent="0.45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 ht="15.75" customHeight="1" x14ac:dyDescent="0.45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 ht="15.75" customHeight="1" x14ac:dyDescent="0.45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 ht="15.75" customHeight="1" x14ac:dyDescent="0.45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 ht="15.75" customHeight="1" x14ac:dyDescent="0.45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 ht="15.75" customHeight="1" x14ac:dyDescent="0.4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 ht="15.75" customHeight="1" x14ac:dyDescent="0.45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 ht="15.75" customHeight="1" x14ac:dyDescent="0.45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 ht="15.75" customHeight="1" x14ac:dyDescent="0.45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 ht="15.75" customHeight="1" x14ac:dyDescent="0.45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 ht="15.75" customHeight="1" x14ac:dyDescent="0.45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 ht="15.75" customHeight="1" x14ac:dyDescent="0.45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 ht="15.75" customHeight="1" x14ac:dyDescent="0.45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 ht="15.75" customHeight="1" x14ac:dyDescent="0.45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 ht="15.75" customHeight="1" x14ac:dyDescent="0.45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 ht="15.75" customHeight="1" x14ac:dyDescent="0.4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 ht="15.75" customHeight="1" x14ac:dyDescent="0.45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 ht="15.75" customHeight="1" x14ac:dyDescent="0.45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 ht="15.75" customHeight="1" x14ac:dyDescent="0.45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 ht="15.75" customHeight="1" x14ac:dyDescent="0.45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 ht="15.75" customHeight="1" x14ac:dyDescent="0.45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 ht="15.75" customHeight="1" x14ac:dyDescent="0.45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 ht="15.75" customHeight="1" x14ac:dyDescent="0.45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 ht="15.75" customHeight="1" x14ac:dyDescent="0.45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 ht="15.75" customHeight="1" x14ac:dyDescent="0.45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 ht="15.75" customHeight="1" x14ac:dyDescent="0.4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 ht="15.75" customHeight="1" x14ac:dyDescent="0.45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 ht="15.75" customHeight="1" x14ac:dyDescent="0.45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 ht="15.75" customHeight="1" x14ac:dyDescent="0.45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 ht="15.75" customHeight="1" x14ac:dyDescent="0.45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 ht="15.75" customHeight="1" x14ac:dyDescent="0.45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 ht="15.75" customHeight="1" x14ac:dyDescent="0.45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 ht="15.75" customHeight="1" x14ac:dyDescent="0.45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 ht="15.75" customHeight="1" x14ac:dyDescent="0.45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 ht="15.75" customHeight="1" x14ac:dyDescent="0.45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 ht="15.75" customHeight="1" x14ac:dyDescent="0.4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 ht="15.75" customHeight="1" x14ac:dyDescent="0.45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 ht="15.75" customHeight="1" x14ac:dyDescent="0.45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 ht="15.75" customHeight="1" x14ac:dyDescent="0.45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 ht="15.75" customHeight="1" x14ac:dyDescent="0.45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 ht="15.75" customHeight="1" x14ac:dyDescent="0.45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 ht="15.75" customHeight="1" x14ac:dyDescent="0.45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 ht="15.75" customHeight="1" x14ac:dyDescent="0.45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 ht="15.75" customHeight="1" x14ac:dyDescent="0.45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 ht="15.75" customHeight="1" x14ac:dyDescent="0.45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 ht="15.75" customHeight="1" x14ac:dyDescent="0.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 ht="15.75" customHeight="1" x14ac:dyDescent="0.45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 ht="15.75" customHeight="1" x14ac:dyDescent="0.45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 ht="15.75" customHeight="1" x14ac:dyDescent="0.45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 ht="15.75" customHeight="1" x14ac:dyDescent="0.45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 ht="15.75" customHeight="1" x14ac:dyDescent="0.45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 ht="15.75" customHeight="1" x14ac:dyDescent="0.45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 ht="15.75" customHeight="1" x14ac:dyDescent="0.45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 ht="15.75" customHeight="1" x14ac:dyDescent="0.45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 ht="15.75" customHeight="1" x14ac:dyDescent="0.45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 ht="15.75" customHeight="1" x14ac:dyDescent="0.4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 ht="15.75" customHeight="1" x14ac:dyDescent="0.45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 ht="15.75" customHeight="1" x14ac:dyDescent="0.45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 ht="15.75" customHeight="1" x14ac:dyDescent="0.45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 ht="15.75" customHeight="1" x14ac:dyDescent="0.45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 ht="15.75" customHeight="1" x14ac:dyDescent="0.45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 ht="15.75" customHeight="1" x14ac:dyDescent="0.45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 ht="15.75" customHeight="1" x14ac:dyDescent="0.45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 ht="15.75" customHeight="1" x14ac:dyDescent="0.45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 ht="15.75" customHeight="1" x14ac:dyDescent="0.45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 ht="15.75" customHeight="1" x14ac:dyDescent="0.4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 ht="15.75" customHeight="1" x14ac:dyDescent="0.45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 ht="15.75" customHeight="1" x14ac:dyDescent="0.45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 ht="15.75" customHeight="1" x14ac:dyDescent="0.45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 ht="15.75" customHeight="1" x14ac:dyDescent="0.45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 ht="15.75" customHeight="1" x14ac:dyDescent="0.45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 ht="15.75" customHeight="1" x14ac:dyDescent="0.45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 ht="15.75" customHeight="1" x14ac:dyDescent="0.45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 ht="15.75" customHeight="1" x14ac:dyDescent="0.45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 ht="15.75" customHeight="1" x14ac:dyDescent="0.45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 ht="15.75" customHeight="1" x14ac:dyDescent="0.4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 ht="15.75" customHeight="1" x14ac:dyDescent="0.45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 ht="15.75" customHeight="1" x14ac:dyDescent="0.45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 ht="15.75" customHeight="1" x14ac:dyDescent="0.45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 ht="15.75" customHeight="1" x14ac:dyDescent="0.45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 ht="15.75" customHeight="1" x14ac:dyDescent="0.45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 ht="15.75" customHeight="1" x14ac:dyDescent="0.45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 ht="15.75" customHeight="1" x14ac:dyDescent="0.45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 ht="15.75" customHeight="1" x14ac:dyDescent="0.45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 ht="15.75" customHeight="1" x14ac:dyDescent="0.45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 ht="15.75" customHeight="1" x14ac:dyDescent="0.4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 ht="15.75" customHeight="1" x14ac:dyDescent="0.45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 ht="15.75" customHeight="1" x14ac:dyDescent="0.45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 ht="15.75" customHeight="1" x14ac:dyDescent="0.45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 ht="15.75" customHeight="1" x14ac:dyDescent="0.45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 ht="15.75" customHeight="1" x14ac:dyDescent="0.45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 ht="15.75" customHeight="1" x14ac:dyDescent="0.45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 ht="15.75" customHeight="1" x14ac:dyDescent="0.45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 ht="15.75" customHeight="1" x14ac:dyDescent="0.45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1:26" ht="15.75" customHeight="1" x14ac:dyDescent="0.45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1:26" ht="15.75" customHeight="1" x14ac:dyDescent="0.4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spans="1:26" ht="15.75" customHeight="1" x14ac:dyDescent="0.45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spans="1:26" ht="15.75" customHeight="1" x14ac:dyDescent="0.45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spans="1:26" ht="15.75" customHeight="1" x14ac:dyDescent="0.45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spans="1:26" ht="15.75" customHeight="1" x14ac:dyDescent="0.45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spans="1:26" ht="15.75" customHeight="1" x14ac:dyDescent="0.45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mergeCells count="84">
    <mergeCell ref="C46:E46"/>
    <mergeCell ref="C47:E47"/>
    <mergeCell ref="H47:J47"/>
    <mergeCell ref="B40:B44"/>
    <mergeCell ref="C40:C42"/>
    <mergeCell ref="G40:G44"/>
    <mergeCell ref="H40:H42"/>
    <mergeCell ref="C43:C44"/>
    <mergeCell ref="H43:H44"/>
    <mergeCell ref="B65:B68"/>
    <mergeCell ref="C65:E68"/>
    <mergeCell ref="B49:B52"/>
    <mergeCell ref="C49:E52"/>
    <mergeCell ref="H56:H58"/>
    <mergeCell ref="H59:H60"/>
    <mergeCell ref="D59:D60"/>
    <mergeCell ref="C53:E53"/>
    <mergeCell ref="H53:J53"/>
    <mergeCell ref="B56:B60"/>
    <mergeCell ref="C56:C58"/>
    <mergeCell ref="G56:G60"/>
    <mergeCell ref="C59:C60"/>
    <mergeCell ref="I59:I60"/>
    <mergeCell ref="G49:G52"/>
    <mergeCell ref="H49:J52"/>
    <mergeCell ref="H13:J13"/>
    <mergeCell ref="H14:J14"/>
    <mergeCell ref="H15:J15"/>
    <mergeCell ref="G65:G68"/>
    <mergeCell ref="C69:E69"/>
    <mergeCell ref="H61:J61"/>
    <mergeCell ref="H62:J62"/>
    <mergeCell ref="H63:J63"/>
    <mergeCell ref="H65:J68"/>
    <mergeCell ref="H69:J69"/>
    <mergeCell ref="C61:E61"/>
    <mergeCell ref="C62:E62"/>
    <mergeCell ref="C63:E63"/>
    <mergeCell ref="I43:I44"/>
    <mergeCell ref="D43:D44"/>
    <mergeCell ref="C45:E45"/>
    <mergeCell ref="C13:E13"/>
    <mergeCell ref="C14:E14"/>
    <mergeCell ref="C15:E15"/>
    <mergeCell ref="C17:E20"/>
    <mergeCell ref="G17:G20"/>
    <mergeCell ref="B1:B5"/>
    <mergeCell ref="C1:H3"/>
    <mergeCell ref="C4:H5"/>
    <mergeCell ref="I4:I5"/>
    <mergeCell ref="B8:B12"/>
    <mergeCell ref="G8:G12"/>
    <mergeCell ref="I11:I12"/>
    <mergeCell ref="D11:D12"/>
    <mergeCell ref="H8:H10"/>
    <mergeCell ref="H11:H12"/>
    <mergeCell ref="C33:E36"/>
    <mergeCell ref="G33:G36"/>
    <mergeCell ref="H17:J20"/>
    <mergeCell ref="H21:J21"/>
    <mergeCell ref="H24:H26"/>
    <mergeCell ref="C29:E29"/>
    <mergeCell ref="H29:J29"/>
    <mergeCell ref="H30:J30"/>
    <mergeCell ref="H31:J31"/>
    <mergeCell ref="C21:E21"/>
    <mergeCell ref="C30:E30"/>
    <mergeCell ref="C31:E31"/>
    <mergeCell ref="B33:B36"/>
    <mergeCell ref="H45:J45"/>
    <mergeCell ref="H46:J46"/>
    <mergeCell ref="C8:C10"/>
    <mergeCell ref="C11:C12"/>
    <mergeCell ref="B17:B20"/>
    <mergeCell ref="B24:B28"/>
    <mergeCell ref="C24:C26"/>
    <mergeCell ref="C27:C28"/>
    <mergeCell ref="H33:J36"/>
    <mergeCell ref="C37:E37"/>
    <mergeCell ref="H37:J37"/>
    <mergeCell ref="G24:G28"/>
    <mergeCell ref="D27:D28"/>
    <mergeCell ref="H27:H28"/>
    <mergeCell ref="I27:I28"/>
  </mergeCells>
  <pageMargins left="0.7" right="0.7" top="0.75" bottom="0.75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55"/>
      <c r="B1" s="470"/>
      <c r="C1" s="471" t="s">
        <v>0</v>
      </c>
      <c r="D1" s="201"/>
      <c r="E1" s="201"/>
      <c r="F1" s="201"/>
      <c r="G1" s="201"/>
      <c r="H1" s="217"/>
      <c r="I1" s="156" t="s">
        <v>1</v>
      </c>
      <c r="J1" s="157" t="s">
        <v>444</v>
      </c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69"/>
      <c r="X1" s="69"/>
      <c r="Y1" s="69"/>
      <c r="Z1" s="69"/>
    </row>
    <row r="2" spans="1:26" ht="24.75" customHeight="1" x14ac:dyDescent="0.45">
      <c r="A2" s="155"/>
      <c r="B2" s="203"/>
      <c r="C2" s="244"/>
      <c r="D2" s="203"/>
      <c r="E2" s="203"/>
      <c r="F2" s="203"/>
      <c r="G2" s="203"/>
      <c r="H2" s="238"/>
      <c r="I2" s="87" t="s">
        <v>3</v>
      </c>
      <c r="J2" s="158">
        <v>1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69"/>
      <c r="X2" s="69"/>
      <c r="Y2" s="69"/>
      <c r="Z2" s="69"/>
    </row>
    <row r="3" spans="1:26" ht="24.75" customHeight="1" x14ac:dyDescent="0.45">
      <c r="A3" s="155"/>
      <c r="B3" s="203"/>
      <c r="C3" s="276"/>
      <c r="D3" s="195"/>
      <c r="E3" s="195"/>
      <c r="F3" s="195"/>
      <c r="G3" s="195"/>
      <c r="H3" s="321"/>
      <c r="I3" s="159" t="s">
        <v>5</v>
      </c>
      <c r="J3" s="159" t="s">
        <v>6</v>
      </c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69"/>
      <c r="X3" s="69"/>
      <c r="Y3" s="69"/>
      <c r="Z3" s="69"/>
    </row>
    <row r="4" spans="1:26" ht="24.75" customHeight="1" x14ac:dyDescent="0.45">
      <c r="A4" s="160"/>
      <c r="B4" s="203"/>
      <c r="C4" s="471" t="s">
        <v>445</v>
      </c>
      <c r="D4" s="201"/>
      <c r="E4" s="201"/>
      <c r="F4" s="201"/>
      <c r="G4" s="201"/>
      <c r="H4" s="217"/>
      <c r="I4" s="472" t="s">
        <v>7</v>
      </c>
      <c r="J4" s="161" t="s">
        <v>8</v>
      </c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24.75" customHeight="1" x14ac:dyDescent="0.45">
      <c r="A5" s="160"/>
      <c r="B5" s="198"/>
      <c r="C5" s="218"/>
      <c r="D5" s="198"/>
      <c r="E5" s="198"/>
      <c r="F5" s="198"/>
      <c r="G5" s="198"/>
      <c r="H5" s="199"/>
      <c r="I5" s="447"/>
      <c r="J5" s="162" t="s">
        <v>9</v>
      </c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24.75" customHeight="1" x14ac:dyDescent="0.45">
      <c r="A6" s="69"/>
      <c r="B6" s="92"/>
      <c r="C6" s="92"/>
      <c r="D6" s="92"/>
      <c r="E6" s="92"/>
      <c r="F6" s="92"/>
      <c r="G6" s="92"/>
      <c r="H6" s="92"/>
      <c r="I6" s="92"/>
      <c r="J6" s="110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15.75" customHeight="1" x14ac:dyDescent="0.45">
      <c r="A7" s="69"/>
      <c r="B7" s="12"/>
      <c r="C7" s="12"/>
      <c r="D7" s="12"/>
      <c r="E7" s="12"/>
      <c r="F7" s="12"/>
      <c r="G7" s="12"/>
      <c r="H7" s="12"/>
      <c r="I7" s="12"/>
      <c r="J7" s="12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18.75" customHeight="1" x14ac:dyDescent="0.45">
      <c r="A8" s="69"/>
      <c r="B8" s="466"/>
      <c r="C8" s="445" t="s">
        <v>0</v>
      </c>
      <c r="D8" s="131" t="s">
        <v>1</v>
      </c>
      <c r="E8" s="131" t="s">
        <v>444</v>
      </c>
      <c r="F8" s="12"/>
      <c r="G8" s="466"/>
      <c r="H8" s="445" t="s">
        <v>0</v>
      </c>
      <c r="I8" s="131" t="s">
        <v>1</v>
      </c>
      <c r="J8" s="131" t="s">
        <v>444</v>
      </c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ht="20.25" customHeight="1" x14ac:dyDescent="0.45">
      <c r="A9" s="69"/>
      <c r="B9" s="244"/>
      <c r="C9" s="446"/>
      <c r="D9" s="132" t="s">
        <v>3</v>
      </c>
      <c r="E9" s="163">
        <v>1</v>
      </c>
      <c r="F9" s="12"/>
      <c r="G9" s="244"/>
      <c r="H9" s="446"/>
      <c r="I9" s="132" t="s">
        <v>3</v>
      </c>
      <c r="J9" s="163">
        <v>1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18" customHeight="1" x14ac:dyDescent="0.45">
      <c r="A10" s="69"/>
      <c r="B10" s="244"/>
      <c r="C10" s="447"/>
      <c r="D10" s="131" t="s">
        <v>5</v>
      </c>
      <c r="E10" s="131" t="s">
        <v>6</v>
      </c>
      <c r="F10" s="12"/>
      <c r="G10" s="244"/>
      <c r="H10" s="447"/>
      <c r="I10" s="131" t="s">
        <v>5</v>
      </c>
      <c r="J10" s="131" t="s">
        <v>6</v>
      </c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18.75" customHeight="1" x14ac:dyDescent="0.45">
      <c r="A11" s="69"/>
      <c r="B11" s="244"/>
      <c r="C11" s="445" t="s">
        <v>445</v>
      </c>
      <c r="D11" s="469" t="s">
        <v>7</v>
      </c>
      <c r="E11" s="164" t="s">
        <v>8</v>
      </c>
      <c r="F11" s="12"/>
      <c r="G11" s="244"/>
      <c r="H11" s="445" t="s">
        <v>445</v>
      </c>
      <c r="I11" s="469" t="s">
        <v>7</v>
      </c>
      <c r="J11" s="164" t="s">
        <v>8</v>
      </c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 ht="15" customHeight="1" x14ac:dyDescent="0.45">
      <c r="A12" s="160"/>
      <c r="B12" s="244"/>
      <c r="C12" s="447"/>
      <c r="D12" s="321"/>
      <c r="E12" s="165" t="s">
        <v>9</v>
      </c>
      <c r="F12" s="12"/>
      <c r="G12" s="244"/>
      <c r="H12" s="447"/>
      <c r="I12" s="321"/>
      <c r="J12" s="165" t="s">
        <v>9</v>
      </c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ht="36" customHeight="1" x14ac:dyDescent="0.45">
      <c r="A13" s="69"/>
      <c r="B13" s="166" t="s">
        <v>440</v>
      </c>
      <c r="C13" s="233"/>
      <c r="D13" s="201"/>
      <c r="E13" s="217"/>
      <c r="F13" s="167"/>
      <c r="G13" s="166" t="s">
        <v>440</v>
      </c>
      <c r="H13" s="233"/>
      <c r="I13" s="201"/>
      <c r="J13" s="217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ht="35.25" customHeight="1" x14ac:dyDescent="0.45">
      <c r="A14" s="69"/>
      <c r="B14" s="168" t="s">
        <v>295</v>
      </c>
      <c r="C14" s="178"/>
      <c r="D14" s="179" t="s">
        <v>180</v>
      </c>
      <c r="E14" s="180"/>
      <c r="F14" s="167"/>
      <c r="G14" s="168" t="s">
        <v>295</v>
      </c>
      <c r="H14" s="178"/>
      <c r="I14" s="179" t="s">
        <v>180</v>
      </c>
      <c r="J14" s="180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 ht="33" customHeight="1" x14ac:dyDescent="0.45">
      <c r="A15" s="69"/>
      <c r="B15" s="166" t="s">
        <v>446</v>
      </c>
      <c r="C15" s="473"/>
      <c r="D15" s="228"/>
      <c r="E15" s="240"/>
      <c r="F15" s="167"/>
      <c r="G15" s="166" t="s">
        <v>446</v>
      </c>
      <c r="H15" s="473"/>
      <c r="I15" s="228"/>
      <c r="J15" s="240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32.25" customHeight="1" x14ac:dyDescent="0.45">
      <c r="A16" s="69"/>
      <c r="B16" s="166" t="s">
        <v>447</v>
      </c>
      <c r="C16" s="473"/>
      <c r="D16" s="228"/>
      <c r="E16" s="240"/>
      <c r="F16" s="172"/>
      <c r="G16" s="166" t="s">
        <v>447</v>
      </c>
      <c r="H16" s="473"/>
      <c r="I16" s="228"/>
      <c r="J16" s="240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15.75" customHeight="1" x14ac:dyDescent="0.45">
      <c r="A17" s="69"/>
      <c r="B17" s="463" t="s">
        <v>31</v>
      </c>
      <c r="C17" s="467"/>
      <c r="D17" s="201"/>
      <c r="E17" s="217"/>
      <c r="F17" s="172"/>
      <c r="G17" s="463" t="s">
        <v>31</v>
      </c>
      <c r="H17" s="467"/>
      <c r="I17" s="201"/>
      <c r="J17" s="217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15" customHeight="1" x14ac:dyDescent="0.45">
      <c r="A18" s="69"/>
      <c r="B18" s="446"/>
      <c r="C18" s="244"/>
      <c r="D18" s="203"/>
      <c r="E18" s="238"/>
      <c r="F18" s="167"/>
      <c r="G18" s="446"/>
      <c r="H18" s="244"/>
      <c r="I18" s="203"/>
      <c r="J18" s="238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15.75" customHeight="1" x14ac:dyDescent="0.45">
      <c r="A19" s="69"/>
      <c r="B19" s="446"/>
      <c r="C19" s="244"/>
      <c r="D19" s="203"/>
      <c r="E19" s="238"/>
      <c r="F19" s="167"/>
      <c r="G19" s="446"/>
      <c r="H19" s="244"/>
      <c r="I19" s="203"/>
      <c r="J19" s="238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15.75" customHeight="1" x14ac:dyDescent="0.45">
      <c r="A20" s="69"/>
      <c r="B20" s="447"/>
      <c r="C20" s="218"/>
      <c r="D20" s="198"/>
      <c r="E20" s="199"/>
      <c r="F20" s="167"/>
      <c r="G20" s="447"/>
      <c r="H20" s="218"/>
      <c r="I20" s="198"/>
      <c r="J20" s="19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21" customHeight="1" x14ac:dyDescent="0.45">
      <c r="A21" s="69"/>
      <c r="B21" s="174" t="s">
        <v>86</v>
      </c>
      <c r="C21" s="468"/>
      <c r="D21" s="228"/>
      <c r="E21" s="240"/>
      <c r="F21" s="12"/>
      <c r="G21" s="174" t="s">
        <v>86</v>
      </c>
      <c r="H21" s="468"/>
      <c r="I21" s="228"/>
      <c r="J21" s="240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15.75" customHeight="1" x14ac:dyDescent="0.45">
      <c r="A22" s="69"/>
      <c r="B22" s="12"/>
      <c r="C22" s="12"/>
      <c r="D22" s="12"/>
      <c r="E22" s="12"/>
      <c r="F22" s="12"/>
      <c r="G22" s="12"/>
      <c r="H22" s="12"/>
      <c r="I22" s="12"/>
      <c r="J22" s="12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15.75" customHeight="1" x14ac:dyDescent="0.45">
      <c r="A23" s="69"/>
      <c r="B23" s="466"/>
      <c r="C23" s="445" t="s">
        <v>0</v>
      </c>
      <c r="D23" s="131" t="s">
        <v>1</v>
      </c>
      <c r="E23" s="131" t="s">
        <v>444</v>
      </c>
      <c r="F23" s="12"/>
      <c r="G23" s="466"/>
      <c r="H23" s="445" t="s">
        <v>0</v>
      </c>
      <c r="I23" s="131" t="s">
        <v>1</v>
      </c>
      <c r="J23" s="131" t="s">
        <v>444</v>
      </c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15.75" customHeight="1" x14ac:dyDescent="0.45">
      <c r="A24" s="69"/>
      <c r="B24" s="244"/>
      <c r="C24" s="446"/>
      <c r="D24" s="132" t="s">
        <v>3</v>
      </c>
      <c r="E24" s="163">
        <v>1</v>
      </c>
      <c r="F24" s="12"/>
      <c r="G24" s="244"/>
      <c r="H24" s="446"/>
      <c r="I24" s="132" t="s">
        <v>3</v>
      </c>
      <c r="J24" s="163">
        <v>1</v>
      </c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15.75" customHeight="1" x14ac:dyDescent="0.45">
      <c r="A25" s="69"/>
      <c r="B25" s="244"/>
      <c r="C25" s="447"/>
      <c r="D25" s="131" t="s">
        <v>5</v>
      </c>
      <c r="E25" s="131" t="s">
        <v>6</v>
      </c>
      <c r="F25" s="12"/>
      <c r="G25" s="244"/>
      <c r="H25" s="447"/>
      <c r="I25" s="131" t="s">
        <v>5</v>
      </c>
      <c r="J25" s="131" t="s">
        <v>6</v>
      </c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15.75" customHeight="1" x14ac:dyDescent="0.45">
      <c r="A26" s="69"/>
      <c r="B26" s="244"/>
      <c r="C26" s="445" t="s">
        <v>445</v>
      </c>
      <c r="D26" s="469" t="s">
        <v>7</v>
      </c>
      <c r="E26" s="164" t="s">
        <v>8</v>
      </c>
      <c r="F26" s="12"/>
      <c r="G26" s="244"/>
      <c r="H26" s="445" t="s">
        <v>445</v>
      </c>
      <c r="I26" s="469" t="s">
        <v>7</v>
      </c>
      <c r="J26" s="164" t="s">
        <v>8</v>
      </c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15.75" customHeight="1" x14ac:dyDescent="0.45">
      <c r="A27" s="69"/>
      <c r="B27" s="244"/>
      <c r="C27" s="447"/>
      <c r="D27" s="321"/>
      <c r="E27" s="165" t="s">
        <v>9</v>
      </c>
      <c r="F27" s="12"/>
      <c r="G27" s="244"/>
      <c r="H27" s="447"/>
      <c r="I27" s="321"/>
      <c r="J27" s="165" t="s">
        <v>9</v>
      </c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34.5" customHeight="1" x14ac:dyDescent="0.45">
      <c r="A28" s="69"/>
      <c r="B28" s="166" t="s">
        <v>440</v>
      </c>
      <c r="C28" s="464"/>
      <c r="D28" s="201"/>
      <c r="E28" s="217"/>
      <c r="F28" s="167"/>
      <c r="G28" s="166" t="s">
        <v>440</v>
      </c>
      <c r="H28" s="464"/>
      <c r="I28" s="201"/>
      <c r="J28" s="217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35.25" customHeight="1" x14ac:dyDescent="0.45">
      <c r="A29" s="69"/>
      <c r="B29" s="168" t="s">
        <v>295</v>
      </c>
      <c r="C29" s="169"/>
      <c r="D29" s="168" t="s">
        <v>180</v>
      </c>
      <c r="E29" s="181"/>
      <c r="F29" s="167"/>
      <c r="G29" s="168" t="s">
        <v>295</v>
      </c>
      <c r="H29" s="169"/>
      <c r="I29" s="168" t="s">
        <v>180</v>
      </c>
      <c r="J29" s="181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36" customHeight="1" x14ac:dyDescent="0.45">
      <c r="A30" s="69"/>
      <c r="B30" s="166" t="s">
        <v>446</v>
      </c>
      <c r="C30" s="465"/>
      <c r="D30" s="228"/>
      <c r="E30" s="240"/>
      <c r="F30" s="167"/>
      <c r="G30" s="166" t="s">
        <v>446</v>
      </c>
      <c r="H30" s="465"/>
      <c r="I30" s="228"/>
      <c r="J30" s="240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42.75" customHeight="1" x14ac:dyDescent="0.45">
      <c r="A31" s="69"/>
      <c r="B31" s="166" t="s">
        <v>447</v>
      </c>
      <c r="C31" s="465"/>
      <c r="D31" s="228"/>
      <c r="E31" s="240"/>
      <c r="F31" s="172"/>
      <c r="G31" s="166" t="s">
        <v>447</v>
      </c>
      <c r="H31" s="465"/>
      <c r="I31" s="228"/>
      <c r="J31" s="240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15.75" customHeight="1" x14ac:dyDescent="0.45">
      <c r="A32" s="69"/>
      <c r="B32" s="463" t="s">
        <v>31</v>
      </c>
      <c r="C32" s="467"/>
      <c r="D32" s="201"/>
      <c r="E32" s="217"/>
      <c r="F32" s="172"/>
      <c r="G32" s="463" t="s">
        <v>31</v>
      </c>
      <c r="H32" s="467"/>
      <c r="I32" s="201"/>
      <c r="J32" s="217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5.75" customHeight="1" x14ac:dyDescent="0.45">
      <c r="A33" s="69"/>
      <c r="B33" s="446"/>
      <c r="C33" s="244"/>
      <c r="D33" s="203"/>
      <c r="E33" s="238"/>
      <c r="F33" s="167"/>
      <c r="G33" s="446"/>
      <c r="H33" s="244"/>
      <c r="I33" s="203"/>
      <c r="J33" s="238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15.75" customHeight="1" x14ac:dyDescent="0.45">
      <c r="A34" s="69"/>
      <c r="B34" s="446"/>
      <c r="C34" s="244"/>
      <c r="D34" s="203"/>
      <c r="E34" s="238"/>
      <c r="F34" s="167"/>
      <c r="G34" s="446"/>
      <c r="H34" s="244"/>
      <c r="I34" s="203"/>
      <c r="J34" s="238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15.75" customHeight="1" x14ac:dyDescent="0.45">
      <c r="A35" s="69"/>
      <c r="B35" s="447"/>
      <c r="C35" s="218"/>
      <c r="D35" s="198"/>
      <c r="E35" s="199"/>
      <c r="F35" s="167"/>
      <c r="G35" s="447"/>
      <c r="H35" s="218"/>
      <c r="I35" s="198"/>
      <c r="J35" s="19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18.75" customHeight="1" x14ac:dyDescent="0.45">
      <c r="A36" s="69"/>
      <c r="B36" s="174" t="s">
        <v>86</v>
      </c>
      <c r="C36" s="468"/>
      <c r="D36" s="228"/>
      <c r="E36" s="240"/>
      <c r="F36" s="12"/>
      <c r="G36" s="174" t="s">
        <v>86</v>
      </c>
      <c r="H36" s="468"/>
      <c r="I36" s="228"/>
      <c r="J36" s="240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15.75" customHeight="1" x14ac:dyDescent="0.45">
      <c r="A37" s="69"/>
      <c r="B37" s="12"/>
      <c r="C37" s="12"/>
      <c r="D37" s="12"/>
      <c r="E37" s="12"/>
      <c r="F37" s="12"/>
      <c r="G37" s="12"/>
      <c r="H37" s="12"/>
      <c r="I37" s="12"/>
      <c r="J37" s="12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5.75" customHeight="1" x14ac:dyDescent="0.45">
      <c r="A38" s="69"/>
      <c r="B38" s="466"/>
      <c r="C38" s="445" t="s">
        <v>0</v>
      </c>
      <c r="D38" s="131" t="s">
        <v>1</v>
      </c>
      <c r="E38" s="131" t="s">
        <v>444</v>
      </c>
      <c r="F38" s="12"/>
      <c r="G38" s="466"/>
      <c r="H38" s="445" t="s">
        <v>0</v>
      </c>
      <c r="I38" s="131" t="s">
        <v>1</v>
      </c>
      <c r="J38" s="131" t="s">
        <v>444</v>
      </c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5.75" customHeight="1" x14ac:dyDescent="0.45">
      <c r="A39" s="69"/>
      <c r="B39" s="244"/>
      <c r="C39" s="446"/>
      <c r="D39" s="132" t="s">
        <v>3</v>
      </c>
      <c r="E39" s="163">
        <v>1</v>
      </c>
      <c r="F39" s="12"/>
      <c r="G39" s="244"/>
      <c r="H39" s="446"/>
      <c r="I39" s="132" t="s">
        <v>3</v>
      </c>
      <c r="J39" s="163">
        <v>1</v>
      </c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5.75" customHeight="1" x14ac:dyDescent="0.45">
      <c r="A40" s="69"/>
      <c r="B40" s="244"/>
      <c r="C40" s="447"/>
      <c r="D40" s="131" t="s">
        <v>5</v>
      </c>
      <c r="E40" s="131" t="s">
        <v>6</v>
      </c>
      <c r="F40" s="12"/>
      <c r="G40" s="244"/>
      <c r="H40" s="447"/>
      <c r="I40" s="131" t="s">
        <v>5</v>
      </c>
      <c r="J40" s="131" t="s">
        <v>6</v>
      </c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5.75" customHeight="1" x14ac:dyDescent="0.45">
      <c r="A41" s="69"/>
      <c r="B41" s="244"/>
      <c r="C41" s="445" t="s">
        <v>445</v>
      </c>
      <c r="D41" s="469" t="s">
        <v>7</v>
      </c>
      <c r="E41" s="164" t="s">
        <v>8</v>
      </c>
      <c r="F41" s="12"/>
      <c r="G41" s="244"/>
      <c r="H41" s="445" t="s">
        <v>445</v>
      </c>
      <c r="I41" s="469" t="s">
        <v>7</v>
      </c>
      <c r="J41" s="164" t="s">
        <v>8</v>
      </c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5.75" customHeight="1" x14ac:dyDescent="0.45">
      <c r="A42" s="69"/>
      <c r="B42" s="244"/>
      <c r="C42" s="447"/>
      <c r="D42" s="321"/>
      <c r="E42" s="165" t="s">
        <v>9</v>
      </c>
      <c r="F42" s="12"/>
      <c r="G42" s="244"/>
      <c r="H42" s="447"/>
      <c r="I42" s="321"/>
      <c r="J42" s="165" t="s">
        <v>9</v>
      </c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24.75" customHeight="1" x14ac:dyDescent="0.45">
      <c r="A43" s="69"/>
      <c r="B43" s="166" t="s">
        <v>440</v>
      </c>
      <c r="C43" s="464"/>
      <c r="D43" s="201"/>
      <c r="E43" s="217"/>
      <c r="F43" s="167"/>
      <c r="G43" s="166" t="s">
        <v>440</v>
      </c>
      <c r="H43" s="464"/>
      <c r="I43" s="201"/>
      <c r="J43" s="217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45.75" customHeight="1" x14ac:dyDescent="0.45">
      <c r="A44" s="69"/>
      <c r="B44" s="168" t="s">
        <v>295</v>
      </c>
      <c r="C44" s="169"/>
      <c r="D44" s="168" t="s">
        <v>180</v>
      </c>
      <c r="E44" s="181"/>
      <c r="F44" s="167"/>
      <c r="G44" s="168" t="s">
        <v>295</v>
      </c>
      <c r="H44" s="465"/>
      <c r="I44" s="228"/>
      <c r="J44" s="240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34.5" customHeight="1" x14ac:dyDescent="0.45">
      <c r="A45" s="69"/>
      <c r="B45" s="166" t="s">
        <v>446</v>
      </c>
      <c r="C45" s="465"/>
      <c r="D45" s="228"/>
      <c r="E45" s="240"/>
      <c r="F45" s="167"/>
      <c r="G45" s="166" t="s">
        <v>446</v>
      </c>
      <c r="H45" s="465"/>
      <c r="I45" s="228"/>
      <c r="J45" s="240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38.25" customHeight="1" x14ac:dyDescent="0.45">
      <c r="A46" s="69"/>
      <c r="B46" s="166" t="s">
        <v>447</v>
      </c>
      <c r="C46" s="465"/>
      <c r="D46" s="228"/>
      <c r="E46" s="240"/>
      <c r="F46" s="172"/>
      <c r="G46" s="166" t="s">
        <v>447</v>
      </c>
      <c r="H46" s="465"/>
      <c r="I46" s="228"/>
      <c r="J46" s="240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5.75" customHeight="1" x14ac:dyDescent="0.45">
      <c r="A47" s="69"/>
      <c r="B47" s="463" t="s">
        <v>31</v>
      </c>
      <c r="C47" s="467"/>
      <c r="D47" s="201"/>
      <c r="E47" s="217"/>
      <c r="F47" s="172"/>
      <c r="G47" s="463" t="s">
        <v>31</v>
      </c>
      <c r="H47" s="467"/>
      <c r="I47" s="201"/>
      <c r="J47" s="217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5.75" customHeight="1" x14ac:dyDescent="0.45">
      <c r="A48" s="69"/>
      <c r="B48" s="446"/>
      <c r="C48" s="244"/>
      <c r="D48" s="203"/>
      <c r="E48" s="238"/>
      <c r="F48" s="167"/>
      <c r="G48" s="446"/>
      <c r="H48" s="244"/>
      <c r="I48" s="203"/>
      <c r="J48" s="238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5.75" customHeight="1" x14ac:dyDescent="0.45">
      <c r="A49" s="69"/>
      <c r="B49" s="446"/>
      <c r="C49" s="244"/>
      <c r="D49" s="203"/>
      <c r="E49" s="238"/>
      <c r="F49" s="167"/>
      <c r="G49" s="446"/>
      <c r="H49" s="244"/>
      <c r="I49" s="203"/>
      <c r="J49" s="238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5.75" customHeight="1" x14ac:dyDescent="0.45">
      <c r="A50" s="69"/>
      <c r="B50" s="447"/>
      <c r="C50" s="218"/>
      <c r="D50" s="198"/>
      <c r="E50" s="199"/>
      <c r="F50" s="167"/>
      <c r="G50" s="447"/>
      <c r="H50" s="218"/>
      <c r="I50" s="198"/>
      <c r="J50" s="19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8.75" customHeight="1" x14ac:dyDescent="0.45">
      <c r="A51" s="69"/>
      <c r="B51" s="174" t="s">
        <v>86</v>
      </c>
      <c r="C51" s="468"/>
      <c r="D51" s="228"/>
      <c r="E51" s="240"/>
      <c r="F51" s="12"/>
      <c r="G51" s="174" t="s">
        <v>86</v>
      </c>
      <c r="H51" s="468"/>
      <c r="I51" s="228"/>
      <c r="J51" s="240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5.75" customHeight="1" x14ac:dyDescent="0.45">
      <c r="A52" s="69"/>
      <c r="B52" s="12"/>
      <c r="C52" s="12"/>
      <c r="D52" s="12"/>
      <c r="E52" s="12"/>
      <c r="F52" s="12"/>
      <c r="G52" s="12"/>
      <c r="H52" s="12"/>
      <c r="I52" s="12"/>
      <c r="J52" s="12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5.75" customHeight="1" x14ac:dyDescent="0.45">
      <c r="A53" s="69"/>
      <c r="B53" s="466"/>
      <c r="C53" s="445" t="s">
        <v>0</v>
      </c>
      <c r="D53" s="131" t="s">
        <v>1</v>
      </c>
      <c r="E53" s="131" t="s">
        <v>444</v>
      </c>
      <c r="F53" s="12"/>
      <c r="G53" s="466"/>
      <c r="H53" s="445" t="s">
        <v>0</v>
      </c>
      <c r="I53" s="131" t="s">
        <v>1</v>
      </c>
      <c r="J53" s="131" t="s">
        <v>444</v>
      </c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5.75" customHeight="1" x14ac:dyDescent="0.45">
      <c r="A54" s="69"/>
      <c r="B54" s="244"/>
      <c r="C54" s="446"/>
      <c r="D54" s="132" t="s">
        <v>3</v>
      </c>
      <c r="E54" s="163">
        <v>1</v>
      </c>
      <c r="F54" s="12"/>
      <c r="G54" s="244"/>
      <c r="H54" s="446"/>
      <c r="I54" s="132" t="s">
        <v>3</v>
      </c>
      <c r="J54" s="163">
        <v>1</v>
      </c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5.75" customHeight="1" x14ac:dyDescent="0.45">
      <c r="A55" s="69"/>
      <c r="B55" s="244"/>
      <c r="C55" s="447"/>
      <c r="D55" s="131" t="s">
        <v>5</v>
      </c>
      <c r="E55" s="131" t="s">
        <v>6</v>
      </c>
      <c r="F55" s="12"/>
      <c r="G55" s="244"/>
      <c r="H55" s="447"/>
      <c r="I55" s="131" t="s">
        <v>5</v>
      </c>
      <c r="J55" s="131" t="s">
        <v>6</v>
      </c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5.75" customHeight="1" x14ac:dyDescent="0.45">
      <c r="A56" s="69"/>
      <c r="B56" s="244"/>
      <c r="C56" s="445" t="s">
        <v>445</v>
      </c>
      <c r="D56" s="469" t="s">
        <v>7</v>
      </c>
      <c r="E56" s="164" t="s">
        <v>8</v>
      </c>
      <c r="F56" s="12"/>
      <c r="G56" s="244"/>
      <c r="H56" s="445" t="s">
        <v>445</v>
      </c>
      <c r="I56" s="469" t="s">
        <v>7</v>
      </c>
      <c r="J56" s="164" t="s">
        <v>8</v>
      </c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5.75" customHeight="1" x14ac:dyDescent="0.45">
      <c r="A57" s="69"/>
      <c r="B57" s="244"/>
      <c r="C57" s="447"/>
      <c r="D57" s="321"/>
      <c r="E57" s="165" t="s">
        <v>9</v>
      </c>
      <c r="F57" s="12"/>
      <c r="G57" s="244"/>
      <c r="H57" s="447"/>
      <c r="I57" s="321"/>
      <c r="J57" s="165" t="s">
        <v>9</v>
      </c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33" customHeight="1" x14ac:dyDescent="0.45">
      <c r="A58" s="69"/>
      <c r="B58" s="166" t="s">
        <v>440</v>
      </c>
      <c r="C58" s="464"/>
      <c r="D58" s="201"/>
      <c r="E58" s="217"/>
      <c r="F58" s="167"/>
      <c r="G58" s="166" t="s">
        <v>440</v>
      </c>
      <c r="H58" s="464"/>
      <c r="I58" s="201"/>
      <c r="J58" s="217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33" customHeight="1" x14ac:dyDescent="0.45">
      <c r="A59" s="69"/>
      <c r="B59" s="168" t="s">
        <v>295</v>
      </c>
      <c r="C59" s="169"/>
      <c r="D59" s="168" t="s">
        <v>180</v>
      </c>
      <c r="E59" s="181"/>
      <c r="F59" s="167"/>
      <c r="G59" s="168" t="s">
        <v>295</v>
      </c>
      <c r="H59" s="169"/>
      <c r="I59" s="168" t="s">
        <v>180</v>
      </c>
      <c r="J59" s="181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45" customHeight="1" x14ac:dyDescent="0.45">
      <c r="A60" s="69"/>
      <c r="B60" s="166" t="s">
        <v>446</v>
      </c>
      <c r="C60" s="465"/>
      <c r="D60" s="228"/>
      <c r="E60" s="240"/>
      <c r="F60" s="167"/>
      <c r="G60" s="166" t="s">
        <v>446</v>
      </c>
      <c r="H60" s="465"/>
      <c r="I60" s="228"/>
      <c r="J60" s="240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36" customHeight="1" x14ac:dyDescent="0.45">
      <c r="A61" s="69"/>
      <c r="B61" s="166" t="s">
        <v>447</v>
      </c>
      <c r="C61" s="465"/>
      <c r="D61" s="228"/>
      <c r="E61" s="240"/>
      <c r="F61" s="172"/>
      <c r="G61" s="166" t="s">
        <v>447</v>
      </c>
      <c r="H61" s="465"/>
      <c r="I61" s="228"/>
      <c r="J61" s="240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5.75" customHeight="1" x14ac:dyDescent="0.45">
      <c r="A62" s="69"/>
      <c r="B62" s="463" t="s">
        <v>31</v>
      </c>
      <c r="C62" s="467"/>
      <c r="D62" s="201"/>
      <c r="E62" s="217"/>
      <c r="F62" s="172"/>
      <c r="G62" s="463" t="s">
        <v>31</v>
      </c>
      <c r="H62" s="467"/>
      <c r="I62" s="201"/>
      <c r="J62" s="217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5.75" customHeight="1" x14ac:dyDescent="0.45">
      <c r="A63" s="69"/>
      <c r="B63" s="446"/>
      <c r="C63" s="244"/>
      <c r="D63" s="203"/>
      <c r="E63" s="238"/>
      <c r="F63" s="167"/>
      <c r="G63" s="446"/>
      <c r="H63" s="244"/>
      <c r="I63" s="203"/>
      <c r="J63" s="238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5.75" customHeight="1" x14ac:dyDescent="0.45">
      <c r="A64" s="69"/>
      <c r="B64" s="446"/>
      <c r="C64" s="244"/>
      <c r="D64" s="203"/>
      <c r="E64" s="238"/>
      <c r="F64" s="167"/>
      <c r="G64" s="446"/>
      <c r="H64" s="244"/>
      <c r="I64" s="203"/>
      <c r="J64" s="238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5.75" customHeight="1" x14ac:dyDescent="0.45">
      <c r="A65" s="69"/>
      <c r="B65" s="447"/>
      <c r="C65" s="218"/>
      <c r="D65" s="198"/>
      <c r="E65" s="199"/>
      <c r="F65" s="167"/>
      <c r="G65" s="447"/>
      <c r="H65" s="218"/>
      <c r="I65" s="198"/>
      <c r="J65" s="19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21" customHeight="1" x14ac:dyDescent="0.45">
      <c r="A66" s="69"/>
      <c r="B66" s="174" t="s">
        <v>86</v>
      </c>
      <c r="C66" s="468"/>
      <c r="D66" s="228"/>
      <c r="E66" s="240"/>
      <c r="F66" s="12"/>
      <c r="G66" s="174" t="s">
        <v>86</v>
      </c>
      <c r="H66" s="468"/>
      <c r="I66" s="228"/>
      <c r="J66" s="240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5.75" customHeight="1" x14ac:dyDescent="0.45">
      <c r="A67" s="69"/>
      <c r="B67" s="12"/>
      <c r="C67" s="12"/>
      <c r="D67" s="12"/>
      <c r="E67" s="12"/>
      <c r="F67" s="12"/>
      <c r="G67" s="12"/>
      <c r="H67" s="12"/>
      <c r="I67" s="12"/>
      <c r="J67" s="12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5.75" customHeight="1" x14ac:dyDescent="0.45">
      <c r="A68" s="69"/>
      <c r="B68" s="12"/>
      <c r="C68" s="12"/>
      <c r="D68" s="12"/>
      <c r="E68" s="12"/>
      <c r="F68" s="12"/>
      <c r="G68" s="12"/>
      <c r="H68" s="12"/>
      <c r="I68" s="12"/>
      <c r="J68" s="12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5.75" customHeight="1" x14ac:dyDescent="0.45">
      <c r="A69" s="69"/>
      <c r="B69" s="12"/>
      <c r="C69" s="12"/>
      <c r="D69" s="12"/>
      <c r="E69" s="12"/>
      <c r="F69" s="12"/>
      <c r="G69" s="12"/>
      <c r="H69" s="12"/>
      <c r="I69" s="12"/>
      <c r="J69" s="12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5.75" customHeight="1" x14ac:dyDescent="0.45">
      <c r="A70" s="69"/>
      <c r="B70" s="12"/>
      <c r="C70" s="12"/>
      <c r="D70" s="12"/>
      <c r="E70" s="12"/>
      <c r="F70" s="12"/>
      <c r="G70" s="12"/>
      <c r="H70" s="12"/>
      <c r="I70" s="12"/>
      <c r="J70" s="12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5.75" customHeight="1" x14ac:dyDescent="0.45">
      <c r="A71" s="69"/>
      <c r="B71" s="12"/>
      <c r="C71" s="12"/>
      <c r="D71" s="12"/>
      <c r="E71" s="12"/>
      <c r="F71" s="12"/>
      <c r="G71" s="12"/>
      <c r="H71" s="12"/>
      <c r="I71" s="12"/>
      <c r="J71" s="12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5.75" customHeight="1" x14ac:dyDescent="0.45">
      <c r="A72" s="69"/>
      <c r="B72" s="12"/>
      <c r="C72" s="12"/>
      <c r="D72" s="12"/>
      <c r="E72" s="12"/>
      <c r="F72" s="12"/>
      <c r="G72" s="12"/>
      <c r="H72" s="12"/>
      <c r="I72" s="12"/>
      <c r="J72" s="12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5.75" customHeight="1" x14ac:dyDescent="0.45">
      <c r="A73" s="69"/>
      <c r="B73" s="12"/>
      <c r="C73" s="12"/>
      <c r="D73" s="12"/>
      <c r="E73" s="12"/>
      <c r="F73" s="12"/>
      <c r="G73" s="12"/>
      <c r="H73" s="12"/>
      <c r="I73" s="12"/>
      <c r="J73" s="12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5.75" customHeight="1" x14ac:dyDescent="0.45">
      <c r="A74" s="69"/>
      <c r="B74" s="12"/>
      <c r="C74" s="12"/>
      <c r="D74" s="12"/>
      <c r="E74" s="12"/>
      <c r="F74" s="12"/>
      <c r="G74" s="12"/>
      <c r="H74" s="12"/>
      <c r="I74" s="12"/>
      <c r="J74" s="12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5.75" customHeight="1" x14ac:dyDescent="0.45">
      <c r="A75" s="69"/>
      <c r="B75" s="12"/>
      <c r="C75" s="12"/>
      <c r="D75" s="12"/>
      <c r="E75" s="12"/>
      <c r="F75" s="12"/>
      <c r="G75" s="12"/>
      <c r="H75" s="12"/>
      <c r="I75" s="12"/>
      <c r="J75" s="12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5.75" customHeight="1" x14ac:dyDescent="0.45">
      <c r="A76" s="69"/>
      <c r="B76" s="12"/>
      <c r="C76" s="12"/>
      <c r="D76" s="12"/>
      <c r="E76" s="12"/>
      <c r="F76" s="12"/>
      <c r="G76" s="12"/>
      <c r="H76" s="12"/>
      <c r="I76" s="12"/>
      <c r="J76" s="12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5.75" customHeight="1" x14ac:dyDescent="0.45">
      <c r="A77" s="69"/>
      <c r="B77" s="12"/>
      <c r="C77" s="12"/>
      <c r="D77" s="12"/>
      <c r="E77" s="12"/>
      <c r="F77" s="12"/>
      <c r="G77" s="12"/>
      <c r="H77" s="12"/>
      <c r="I77" s="12"/>
      <c r="J77" s="12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5.75" customHeight="1" x14ac:dyDescent="0.45">
      <c r="A78" s="69"/>
      <c r="B78" s="12"/>
      <c r="C78" s="12"/>
      <c r="D78" s="12"/>
      <c r="E78" s="12"/>
      <c r="F78" s="12"/>
      <c r="G78" s="12"/>
      <c r="H78" s="12"/>
      <c r="I78" s="12"/>
      <c r="J78" s="12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5.75" customHeight="1" x14ac:dyDescent="0.45">
      <c r="A79" s="69"/>
      <c r="B79" s="12"/>
      <c r="C79" s="12"/>
      <c r="D79" s="12"/>
      <c r="E79" s="12"/>
      <c r="F79" s="12"/>
      <c r="G79" s="12"/>
      <c r="H79" s="12"/>
      <c r="I79" s="12"/>
      <c r="J79" s="12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5.75" customHeight="1" x14ac:dyDescent="0.45">
      <c r="A80" s="69"/>
      <c r="B80" s="12"/>
      <c r="C80" s="12"/>
      <c r="D80" s="12"/>
      <c r="E80" s="12"/>
      <c r="F80" s="12"/>
      <c r="G80" s="12"/>
      <c r="H80" s="12"/>
      <c r="I80" s="12"/>
      <c r="J80" s="12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5.75" customHeight="1" x14ac:dyDescent="0.45">
      <c r="A81" s="69"/>
      <c r="B81" s="12"/>
      <c r="C81" s="12"/>
      <c r="D81" s="12"/>
      <c r="E81" s="12"/>
      <c r="F81" s="12"/>
      <c r="G81" s="12"/>
      <c r="H81" s="12"/>
      <c r="I81" s="12"/>
      <c r="J81" s="12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5.75" customHeight="1" x14ac:dyDescent="0.45">
      <c r="A82" s="69"/>
      <c r="B82" s="12"/>
      <c r="C82" s="12"/>
      <c r="D82" s="12"/>
      <c r="E82" s="12"/>
      <c r="F82" s="12"/>
      <c r="G82" s="12"/>
      <c r="H82" s="12"/>
      <c r="I82" s="12"/>
      <c r="J82" s="12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5.75" customHeight="1" x14ac:dyDescent="0.45">
      <c r="A83" s="69"/>
      <c r="B83" s="12"/>
      <c r="C83" s="12"/>
      <c r="D83" s="12"/>
      <c r="E83" s="12"/>
      <c r="F83" s="12"/>
      <c r="G83" s="12"/>
      <c r="H83" s="12"/>
      <c r="I83" s="12"/>
      <c r="J83" s="12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5.75" customHeight="1" x14ac:dyDescent="0.45">
      <c r="A84" s="69"/>
      <c r="B84" s="12"/>
      <c r="C84" s="12"/>
      <c r="D84" s="12"/>
      <c r="E84" s="12"/>
      <c r="F84" s="12"/>
      <c r="G84" s="12"/>
      <c r="H84" s="12"/>
      <c r="I84" s="12"/>
      <c r="J84" s="12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5.75" customHeight="1" x14ac:dyDescent="0.45">
      <c r="A85" s="69"/>
      <c r="B85" s="12"/>
      <c r="C85" s="12"/>
      <c r="D85" s="12"/>
      <c r="E85" s="12"/>
      <c r="F85" s="12"/>
      <c r="G85" s="12"/>
      <c r="H85" s="12"/>
      <c r="I85" s="12"/>
      <c r="J85" s="12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5.75" customHeight="1" x14ac:dyDescent="0.45">
      <c r="A86" s="69"/>
      <c r="B86" s="12"/>
      <c r="C86" s="12"/>
      <c r="D86" s="12"/>
      <c r="E86" s="12"/>
      <c r="F86" s="12"/>
      <c r="G86" s="12"/>
      <c r="H86" s="12"/>
      <c r="I86" s="12"/>
      <c r="J86" s="12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5.75" customHeight="1" x14ac:dyDescent="0.45">
      <c r="A87" s="69"/>
      <c r="B87" s="12"/>
      <c r="C87" s="12"/>
      <c r="D87" s="12"/>
      <c r="E87" s="12"/>
      <c r="F87" s="12"/>
      <c r="G87" s="12"/>
      <c r="H87" s="12"/>
      <c r="I87" s="12"/>
      <c r="J87" s="12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5.75" customHeight="1" x14ac:dyDescent="0.45">
      <c r="A88" s="69"/>
      <c r="B88" s="12"/>
      <c r="C88" s="12"/>
      <c r="D88" s="12"/>
      <c r="E88" s="12"/>
      <c r="F88" s="12"/>
      <c r="G88" s="12"/>
      <c r="H88" s="12"/>
      <c r="I88" s="12"/>
      <c r="J88" s="12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5.75" customHeight="1" x14ac:dyDescent="0.45">
      <c r="A89" s="69"/>
      <c r="B89" s="12"/>
      <c r="C89" s="12"/>
      <c r="D89" s="12"/>
      <c r="E89" s="12"/>
      <c r="F89" s="12"/>
      <c r="G89" s="12"/>
      <c r="H89" s="12"/>
      <c r="I89" s="12"/>
      <c r="J89" s="12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5.75" customHeight="1" x14ac:dyDescent="0.45">
      <c r="A90" s="69"/>
      <c r="B90" s="12"/>
      <c r="C90" s="12"/>
      <c r="D90" s="12"/>
      <c r="E90" s="12"/>
      <c r="F90" s="12"/>
      <c r="G90" s="12"/>
      <c r="H90" s="12"/>
      <c r="I90" s="12"/>
      <c r="J90" s="12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5.75" customHeight="1" x14ac:dyDescent="0.45">
      <c r="A91" s="69"/>
      <c r="B91" s="12"/>
      <c r="C91" s="12"/>
      <c r="D91" s="12"/>
      <c r="E91" s="12"/>
      <c r="F91" s="12"/>
      <c r="G91" s="12"/>
      <c r="H91" s="12"/>
      <c r="I91" s="12"/>
      <c r="J91" s="12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5.75" customHeight="1" x14ac:dyDescent="0.45">
      <c r="A92" s="69"/>
      <c r="B92" s="12"/>
      <c r="C92" s="12"/>
      <c r="D92" s="12"/>
      <c r="E92" s="12"/>
      <c r="F92" s="12"/>
      <c r="G92" s="12"/>
      <c r="H92" s="12"/>
      <c r="I92" s="12"/>
      <c r="J92" s="12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5.75" customHeight="1" x14ac:dyDescent="0.45">
      <c r="A93" s="69"/>
      <c r="B93" s="12"/>
      <c r="C93" s="12"/>
      <c r="D93" s="12"/>
      <c r="E93" s="12"/>
      <c r="F93" s="12"/>
      <c r="G93" s="12"/>
      <c r="H93" s="12"/>
      <c r="I93" s="12"/>
      <c r="J93" s="12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5.75" customHeight="1" x14ac:dyDescent="0.45">
      <c r="A94" s="69"/>
      <c r="B94" s="12"/>
      <c r="C94" s="12"/>
      <c r="D94" s="12"/>
      <c r="E94" s="12"/>
      <c r="F94" s="12"/>
      <c r="G94" s="12"/>
      <c r="H94" s="12"/>
      <c r="I94" s="12"/>
      <c r="J94" s="12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5.75" customHeight="1" x14ac:dyDescent="0.45">
      <c r="A95" s="69"/>
      <c r="B95" s="12"/>
      <c r="C95" s="12"/>
      <c r="D95" s="12"/>
      <c r="E95" s="12"/>
      <c r="F95" s="12"/>
      <c r="G95" s="12"/>
      <c r="H95" s="12"/>
      <c r="I95" s="12"/>
      <c r="J95" s="12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5.75" customHeight="1" x14ac:dyDescent="0.45">
      <c r="A96" s="69"/>
      <c r="B96" s="12"/>
      <c r="C96" s="12"/>
      <c r="D96" s="12"/>
      <c r="E96" s="12"/>
      <c r="F96" s="12"/>
      <c r="G96" s="12"/>
      <c r="H96" s="12"/>
      <c r="I96" s="12"/>
      <c r="J96" s="12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5.75" customHeight="1" x14ac:dyDescent="0.45">
      <c r="A97" s="69"/>
      <c r="B97" s="12"/>
      <c r="C97" s="12"/>
      <c r="D97" s="12"/>
      <c r="E97" s="12"/>
      <c r="F97" s="12"/>
      <c r="G97" s="12"/>
      <c r="H97" s="12"/>
      <c r="I97" s="12"/>
      <c r="J97" s="12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5.75" customHeight="1" x14ac:dyDescent="0.45">
      <c r="A98" s="69"/>
      <c r="B98" s="12"/>
      <c r="C98" s="12"/>
      <c r="D98" s="12"/>
      <c r="E98" s="12"/>
      <c r="F98" s="12"/>
      <c r="G98" s="12"/>
      <c r="H98" s="12"/>
      <c r="I98" s="12"/>
      <c r="J98" s="12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5.75" customHeight="1" x14ac:dyDescent="0.45">
      <c r="A99" s="69"/>
      <c r="B99" s="12"/>
      <c r="C99" s="12"/>
      <c r="D99" s="12"/>
      <c r="E99" s="12"/>
      <c r="F99" s="12"/>
      <c r="G99" s="12"/>
      <c r="H99" s="12"/>
      <c r="I99" s="12"/>
      <c r="J99" s="12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5.75" customHeight="1" x14ac:dyDescent="0.45">
      <c r="A100" s="69"/>
      <c r="B100" s="12"/>
      <c r="C100" s="12"/>
      <c r="D100" s="12"/>
      <c r="E100" s="12"/>
      <c r="F100" s="12"/>
      <c r="G100" s="12"/>
      <c r="H100" s="12"/>
      <c r="I100" s="12"/>
      <c r="J100" s="12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5.75" customHeight="1" x14ac:dyDescent="0.45">
      <c r="A101" s="69"/>
      <c r="B101" s="12"/>
      <c r="C101" s="12"/>
      <c r="D101" s="12"/>
      <c r="E101" s="12"/>
      <c r="F101" s="12"/>
      <c r="G101" s="12"/>
      <c r="H101" s="12"/>
      <c r="I101" s="12"/>
      <c r="J101" s="12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5.75" customHeight="1" x14ac:dyDescent="0.45">
      <c r="A102" s="69"/>
      <c r="B102" s="12"/>
      <c r="C102" s="12"/>
      <c r="D102" s="12"/>
      <c r="E102" s="12"/>
      <c r="F102" s="12"/>
      <c r="G102" s="12"/>
      <c r="H102" s="12"/>
      <c r="I102" s="12"/>
      <c r="J102" s="12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5.75" customHeight="1" x14ac:dyDescent="0.45">
      <c r="A103" s="69"/>
      <c r="B103" s="12"/>
      <c r="C103" s="12"/>
      <c r="D103" s="12"/>
      <c r="E103" s="12"/>
      <c r="F103" s="12"/>
      <c r="G103" s="12"/>
      <c r="H103" s="12"/>
      <c r="I103" s="12"/>
      <c r="J103" s="12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5.75" customHeight="1" x14ac:dyDescent="0.45">
      <c r="A104" s="69"/>
      <c r="B104" s="12"/>
      <c r="C104" s="12"/>
      <c r="D104" s="12"/>
      <c r="E104" s="12"/>
      <c r="F104" s="12"/>
      <c r="G104" s="12"/>
      <c r="H104" s="12"/>
      <c r="I104" s="12"/>
      <c r="J104" s="12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5.75" customHeight="1" x14ac:dyDescent="0.45">
      <c r="A105" s="69"/>
      <c r="B105" s="12"/>
      <c r="C105" s="12"/>
      <c r="D105" s="12"/>
      <c r="E105" s="12"/>
      <c r="F105" s="12"/>
      <c r="G105" s="12"/>
      <c r="H105" s="12"/>
      <c r="I105" s="12"/>
      <c r="J105" s="12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5.75" customHeight="1" x14ac:dyDescent="0.45">
      <c r="A106" s="69"/>
      <c r="B106" s="12"/>
      <c r="C106" s="12"/>
      <c r="D106" s="12"/>
      <c r="E106" s="12"/>
      <c r="F106" s="12"/>
      <c r="G106" s="12"/>
      <c r="H106" s="12"/>
      <c r="I106" s="12"/>
      <c r="J106" s="12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5.75" customHeight="1" x14ac:dyDescent="0.45">
      <c r="A107" s="69"/>
      <c r="B107" s="12"/>
      <c r="C107" s="12"/>
      <c r="D107" s="12"/>
      <c r="E107" s="12"/>
      <c r="F107" s="12"/>
      <c r="G107" s="12"/>
      <c r="H107" s="12"/>
      <c r="I107" s="12"/>
      <c r="J107" s="12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5.75" customHeight="1" x14ac:dyDescent="0.45">
      <c r="A108" s="69"/>
      <c r="B108" s="12"/>
      <c r="C108" s="12"/>
      <c r="D108" s="12"/>
      <c r="E108" s="12"/>
      <c r="F108" s="12"/>
      <c r="G108" s="12"/>
      <c r="H108" s="12"/>
      <c r="I108" s="12"/>
      <c r="J108" s="12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5.75" customHeight="1" x14ac:dyDescent="0.45">
      <c r="A109" s="69"/>
      <c r="B109" s="12"/>
      <c r="C109" s="12"/>
      <c r="D109" s="12"/>
      <c r="E109" s="12"/>
      <c r="F109" s="12"/>
      <c r="G109" s="12"/>
      <c r="H109" s="12"/>
      <c r="I109" s="12"/>
      <c r="J109" s="12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5.75" customHeight="1" x14ac:dyDescent="0.45">
      <c r="A110" s="69"/>
      <c r="B110" s="12"/>
      <c r="C110" s="12"/>
      <c r="D110" s="12"/>
      <c r="E110" s="12"/>
      <c r="F110" s="12"/>
      <c r="G110" s="12"/>
      <c r="H110" s="12"/>
      <c r="I110" s="12"/>
      <c r="J110" s="12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5.75" customHeight="1" x14ac:dyDescent="0.45">
      <c r="A111" s="69"/>
      <c r="B111" s="12"/>
      <c r="C111" s="12"/>
      <c r="D111" s="12"/>
      <c r="E111" s="12"/>
      <c r="F111" s="12"/>
      <c r="G111" s="12"/>
      <c r="H111" s="12"/>
      <c r="I111" s="12"/>
      <c r="J111" s="12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5.75" customHeight="1" x14ac:dyDescent="0.45">
      <c r="A112" s="69"/>
      <c r="B112" s="12"/>
      <c r="C112" s="12"/>
      <c r="D112" s="12"/>
      <c r="E112" s="12"/>
      <c r="F112" s="12"/>
      <c r="G112" s="12"/>
      <c r="H112" s="12"/>
      <c r="I112" s="12"/>
      <c r="J112" s="12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5.75" customHeight="1" x14ac:dyDescent="0.45">
      <c r="A113" s="69"/>
      <c r="B113" s="12"/>
      <c r="C113" s="12"/>
      <c r="D113" s="12"/>
      <c r="E113" s="12"/>
      <c r="F113" s="12"/>
      <c r="G113" s="12"/>
      <c r="H113" s="12"/>
      <c r="I113" s="12"/>
      <c r="J113" s="12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5.75" customHeight="1" x14ac:dyDescent="0.45">
      <c r="A114" s="69"/>
      <c r="B114" s="12"/>
      <c r="C114" s="12"/>
      <c r="D114" s="12"/>
      <c r="E114" s="12"/>
      <c r="F114" s="12"/>
      <c r="G114" s="12"/>
      <c r="H114" s="12"/>
      <c r="I114" s="12"/>
      <c r="J114" s="12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5.75" customHeight="1" x14ac:dyDescent="0.45">
      <c r="A115" s="69"/>
      <c r="B115" s="12"/>
      <c r="C115" s="12"/>
      <c r="D115" s="12"/>
      <c r="E115" s="12"/>
      <c r="F115" s="12"/>
      <c r="G115" s="12"/>
      <c r="H115" s="12"/>
      <c r="I115" s="12"/>
      <c r="J115" s="12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5.75" customHeight="1" x14ac:dyDescent="0.45">
      <c r="A116" s="69"/>
      <c r="B116" s="12"/>
      <c r="C116" s="12"/>
      <c r="D116" s="12"/>
      <c r="E116" s="12"/>
      <c r="F116" s="12"/>
      <c r="G116" s="12"/>
      <c r="H116" s="12"/>
      <c r="I116" s="12"/>
      <c r="J116" s="12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5.75" customHeight="1" x14ac:dyDescent="0.45">
      <c r="A117" s="69"/>
      <c r="B117" s="12"/>
      <c r="C117" s="12"/>
      <c r="D117" s="12"/>
      <c r="E117" s="12"/>
      <c r="F117" s="12"/>
      <c r="G117" s="12"/>
      <c r="H117" s="12"/>
      <c r="I117" s="12"/>
      <c r="J117" s="12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5.75" customHeight="1" x14ac:dyDescent="0.45">
      <c r="A118" s="69"/>
      <c r="B118" s="12"/>
      <c r="C118" s="12"/>
      <c r="D118" s="12"/>
      <c r="E118" s="12"/>
      <c r="F118" s="12"/>
      <c r="G118" s="12"/>
      <c r="H118" s="12"/>
      <c r="I118" s="12"/>
      <c r="J118" s="12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5.75" customHeight="1" x14ac:dyDescent="0.45">
      <c r="A119" s="69"/>
      <c r="B119" s="12"/>
      <c r="C119" s="12"/>
      <c r="D119" s="12"/>
      <c r="E119" s="12"/>
      <c r="F119" s="12"/>
      <c r="G119" s="12"/>
      <c r="H119" s="12"/>
      <c r="I119" s="12"/>
      <c r="J119" s="12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5.75" customHeight="1" x14ac:dyDescent="0.45">
      <c r="A120" s="69"/>
      <c r="B120" s="12"/>
      <c r="C120" s="12"/>
      <c r="D120" s="12"/>
      <c r="E120" s="12"/>
      <c r="F120" s="12"/>
      <c r="G120" s="12"/>
      <c r="H120" s="12"/>
      <c r="I120" s="12"/>
      <c r="J120" s="12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5.75" customHeight="1" x14ac:dyDescent="0.45">
      <c r="A121" s="69"/>
      <c r="B121" s="12"/>
      <c r="C121" s="12"/>
      <c r="D121" s="12"/>
      <c r="E121" s="12"/>
      <c r="F121" s="12"/>
      <c r="G121" s="12"/>
      <c r="H121" s="12"/>
      <c r="I121" s="12"/>
      <c r="J121" s="12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5.75" customHeight="1" x14ac:dyDescent="0.45">
      <c r="A122" s="69"/>
      <c r="B122" s="12"/>
      <c r="C122" s="12"/>
      <c r="D122" s="12"/>
      <c r="E122" s="12"/>
      <c r="F122" s="12"/>
      <c r="G122" s="12"/>
      <c r="H122" s="12"/>
      <c r="I122" s="12"/>
      <c r="J122" s="12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5.75" customHeight="1" x14ac:dyDescent="0.45">
      <c r="A123" s="69"/>
      <c r="B123" s="12"/>
      <c r="C123" s="12"/>
      <c r="D123" s="12"/>
      <c r="E123" s="12"/>
      <c r="F123" s="12"/>
      <c r="G123" s="12"/>
      <c r="H123" s="12"/>
      <c r="I123" s="12"/>
      <c r="J123" s="12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5.75" customHeight="1" x14ac:dyDescent="0.45">
      <c r="A124" s="69"/>
      <c r="B124" s="12"/>
      <c r="C124" s="12"/>
      <c r="D124" s="12"/>
      <c r="E124" s="12"/>
      <c r="F124" s="12"/>
      <c r="G124" s="12"/>
      <c r="H124" s="12"/>
      <c r="I124" s="12"/>
      <c r="J124" s="12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5.75" customHeight="1" x14ac:dyDescent="0.45">
      <c r="A125" s="69"/>
      <c r="B125" s="12"/>
      <c r="C125" s="12"/>
      <c r="D125" s="12"/>
      <c r="E125" s="12"/>
      <c r="F125" s="12"/>
      <c r="G125" s="12"/>
      <c r="H125" s="12"/>
      <c r="I125" s="12"/>
      <c r="J125" s="12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5.75" customHeight="1" x14ac:dyDescent="0.45">
      <c r="A126" s="69"/>
      <c r="B126" s="12"/>
      <c r="C126" s="12"/>
      <c r="D126" s="12"/>
      <c r="E126" s="12"/>
      <c r="F126" s="12"/>
      <c r="G126" s="12"/>
      <c r="H126" s="12"/>
      <c r="I126" s="12"/>
      <c r="J126" s="12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5.75" customHeight="1" x14ac:dyDescent="0.45">
      <c r="A127" s="69"/>
      <c r="B127" s="12"/>
      <c r="C127" s="12"/>
      <c r="D127" s="12"/>
      <c r="E127" s="12"/>
      <c r="F127" s="12"/>
      <c r="G127" s="12"/>
      <c r="H127" s="12"/>
      <c r="I127" s="12"/>
      <c r="J127" s="12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5.75" customHeight="1" x14ac:dyDescent="0.45">
      <c r="A128" s="69"/>
      <c r="B128" s="12"/>
      <c r="C128" s="12"/>
      <c r="D128" s="12"/>
      <c r="E128" s="12"/>
      <c r="F128" s="12"/>
      <c r="G128" s="12"/>
      <c r="H128" s="12"/>
      <c r="I128" s="12"/>
      <c r="J128" s="12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5.75" customHeight="1" x14ac:dyDescent="0.45">
      <c r="A129" s="69"/>
      <c r="B129" s="12"/>
      <c r="C129" s="12"/>
      <c r="D129" s="12"/>
      <c r="E129" s="12"/>
      <c r="F129" s="12"/>
      <c r="G129" s="12"/>
      <c r="H129" s="12"/>
      <c r="I129" s="12"/>
      <c r="J129" s="12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5.75" customHeight="1" x14ac:dyDescent="0.45">
      <c r="A130" s="69"/>
      <c r="B130" s="12"/>
      <c r="C130" s="12"/>
      <c r="D130" s="12"/>
      <c r="E130" s="12"/>
      <c r="F130" s="12"/>
      <c r="G130" s="12"/>
      <c r="H130" s="12"/>
      <c r="I130" s="12"/>
      <c r="J130" s="12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5.75" customHeight="1" x14ac:dyDescent="0.45">
      <c r="A131" s="69"/>
      <c r="B131" s="12"/>
      <c r="C131" s="12"/>
      <c r="D131" s="12"/>
      <c r="E131" s="12"/>
      <c r="F131" s="12"/>
      <c r="G131" s="12"/>
      <c r="H131" s="12"/>
      <c r="I131" s="12"/>
      <c r="J131" s="12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5.75" customHeight="1" x14ac:dyDescent="0.45">
      <c r="A132" s="69"/>
      <c r="B132" s="12"/>
      <c r="C132" s="12"/>
      <c r="D132" s="12"/>
      <c r="E132" s="12"/>
      <c r="F132" s="12"/>
      <c r="G132" s="12"/>
      <c r="H132" s="12"/>
      <c r="I132" s="12"/>
      <c r="J132" s="12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5.75" customHeight="1" x14ac:dyDescent="0.45">
      <c r="A133" s="69"/>
      <c r="B133" s="12"/>
      <c r="C133" s="12"/>
      <c r="D133" s="12"/>
      <c r="E133" s="12"/>
      <c r="F133" s="12"/>
      <c r="G133" s="12"/>
      <c r="H133" s="12"/>
      <c r="I133" s="12"/>
      <c r="J133" s="12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5.75" customHeight="1" x14ac:dyDescent="0.45">
      <c r="A134" s="69"/>
      <c r="B134" s="12"/>
      <c r="C134" s="12"/>
      <c r="D134" s="12"/>
      <c r="E134" s="12"/>
      <c r="F134" s="12"/>
      <c r="G134" s="12"/>
      <c r="H134" s="12"/>
      <c r="I134" s="12"/>
      <c r="J134" s="12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5.75" customHeight="1" x14ac:dyDescent="0.45">
      <c r="A135" s="69"/>
      <c r="B135" s="12"/>
      <c r="C135" s="12"/>
      <c r="D135" s="12"/>
      <c r="E135" s="12"/>
      <c r="F135" s="12"/>
      <c r="G135" s="12"/>
      <c r="H135" s="12"/>
      <c r="I135" s="12"/>
      <c r="J135" s="12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15.75" customHeight="1" x14ac:dyDescent="0.45">
      <c r="A136" s="69"/>
      <c r="B136" s="12"/>
      <c r="C136" s="12"/>
      <c r="D136" s="12"/>
      <c r="E136" s="12"/>
      <c r="F136" s="12"/>
      <c r="G136" s="12"/>
      <c r="H136" s="12"/>
      <c r="I136" s="12"/>
      <c r="J136" s="12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15.75" customHeight="1" x14ac:dyDescent="0.45">
      <c r="A137" s="69"/>
      <c r="B137" s="12"/>
      <c r="C137" s="12"/>
      <c r="D137" s="12"/>
      <c r="E137" s="12"/>
      <c r="F137" s="12"/>
      <c r="G137" s="12"/>
      <c r="H137" s="12"/>
      <c r="I137" s="12"/>
      <c r="J137" s="12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15.75" customHeight="1" x14ac:dyDescent="0.45">
      <c r="A138" s="69"/>
      <c r="B138" s="12"/>
      <c r="C138" s="12"/>
      <c r="D138" s="12"/>
      <c r="E138" s="12"/>
      <c r="F138" s="12"/>
      <c r="G138" s="12"/>
      <c r="H138" s="12"/>
      <c r="I138" s="12"/>
      <c r="J138" s="12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15.75" customHeight="1" x14ac:dyDescent="0.45">
      <c r="A139" s="69"/>
      <c r="B139" s="12"/>
      <c r="C139" s="12"/>
      <c r="D139" s="12"/>
      <c r="E139" s="12"/>
      <c r="F139" s="12"/>
      <c r="G139" s="12"/>
      <c r="H139" s="12"/>
      <c r="I139" s="12"/>
      <c r="J139" s="12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15.75" customHeight="1" x14ac:dyDescent="0.45">
      <c r="A140" s="69"/>
      <c r="B140" s="12"/>
      <c r="C140" s="12"/>
      <c r="D140" s="12"/>
      <c r="E140" s="12"/>
      <c r="F140" s="12"/>
      <c r="G140" s="12"/>
      <c r="H140" s="12"/>
      <c r="I140" s="12"/>
      <c r="J140" s="12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15.75" customHeight="1" x14ac:dyDescent="0.45">
      <c r="A141" s="69"/>
      <c r="B141" s="12"/>
      <c r="C141" s="12"/>
      <c r="D141" s="12"/>
      <c r="E141" s="12"/>
      <c r="F141" s="12"/>
      <c r="G141" s="12"/>
      <c r="H141" s="12"/>
      <c r="I141" s="12"/>
      <c r="J141" s="12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15.75" customHeight="1" x14ac:dyDescent="0.45">
      <c r="A142" s="69"/>
      <c r="B142" s="12"/>
      <c r="C142" s="12"/>
      <c r="D142" s="12"/>
      <c r="E142" s="12"/>
      <c r="F142" s="12"/>
      <c r="G142" s="12"/>
      <c r="H142" s="12"/>
      <c r="I142" s="12"/>
      <c r="J142" s="12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15.75" customHeight="1" x14ac:dyDescent="0.45">
      <c r="A143" s="69"/>
      <c r="B143" s="12"/>
      <c r="C143" s="12"/>
      <c r="D143" s="12"/>
      <c r="E143" s="12"/>
      <c r="F143" s="12"/>
      <c r="G143" s="12"/>
      <c r="H143" s="12"/>
      <c r="I143" s="12"/>
      <c r="J143" s="12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15.75" customHeight="1" x14ac:dyDescent="0.45">
      <c r="A144" s="69"/>
      <c r="B144" s="12"/>
      <c r="C144" s="12"/>
      <c r="D144" s="12"/>
      <c r="E144" s="12"/>
      <c r="F144" s="12"/>
      <c r="G144" s="12"/>
      <c r="H144" s="12"/>
      <c r="I144" s="12"/>
      <c r="J144" s="12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15.75" customHeight="1" x14ac:dyDescent="0.45">
      <c r="A145" s="69"/>
      <c r="B145" s="12"/>
      <c r="C145" s="12"/>
      <c r="D145" s="12"/>
      <c r="E145" s="12"/>
      <c r="F145" s="12"/>
      <c r="G145" s="12"/>
      <c r="H145" s="12"/>
      <c r="I145" s="12"/>
      <c r="J145" s="12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15.75" customHeight="1" x14ac:dyDescent="0.45">
      <c r="A146" s="69"/>
      <c r="B146" s="12"/>
      <c r="C146" s="12"/>
      <c r="D146" s="12"/>
      <c r="E146" s="12"/>
      <c r="F146" s="12"/>
      <c r="G146" s="12"/>
      <c r="H146" s="12"/>
      <c r="I146" s="12"/>
      <c r="J146" s="12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15.75" customHeight="1" x14ac:dyDescent="0.45">
      <c r="A147" s="69"/>
      <c r="B147" s="12"/>
      <c r="C147" s="12"/>
      <c r="D147" s="12"/>
      <c r="E147" s="12"/>
      <c r="F147" s="12"/>
      <c r="G147" s="12"/>
      <c r="H147" s="12"/>
      <c r="I147" s="12"/>
      <c r="J147" s="12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15.75" customHeight="1" x14ac:dyDescent="0.45">
      <c r="A148" s="69"/>
      <c r="B148" s="12"/>
      <c r="C148" s="12"/>
      <c r="D148" s="12"/>
      <c r="E148" s="12"/>
      <c r="F148" s="12"/>
      <c r="G148" s="12"/>
      <c r="H148" s="12"/>
      <c r="I148" s="12"/>
      <c r="J148" s="12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15.75" customHeight="1" x14ac:dyDescent="0.45">
      <c r="A149" s="69"/>
      <c r="B149" s="12"/>
      <c r="C149" s="12"/>
      <c r="D149" s="12"/>
      <c r="E149" s="12"/>
      <c r="F149" s="12"/>
      <c r="G149" s="12"/>
      <c r="H149" s="12"/>
      <c r="I149" s="12"/>
      <c r="J149" s="12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15.75" customHeight="1" x14ac:dyDescent="0.45">
      <c r="A150" s="69"/>
      <c r="B150" s="12"/>
      <c r="C150" s="12"/>
      <c r="D150" s="12"/>
      <c r="E150" s="12"/>
      <c r="F150" s="12"/>
      <c r="G150" s="12"/>
      <c r="H150" s="12"/>
      <c r="I150" s="12"/>
      <c r="J150" s="12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15.75" customHeight="1" x14ac:dyDescent="0.45">
      <c r="A151" s="69"/>
      <c r="B151" s="12"/>
      <c r="C151" s="12"/>
      <c r="D151" s="12"/>
      <c r="E151" s="12"/>
      <c r="F151" s="12"/>
      <c r="G151" s="12"/>
      <c r="H151" s="12"/>
      <c r="I151" s="12"/>
      <c r="J151" s="12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15.75" customHeight="1" x14ac:dyDescent="0.45">
      <c r="A152" s="69"/>
      <c r="B152" s="12"/>
      <c r="C152" s="12"/>
      <c r="D152" s="12"/>
      <c r="E152" s="12"/>
      <c r="F152" s="12"/>
      <c r="G152" s="12"/>
      <c r="H152" s="12"/>
      <c r="I152" s="12"/>
      <c r="J152" s="12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15.75" customHeight="1" x14ac:dyDescent="0.45">
      <c r="A153" s="69"/>
      <c r="B153" s="12"/>
      <c r="C153" s="12"/>
      <c r="D153" s="12"/>
      <c r="E153" s="12"/>
      <c r="F153" s="12"/>
      <c r="G153" s="12"/>
      <c r="H153" s="12"/>
      <c r="I153" s="12"/>
      <c r="J153" s="12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15.75" customHeight="1" x14ac:dyDescent="0.45">
      <c r="A154" s="69"/>
      <c r="B154" s="12"/>
      <c r="C154" s="12"/>
      <c r="D154" s="12"/>
      <c r="E154" s="12"/>
      <c r="F154" s="12"/>
      <c r="G154" s="12"/>
      <c r="H154" s="12"/>
      <c r="I154" s="12"/>
      <c r="J154" s="12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5.75" customHeight="1" x14ac:dyDescent="0.45">
      <c r="A155" s="69"/>
      <c r="B155" s="12"/>
      <c r="C155" s="12"/>
      <c r="D155" s="12"/>
      <c r="E155" s="12"/>
      <c r="F155" s="12"/>
      <c r="G155" s="12"/>
      <c r="H155" s="12"/>
      <c r="I155" s="12"/>
      <c r="J155" s="12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15.75" customHeight="1" x14ac:dyDescent="0.45">
      <c r="A156" s="69"/>
      <c r="B156" s="12"/>
      <c r="C156" s="12"/>
      <c r="D156" s="12"/>
      <c r="E156" s="12"/>
      <c r="F156" s="12"/>
      <c r="G156" s="12"/>
      <c r="H156" s="12"/>
      <c r="I156" s="12"/>
      <c r="J156" s="12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15.75" customHeight="1" x14ac:dyDescent="0.45">
      <c r="A157" s="69"/>
      <c r="B157" s="12"/>
      <c r="C157" s="12"/>
      <c r="D157" s="12"/>
      <c r="E157" s="12"/>
      <c r="F157" s="12"/>
      <c r="G157" s="12"/>
      <c r="H157" s="12"/>
      <c r="I157" s="12"/>
      <c r="J157" s="12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15.75" customHeight="1" x14ac:dyDescent="0.45">
      <c r="A158" s="69"/>
      <c r="B158" s="12"/>
      <c r="C158" s="12"/>
      <c r="D158" s="12"/>
      <c r="E158" s="12"/>
      <c r="F158" s="12"/>
      <c r="G158" s="12"/>
      <c r="H158" s="12"/>
      <c r="I158" s="12"/>
      <c r="J158" s="12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15.75" customHeight="1" x14ac:dyDescent="0.45">
      <c r="A159" s="69"/>
      <c r="B159" s="12"/>
      <c r="C159" s="12"/>
      <c r="D159" s="12"/>
      <c r="E159" s="12"/>
      <c r="F159" s="12"/>
      <c r="G159" s="12"/>
      <c r="H159" s="12"/>
      <c r="I159" s="12"/>
      <c r="J159" s="12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15.75" customHeight="1" x14ac:dyDescent="0.45">
      <c r="A160" s="69"/>
      <c r="B160" s="12"/>
      <c r="C160" s="12"/>
      <c r="D160" s="12"/>
      <c r="E160" s="12"/>
      <c r="F160" s="12"/>
      <c r="G160" s="12"/>
      <c r="H160" s="12"/>
      <c r="I160" s="12"/>
      <c r="J160" s="12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15.75" customHeight="1" x14ac:dyDescent="0.45">
      <c r="A161" s="69"/>
      <c r="B161" s="12"/>
      <c r="C161" s="12"/>
      <c r="D161" s="12"/>
      <c r="E161" s="12"/>
      <c r="F161" s="12"/>
      <c r="G161" s="12"/>
      <c r="H161" s="12"/>
      <c r="I161" s="12"/>
      <c r="J161" s="12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15.75" customHeight="1" x14ac:dyDescent="0.45">
      <c r="A162" s="69"/>
      <c r="B162" s="12"/>
      <c r="C162" s="12"/>
      <c r="D162" s="12"/>
      <c r="E162" s="12"/>
      <c r="F162" s="12"/>
      <c r="G162" s="12"/>
      <c r="H162" s="12"/>
      <c r="I162" s="12"/>
      <c r="J162" s="12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15.75" customHeight="1" x14ac:dyDescent="0.45">
      <c r="A163" s="69"/>
      <c r="B163" s="12"/>
      <c r="C163" s="12"/>
      <c r="D163" s="12"/>
      <c r="E163" s="12"/>
      <c r="F163" s="12"/>
      <c r="G163" s="12"/>
      <c r="H163" s="12"/>
      <c r="I163" s="12"/>
      <c r="J163" s="12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15.75" customHeight="1" x14ac:dyDescent="0.45">
      <c r="A164" s="69"/>
      <c r="B164" s="12"/>
      <c r="C164" s="12"/>
      <c r="D164" s="12"/>
      <c r="E164" s="12"/>
      <c r="F164" s="12"/>
      <c r="G164" s="12"/>
      <c r="H164" s="12"/>
      <c r="I164" s="12"/>
      <c r="J164" s="12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15.75" customHeight="1" x14ac:dyDescent="0.45">
      <c r="A165" s="69"/>
      <c r="B165" s="12"/>
      <c r="C165" s="12"/>
      <c r="D165" s="12"/>
      <c r="E165" s="12"/>
      <c r="F165" s="12"/>
      <c r="G165" s="12"/>
      <c r="H165" s="12"/>
      <c r="I165" s="12"/>
      <c r="J165" s="12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15.75" customHeight="1" x14ac:dyDescent="0.45">
      <c r="A166" s="69"/>
      <c r="B166" s="12"/>
      <c r="C166" s="12"/>
      <c r="D166" s="12"/>
      <c r="E166" s="12"/>
      <c r="F166" s="12"/>
      <c r="G166" s="12"/>
      <c r="H166" s="12"/>
      <c r="I166" s="12"/>
      <c r="J166" s="12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15.75" customHeight="1" x14ac:dyDescent="0.45">
      <c r="A167" s="69"/>
      <c r="B167" s="12"/>
      <c r="C167" s="12"/>
      <c r="D167" s="12"/>
      <c r="E167" s="12"/>
      <c r="F167" s="12"/>
      <c r="G167" s="12"/>
      <c r="H167" s="12"/>
      <c r="I167" s="12"/>
      <c r="J167" s="12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15.75" customHeight="1" x14ac:dyDescent="0.45">
      <c r="A168" s="69"/>
      <c r="B168" s="12"/>
      <c r="C168" s="12"/>
      <c r="D168" s="12"/>
      <c r="E168" s="12"/>
      <c r="F168" s="12"/>
      <c r="G168" s="12"/>
      <c r="H168" s="12"/>
      <c r="I168" s="12"/>
      <c r="J168" s="12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15.75" customHeight="1" x14ac:dyDescent="0.45">
      <c r="A169" s="69"/>
      <c r="B169" s="12"/>
      <c r="C169" s="12"/>
      <c r="D169" s="12"/>
      <c r="E169" s="12"/>
      <c r="F169" s="12"/>
      <c r="G169" s="12"/>
      <c r="H169" s="12"/>
      <c r="I169" s="12"/>
      <c r="J169" s="12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15.75" customHeight="1" x14ac:dyDescent="0.45">
      <c r="A170" s="69"/>
      <c r="B170" s="12"/>
      <c r="C170" s="12"/>
      <c r="D170" s="12"/>
      <c r="E170" s="12"/>
      <c r="F170" s="12"/>
      <c r="G170" s="12"/>
      <c r="H170" s="12"/>
      <c r="I170" s="12"/>
      <c r="J170" s="12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15.75" customHeight="1" x14ac:dyDescent="0.45">
      <c r="A171" s="69"/>
      <c r="B171" s="12"/>
      <c r="C171" s="12"/>
      <c r="D171" s="12"/>
      <c r="E171" s="12"/>
      <c r="F171" s="12"/>
      <c r="G171" s="12"/>
      <c r="H171" s="12"/>
      <c r="I171" s="12"/>
      <c r="J171" s="12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15.75" customHeight="1" x14ac:dyDescent="0.45">
      <c r="A172" s="69"/>
      <c r="B172" s="12"/>
      <c r="C172" s="12"/>
      <c r="D172" s="12"/>
      <c r="E172" s="12"/>
      <c r="F172" s="12"/>
      <c r="G172" s="12"/>
      <c r="H172" s="12"/>
      <c r="I172" s="12"/>
      <c r="J172" s="12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15.75" customHeight="1" x14ac:dyDescent="0.45">
      <c r="A173" s="69"/>
      <c r="B173" s="12"/>
      <c r="C173" s="12"/>
      <c r="D173" s="12"/>
      <c r="E173" s="12"/>
      <c r="F173" s="12"/>
      <c r="G173" s="12"/>
      <c r="H173" s="12"/>
      <c r="I173" s="12"/>
      <c r="J173" s="12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15.75" customHeight="1" x14ac:dyDescent="0.45">
      <c r="A174" s="69"/>
      <c r="B174" s="12"/>
      <c r="C174" s="12"/>
      <c r="D174" s="12"/>
      <c r="E174" s="12"/>
      <c r="F174" s="12"/>
      <c r="G174" s="12"/>
      <c r="H174" s="12"/>
      <c r="I174" s="12"/>
      <c r="J174" s="12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5.75" customHeight="1" x14ac:dyDescent="0.45">
      <c r="A175" s="69"/>
      <c r="B175" s="12"/>
      <c r="C175" s="12"/>
      <c r="D175" s="12"/>
      <c r="E175" s="12"/>
      <c r="F175" s="12"/>
      <c r="G175" s="12"/>
      <c r="H175" s="12"/>
      <c r="I175" s="12"/>
      <c r="J175" s="12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15.75" customHeight="1" x14ac:dyDescent="0.45">
      <c r="A176" s="69"/>
      <c r="B176" s="12"/>
      <c r="C176" s="12"/>
      <c r="D176" s="12"/>
      <c r="E176" s="12"/>
      <c r="F176" s="12"/>
      <c r="G176" s="12"/>
      <c r="H176" s="12"/>
      <c r="I176" s="12"/>
      <c r="J176" s="12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15.75" customHeight="1" x14ac:dyDescent="0.45">
      <c r="A177" s="69"/>
      <c r="B177" s="12"/>
      <c r="C177" s="12"/>
      <c r="D177" s="12"/>
      <c r="E177" s="12"/>
      <c r="F177" s="12"/>
      <c r="G177" s="12"/>
      <c r="H177" s="12"/>
      <c r="I177" s="12"/>
      <c r="J177" s="12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15.75" customHeight="1" x14ac:dyDescent="0.45">
      <c r="A178" s="69"/>
      <c r="B178" s="12"/>
      <c r="C178" s="12"/>
      <c r="D178" s="12"/>
      <c r="E178" s="12"/>
      <c r="F178" s="12"/>
      <c r="G178" s="12"/>
      <c r="H178" s="12"/>
      <c r="I178" s="12"/>
      <c r="J178" s="12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15.75" customHeight="1" x14ac:dyDescent="0.45">
      <c r="A179" s="69"/>
      <c r="B179" s="12"/>
      <c r="C179" s="12"/>
      <c r="D179" s="12"/>
      <c r="E179" s="12"/>
      <c r="F179" s="12"/>
      <c r="G179" s="12"/>
      <c r="H179" s="12"/>
      <c r="I179" s="12"/>
      <c r="J179" s="12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15.75" customHeight="1" x14ac:dyDescent="0.45">
      <c r="A180" s="69"/>
      <c r="B180" s="12"/>
      <c r="C180" s="12"/>
      <c r="D180" s="12"/>
      <c r="E180" s="12"/>
      <c r="F180" s="12"/>
      <c r="G180" s="12"/>
      <c r="H180" s="12"/>
      <c r="I180" s="12"/>
      <c r="J180" s="12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15.75" customHeight="1" x14ac:dyDescent="0.45">
      <c r="A181" s="69"/>
      <c r="B181" s="12"/>
      <c r="C181" s="12"/>
      <c r="D181" s="12"/>
      <c r="E181" s="12"/>
      <c r="F181" s="12"/>
      <c r="G181" s="12"/>
      <c r="H181" s="12"/>
      <c r="I181" s="12"/>
      <c r="J181" s="12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15.75" customHeight="1" x14ac:dyDescent="0.45">
      <c r="A182" s="69"/>
      <c r="B182" s="12"/>
      <c r="C182" s="12"/>
      <c r="D182" s="12"/>
      <c r="E182" s="12"/>
      <c r="F182" s="12"/>
      <c r="G182" s="12"/>
      <c r="H182" s="12"/>
      <c r="I182" s="12"/>
      <c r="J182" s="12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15.75" customHeight="1" x14ac:dyDescent="0.45">
      <c r="A183" s="69"/>
      <c r="B183" s="12"/>
      <c r="C183" s="12"/>
      <c r="D183" s="12"/>
      <c r="E183" s="12"/>
      <c r="F183" s="12"/>
      <c r="G183" s="12"/>
      <c r="H183" s="12"/>
      <c r="I183" s="12"/>
      <c r="J183" s="12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15.75" customHeight="1" x14ac:dyDescent="0.45">
      <c r="A184" s="69"/>
      <c r="B184" s="12"/>
      <c r="C184" s="12"/>
      <c r="D184" s="12"/>
      <c r="E184" s="12"/>
      <c r="F184" s="12"/>
      <c r="G184" s="12"/>
      <c r="H184" s="12"/>
      <c r="I184" s="12"/>
      <c r="J184" s="12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15.75" customHeight="1" x14ac:dyDescent="0.45">
      <c r="A185" s="69"/>
      <c r="B185" s="12"/>
      <c r="C185" s="12"/>
      <c r="D185" s="12"/>
      <c r="E185" s="12"/>
      <c r="F185" s="12"/>
      <c r="G185" s="12"/>
      <c r="H185" s="12"/>
      <c r="I185" s="12"/>
      <c r="J185" s="12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15.75" customHeight="1" x14ac:dyDescent="0.45">
      <c r="A186" s="69"/>
      <c r="B186" s="12"/>
      <c r="C186" s="12"/>
      <c r="D186" s="12"/>
      <c r="E186" s="12"/>
      <c r="F186" s="12"/>
      <c r="G186" s="12"/>
      <c r="H186" s="12"/>
      <c r="I186" s="12"/>
      <c r="J186" s="12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15.75" customHeight="1" x14ac:dyDescent="0.45">
      <c r="A187" s="69"/>
      <c r="B187" s="12"/>
      <c r="C187" s="12"/>
      <c r="D187" s="12"/>
      <c r="E187" s="12"/>
      <c r="F187" s="12"/>
      <c r="G187" s="12"/>
      <c r="H187" s="12"/>
      <c r="I187" s="12"/>
      <c r="J187" s="12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15.75" customHeight="1" x14ac:dyDescent="0.45">
      <c r="A188" s="69"/>
      <c r="B188" s="12"/>
      <c r="C188" s="12"/>
      <c r="D188" s="12"/>
      <c r="E188" s="12"/>
      <c r="F188" s="12"/>
      <c r="G188" s="12"/>
      <c r="H188" s="12"/>
      <c r="I188" s="12"/>
      <c r="J188" s="12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15.75" customHeight="1" x14ac:dyDescent="0.45">
      <c r="A189" s="69"/>
      <c r="B189" s="12"/>
      <c r="C189" s="12"/>
      <c r="D189" s="12"/>
      <c r="E189" s="12"/>
      <c r="F189" s="12"/>
      <c r="G189" s="12"/>
      <c r="H189" s="12"/>
      <c r="I189" s="12"/>
      <c r="J189" s="12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15.75" customHeight="1" x14ac:dyDescent="0.45">
      <c r="A190" s="69"/>
      <c r="B190" s="12"/>
      <c r="C190" s="12"/>
      <c r="D190" s="12"/>
      <c r="E190" s="12"/>
      <c r="F190" s="12"/>
      <c r="G190" s="12"/>
      <c r="H190" s="12"/>
      <c r="I190" s="12"/>
      <c r="J190" s="12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15.75" customHeight="1" x14ac:dyDescent="0.45">
      <c r="A191" s="69"/>
      <c r="B191" s="12"/>
      <c r="C191" s="12"/>
      <c r="D191" s="12"/>
      <c r="E191" s="12"/>
      <c r="F191" s="12"/>
      <c r="G191" s="12"/>
      <c r="H191" s="12"/>
      <c r="I191" s="12"/>
      <c r="J191" s="12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15.75" customHeight="1" x14ac:dyDescent="0.45">
      <c r="A192" s="69"/>
      <c r="B192" s="12"/>
      <c r="C192" s="12"/>
      <c r="D192" s="12"/>
      <c r="E192" s="12"/>
      <c r="F192" s="12"/>
      <c r="G192" s="12"/>
      <c r="H192" s="12"/>
      <c r="I192" s="12"/>
      <c r="J192" s="12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15.75" customHeight="1" x14ac:dyDescent="0.45">
      <c r="A193" s="69"/>
      <c r="B193" s="12"/>
      <c r="C193" s="12"/>
      <c r="D193" s="12"/>
      <c r="E193" s="12"/>
      <c r="F193" s="12"/>
      <c r="G193" s="12"/>
      <c r="H193" s="12"/>
      <c r="I193" s="12"/>
      <c r="J193" s="12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15.75" customHeight="1" x14ac:dyDescent="0.45">
      <c r="A194" s="69"/>
      <c r="B194" s="12"/>
      <c r="C194" s="12"/>
      <c r="D194" s="12"/>
      <c r="E194" s="12"/>
      <c r="F194" s="12"/>
      <c r="G194" s="12"/>
      <c r="H194" s="12"/>
      <c r="I194" s="12"/>
      <c r="J194" s="12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15.75" customHeight="1" x14ac:dyDescent="0.45">
      <c r="A195" s="69"/>
      <c r="B195" s="12"/>
      <c r="C195" s="12"/>
      <c r="D195" s="12"/>
      <c r="E195" s="12"/>
      <c r="F195" s="12"/>
      <c r="G195" s="12"/>
      <c r="H195" s="12"/>
      <c r="I195" s="12"/>
      <c r="J195" s="12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15.75" customHeight="1" x14ac:dyDescent="0.45">
      <c r="A196" s="69"/>
      <c r="B196" s="12"/>
      <c r="C196" s="12"/>
      <c r="D196" s="12"/>
      <c r="E196" s="12"/>
      <c r="F196" s="12"/>
      <c r="G196" s="12"/>
      <c r="H196" s="12"/>
      <c r="I196" s="12"/>
      <c r="J196" s="12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15.75" customHeight="1" x14ac:dyDescent="0.45">
      <c r="A197" s="69"/>
      <c r="B197" s="12"/>
      <c r="C197" s="12"/>
      <c r="D197" s="12"/>
      <c r="E197" s="12"/>
      <c r="F197" s="12"/>
      <c r="G197" s="12"/>
      <c r="H197" s="12"/>
      <c r="I197" s="12"/>
      <c r="J197" s="12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15.75" customHeight="1" x14ac:dyDescent="0.45">
      <c r="A198" s="69"/>
      <c r="B198" s="12"/>
      <c r="C198" s="12"/>
      <c r="D198" s="12"/>
      <c r="E198" s="12"/>
      <c r="F198" s="12"/>
      <c r="G198" s="12"/>
      <c r="H198" s="12"/>
      <c r="I198" s="12"/>
      <c r="J198" s="12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15.75" customHeight="1" x14ac:dyDescent="0.45">
      <c r="A199" s="69"/>
      <c r="B199" s="12"/>
      <c r="C199" s="12"/>
      <c r="D199" s="12"/>
      <c r="E199" s="12"/>
      <c r="F199" s="12"/>
      <c r="G199" s="12"/>
      <c r="H199" s="12"/>
      <c r="I199" s="12"/>
      <c r="J199" s="12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15.75" customHeight="1" x14ac:dyDescent="0.45">
      <c r="A200" s="69"/>
      <c r="B200" s="12"/>
      <c r="C200" s="12"/>
      <c r="D200" s="12"/>
      <c r="E200" s="12"/>
      <c r="F200" s="12"/>
      <c r="G200" s="12"/>
      <c r="H200" s="12"/>
      <c r="I200" s="12"/>
      <c r="J200" s="12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15.75" customHeight="1" x14ac:dyDescent="0.45">
      <c r="A201" s="69"/>
      <c r="B201" s="12"/>
      <c r="C201" s="12"/>
      <c r="D201" s="12"/>
      <c r="E201" s="12"/>
      <c r="F201" s="12"/>
      <c r="G201" s="12"/>
      <c r="H201" s="12"/>
      <c r="I201" s="12"/>
      <c r="J201" s="12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15.75" customHeight="1" x14ac:dyDescent="0.45">
      <c r="A202" s="69"/>
      <c r="B202" s="12"/>
      <c r="C202" s="12"/>
      <c r="D202" s="12"/>
      <c r="E202" s="12"/>
      <c r="F202" s="12"/>
      <c r="G202" s="12"/>
      <c r="H202" s="12"/>
      <c r="I202" s="12"/>
      <c r="J202" s="12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15.75" customHeight="1" x14ac:dyDescent="0.45">
      <c r="A203" s="69"/>
      <c r="B203" s="12"/>
      <c r="C203" s="12"/>
      <c r="D203" s="12"/>
      <c r="E203" s="12"/>
      <c r="F203" s="12"/>
      <c r="G203" s="12"/>
      <c r="H203" s="12"/>
      <c r="I203" s="12"/>
      <c r="J203" s="12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15.75" customHeight="1" x14ac:dyDescent="0.45">
      <c r="A204" s="69"/>
      <c r="B204" s="12"/>
      <c r="C204" s="12"/>
      <c r="D204" s="12"/>
      <c r="E204" s="12"/>
      <c r="F204" s="12"/>
      <c r="G204" s="12"/>
      <c r="H204" s="12"/>
      <c r="I204" s="12"/>
      <c r="J204" s="12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15.75" customHeight="1" x14ac:dyDescent="0.45">
      <c r="A205" s="69"/>
      <c r="B205" s="12"/>
      <c r="C205" s="12"/>
      <c r="D205" s="12"/>
      <c r="E205" s="12"/>
      <c r="F205" s="12"/>
      <c r="G205" s="12"/>
      <c r="H205" s="12"/>
      <c r="I205" s="12"/>
      <c r="J205" s="12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15.75" customHeight="1" x14ac:dyDescent="0.45">
      <c r="A206" s="69"/>
      <c r="B206" s="12"/>
      <c r="C206" s="12"/>
      <c r="D206" s="12"/>
      <c r="E206" s="12"/>
      <c r="F206" s="12"/>
      <c r="G206" s="12"/>
      <c r="H206" s="12"/>
      <c r="I206" s="12"/>
      <c r="J206" s="12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15.75" customHeight="1" x14ac:dyDescent="0.45">
      <c r="A207" s="69"/>
      <c r="B207" s="12"/>
      <c r="C207" s="12"/>
      <c r="D207" s="12"/>
      <c r="E207" s="12"/>
      <c r="F207" s="12"/>
      <c r="G207" s="12"/>
      <c r="H207" s="12"/>
      <c r="I207" s="12"/>
      <c r="J207" s="12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15.75" customHeight="1" x14ac:dyDescent="0.45">
      <c r="A208" s="69"/>
      <c r="B208" s="12"/>
      <c r="C208" s="12"/>
      <c r="D208" s="12"/>
      <c r="E208" s="12"/>
      <c r="F208" s="12"/>
      <c r="G208" s="12"/>
      <c r="H208" s="12"/>
      <c r="I208" s="12"/>
      <c r="J208" s="12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15.75" customHeight="1" x14ac:dyDescent="0.45">
      <c r="A209" s="69"/>
      <c r="B209" s="12"/>
      <c r="C209" s="12"/>
      <c r="D209" s="12"/>
      <c r="E209" s="12"/>
      <c r="F209" s="12"/>
      <c r="G209" s="12"/>
      <c r="H209" s="12"/>
      <c r="I209" s="12"/>
      <c r="J209" s="12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15.75" customHeight="1" x14ac:dyDescent="0.45">
      <c r="A210" s="69"/>
      <c r="B210" s="12"/>
      <c r="C210" s="12"/>
      <c r="D210" s="12"/>
      <c r="E210" s="12"/>
      <c r="F210" s="12"/>
      <c r="G210" s="12"/>
      <c r="H210" s="12"/>
      <c r="I210" s="12"/>
      <c r="J210" s="12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15.75" customHeight="1" x14ac:dyDescent="0.45">
      <c r="A211" s="69"/>
      <c r="B211" s="12"/>
      <c r="C211" s="12"/>
      <c r="D211" s="12"/>
      <c r="E211" s="12"/>
      <c r="F211" s="12"/>
      <c r="G211" s="12"/>
      <c r="H211" s="12"/>
      <c r="I211" s="12"/>
      <c r="J211" s="12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15.75" customHeight="1" x14ac:dyDescent="0.45">
      <c r="A212" s="69"/>
      <c r="B212" s="12"/>
      <c r="C212" s="12"/>
      <c r="D212" s="12"/>
      <c r="E212" s="12"/>
      <c r="F212" s="12"/>
      <c r="G212" s="12"/>
      <c r="H212" s="12"/>
      <c r="I212" s="12"/>
      <c r="J212" s="12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15.75" customHeight="1" x14ac:dyDescent="0.45">
      <c r="A213" s="69"/>
      <c r="B213" s="12"/>
      <c r="C213" s="12"/>
      <c r="D213" s="12"/>
      <c r="E213" s="12"/>
      <c r="F213" s="12"/>
      <c r="G213" s="12"/>
      <c r="H213" s="12"/>
      <c r="I213" s="12"/>
      <c r="J213" s="12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15.75" customHeight="1" x14ac:dyDescent="0.45">
      <c r="A214" s="69"/>
      <c r="B214" s="12"/>
      <c r="C214" s="12"/>
      <c r="D214" s="12"/>
      <c r="E214" s="12"/>
      <c r="F214" s="12"/>
      <c r="G214" s="12"/>
      <c r="H214" s="12"/>
      <c r="I214" s="12"/>
      <c r="J214" s="12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15.75" customHeight="1" x14ac:dyDescent="0.45">
      <c r="A215" s="69"/>
      <c r="B215" s="12"/>
      <c r="C215" s="12"/>
      <c r="D215" s="12"/>
      <c r="E215" s="12"/>
      <c r="F215" s="12"/>
      <c r="G215" s="12"/>
      <c r="H215" s="12"/>
      <c r="I215" s="12"/>
      <c r="J215" s="12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15.75" customHeight="1" x14ac:dyDescent="0.45">
      <c r="A216" s="69"/>
      <c r="B216" s="12"/>
      <c r="C216" s="12"/>
      <c r="D216" s="12"/>
      <c r="E216" s="12"/>
      <c r="F216" s="12"/>
      <c r="G216" s="12"/>
      <c r="H216" s="12"/>
      <c r="I216" s="12"/>
      <c r="J216" s="12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15.75" customHeight="1" x14ac:dyDescent="0.45">
      <c r="A217" s="69"/>
      <c r="B217" s="12"/>
      <c r="C217" s="12"/>
      <c r="D217" s="12"/>
      <c r="E217" s="12"/>
      <c r="F217" s="12"/>
      <c r="G217" s="12"/>
      <c r="H217" s="12"/>
      <c r="I217" s="12"/>
      <c r="J217" s="12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15.75" customHeight="1" x14ac:dyDescent="0.45">
      <c r="A218" s="69"/>
      <c r="B218" s="12"/>
      <c r="C218" s="12"/>
      <c r="D218" s="12"/>
      <c r="E218" s="12"/>
      <c r="F218" s="12"/>
      <c r="G218" s="12"/>
      <c r="H218" s="12"/>
      <c r="I218" s="12"/>
      <c r="J218" s="12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15.75" customHeight="1" x14ac:dyDescent="0.45">
      <c r="A219" s="69"/>
      <c r="B219" s="12"/>
      <c r="C219" s="12"/>
      <c r="D219" s="12"/>
      <c r="E219" s="12"/>
      <c r="F219" s="12"/>
      <c r="G219" s="12"/>
      <c r="H219" s="12"/>
      <c r="I219" s="12"/>
      <c r="J219" s="12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15.75" customHeight="1" x14ac:dyDescent="0.45">
      <c r="A220" s="69"/>
      <c r="B220" s="12"/>
      <c r="C220" s="12"/>
      <c r="D220" s="12"/>
      <c r="E220" s="12"/>
      <c r="F220" s="12"/>
      <c r="G220" s="12"/>
      <c r="H220" s="12"/>
      <c r="I220" s="12"/>
      <c r="J220" s="12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15.75" customHeight="1" x14ac:dyDescent="0.45">
      <c r="A221" s="69"/>
      <c r="B221" s="12"/>
      <c r="C221" s="12"/>
      <c r="D221" s="12"/>
      <c r="E221" s="12"/>
      <c r="F221" s="12"/>
      <c r="G221" s="12"/>
      <c r="H221" s="12"/>
      <c r="I221" s="12"/>
      <c r="J221" s="12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15.75" customHeight="1" x14ac:dyDescent="0.45">
      <c r="A222" s="69"/>
      <c r="B222" s="12"/>
      <c r="C222" s="12"/>
      <c r="D222" s="12"/>
      <c r="E222" s="12"/>
      <c r="F222" s="12"/>
      <c r="G222" s="12"/>
      <c r="H222" s="12"/>
      <c r="I222" s="12"/>
      <c r="J222" s="12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15.75" customHeight="1" x14ac:dyDescent="0.45">
      <c r="A223" s="69"/>
      <c r="B223" s="12"/>
      <c r="C223" s="12"/>
      <c r="D223" s="12"/>
      <c r="E223" s="12"/>
      <c r="F223" s="12"/>
      <c r="G223" s="12"/>
      <c r="H223" s="12"/>
      <c r="I223" s="12"/>
      <c r="J223" s="12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15.75" customHeight="1" x14ac:dyDescent="0.45">
      <c r="A224" s="69"/>
      <c r="B224" s="12"/>
      <c r="C224" s="12"/>
      <c r="D224" s="12"/>
      <c r="E224" s="12"/>
      <c r="F224" s="12"/>
      <c r="G224" s="12"/>
      <c r="H224" s="12"/>
      <c r="I224" s="12"/>
      <c r="J224" s="12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15.75" customHeight="1" x14ac:dyDescent="0.45">
      <c r="A225" s="69"/>
      <c r="B225" s="12"/>
      <c r="C225" s="12"/>
      <c r="D225" s="12"/>
      <c r="E225" s="12"/>
      <c r="F225" s="12"/>
      <c r="G225" s="12"/>
      <c r="H225" s="12"/>
      <c r="I225" s="12"/>
      <c r="J225" s="12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5.75" customHeight="1" x14ac:dyDescent="0.45">
      <c r="A226" s="69"/>
      <c r="B226" s="12"/>
      <c r="C226" s="12"/>
      <c r="D226" s="12"/>
      <c r="E226" s="12"/>
      <c r="F226" s="12"/>
      <c r="G226" s="12"/>
      <c r="H226" s="12"/>
      <c r="I226" s="12"/>
      <c r="J226" s="12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15.75" customHeight="1" x14ac:dyDescent="0.45">
      <c r="A227" s="69"/>
      <c r="B227" s="12"/>
      <c r="C227" s="12"/>
      <c r="D227" s="12"/>
      <c r="E227" s="12"/>
      <c r="F227" s="12"/>
      <c r="G227" s="12"/>
      <c r="H227" s="12"/>
      <c r="I227" s="12"/>
      <c r="J227" s="12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15.75" customHeight="1" x14ac:dyDescent="0.45">
      <c r="A228" s="69"/>
      <c r="B228" s="12"/>
      <c r="C228" s="12"/>
      <c r="D228" s="12"/>
      <c r="E228" s="12"/>
      <c r="F228" s="12"/>
      <c r="G228" s="12"/>
      <c r="H228" s="12"/>
      <c r="I228" s="12"/>
      <c r="J228" s="12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15.75" customHeight="1" x14ac:dyDescent="0.45">
      <c r="A229" s="69"/>
      <c r="B229" s="12"/>
      <c r="C229" s="12"/>
      <c r="D229" s="12"/>
      <c r="E229" s="12"/>
      <c r="F229" s="12"/>
      <c r="G229" s="12"/>
      <c r="H229" s="12"/>
      <c r="I229" s="12"/>
      <c r="J229" s="12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15.75" customHeight="1" x14ac:dyDescent="0.45">
      <c r="A230" s="69"/>
      <c r="B230" s="12"/>
      <c r="C230" s="12"/>
      <c r="D230" s="12"/>
      <c r="E230" s="12"/>
      <c r="F230" s="12"/>
      <c r="G230" s="12"/>
      <c r="H230" s="12"/>
      <c r="I230" s="12"/>
      <c r="J230" s="12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15.75" customHeight="1" x14ac:dyDescent="0.45">
      <c r="A231" s="69"/>
      <c r="B231" s="12"/>
      <c r="C231" s="12"/>
      <c r="D231" s="12"/>
      <c r="E231" s="12"/>
      <c r="F231" s="12"/>
      <c r="G231" s="12"/>
      <c r="H231" s="12"/>
      <c r="I231" s="12"/>
      <c r="J231" s="12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15.75" customHeight="1" x14ac:dyDescent="0.45">
      <c r="A232" s="69"/>
      <c r="B232" s="12"/>
      <c r="C232" s="12"/>
      <c r="D232" s="12"/>
      <c r="E232" s="12"/>
      <c r="F232" s="12"/>
      <c r="G232" s="12"/>
      <c r="H232" s="12"/>
      <c r="I232" s="12"/>
      <c r="J232" s="12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15.75" customHeight="1" x14ac:dyDescent="0.45">
      <c r="A233" s="69"/>
      <c r="B233" s="12"/>
      <c r="C233" s="12"/>
      <c r="D233" s="12"/>
      <c r="E233" s="12"/>
      <c r="F233" s="12"/>
      <c r="G233" s="12"/>
      <c r="H233" s="12"/>
      <c r="I233" s="12"/>
      <c r="J233" s="12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15.75" customHeight="1" x14ac:dyDescent="0.45">
      <c r="A234" s="69"/>
      <c r="B234" s="12"/>
      <c r="C234" s="12"/>
      <c r="D234" s="12"/>
      <c r="E234" s="12"/>
      <c r="F234" s="12"/>
      <c r="G234" s="12"/>
      <c r="H234" s="12"/>
      <c r="I234" s="12"/>
      <c r="J234" s="12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15.75" customHeight="1" x14ac:dyDescent="0.45">
      <c r="A235" s="69"/>
      <c r="B235" s="12"/>
      <c r="C235" s="12"/>
      <c r="D235" s="12"/>
      <c r="E235" s="12"/>
      <c r="F235" s="12"/>
      <c r="G235" s="12"/>
      <c r="H235" s="12"/>
      <c r="I235" s="12"/>
      <c r="J235" s="12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15.75" customHeight="1" x14ac:dyDescent="0.45">
      <c r="A236" s="69"/>
      <c r="B236" s="12"/>
      <c r="C236" s="12"/>
      <c r="D236" s="12"/>
      <c r="E236" s="12"/>
      <c r="F236" s="12"/>
      <c r="G236" s="12"/>
      <c r="H236" s="12"/>
      <c r="I236" s="12"/>
      <c r="J236" s="12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15.75" customHeight="1" x14ac:dyDescent="0.45">
      <c r="A237" s="69"/>
      <c r="B237" s="12"/>
      <c r="C237" s="12"/>
      <c r="D237" s="12"/>
      <c r="E237" s="12"/>
      <c r="F237" s="12"/>
      <c r="G237" s="12"/>
      <c r="H237" s="12"/>
      <c r="I237" s="12"/>
      <c r="J237" s="12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15.75" customHeight="1" x14ac:dyDescent="0.45">
      <c r="A238" s="69"/>
      <c r="B238" s="12"/>
      <c r="C238" s="12"/>
      <c r="D238" s="12"/>
      <c r="E238" s="12"/>
      <c r="F238" s="12"/>
      <c r="G238" s="12"/>
      <c r="H238" s="12"/>
      <c r="I238" s="12"/>
      <c r="J238" s="12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5.75" customHeight="1" x14ac:dyDescent="0.45">
      <c r="A239" s="69"/>
      <c r="B239" s="12"/>
      <c r="C239" s="12"/>
      <c r="D239" s="12"/>
      <c r="E239" s="12"/>
      <c r="F239" s="12"/>
      <c r="G239" s="12"/>
      <c r="H239" s="12"/>
      <c r="I239" s="12"/>
      <c r="J239" s="12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15.75" customHeight="1" x14ac:dyDescent="0.45">
      <c r="A240" s="69"/>
      <c r="B240" s="12"/>
      <c r="C240" s="12"/>
      <c r="D240" s="12"/>
      <c r="E240" s="12"/>
      <c r="F240" s="12"/>
      <c r="G240" s="12"/>
      <c r="H240" s="12"/>
      <c r="I240" s="12"/>
      <c r="J240" s="12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15.75" customHeight="1" x14ac:dyDescent="0.45">
      <c r="A241" s="69"/>
      <c r="B241" s="12"/>
      <c r="C241" s="12"/>
      <c r="D241" s="12"/>
      <c r="E241" s="12"/>
      <c r="F241" s="12"/>
      <c r="G241" s="12"/>
      <c r="H241" s="12"/>
      <c r="I241" s="12"/>
      <c r="J241" s="12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15.75" customHeight="1" x14ac:dyDescent="0.45">
      <c r="A242" s="69"/>
      <c r="B242" s="12"/>
      <c r="C242" s="12"/>
      <c r="D242" s="12"/>
      <c r="E242" s="12"/>
      <c r="F242" s="12"/>
      <c r="G242" s="12"/>
      <c r="H242" s="12"/>
      <c r="I242" s="12"/>
      <c r="J242" s="12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15.75" customHeight="1" x14ac:dyDescent="0.45">
      <c r="A243" s="69"/>
      <c r="B243" s="12"/>
      <c r="C243" s="12"/>
      <c r="D243" s="12"/>
      <c r="E243" s="12"/>
      <c r="F243" s="12"/>
      <c r="G243" s="12"/>
      <c r="H243" s="12"/>
      <c r="I243" s="12"/>
      <c r="J243" s="12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15.75" customHeight="1" x14ac:dyDescent="0.45">
      <c r="A244" s="69"/>
      <c r="B244" s="12"/>
      <c r="C244" s="12"/>
      <c r="D244" s="12"/>
      <c r="E244" s="12"/>
      <c r="F244" s="12"/>
      <c r="G244" s="12"/>
      <c r="H244" s="12"/>
      <c r="I244" s="12"/>
      <c r="J244" s="12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15.75" customHeight="1" x14ac:dyDescent="0.45">
      <c r="A245" s="69"/>
      <c r="B245" s="12"/>
      <c r="C245" s="12"/>
      <c r="D245" s="12"/>
      <c r="E245" s="12"/>
      <c r="F245" s="12"/>
      <c r="G245" s="12"/>
      <c r="H245" s="12"/>
      <c r="I245" s="12"/>
      <c r="J245" s="12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15.75" customHeight="1" x14ac:dyDescent="0.45">
      <c r="A246" s="69"/>
      <c r="B246" s="12"/>
      <c r="C246" s="12"/>
      <c r="D246" s="12"/>
      <c r="E246" s="12"/>
      <c r="F246" s="12"/>
      <c r="G246" s="12"/>
      <c r="H246" s="12"/>
      <c r="I246" s="12"/>
      <c r="J246" s="12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15.75" customHeight="1" x14ac:dyDescent="0.45">
      <c r="A247" s="69"/>
      <c r="B247" s="12"/>
      <c r="C247" s="12"/>
      <c r="D247" s="12"/>
      <c r="E247" s="12"/>
      <c r="F247" s="12"/>
      <c r="G247" s="12"/>
      <c r="H247" s="12"/>
      <c r="I247" s="12"/>
      <c r="J247" s="12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 ht="15.75" customHeight="1" x14ac:dyDescent="0.45">
      <c r="A248" s="69"/>
      <c r="B248" s="12"/>
      <c r="C248" s="12"/>
      <c r="D248" s="12"/>
      <c r="E248" s="12"/>
      <c r="F248" s="12"/>
      <c r="G248" s="12"/>
      <c r="H248" s="12"/>
      <c r="I248" s="12"/>
      <c r="J248" s="12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 ht="15.75" customHeight="1" x14ac:dyDescent="0.45">
      <c r="A249" s="69"/>
      <c r="B249" s="12"/>
      <c r="C249" s="12"/>
      <c r="D249" s="12"/>
      <c r="E249" s="12"/>
      <c r="F249" s="12"/>
      <c r="G249" s="12"/>
      <c r="H249" s="12"/>
      <c r="I249" s="12"/>
      <c r="J249" s="12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 ht="15.75" customHeight="1" x14ac:dyDescent="0.45">
      <c r="A250" s="69"/>
      <c r="B250" s="12"/>
      <c r="C250" s="12"/>
      <c r="D250" s="12"/>
      <c r="E250" s="12"/>
      <c r="F250" s="12"/>
      <c r="G250" s="12"/>
      <c r="H250" s="12"/>
      <c r="I250" s="12"/>
      <c r="J250" s="12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 ht="15.75" customHeight="1" x14ac:dyDescent="0.45">
      <c r="A251" s="69"/>
      <c r="B251" s="12"/>
      <c r="C251" s="12"/>
      <c r="D251" s="12"/>
      <c r="E251" s="12"/>
      <c r="F251" s="12"/>
      <c r="G251" s="12"/>
      <c r="H251" s="12"/>
      <c r="I251" s="12"/>
      <c r="J251" s="12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 ht="15.75" customHeight="1" x14ac:dyDescent="0.45">
      <c r="A252" s="69"/>
      <c r="B252" s="12"/>
      <c r="C252" s="12"/>
      <c r="D252" s="12"/>
      <c r="E252" s="12"/>
      <c r="F252" s="12"/>
      <c r="G252" s="12"/>
      <c r="H252" s="12"/>
      <c r="I252" s="12"/>
      <c r="J252" s="12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 ht="15.75" customHeight="1" x14ac:dyDescent="0.45">
      <c r="A253" s="69"/>
      <c r="B253" s="12"/>
      <c r="C253" s="12"/>
      <c r="D253" s="12"/>
      <c r="E253" s="12"/>
      <c r="F253" s="12"/>
      <c r="G253" s="12"/>
      <c r="H253" s="12"/>
      <c r="I253" s="12"/>
      <c r="J253" s="12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 ht="15.75" customHeight="1" x14ac:dyDescent="0.45">
      <c r="A254" s="69"/>
      <c r="B254" s="12"/>
      <c r="C254" s="12"/>
      <c r="D254" s="12"/>
      <c r="E254" s="12"/>
      <c r="F254" s="12"/>
      <c r="G254" s="12"/>
      <c r="H254" s="12"/>
      <c r="I254" s="12"/>
      <c r="J254" s="12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 ht="15.75" customHeight="1" x14ac:dyDescent="0.45">
      <c r="A255" s="69"/>
      <c r="B255" s="12"/>
      <c r="C255" s="12"/>
      <c r="D255" s="12"/>
      <c r="E255" s="12"/>
      <c r="F255" s="12"/>
      <c r="G255" s="12"/>
      <c r="H255" s="12"/>
      <c r="I255" s="12"/>
      <c r="J255" s="12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 ht="15.75" customHeight="1" x14ac:dyDescent="0.45">
      <c r="A256" s="69"/>
      <c r="B256" s="12"/>
      <c r="C256" s="12"/>
      <c r="D256" s="12"/>
      <c r="E256" s="12"/>
      <c r="F256" s="12"/>
      <c r="G256" s="12"/>
      <c r="H256" s="12"/>
      <c r="I256" s="12"/>
      <c r="J256" s="12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 ht="15.75" customHeight="1" x14ac:dyDescent="0.45">
      <c r="A257" s="69"/>
      <c r="B257" s="12"/>
      <c r="C257" s="12"/>
      <c r="D257" s="12"/>
      <c r="E257" s="12"/>
      <c r="F257" s="12"/>
      <c r="G257" s="12"/>
      <c r="H257" s="12"/>
      <c r="I257" s="12"/>
      <c r="J257" s="12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 ht="15.75" customHeight="1" x14ac:dyDescent="0.45">
      <c r="A258" s="69"/>
      <c r="B258" s="12"/>
      <c r="C258" s="12"/>
      <c r="D258" s="12"/>
      <c r="E258" s="12"/>
      <c r="F258" s="12"/>
      <c r="G258" s="12"/>
      <c r="H258" s="12"/>
      <c r="I258" s="12"/>
      <c r="J258" s="12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 ht="15.75" customHeight="1" x14ac:dyDescent="0.45">
      <c r="A259" s="69"/>
      <c r="B259" s="12"/>
      <c r="C259" s="12"/>
      <c r="D259" s="12"/>
      <c r="E259" s="12"/>
      <c r="F259" s="12"/>
      <c r="G259" s="12"/>
      <c r="H259" s="12"/>
      <c r="I259" s="12"/>
      <c r="J259" s="12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 ht="15.75" customHeight="1" x14ac:dyDescent="0.45">
      <c r="A260" s="69"/>
      <c r="B260" s="12"/>
      <c r="C260" s="12"/>
      <c r="D260" s="12"/>
      <c r="E260" s="12"/>
      <c r="F260" s="12"/>
      <c r="G260" s="12"/>
      <c r="H260" s="12"/>
      <c r="I260" s="12"/>
      <c r="J260" s="12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 ht="15.75" customHeight="1" x14ac:dyDescent="0.45">
      <c r="A261" s="69"/>
      <c r="B261" s="12"/>
      <c r="C261" s="12"/>
      <c r="D261" s="12"/>
      <c r="E261" s="12"/>
      <c r="F261" s="12"/>
      <c r="G261" s="12"/>
      <c r="H261" s="12"/>
      <c r="I261" s="12"/>
      <c r="J261" s="12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 ht="15.75" customHeight="1" x14ac:dyDescent="0.45">
      <c r="A262" s="69"/>
      <c r="B262" s="12"/>
      <c r="C262" s="12"/>
      <c r="D262" s="12"/>
      <c r="E262" s="12"/>
      <c r="F262" s="12"/>
      <c r="G262" s="12"/>
      <c r="H262" s="12"/>
      <c r="I262" s="12"/>
      <c r="J262" s="12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 ht="15.75" customHeight="1" x14ac:dyDescent="0.45">
      <c r="A263" s="69"/>
      <c r="B263" s="12"/>
      <c r="C263" s="12"/>
      <c r="D263" s="12"/>
      <c r="E263" s="12"/>
      <c r="F263" s="12"/>
      <c r="G263" s="12"/>
      <c r="H263" s="12"/>
      <c r="I263" s="12"/>
      <c r="J263" s="12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 ht="15.75" customHeight="1" x14ac:dyDescent="0.45">
      <c r="A264" s="69"/>
      <c r="B264" s="12"/>
      <c r="C264" s="12"/>
      <c r="D264" s="12"/>
      <c r="E264" s="12"/>
      <c r="F264" s="12"/>
      <c r="G264" s="12"/>
      <c r="H264" s="12"/>
      <c r="I264" s="12"/>
      <c r="J264" s="12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 ht="15.75" customHeight="1" x14ac:dyDescent="0.45">
      <c r="A265" s="69"/>
      <c r="B265" s="12"/>
      <c r="C265" s="12"/>
      <c r="D265" s="12"/>
      <c r="E265" s="12"/>
      <c r="F265" s="12"/>
      <c r="G265" s="12"/>
      <c r="H265" s="12"/>
      <c r="I265" s="12"/>
      <c r="J265" s="12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 ht="15.75" customHeight="1" x14ac:dyDescent="0.45">
      <c r="A266" s="69"/>
      <c r="B266" s="12"/>
      <c r="C266" s="12"/>
      <c r="D266" s="12"/>
      <c r="E266" s="12"/>
      <c r="F266" s="12"/>
      <c r="G266" s="12"/>
      <c r="H266" s="12"/>
      <c r="I266" s="12"/>
      <c r="J266" s="12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 ht="15.75" customHeight="1" x14ac:dyDescent="0.45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 ht="15.75" customHeight="1" x14ac:dyDescent="0.45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 ht="15.75" customHeight="1" x14ac:dyDescent="0.45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 ht="15.75" customHeight="1" x14ac:dyDescent="0.45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 ht="15.75" customHeight="1" x14ac:dyDescent="0.45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 ht="15.75" customHeight="1" x14ac:dyDescent="0.45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 ht="15.75" customHeight="1" x14ac:dyDescent="0.45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 ht="15.75" customHeight="1" x14ac:dyDescent="0.45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 ht="15.75" customHeight="1" x14ac:dyDescent="0.4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 ht="15.75" customHeight="1" x14ac:dyDescent="0.45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 ht="15.75" customHeight="1" x14ac:dyDescent="0.45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 ht="15.75" customHeight="1" x14ac:dyDescent="0.4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 ht="15.75" customHeight="1" x14ac:dyDescent="0.4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 ht="15.75" customHeight="1" x14ac:dyDescent="0.4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 ht="15.75" customHeight="1" x14ac:dyDescent="0.4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 ht="15.75" customHeight="1" x14ac:dyDescent="0.4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 ht="15.75" customHeight="1" x14ac:dyDescent="0.4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 ht="15.75" customHeight="1" x14ac:dyDescent="0.4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 ht="15.75" customHeight="1" x14ac:dyDescent="0.4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 ht="15.75" customHeight="1" x14ac:dyDescent="0.4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 ht="15.75" customHeight="1" x14ac:dyDescent="0.4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 ht="15.75" customHeight="1" x14ac:dyDescent="0.4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 ht="15.75" customHeight="1" x14ac:dyDescent="0.4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 ht="15.75" customHeight="1" x14ac:dyDescent="0.4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 ht="15.75" customHeight="1" x14ac:dyDescent="0.4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 ht="15.75" customHeight="1" x14ac:dyDescent="0.4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 ht="15.75" customHeight="1" x14ac:dyDescent="0.4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 ht="15.75" customHeight="1" x14ac:dyDescent="0.4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 ht="15.75" customHeight="1" x14ac:dyDescent="0.4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 ht="15.75" customHeight="1" x14ac:dyDescent="0.4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 ht="15.75" customHeight="1" x14ac:dyDescent="0.4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 ht="15.75" customHeight="1" x14ac:dyDescent="0.4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 ht="15.75" customHeight="1" x14ac:dyDescent="0.4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 ht="15.75" customHeight="1" x14ac:dyDescent="0.4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 ht="15.75" customHeight="1" x14ac:dyDescent="0.4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 ht="15.75" customHeight="1" x14ac:dyDescent="0.4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 ht="15.75" customHeight="1" x14ac:dyDescent="0.4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 ht="15.75" customHeight="1" x14ac:dyDescent="0.4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 ht="15.75" customHeight="1" x14ac:dyDescent="0.4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 ht="15.75" customHeight="1" x14ac:dyDescent="0.4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 ht="15.75" customHeight="1" x14ac:dyDescent="0.4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 ht="15.75" customHeight="1" x14ac:dyDescent="0.4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 ht="15.75" customHeight="1" x14ac:dyDescent="0.4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 ht="15.75" customHeight="1" x14ac:dyDescent="0.4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 ht="15.75" customHeight="1" x14ac:dyDescent="0.4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15.75" customHeight="1" x14ac:dyDescent="0.4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 ht="15.75" customHeight="1" x14ac:dyDescent="0.4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 ht="15.75" customHeight="1" x14ac:dyDescent="0.4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 ht="15.75" customHeight="1" x14ac:dyDescent="0.4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 ht="15.75" customHeight="1" x14ac:dyDescent="0.4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 ht="15.75" customHeight="1" x14ac:dyDescent="0.4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15.75" customHeight="1" x14ac:dyDescent="0.4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15.75" customHeight="1" x14ac:dyDescent="0.4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15.75" customHeight="1" x14ac:dyDescent="0.4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15.75" customHeight="1" x14ac:dyDescent="0.4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15.75" customHeight="1" x14ac:dyDescent="0.4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15.75" customHeight="1" x14ac:dyDescent="0.4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15.75" customHeight="1" x14ac:dyDescent="0.4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15.75" customHeight="1" x14ac:dyDescent="0.4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15.75" customHeight="1" x14ac:dyDescent="0.45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15.75" customHeight="1" x14ac:dyDescent="0.45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15.75" customHeight="1" x14ac:dyDescent="0.45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15.75" customHeight="1" x14ac:dyDescent="0.45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15.75" customHeight="1" x14ac:dyDescent="0.45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15.75" customHeight="1" x14ac:dyDescent="0.45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15.75" customHeight="1" x14ac:dyDescent="0.45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15.75" customHeight="1" x14ac:dyDescent="0.45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15.75" customHeight="1" x14ac:dyDescent="0.45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15.75" customHeight="1" x14ac:dyDescent="0.4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15.75" customHeight="1" x14ac:dyDescent="0.45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15.75" customHeight="1" x14ac:dyDescent="0.45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15.75" customHeight="1" x14ac:dyDescent="0.45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15.75" customHeight="1" x14ac:dyDescent="0.45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15.75" customHeight="1" x14ac:dyDescent="0.45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15.75" customHeight="1" x14ac:dyDescent="0.45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15.75" customHeight="1" x14ac:dyDescent="0.45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5.75" customHeight="1" x14ac:dyDescent="0.45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15.75" customHeight="1" x14ac:dyDescent="0.45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15.75" customHeight="1" x14ac:dyDescent="0.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15.75" customHeight="1" x14ac:dyDescent="0.45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15.75" customHeight="1" x14ac:dyDescent="0.45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15.75" customHeight="1" x14ac:dyDescent="0.45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15.75" customHeight="1" x14ac:dyDescent="0.45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15.75" customHeight="1" x14ac:dyDescent="0.45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15.75" customHeight="1" x14ac:dyDescent="0.45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15.75" customHeight="1" x14ac:dyDescent="0.45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15.75" customHeight="1" x14ac:dyDescent="0.45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15.75" customHeight="1" x14ac:dyDescent="0.45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15.75" customHeight="1" x14ac:dyDescent="0.4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15.75" customHeight="1" x14ac:dyDescent="0.4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15.75" customHeight="1" x14ac:dyDescent="0.4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15.75" customHeight="1" x14ac:dyDescent="0.4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15.75" customHeight="1" x14ac:dyDescent="0.4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15.75" customHeight="1" x14ac:dyDescent="0.4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15.75" customHeight="1" x14ac:dyDescent="0.4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15.75" customHeight="1" x14ac:dyDescent="0.4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15.75" customHeight="1" x14ac:dyDescent="0.4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15.75" customHeight="1" x14ac:dyDescent="0.45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15.75" customHeight="1" x14ac:dyDescent="0.4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15.75" customHeight="1" x14ac:dyDescent="0.45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15.75" customHeight="1" x14ac:dyDescent="0.45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15.75" customHeight="1" x14ac:dyDescent="0.45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15.75" customHeight="1" x14ac:dyDescent="0.45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15.75" customHeight="1" x14ac:dyDescent="0.45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15.75" customHeight="1" x14ac:dyDescent="0.45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15.75" customHeight="1" x14ac:dyDescent="0.4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15.75" customHeight="1" x14ac:dyDescent="0.45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15.75" customHeight="1" x14ac:dyDescent="0.45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15.75" customHeight="1" x14ac:dyDescent="0.4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15.75" customHeight="1" x14ac:dyDescent="0.45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15.75" customHeight="1" x14ac:dyDescent="0.45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15.75" customHeight="1" x14ac:dyDescent="0.45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15.75" customHeight="1" x14ac:dyDescent="0.45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15.75" customHeight="1" x14ac:dyDescent="0.45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15.75" customHeight="1" x14ac:dyDescent="0.45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15.75" customHeight="1" x14ac:dyDescent="0.45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15.75" customHeight="1" x14ac:dyDescent="0.45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15.75" customHeight="1" x14ac:dyDescent="0.45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15.75" customHeight="1" x14ac:dyDescent="0.4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15.75" customHeight="1" x14ac:dyDescent="0.45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15.75" customHeight="1" x14ac:dyDescent="0.45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15.75" customHeight="1" x14ac:dyDescent="0.45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15.75" customHeight="1" x14ac:dyDescent="0.45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15.75" customHeight="1" x14ac:dyDescent="0.45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15.75" customHeight="1" x14ac:dyDescent="0.45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15.75" customHeight="1" x14ac:dyDescent="0.45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15.75" customHeight="1" x14ac:dyDescent="0.45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15.75" customHeight="1" x14ac:dyDescent="0.45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15.75" customHeight="1" x14ac:dyDescent="0.4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15.75" customHeight="1" x14ac:dyDescent="0.45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15.75" customHeight="1" x14ac:dyDescent="0.45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15.75" customHeight="1" x14ac:dyDescent="0.45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15.75" customHeight="1" x14ac:dyDescent="0.45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15.75" customHeight="1" x14ac:dyDescent="0.45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15.75" customHeight="1" x14ac:dyDescent="0.45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15.75" customHeight="1" x14ac:dyDescent="0.45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15.75" customHeight="1" x14ac:dyDescent="0.45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15.75" customHeight="1" x14ac:dyDescent="0.45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15.75" customHeight="1" x14ac:dyDescent="0.4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15.75" customHeight="1" x14ac:dyDescent="0.45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15.75" customHeight="1" x14ac:dyDescent="0.45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15.75" customHeight="1" x14ac:dyDescent="0.45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15.75" customHeight="1" x14ac:dyDescent="0.45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15.75" customHeight="1" x14ac:dyDescent="0.45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15.75" customHeight="1" x14ac:dyDescent="0.45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15.75" customHeight="1" x14ac:dyDescent="0.45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15.75" customHeight="1" x14ac:dyDescent="0.45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15.75" customHeight="1" x14ac:dyDescent="0.45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15.75" customHeight="1" x14ac:dyDescent="0.4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15.75" customHeight="1" x14ac:dyDescent="0.4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15.75" customHeight="1" x14ac:dyDescent="0.45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15.75" customHeight="1" x14ac:dyDescent="0.45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15.75" customHeight="1" x14ac:dyDescent="0.45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15.75" customHeight="1" x14ac:dyDescent="0.45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15.75" customHeight="1" x14ac:dyDescent="0.45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15.75" customHeight="1" x14ac:dyDescent="0.45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15.75" customHeight="1" x14ac:dyDescent="0.45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15.75" customHeight="1" x14ac:dyDescent="0.45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15.75" customHeight="1" x14ac:dyDescent="0.4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15.75" customHeight="1" x14ac:dyDescent="0.45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15.75" customHeight="1" x14ac:dyDescent="0.45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15.75" customHeight="1" x14ac:dyDescent="0.45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15.75" customHeight="1" x14ac:dyDescent="0.45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15.75" customHeight="1" x14ac:dyDescent="0.45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15.75" customHeight="1" x14ac:dyDescent="0.45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15.75" customHeight="1" x14ac:dyDescent="0.45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15.75" customHeight="1" x14ac:dyDescent="0.45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15.75" customHeight="1" x14ac:dyDescent="0.45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15.75" customHeight="1" x14ac:dyDescent="0.4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15.75" customHeight="1" x14ac:dyDescent="0.45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15.75" customHeight="1" x14ac:dyDescent="0.45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15.75" customHeight="1" x14ac:dyDescent="0.45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15.75" customHeight="1" x14ac:dyDescent="0.45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15.75" customHeight="1" x14ac:dyDescent="0.45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15.75" customHeight="1" x14ac:dyDescent="0.45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15.75" customHeight="1" x14ac:dyDescent="0.45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15.75" customHeight="1" x14ac:dyDescent="0.45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15.75" customHeight="1" x14ac:dyDescent="0.45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15.75" customHeight="1" x14ac:dyDescent="0.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15.75" customHeight="1" x14ac:dyDescent="0.45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15.75" customHeight="1" x14ac:dyDescent="0.45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15.75" customHeight="1" x14ac:dyDescent="0.45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15.75" customHeight="1" x14ac:dyDescent="0.45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15.75" customHeight="1" x14ac:dyDescent="0.45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15.75" customHeight="1" x14ac:dyDescent="0.4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15.75" customHeight="1" x14ac:dyDescent="0.45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15.75" customHeight="1" x14ac:dyDescent="0.45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15.75" customHeight="1" x14ac:dyDescent="0.45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15.75" customHeight="1" x14ac:dyDescent="0.4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15.75" customHeight="1" x14ac:dyDescent="0.45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15.75" customHeight="1" x14ac:dyDescent="0.45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15.75" customHeight="1" x14ac:dyDescent="0.45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15.75" customHeight="1" x14ac:dyDescent="0.4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15.75" customHeight="1" x14ac:dyDescent="0.4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15.75" customHeight="1" x14ac:dyDescent="0.4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15.75" customHeight="1" x14ac:dyDescent="0.4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15.75" customHeight="1" x14ac:dyDescent="0.4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15.75" customHeight="1" x14ac:dyDescent="0.4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15.75" customHeight="1" x14ac:dyDescent="0.4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15.75" customHeight="1" x14ac:dyDescent="0.4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15.75" customHeight="1" x14ac:dyDescent="0.4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15.75" customHeight="1" x14ac:dyDescent="0.4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15.75" customHeight="1" x14ac:dyDescent="0.4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15.75" customHeight="1" x14ac:dyDescent="0.4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15.75" customHeight="1" x14ac:dyDescent="0.4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15.75" customHeight="1" x14ac:dyDescent="0.4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15.75" customHeight="1" x14ac:dyDescent="0.4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15.75" customHeight="1" x14ac:dyDescent="0.4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15.75" customHeight="1" x14ac:dyDescent="0.4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15.75" customHeight="1" x14ac:dyDescent="0.4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15.75" customHeight="1" x14ac:dyDescent="0.4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15.75" customHeight="1" x14ac:dyDescent="0.4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15.75" customHeight="1" x14ac:dyDescent="0.4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15.75" customHeight="1" x14ac:dyDescent="0.4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15.75" customHeight="1" x14ac:dyDescent="0.4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15.75" customHeight="1" x14ac:dyDescent="0.4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15.75" customHeight="1" x14ac:dyDescent="0.4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15.75" customHeight="1" x14ac:dyDescent="0.4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15.75" customHeight="1" x14ac:dyDescent="0.4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15.75" customHeight="1" x14ac:dyDescent="0.4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15.75" customHeight="1" x14ac:dyDescent="0.4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15.75" customHeight="1" x14ac:dyDescent="0.4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15.75" customHeight="1" x14ac:dyDescent="0.4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15.75" customHeight="1" x14ac:dyDescent="0.4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15.75" customHeight="1" x14ac:dyDescent="0.4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15.75" customHeight="1" x14ac:dyDescent="0.4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15.75" customHeight="1" x14ac:dyDescent="0.4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15.75" customHeight="1" x14ac:dyDescent="0.4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15.75" customHeight="1" x14ac:dyDescent="0.4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15.75" customHeight="1" x14ac:dyDescent="0.4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15.75" customHeight="1" x14ac:dyDescent="0.4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15.75" customHeight="1" x14ac:dyDescent="0.4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15.75" customHeight="1" x14ac:dyDescent="0.4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15.75" customHeight="1" x14ac:dyDescent="0.4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15.75" customHeight="1" x14ac:dyDescent="0.4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15.75" customHeight="1" x14ac:dyDescent="0.4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15.75" customHeight="1" x14ac:dyDescent="0.4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15.75" customHeight="1" x14ac:dyDescent="0.4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15.75" customHeight="1" x14ac:dyDescent="0.4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15.75" customHeight="1" x14ac:dyDescent="0.4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15.75" customHeight="1" x14ac:dyDescent="0.4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15.75" customHeight="1" x14ac:dyDescent="0.4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15.75" customHeight="1" x14ac:dyDescent="0.4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15.75" customHeight="1" x14ac:dyDescent="0.4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15.75" customHeight="1" x14ac:dyDescent="0.4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15.75" customHeight="1" x14ac:dyDescent="0.4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15.75" customHeight="1" x14ac:dyDescent="0.4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15.75" customHeight="1" x14ac:dyDescent="0.4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15.75" customHeight="1" x14ac:dyDescent="0.4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15.75" customHeight="1" x14ac:dyDescent="0.4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15.75" customHeight="1" x14ac:dyDescent="0.4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15.75" customHeight="1" x14ac:dyDescent="0.4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15.75" customHeight="1" x14ac:dyDescent="0.4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15.75" customHeight="1" x14ac:dyDescent="0.4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15.75" customHeight="1" x14ac:dyDescent="0.4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15.75" customHeight="1" x14ac:dyDescent="0.4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15.75" customHeight="1" x14ac:dyDescent="0.4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15.75" customHeight="1" x14ac:dyDescent="0.4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15.75" customHeight="1" x14ac:dyDescent="0.4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15.75" customHeight="1" x14ac:dyDescent="0.4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15.75" customHeight="1" x14ac:dyDescent="0.4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15.75" customHeight="1" x14ac:dyDescent="0.4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15.75" customHeight="1" x14ac:dyDescent="0.4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15.75" customHeight="1" x14ac:dyDescent="0.4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15.75" customHeight="1" x14ac:dyDescent="0.4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15.75" customHeight="1" x14ac:dyDescent="0.4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15.75" customHeight="1" x14ac:dyDescent="0.4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15.75" customHeight="1" x14ac:dyDescent="0.4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15.75" customHeight="1" x14ac:dyDescent="0.4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15.75" customHeight="1" x14ac:dyDescent="0.4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15.75" customHeight="1" x14ac:dyDescent="0.4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15.75" customHeight="1" x14ac:dyDescent="0.4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15.75" customHeight="1" x14ac:dyDescent="0.4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15.75" customHeight="1" x14ac:dyDescent="0.4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15.75" customHeight="1" x14ac:dyDescent="0.4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15.75" customHeight="1" x14ac:dyDescent="0.4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15.75" customHeight="1" x14ac:dyDescent="0.4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15.75" customHeight="1" x14ac:dyDescent="0.4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15.75" customHeight="1" x14ac:dyDescent="0.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15.75" customHeight="1" x14ac:dyDescent="0.4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15.75" customHeight="1" x14ac:dyDescent="0.4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15.75" customHeight="1" x14ac:dyDescent="0.4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15.75" customHeight="1" x14ac:dyDescent="0.4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15.75" customHeight="1" x14ac:dyDescent="0.4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15.75" customHeight="1" x14ac:dyDescent="0.4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15.75" customHeight="1" x14ac:dyDescent="0.4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15.75" customHeight="1" x14ac:dyDescent="0.4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15.75" customHeight="1" x14ac:dyDescent="0.4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15.75" customHeight="1" x14ac:dyDescent="0.4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15.75" customHeight="1" x14ac:dyDescent="0.4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15.75" customHeight="1" x14ac:dyDescent="0.4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15.75" customHeight="1" x14ac:dyDescent="0.4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15.75" customHeight="1" x14ac:dyDescent="0.4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15.75" customHeight="1" x14ac:dyDescent="0.4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15.75" customHeight="1" x14ac:dyDescent="0.4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15.75" customHeight="1" x14ac:dyDescent="0.4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15.75" customHeight="1" x14ac:dyDescent="0.4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15.75" customHeight="1" x14ac:dyDescent="0.4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15.75" customHeight="1" x14ac:dyDescent="0.4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15.75" customHeight="1" x14ac:dyDescent="0.4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15.75" customHeight="1" x14ac:dyDescent="0.4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15.75" customHeight="1" x14ac:dyDescent="0.4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15.75" customHeight="1" x14ac:dyDescent="0.4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15.75" customHeight="1" x14ac:dyDescent="0.4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15.75" customHeight="1" x14ac:dyDescent="0.4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15.75" customHeight="1" x14ac:dyDescent="0.4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15.75" customHeight="1" x14ac:dyDescent="0.4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15.75" customHeight="1" x14ac:dyDescent="0.4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15.75" customHeight="1" x14ac:dyDescent="0.4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15.75" customHeight="1" x14ac:dyDescent="0.4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15.75" customHeight="1" x14ac:dyDescent="0.4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15.75" customHeight="1" x14ac:dyDescent="0.4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15.75" customHeight="1" x14ac:dyDescent="0.4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15.75" customHeight="1" x14ac:dyDescent="0.4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15.75" customHeight="1" x14ac:dyDescent="0.4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15.75" customHeight="1" x14ac:dyDescent="0.4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15.75" customHeight="1" x14ac:dyDescent="0.4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15.75" customHeight="1" x14ac:dyDescent="0.4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15.75" customHeight="1" x14ac:dyDescent="0.4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15.75" customHeight="1" x14ac:dyDescent="0.4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15.75" customHeight="1" x14ac:dyDescent="0.4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15.75" customHeight="1" x14ac:dyDescent="0.4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15.75" customHeight="1" x14ac:dyDescent="0.4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15.75" customHeight="1" x14ac:dyDescent="0.4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15.75" customHeight="1" x14ac:dyDescent="0.4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15.75" customHeight="1" x14ac:dyDescent="0.4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15.75" customHeight="1" x14ac:dyDescent="0.4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15.75" customHeight="1" x14ac:dyDescent="0.4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15.75" customHeight="1" x14ac:dyDescent="0.4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15.75" customHeight="1" x14ac:dyDescent="0.4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15.75" customHeight="1" x14ac:dyDescent="0.4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15.75" customHeight="1" x14ac:dyDescent="0.4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15.75" customHeight="1" x14ac:dyDescent="0.4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15.75" customHeight="1" x14ac:dyDescent="0.4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15.75" customHeight="1" x14ac:dyDescent="0.4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15.75" customHeight="1" x14ac:dyDescent="0.4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15.75" customHeight="1" x14ac:dyDescent="0.4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15.75" customHeight="1" x14ac:dyDescent="0.4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15.75" customHeight="1" x14ac:dyDescent="0.4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15.75" customHeight="1" x14ac:dyDescent="0.4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15.75" customHeight="1" x14ac:dyDescent="0.4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15.75" customHeight="1" x14ac:dyDescent="0.4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15.75" customHeight="1" x14ac:dyDescent="0.4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15.75" customHeight="1" x14ac:dyDescent="0.4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15.75" customHeight="1" x14ac:dyDescent="0.4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15.75" customHeight="1" x14ac:dyDescent="0.4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15.75" customHeight="1" x14ac:dyDescent="0.4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15.75" customHeight="1" x14ac:dyDescent="0.4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15.75" customHeight="1" x14ac:dyDescent="0.4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15.75" customHeight="1" x14ac:dyDescent="0.4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15.75" customHeight="1" x14ac:dyDescent="0.4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15.75" customHeight="1" x14ac:dyDescent="0.4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15.75" customHeight="1" x14ac:dyDescent="0.4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15.75" customHeight="1" x14ac:dyDescent="0.4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15.75" customHeight="1" x14ac:dyDescent="0.4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15.75" customHeight="1" x14ac:dyDescent="0.4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15.75" customHeight="1" x14ac:dyDescent="0.4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15.75" customHeight="1" x14ac:dyDescent="0.4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15.75" customHeight="1" x14ac:dyDescent="0.4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15.75" customHeight="1" x14ac:dyDescent="0.4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15.75" customHeight="1" x14ac:dyDescent="0.4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15.75" customHeight="1" x14ac:dyDescent="0.4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15.75" customHeight="1" x14ac:dyDescent="0.4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15.75" customHeight="1" x14ac:dyDescent="0.4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15.75" customHeight="1" x14ac:dyDescent="0.4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15.75" customHeight="1" x14ac:dyDescent="0.4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15.75" customHeight="1" x14ac:dyDescent="0.4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15.75" customHeight="1" x14ac:dyDescent="0.4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15.75" customHeight="1" x14ac:dyDescent="0.4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15.75" customHeight="1" x14ac:dyDescent="0.4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15.75" customHeight="1" x14ac:dyDescent="0.4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15.75" customHeight="1" x14ac:dyDescent="0.4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15.75" customHeight="1" x14ac:dyDescent="0.4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15.75" customHeight="1" x14ac:dyDescent="0.4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15.75" customHeight="1" x14ac:dyDescent="0.4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15.75" customHeight="1" x14ac:dyDescent="0.4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15.75" customHeight="1" x14ac:dyDescent="0.4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15.75" customHeight="1" x14ac:dyDescent="0.4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15.75" customHeight="1" x14ac:dyDescent="0.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15.75" customHeight="1" x14ac:dyDescent="0.4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15.75" customHeight="1" x14ac:dyDescent="0.4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15.75" customHeight="1" x14ac:dyDescent="0.4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15.75" customHeight="1" x14ac:dyDescent="0.4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15.75" customHeight="1" x14ac:dyDescent="0.4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15.75" customHeight="1" x14ac:dyDescent="0.4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15.75" customHeight="1" x14ac:dyDescent="0.4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15.75" customHeight="1" x14ac:dyDescent="0.4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15.75" customHeight="1" x14ac:dyDescent="0.4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15.75" customHeight="1" x14ac:dyDescent="0.4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15.75" customHeight="1" x14ac:dyDescent="0.4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15.75" customHeight="1" x14ac:dyDescent="0.4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15.75" customHeight="1" x14ac:dyDescent="0.4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15.75" customHeight="1" x14ac:dyDescent="0.4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15.75" customHeight="1" x14ac:dyDescent="0.4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15.75" customHeight="1" x14ac:dyDescent="0.4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15.75" customHeight="1" x14ac:dyDescent="0.4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15.75" customHeight="1" x14ac:dyDescent="0.4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15.75" customHeight="1" x14ac:dyDescent="0.4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15.75" customHeight="1" x14ac:dyDescent="0.4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15.75" customHeight="1" x14ac:dyDescent="0.4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15.75" customHeight="1" x14ac:dyDescent="0.4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15.75" customHeight="1" x14ac:dyDescent="0.4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15.75" customHeight="1" x14ac:dyDescent="0.4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15.75" customHeight="1" x14ac:dyDescent="0.4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15.75" customHeight="1" x14ac:dyDescent="0.4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15.75" customHeight="1" x14ac:dyDescent="0.4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15.75" customHeight="1" x14ac:dyDescent="0.4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15.75" customHeight="1" x14ac:dyDescent="0.4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15.75" customHeight="1" x14ac:dyDescent="0.4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15.75" customHeight="1" x14ac:dyDescent="0.4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15.75" customHeight="1" x14ac:dyDescent="0.4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15.75" customHeight="1" x14ac:dyDescent="0.4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15.75" customHeight="1" x14ac:dyDescent="0.4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15.75" customHeight="1" x14ac:dyDescent="0.4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15.75" customHeight="1" x14ac:dyDescent="0.4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15.75" customHeight="1" x14ac:dyDescent="0.4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15.75" customHeight="1" x14ac:dyDescent="0.4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15.75" customHeight="1" x14ac:dyDescent="0.4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15.75" customHeight="1" x14ac:dyDescent="0.4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15.75" customHeight="1" x14ac:dyDescent="0.4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15.75" customHeight="1" x14ac:dyDescent="0.4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15.75" customHeight="1" x14ac:dyDescent="0.4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15.75" customHeight="1" x14ac:dyDescent="0.4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15.75" customHeight="1" x14ac:dyDescent="0.4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15.75" customHeight="1" x14ac:dyDescent="0.4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15.75" customHeight="1" x14ac:dyDescent="0.4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15.75" customHeight="1" x14ac:dyDescent="0.4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15.75" customHeight="1" x14ac:dyDescent="0.4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15.75" customHeight="1" x14ac:dyDescent="0.4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15.75" customHeight="1" x14ac:dyDescent="0.4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15.75" customHeight="1" x14ac:dyDescent="0.4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15.75" customHeight="1" x14ac:dyDescent="0.4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15.75" customHeight="1" x14ac:dyDescent="0.4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15.75" customHeight="1" x14ac:dyDescent="0.4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15.75" customHeight="1" x14ac:dyDescent="0.4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15.75" customHeight="1" x14ac:dyDescent="0.4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15.75" customHeight="1" x14ac:dyDescent="0.4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15.75" customHeight="1" x14ac:dyDescent="0.4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15.75" customHeight="1" x14ac:dyDescent="0.4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15.75" customHeight="1" x14ac:dyDescent="0.4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15.75" customHeight="1" x14ac:dyDescent="0.4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15.75" customHeight="1" x14ac:dyDescent="0.4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15.75" customHeight="1" x14ac:dyDescent="0.4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15.75" customHeight="1" x14ac:dyDescent="0.4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15.75" customHeight="1" x14ac:dyDescent="0.4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15.75" customHeight="1" x14ac:dyDescent="0.4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15.75" customHeight="1" x14ac:dyDescent="0.4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15.75" customHeight="1" x14ac:dyDescent="0.4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15.75" customHeight="1" x14ac:dyDescent="0.4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15.75" customHeight="1" x14ac:dyDescent="0.4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15.75" customHeight="1" x14ac:dyDescent="0.4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15.75" customHeight="1" x14ac:dyDescent="0.4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15.75" customHeight="1" x14ac:dyDescent="0.4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15.75" customHeight="1" x14ac:dyDescent="0.4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15.75" customHeight="1" x14ac:dyDescent="0.4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15.75" customHeight="1" x14ac:dyDescent="0.4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15.75" customHeight="1" x14ac:dyDescent="0.4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15.75" customHeight="1" x14ac:dyDescent="0.4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15.75" customHeight="1" x14ac:dyDescent="0.4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15.75" customHeight="1" x14ac:dyDescent="0.4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15.75" customHeight="1" x14ac:dyDescent="0.4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15.75" customHeight="1" x14ac:dyDescent="0.4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15.75" customHeight="1" x14ac:dyDescent="0.4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15.75" customHeight="1" x14ac:dyDescent="0.4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15.75" customHeight="1" x14ac:dyDescent="0.4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15.75" customHeight="1" x14ac:dyDescent="0.4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15.75" customHeight="1" x14ac:dyDescent="0.4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15.75" customHeight="1" x14ac:dyDescent="0.4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15.75" customHeight="1" x14ac:dyDescent="0.4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15.75" customHeight="1" x14ac:dyDescent="0.4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15.75" customHeight="1" x14ac:dyDescent="0.4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15.75" customHeight="1" x14ac:dyDescent="0.4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15.75" customHeight="1" x14ac:dyDescent="0.4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15.75" customHeight="1" x14ac:dyDescent="0.4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15.75" customHeight="1" x14ac:dyDescent="0.4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15.75" customHeight="1" x14ac:dyDescent="0.4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15.75" customHeight="1" x14ac:dyDescent="0.4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15.75" customHeight="1" x14ac:dyDescent="0.4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15.75" customHeight="1" x14ac:dyDescent="0.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15.75" customHeight="1" x14ac:dyDescent="0.4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15.75" customHeight="1" x14ac:dyDescent="0.4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15.75" customHeight="1" x14ac:dyDescent="0.4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15.75" customHeight="1" x14ac:dyDescent="0.4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15.75" customHeight="1" x14ac:dyDescent="0.4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15.75" customHeight="1" x14ac:dyDescent="0.4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15.75" customHeight="1" x14ac:dyDescent="0.4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15.75" customHeight="1" x14ac:dyDescent="0.4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15.75" customHeight="1" x14ac:dyDescent="0.4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15.75" customHeight="1" x14ac:dyDescent="0.4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15.75" customHeight="1" x14ac:dyDescent="0.4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15.75" customHeight="1" x14ac:dyDescent="0.4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15.75" customHeight="1" x14ac:dyDescent="0.4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15.75" customHeight="1" x14ac:dyDescent="0.4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15.75" customHeight="1" x14ac:dyDescent="0.4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15.75" customHeight="1" x14ac:dyDescent="0.4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15.75" customHeight="1" x14ac:dyDescent="0.4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15.75" customHeight="1" x14ac:dyDescent="0.4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15.75" customHeight="1" x14ac:dyDescent="0.4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15.75" customHeight="1" x14ac:dyDescent="0.4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15.75" customHeight="1" x14ac:dyDescent="0.4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15.75" customHeight="1" x14ac:dyDescent="0.4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15.75" customHeight="1" x14ac:dyDescent="0.4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15.75" customHeight="1" x14ac:dyDescent="0.4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15.75" customHeight="1" x14ac:dyDescent="0.4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15.75" customHeight="1" x14ac:dyDescent="0.4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15.75" customHeight="1" x14ac:dyDescent="0.4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15.75" customHeight="1" x14ac:dyDescent="0.4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15.75" customHeight="1" x14ac:dyDescent="0.4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15.75" customHeight="1" x14ac:dyDescent="0.4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15.75" customHeight="1" x14ac:dyDescent="0.4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15.75" customHeight="1" x14ac:dyDescent="0.4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15.75" customHeight="1" x14ac:dyDescent="0.4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15.75" customHeight="1" x14ac:dyDescent="0.4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15.75" customHeight="1" x14ac:dyDescent="0.4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15.75" customHeight="1" x14ac:dyDescent="0.4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15.75" customHeight="1" x14ac:dyDescent="0.4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15.75" customHeight="1" x14ac:dyDescent="0.45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15.75" customHeight="1" x14ac:dyDescent="0.45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15.75" customHeight="1" x14ac:dyDescent="0.4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15.75" customHeight="1" x14ac:dyDescent="0.45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15.75" customHeight="1" x14ac:dyDescent="0.45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15.75" customHeight="1" x14ac:dyDescent="0.45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15.75" customHeight="1" x14ac:dyDescent="0.45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15.75" customHeight="1" x14ac:dyDescent="0.45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15.75" customHeight="1" x14ac:dyDescent="0.45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15.75" customHeight="1" x14ac:dyDescent="0.45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15.75" customHeight="1" x14ac:dyDescent="0.45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15.75" customHeight="1" x14ac:dyDescent="0.45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15.75" customHeight="1" x14ac:dyDescent="0.4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15.75" customHeight="1" x14ac:dyDescent="0.45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15.75" customHeight="1" x14ac:dyDescent="0.45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15.75" customHeight="1" x14ac:dyDescent="0.45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 ht="15.75" customHeight="1" x14ac:dyDescent="0.45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 ht="15.75" customHeight="1" x14ac:dyDescent="0.45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 ht="15.75" customHeight="1" x14ac:dyDescent="0.45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 ht="15.75" customHeight="1" x14ac:dyDescent="0.45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 ht="15.75" customHeight="1" x14ac:dyDescent="0.45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 ht="15.75" customHeight="1" x14ac:dyDescent="0.45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 ht="15.75" customHeight="1" x14ac:dyDescent="0.4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 ht="15.75" customHeight="1" x14ac:dyDescent="0.45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 ht="15.75" customHeight="1" x14ac:dyDescent="0.45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 ht="15.75" customHeight="1" x14ac:dyDescent="0.45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 ht="15.75" customHeight="1" x14ac:dyDescent="0.45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 ht="15.75" customHeight="1" x14ac:dyDescent="0.45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 ht="15.75" customHeight="1" x14ac:dyDescent="0.45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 ht="15.75" customHeight="1" x14ac:dyDescent="0.45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 ht="15.75" customHeight="1" x14ac:dyDescent="0.45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 ht="15.75" customHeight="1" x14ac:dyDescent="0.45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 ht="15.75" customHeight="1" x14ac:dyDescent="0.4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 ht="15.75" customHeight="1" x14ac:dyDescent="0.45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 ht="15.75" customHeight="1" x14ac:dyDescent="0.45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 ht="15.75" customHeight="1" x14ac:dyDescent="0.45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 ht="15.75" customHeight="1" x14ac:dyDescent="0.45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 ht="15.75" customHeight="1" x14ac:dyDescent="0.45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 ht="15.75" customHeight="1" x14ac:dyDescent="0.4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 ht="15.75" customHeight="1" x14ac:dyDescent="0.45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 ht="15.75" customHeight="1" x14ac:dyDescent="0.45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 ht="15.75" customHeight="1" x14ac:dyDescent="0.4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 ht="15.75" customHeight="1" x14ac:dyDescent="0.4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 ht="15.75" customHeight="1" x14ac:dyDescent="0.45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 ht="15.75" customHeight="1" x14ac:dyDescent="0.4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 ht="15.75" customHeight="1" x14ac:dyDescent="0.45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 ht="15.75" customHeight="1" x14ac:dyDescent="0.4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 ht="15.75" customHeight="1" x14ac:dyDescent="0.45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 ht="15.75" customHeight="1" x14ac:dyDescent="0.45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 ht="15.75" customHeight="1" x14ac:dyDescent="0.45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 ht="15.75" customHeight="1" x14ac:dyDescent="0.45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 ht="15.75" customHeight="1" x14ac:dyDescent="0.45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 ht="15.75" customHeight="1" x14ac:dyDescent="0.4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 ht="15.75" customHeight="1" x14ac:dyDescent="0.45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 ht="15.75" customHeight="1" x14ac:dyDescent="0.45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 ht="15.75" customHeight="1" x14ac:dyDescent="0.45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 ht="15.75" customHeight="1" x14ac:dyDescent="0.45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 ht="15.75" customHeight="1" x14ac:dyDescent="0.45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 ht="15.75" customHeight="1" x14ac:dyDescent="0.45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 ht="15.75" customHeight="1" x14ac:dyDescent="0.45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 ht="15.75" customHeight="1" x14ac:dyDescent="0.45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 ht="15.75" customHeight="1" x14ac:dyDescent="0.45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 ht="15.75" customHeight="1" x14ac:dyDescent="0.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 ht="15.75" customHeight="1" x14ac:dyDescent="0.45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 ht="15.75" customHeight="1" x14ac:dyDescent="0.45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 ht="15.75" customHeight="1" x14ac:dyDescent="0.45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 ht="15.75" customHeight="1" x14ac:dyDescent="0.45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 ht="15.75" customHeight="1" x14ac:dyDescent="0.45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 ht="15.75" customHeight="1" x14ac:dyDescent="0.45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 ht="15.75" customHeight="1" x14ac:dyDescent="0.45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 ht="15.75" customHeight="1" x14ac:dyDescent="0.45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 ht="15.75" customHeight="1" x14ac:dyDescent="0.45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 ht="15.75" customHeight="1" x14ac:dyDescent="0.4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 ht="15.75" customHeight="1" x14ac:dyDescent="0.45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 ht="15.75" customHeight="1" x14ac:dyDescent="0.45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 ht="15.75" customHeight="1" x14ac:dyDescent="0.45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 ht="15.75" customHeight="1" x14ac:dyDescent="0.45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 ht="15.75" customHeight="1" x14ac:dyDescent="0.45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 ht="15.75" customHeight="1" x14ac:dyDescent="0.45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 ht="15.75" customHeight="1" x14ac:dyDescent="0.45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 ht="15.75" customHeight="1" x14ac:dyDescent="0.45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 ht="15.75" customHeight="1" x14ac:dyDescent="0.45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 ht="15.75" customHeight="1" x14ac:dyDescent="0.4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 ht="15.75" customHeight="1" x14ac:dyDescent="0.45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 ht="15.75" customHeight="1" x14ac:dyDescent="0.45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 ht="15.75" customHeight="1" x14ac:dyDescent="0.45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 ht="15.75" customHeight="1" x14ac:dyDescent="0.45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 ht="15.75" customHeight="1" x14ac:dyDescent="0.4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 ht="15.75" customHeight="1" x14ac:dyDescent="0.45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 ht="15.75" customHeight="1" x14ac:dyDescent="0.45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 ht="15.75" customHeight="1" x14ac:dyDescent="0.45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 ht="15.75" customHeight="1" x14ac:dyDescent="0.45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 ht="15.75" customHeight="1" x14ac:dyDescent="0.4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 ht="15.75" customHeight="1" x14ac:dyDescent="0.45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 ht="15.75" customHeight="1" x14ac:dyDescent="0.45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 ht="15.75" customHeight="1" x14ac:dyDescent="0.45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 ht="15.75" customHeight="1" x14ac:dyDescent="0.45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 ht="15.75" customHeight="1" x14ac:dyDescent="0.45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 ht="15.75" customHeight="1" x14ac:dyDescent="0.45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 ht="15.75" customHeight="1" x14ac:dyDescent="0.45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 ht="15.75" customHeight="1" x14ac:dyDescent="0.45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 ht="15.75" customHeight="1" x14ac:dyDescent="0.45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 ht="15.75" customHeight="1" x14ac:dyDescent="0.4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 ht="15.75" customHeight="1" x14ac:dyDescent="0.45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 ht="15.75" customHeight="1" x14ac:dyDescent="0.45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 ht="15.75" customHeight="1" x14ac:dyDescent="0.45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 ht="15.75" customHeight="1" x14ac:dyDescent="0.45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 ht="15.75" customHeight="1" x14ac:dyDescent="0.45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 ht="15.75" customHeight="1" x14ac:dyDescent="0.4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 ht="15.75" customHeight="1" x14ac:dyDescent="0.45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 ht="15.75" customHeight="1" x14ac:dyDescent="0.45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 ht="15.75" customHeight="1" x14ac:dyDescent="0.45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 ht="15.75" customHeight="1" x14ac:dyDescent="0.4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 ht="15.75" customHeight="1" x14ac:dyDescent="0.45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 ht="15.75" customHeight="1" x14ac:dyDescent="0.45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 ht="15.75" customHeight="1" x14ac:dyDescent="0.45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 ht="15.75" customHeight="1" x14ac:dyDescent="0.45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 ht="15.75" customHeight="1" x14ac:dyDescent="0.45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 ht="15.75" customHeight="1" x14ac:dyDescent="0.45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 ht="15.75" customHeight="1" x14ac:dyDescent="0.45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 ht="15.75" customHeight="1" x14ac:dyDescent="0.45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 ht="15.75" customHeight="1" x14ac:dyDescent="0.45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 ht="15.75" customHeight="1" x14ac:dyDescent="0.4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 ht="15.75" customHeight="1" x14ac:dyDescent="0.45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 ht="15.75" customHeight="1" x14ac:dyDescent="0.45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 ht="15.75" customHeight="1" x14ac:dyDescent="0.45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 ht="15.75" customHeight="1" x14ac:dyDescent="0.45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 ht="15.75" customHeight="1" x14ac:dyDescent="0.45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 ht="15.75" customHeight="1" x14ac:dyDescent="0.45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 ht="15.75" customHeight="1" x14ac:dyDescent="0.45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 ht="15.75" customHeight="1" x14ac:dyDescent="0.45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 ht="15.75" customHeight="1" x14ac:dyDescent="0.45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 ht="15.75" customHeight="1" x14ac:dyDescent="0.4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 ht="15.75" customHeight="1" x14ac:dyDescent="0.45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 ht="15.75" customHeight="1" x14ac:dyDescent="0.45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 ht="15.75" customHeight="1" x14ac:dyDescent="0.45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 ht="15.75" customHeight="1" x14ac:dyDescent="0.45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 ht="15.75" customHeight="1" x14ac:dyDescent="0.45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 ht="15.75" customHeight="1" x14ac:dyDescent="0.45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 ht="15.75" customHeight="1" x14ac:dyDescent="0.45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 ht="15.75" customHeight="1" x14ac:dyDescent="0.45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 ht="15.75" customHeight="1" x14ac:dyDescent="0.45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 ht="15.75" customHeight="1" x14ac:dyDescent="0.4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 ht="15.75" customHeight="1" x14ac:dyDescent="0.45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 ht="15.75" customHeight="1" x14ac:dyDescent="0.45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 ht="15.75" customHeight="1" x14ac:dyDescent="0.45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 ht="15.75" customHeight="1" x14ac:dyDescent="0.45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 ht="15.75" customHeight="1" x14ac:dyDescent="0.45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 ht="15.75" customHeight="1" x14ac:dyDescent="0.45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 ht="15.75" customHeight="1" x14ac:dyDescent="0.45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 ht="15.75" customHeight="1" x14ac:dyDescent="0.45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 ht="15.75" customHeight="1" x14ac:dyDescent="0.45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 ht="15.75" customHeight="1" x14ac:dyDescent="0.4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 ht="15.75" customHeight="1" x14ac:dyDescent="0.45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 ht="15.75" customHeight="1" x14ac:dyDescent="0.45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 ht="15.75" customHeight="1" x14ac:dyDescent="0.45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 ht="15.75" customHeight="1" x14ac:dyDescent="0.45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 ht="15.75" customHeight="1" x14ac:dyDescent="0.45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 ht="15.75" customHeight="1" x14ac:dyDescent="0.45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 ht="15.75" customHeight="1" x14ac:dyDescent="0.45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 ht="15.75" customHeight="1" x14ac:dyDescent="0.45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 ht="15.75" customHeight="1" x14ac:dyDescent="0.45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 ht="15.75" customHeight="1" x14ac:dyDescent="0.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 ht="15.75" customHeight="1" x14ac:dyDescent="0.45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 ht="15.75" customHeight="1" x14ac:dyDescent="0.45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 ht="15.75" customHeight="1" x14ac:dyDescent="0.45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 ht="15.75" customHeight="1" x14ac:dyDescent="0.45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 ht="15.75" customHeight="1" x14ac:dyDescent="0.45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 ht="15.75" customHeight="1" x14ac:dyDescent="0.45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 ht="15.75" customHeight="1" x14ac:dyDescent="0.45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 ht="15.75" customHeight="1" x14ac:dyDescent="0.45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 ht="15.75" customHeight="1" x14ac:dyDescent="0.45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 ht="15.75" customHeight="1" x14ac:dyDescent="0.4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 ht="15.75" customHeight="1" x14ac:dyDescent="0.45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 ht="15.75" customHeight="1" x14ac:dyDescent="0.45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 ht="15.75" customHeight="1" x14ac:dyDescent="0.45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 ht="15.75" customHeight="1" x14ac:dyDescent="0.45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 ht="15.75" customHeight="1" x14ac:dyDescent="0.45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 ht="15.75" customHeight="1" x14ac:dyDescent="0.45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 ht="15.75" customHeight="1" x14ac:dyDescent="0.45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 ht="15.75" customHeight="1" x14ac:dyDescent="0.45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 ht="15.75" customHeight="1" x14ac:dyDescent="0.45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 ht="15.75" customHeight="1" x14ac:dyDescent="0.4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 ht="15.75" customHeight="1" x14ac:dyDescent="0.45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 ht="15.75" customHeight="1" x14ac:dyDescent="0.45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 ht="15.75" customHeight="1" x14ac:dyDescent="0.45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 ht="15.75" customHeight="1" x14ac:dyDescent="0.45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 ht="15.75" customHeight="1" x14ac:dyDescent="0.45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 ht="15.75" customHeight="1" x14ac:dyDescent="0.45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 ht="15.75" customHeight="1" x14ac:dyDescent="0.45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 ht="15.75" customHeight="1" x14ac:dyDescent="0.45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 ht="15.75" customHeight="1" x14ac:dyDescent="0.45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 ht="15.75" customHeight="1" x14ac:dyDescent="0.4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 ht="15.75" customHeight="1" x14ac:dyDescent="0.45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 ht="15.75" customHeight="1" x14ac:dyDescent="0.45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 ht="15.75" customHeight="1" x14ac:dyDescent="0.45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 ht="15.75" customHeight="1" x14ac:dyDescent="0.45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 ht="15.75" customHeight="1" x14ac:dyDescent="0.45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 ht="15.75" customHeight="1" x14ac:dyDescent="0.45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 ht="15.75" customHeight="1" x14ac:dyDescent="0.45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 ht="15.75" customHeight="1" x14ac:dyDescent="0.45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 ht="15.75" customHeight="1" x14ac:dyDescent="0.45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 ht="15.75" customHeight="1" x14ac:dyDescent="0.4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 ht="15.75" customHeight="1" x14ac:dyDescent="0.45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 ht="15.75" customHeight="1" x14ac:dyDescent="0.45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 ht="15.75" customHeight="1" x14ac:dyDescent="0.45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 ht="15.75" customHeight="1" x14ac:dyDescent="0.45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 ht="15.75" customHeight="1" x14ac:dyDescent="0.45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 ht="15.75" customHeight="1" x14ac:dyDescent="0.45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 ht="15.75" customHeight="1" x14ac:dyDescent="0.45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 ht="15.75" customHeight="1" x14ac:dyDescent="0.45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1:26" ht="15.75" customHeight="1" x14ac:dyDescent="0.45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1:26" ht="15.75" customHeight="1" x14ac:dyDescent="0.4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spans="1:26" ht="15.75" customHeight="1" x14ac:dyDescent="0.45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spans="1:26" ht="15.75" customHeight="1" x14ac:dyDescent="0.45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spans="1:26" ht="15.75" customHeight="1" x14ac:dyDescent="0.45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spans="1:26" ht="15.75" customHeight="1" x14ac:dyDescent="0.45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spans="1:26" ht="15.75" customHeight="1" x14ac:dyDescent="0.45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mergeCells count="85">
    <mergeCell ref="B38:B42"/>
    <mergeCell ref="C38:C40"/>
    <mergeCell ref="G38:G42"/>
    <mergeCell ref="H38:H40"/>
    <mergeCell ref="C41:C42"/>
    <mergeCell ref="H41:H42"/>
    <mergeCell ref="D41:D42"/>
    <mergeCell ref="I41:I42"/>
    <mergeCell ref="G47:G50"/>
    <mergeCell ref="H47:J50"/>
    <mergeCell ref="H43:J43"/>
    <mergeCell ref="H44:J44"/>
    <mergeCell ref="C43:E43"/>
    <mergeCell ref="H56:H57"/>
    <mergeCell ref="I56:I57"/>
    <mergeCell ref="H58:J58"/>
    <mergeCell ref="H60:J60"/>
    <mergeCell ref="H53:H55"/>
    <mergeCell ref="H51:J51"/>
    <mergeCell ref="C45:E45"/>
    <mergeCell ref="H45:J45"/>
    <mergeCell ref="C46:E46"/>
    <mergeCell ref="H46:J46"/>
    <mergeCell ref="C47:E50"/>
    <mergeCell ref="H61:J61"/>
    <mergeCell ref="H62:J65"/>
    <mergeCell ref="H66:J66"/>
    <mergeCell ref="C58:E58"/>
    <mergeCell ref="C60:E60"/>
    <mergeCell ref="C61:E61"/>
    <mergeCell ref="B62:B65"/>
    <mergeCell ref="C62:E65"/>
    <mergeCell ref="G62:G65"/>
    <mergeCell ref="C66:E66"/>
    <mergeCell ref="B47:B50"/>
    <mergeCell ref="B53:B57"/>
    <mergeCell ref="C53:C55"/>
    <mergeCell ref="G53:G57"/>
    <mergeCell ref="C51:E51"/>
    <mergeCell ref="C56:C57"/>
    <mergeCell ref="D56:D57"/>
    <mergeCell ref="H8:H10"/>
    <mergeCell ref="H11:H12"/>
    <mergeCell ref="H13:J13"/>
    <mergeCell ref="H15:J15"/>
    <mergeCell ref="H16:J16"/>
    <mergeCell ref="D11:D12"/>
    <mergeCell ref="H17:J20"/>
    <mergeCell ref="H21:J21"/>
    <mergeCell ref="H23:H25"/>
    <mergeCell ref="C13:E13"/>
    <mergeCell ref="C15:E15"/>
    <mergeCell ref="C16:E16"/>
    <mergeCell ref="C17:E20"/>
    <mergeCell ref="G17:G20"/>
    <mergeCell ref="B1:B5"/>
    <mergeCell ref="C1:H3"/>
    <mergeCell ref="C4:H5"/>
    <mergeCell ref="H28:J28"/>
    <mergeCell ref="H30:J30"/>
    <mergeCell ref="C21:E21"/>
    <mergeCell ref="C30:E30"/>
    <mergeCell ref="C8:C10"/>
    <mergeCell ref="C11:C12"/>
    <mergeCell ref="B17:B20"/>
    <mergeCell ref="B23:B27"/>
    <mergeCell ref="C23:C25"/>
    <mergeCell ref="I4:I5"/>
    <mergeCell ref="B8:B12"/>
    <mergeCell ref="G8:G12"/>
    <mergeCell ref="I11:I12"/>
    <mergeCell ref="C26:C27"/>
    <mergeCell ref="B32:B35"/>
    <mergeCell ref="H32:J35"/>
    <mergeCell ref="C36:E36"/>
    <mergeCell ref="H36:J36"/>
    <mergeCell ref="G23:G27"/>
    <mergeCell ref="D26:D27"/>
    <mergeCell ref="H26:H27"/>
    <mergeCell ref="I26:I27"/>
    <mergeCell ref="C28:E28"/>
    <mergeCell ref="C32:E35"/>
    <mergeCell ref="G32:G35"/>
    <mergeCell ref="H31:J31"/>
    <mergeCell ref="C31:E31"/>
  </mergeCells>
  <pageMargins left="0.7" right="0.7" top="0.75" bottom="0.75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86328125" customWidth="1"/>
    <col min="3" max="3" width="43.73046875" customWidth="1"/>
    <col min="4" max="4" width="16.265625" customWidth="1"/>
    <col min="5" max="5" width="21.86328125" customWidth="1"/>
    <col min="6" max="6" width="9.3984375" customWidth="1"/>
    <col min="7" max="7" width="26.265625" customWidth="1"/>
    <col min="8" max="8" width="39.86328125" customWidth="1"/>
    <col min="9" max="9" width="16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55"/>
      <c r="B1" s="470"/>
      <c r="C1" s="471" t="s">
        <v>0</v>
      </c>
      <c r="D1" s="201"/>
      <c r="E1" s="201"/>
      <c r="F1" s="201"/>
      <c r="G1" s="201"/>
      <c r="H1" s="217"/>
      <c r="I1" s="156" t="s">
        <v>1</v>
      </c>
      <c r="J1" s="157" t="s">
        <v>448</v>
      </c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69"/>
      <c r="X1" s="69"/>
      <c r="Y1" s="69"/>
      <c r="Z1" s="69"/>
    </row>
    <row r="2" spans="1:26" ht="24.75" customHeight="1" x14ac:dyDescent="0.45">
      <c r="A2" s="155"/>
      <c r="B2" s="203"/>
      <c r="C2" s="244"/>
      <c r="D2" s="203"/>
      <c r="E2" s="203"/>
      <c r="F2" s="203"/>
      <c r="G2" s="203"/>
      <c r="H2" s="238"/>
      <c r="I2" s="87" t="s">
        <v>3</v>
      </c>
      <c r="J2" s="158">
        <v>1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69"/>
      <c r="X2" s="69"/>
      <c r="Y2" s="69"/>
      <c r="Z2" s="69"/>
    </row>
    <row r="3" spans="1:26" ht="24.75" customHeight="1" x14ac:dyDescent="0.45">
      <c r="A3" s="155"/>
      <c r="B3" s="203"/>
      <c r="C3" s="276"/>
      <c r="D3" s="195"/>
      <c r="E3" s="195"/>
      <c r="F3" s="195"/>
      <c r="G3" s="195"/>
      <c r="H3" s="321"/>
      <c r="I3" s="159" t="s">
        <v>5</v>
      </c>
      <c r="J3" s="159" t="s">
        <v>6</v>
      </c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69"/>
      <c r="X3" s="69"/>
      <c r="Y3" s="69"/>
      <c r="Z3" s="69"/>
    </row>
    <row r="4" spans="1:26" ht="24.75" customHeight="1" x14ac:dyDescent="0.45">
      <c r="A4" s="160"/>
      <c r="B4" s="203"/>
      <c r="C4" s="471" t="s">
        <v>449</v>
      </c>
      <c r="D4" s="201"/>
      <c r="E4" s="201"/>
      <c r="F4" s="201"/>
      <c r="G4" s="201"/>
      <c r="H4" s="217"/>
      <c r="I4" s="472" t="s">
        <v>7</v>
      </c>
      <c r="J4" s="161" t="s">
        <v>200</v>
      </c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24.75" customHeight="1" x14ac:dyDescent="0.45">
      <c r="A5" s="160"/>
      <c r="B5" s="198"/>
      <c r="C5" s="218"/>
      <c r="D5" s="198"/>
      <c r="E5" s="198"/>
      <c r="F5" s="198"/>
      <c r="G5" s="198"/>
      <c r="H5" s="199"/>
      <c r="I5" s="447"/>
      <c r="J5" s="162" t="s">
        <v>201</v>
      </c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24.75" customHeight="1" x14ac:dyDescent="0.45">
      <c r="A6" s="69"/>
      <c r="B6" s="92"/>
      <c r="C6" s="92"/>
      <c r="D6" s="92"/>
      <c r="E6" s="92"/>
      <c r="F6" s="92"/>
      <c r="G6" s="92"/>
      <c r="H6" s="92"/>
      <c r="I6" s="92"/>
      <c r="J6" s="110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15.75" customHeight="1" x14ac:dyDescent="0.45">
      <c r="A7" s="69"/>
      <c r="B7" s="12"/>
      <c r="C7" s="12"/>
      <c r="D7" s="12"/>
      <c r="E7" s="12"/>
      <c r="F7" s="12"/>
      <c r="G7" s="12"/>
      <c r="H7" s="12"/>
      <c r="I7" s="12"/>
      <c r="J7" s="12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18.75" customHeight="1" x14ac:dyDescent="0.45">
      <c r="A8" s="69"/>
      <c r="B8" s="466"/>
      <c r="C8" s="445" t="s">
        <v>0</v>
      </c>
      <c r="D8" s="131" t="s">
        <v>1</v>
      </c>
      <c r="E8" s="131" t="s">
        <v>448</v>
      </c>
      <c r="F8" s="12"/>
      <c r="G8" s="466"/>
      <c r="H8" s="445" t="s">
        <v>0</v>
      </c>
      <c r="I8" s="131" t="s">
        <v>1</v>
      </c>
      <c r="J8" s="131" t="s">
        <v>448</v>
      </c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ht="20.25" customHeight="1" x14ac:dyDescent="0.45">
      <c r="A9" s="69"/>
      <c r="B9" s="244"/>
      <c r="C9" s="446"/>
      <c r="D9" s="132" t="s">
        <v>3</v>
      </c>
      <c r="E9" s="163">
        <v>1</v>
      </c>
      <c r="F9" s="12"/>
      <c r="G9" s="244"/>
      <c r="H9" s="446"/>
      <c r="I9" s="132" t="s">
        <v>3</v>
      </c>
      <c r="J9" s="163">
        <v>1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18" customHeight="1" x14ac:dyDescent="0.45">
      <c r="A10" s="69"/>
      <c r="B10" s="244"/>
      <c r="C10" s="445" t="s">
        <v>449</v>
      </c>
      <c r="D10" s="182" t="s">
        <v>5</v>
      </c>
      <c r="E10" s="131" t="s">
        <v>6</v>
      </c>
      <c r="F10" s="12"/>
      <c r="G10" s="244"/>
      <c r="H10" s="445" t="s">
        <v>449</v>
      </c>
      <c r="I10" s="182" t="s">
        <v>5</v>
      </c>
      <c r="J10" s="131" t="s">
        <v>6</v>
      </c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18.75" customHeight="1" x14ac:dyDescent="0.45">
      <c r="A11" s="69"/>
      <c r="B11" s="244"/>
      <c r="C11" s="446"/>
      <c r="D11" s="469" t="s">
        <v>7</v>
      </c>
      <c r="E11" s="164" t="s">
        <v>200</v>
      </c>
      <c r="F11" s="12"/>
      <c r="G11" s="244"/>
      <c r="H11" s="446"/>
      <c r="I11" s="469" t="s">
        <v>7</v>
      </c>
      <c r="J11" s="164" t="s">
        <v>200</v>
      </c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 ht="15" customHeight="1" x14ac:dyDescent="0.45">
      <c r="A12" s="160"/>
      <c r="B12" s="244"/>
      <c r="C12" s="474"/>
      <c r="D12" s="321"/>
      <c r="E12" s="165" t="s">
        <v>201</v>
      </c>
      <c r="F12" s="12"/>
      <c r="G12" s="244"/>
      <c r="H12" s="474"/>
      <c r="I12" s="321"/>
      <c r="J12" s="165" t="s">
        <v>201</v>
      </c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ht="45" customHeight="1" x14ac:dyDescent="0.45">
      <c r="A13" s="69"/>
      <c r="B13" s="130" t="s">
        <v>440</v>
      </c>
      <c r="C13" s="475"/>
      <c r="D13" s="228"/>
      <c r="E13" s="240"/>
      <c r="F13" s="167"/>
      <c r="G13" s="130" t="s">
        <v>440</v>
      </c>
      <c r="H13" s="475"/>
      <c r="I13" s="228"/>
      <c r="J13" s="240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ht="29.25" customHeight="1" x14ac:dyDescent="0.45">
      <c r="A14" s="69"/>
      <c r="B14" s="183" t="s">
        <v>295</v>
      </c>
      <c r="C14" s="475"/>
      <c r="D14" s="228"/>
      <c r="E14" s="240"/>
      <c r="F14" s="167"/>
      <c r="G14" s="183" t="s">
        <v>295</v>
      </c>
      <c r="H14" s="475"/>
      <c r="I14" s="228"/>
      <c r="J14" s="240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 ht="33" customHeight="1" x14ac:dyDescent="0.45">
      <c r="A15" s="69"/>
      <c r="B15" s="130" t="s">
        <v>446</v>
      </c>
      <c r="C15" s="184"/>
      <c r="D15" s="183" t="s">
        <v>450</v>
      </c>
      <c r="E15" s="184"/>
      <c r="F15" s="167"/>
      <c r="G15" s="130" t="s">
        <v>446</v>
      </c>
      <c r="H15" s="184"/>
      <c r="I15" s="183" t="s">
        <v>450</v>
      </c>
      <c r="J15" s="184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32.25" customHeight="1" x14ac:dyDescent="0.45">
      <c r="A16" s="69"/>
      <c r="B16" s="130" t="s">
        <v>451</v>
      </c>
      <c r="C16" s="475"/>
      <c r="D16" s="228"/>
      <c r="E16" s="240"/>
      <c r="F16" s="172"/>
      <c r="G16" s="130" t="s">
        <v>451</v>
      </c>
      <c r="H16" s="475"/>
      <c r="I16" s="228"/>
      <c r="J16" s="240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30" customHeight="1" x14ac:dyDescent="0.45">
      <c r="A17" s="69"/>
      <c r="B17" s="445" t="s">
        <v>452</v>
      </c>
      <c r="C17" s="476"/>
      <c r="D17" s="201"/>
      <c r="E17" s="217"/>
      <c r="F17" s="172"/>
      <c r="G17" s="445" t="s">
        <v>452</v>
      </c>
      <c r="H17" s="476"/>
      <c r="I17" s="201"/>
      <c r="J17" s="217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9.75" customHeight="1" x14ac:dyDescent="0.45">
      <c r="A18" s="69"/>
      <c r="B18" s="446"/>
      <c r="C18" s="244"/>
      <c r="D18" s="203"/>
      <c r="E18" s="238"/>
      <c r="F18" s="172"/>
      <c r="G18" s="446"/>
      <c r="H18" s="244"/>
      <c r="I18" s="203"/>
      <c r="J18" s="238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15" customHeight="1" x14ac:dyDescent="0.45">
      <c r="A19" s="69"/>
      <c r="B19" s="446"/>
      <c r="C19" s="244"/>
      <c r="D19" s="203"/>
      <c r="E19" s="238"/>
      <c r="F19" s="172"/>
      <c r="G19" s="446"/>
      <c r="H19" s="244"/>
      <c r="I19" s="203"/>
      <c r="J19" s="238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13.5" customHeight="1" x14ac:dyDescent="0.45">
      <c r="A20" s="69"/>
      <c r="B20" s="447"/>
      <c r="C20" s="218"/>
      <c r="D20" s="198"/>
      <c r="E20" s="199"/>
      <c r="F20" s="172"/>
      <c r="G20" s="447"/>
      <c r="H20" s="218"/>
      <c r="I20" s="198"/>
      <c r="J20" s="19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15.75" customHeight="1" x14ac:dyDescent="0.45">
      <c r="A21" s="69"/>
      <c r="B21" s="445" t="s">
        <v>396</v>
      </c>
      <c r="C21" s="477"/>
      <c r="D21" s="478" t="s">
        <v>453</v>
      </c>
      <c r="E21" s="477"/>
      <c r="F21" s="172"/>
      <c r="G21" s="445" t="s">
        <v>396</v>
      </c>
      <c r="H21" s="477"/>
      <c r="I21" s="478" t="s">
        <v>453</v>
      </c>
      <c r="J21" s="477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15" customHeight="1" x14ac:dyDescent="0.45">
      <c r="A22" s="69"/>
      <c r="B22" s="446"/>
      <c r="C22" s="446"/>
      <c r="D22" s="238"/>
      <c r="E22" s="447"/>
      <c r="F22" s="167"/>
      <c r="G22" s="446"/>
      <c r="H22" s="446"/>
      <c r="I22" s="238"/>
      <c r="J22" s="447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15.75" customHeight="1" x14ac:dyDescent="0.45">
      <c r="A23" s="69"/>
      <c r="B23" s="446"/>
      <c r="C23" s="446"/>
      <c r="D23" s="445" t="s">
        <v>180</v>
      </c>
      <c r="E23" s="477"/>
      <c r="F23" s="167"/>
      <c r="G23" s="446"/>
      <c r="H23" s="446"/>
      <c r="I23" s="445" t="s">
        <v>180</v>
      </c>
      <c r="J23" s="477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15.75" customHeight="1" x14ac:dyDescent="0.45">
      <c r="A24" s="69"/>
      <c r="B24" s="447"/>
      <c r="C24" s="447"/>
      <c r="D24" s="447"/>
      <c r="E24" s="447"/>
      <c r="F24" s="167"/>
      <c r="G24" s="447"/>
      <c r="H24" s="447"/>
      <c r="I24" s="447"/>
      <c r="J24" s="447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15.75" customHeight="1" x14ac:dyDescent="0.45">
      <c r="A25" s="69"/>
      <c r="B25" s="12"/>
      <c r="C25" s="12"/>
      <c r="D25" s="12"/>
      <c r="E25" s="12"/>
      <c r="F25" s="12"/>
      <c r="G25" s="12"/>
      <c r="H25" s="12"/>
      <c r="I25" s="12"/>
      <c r="J25" s="12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18" customHeight="1" x14ac:dyDescent="0.45">
      <c r="A26" s="69"/>
      <c r="B26" s="466"/>
      <c r="C26" s="445" t="s">
        <v>0</v>
      </c>
      <c r="D26" s="131" t="s">
        <v>1</v>
      </c>
      <c r="E26" s="131" t="s">
        <v>448</v>
      </c>
      <c r="F26" s="12"/>
      <c r="G26" s="466"/>
      <c r="H26" s="445" t="s">
        <v>0</v>
      </c>
      <c r="I26" s="131" t="s">
        <v>1</v>
      </c>
      <c r="J26" s="131" t="s">
        <v>448</v>
      </c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18.75" customHeight="1" x14ac:dyDescent="0.45">
      <c r="A27" s="69"/>
      <c r="B27" s="244"/>
      <c r="C27" s="446"/>
      <c r="D27" s="132" t="s">
        <v>3</v>
      </c>
      <c r="E27" s="163">
        <v>1</v>
      </c>
      <c r="F27" s="12"/>
      <c r="G27" s="244"/>
      <c r="H27" s="446"/>
      <c r="I27" s="132" t="s">
        <v>3</v>
      </c>
      <c r="J27" s="163">
        <v>1</v>
      </c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17.25" customHeight="1" x14ac:dyDescent="0.45">
      <c r="A28" s="69"/>
      <c r="B28" s="244"/>
      <c r="C28" s="445" t="s">
        <v>449</v>
      </c>
      <c r="D28" s="182" t="s">
        <v>5</v>
      </c>
      <c r="E28" s="131" t="s">
        <v>6</v>
      </c>
      <c r="F28" s="12"/>
      <c r="G28" s="244"/>
      <c r="H28" s="445" t="s">
        <v>449</v>
      </c>
      <c r="I28" s="182" t="s">
        <v>5</v>
      </c>
      <c r="J28" s="131" t="s">
        <v>6</v>
      </c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17.25" customHeight="1" x14ac:dyDescent="0.45">
      <c r="A29" s="69"/>
      <c r="B29" s="244"/>
      <c r="C29" s="446"/>
      <c r="D29" s="469" t="s">
        <v>7</v>
      </c>
      <c r="E29" s="164" t="s">
        <v>200</v>
      </c>
      <c r="F29" s="12"/>
      <c r="G29" s="244"/>
      <c r="H29" s="446"/>
      <c r="I29" s="469" t="s">
        <v>7</v>
      </c>
      <c r="J29" s="164" t="s">
        <v>200</v>
      </c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15.75" customHeight="1" x14ac:dyDescent="0.45">
      <c r="A30" s="69"/>
      <c r="B30" s="244"/>
      <c r="C30" s="474"/>
      <c r="D30" s="321"/>
      <c r="E30" s="165" t="s">
        <v>201</v>
      </c>
      <c r="F30" s="12"/>
      <c r="G30" s="244"/>
      <c r="H30" s="474"/>
      <c r="I30" s="321"/>
      <c r="J30" s="165" t="s">
        <v>201</v>
      </c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43.5" customHeight="1" x14ac:dyDescent="0.45">
      <c r="A31" s="69"/>
      <c r="B31" s="130" t="s">
        <v>440</v>
      </c>
      <c r="C31" s="475"/>
      <c r="D31" s="228"/>
      <c r="E31" s="240"/>
      <c r="F31" s="167"/>
      <c r="G31" s="130" t="s">
        <v>440</v>
      </c>
      <c r="H31" s="475"/>
      <c r="I31" s="228"/>
      <c r="J31" s="240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30" customHeight="1" x14ac:dyDescent="0.45">
      <c r="A32" s="69"/>
      <c r="B32" s="183" t="s">
        <v>295</v>
      </c>
      <c r="C32" s="475"/>
      <c r="D32" s="228"/>
      <c r="E32" s="240"/>
      <c r="F32" s="167"/>
      <c r="G32" s="183" t="s">
        <v>295</v>
      </c>
      <c r="H32" s="475"/>
      <c r="I32" s="228"/>
      <c r="J32" s="240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36" customHeight="1" x14ac:dyDescent="0.45">
      <c r="A33" s="69"/>
      <c r="B33" s="130" t="s">
        <v>446</v>
      </c>
      <c r="C33" s="184"/>
      <c r="D33" s="183" t="s">
        <v>450</v>
      </c>
      <c r="E33" s="184"/>
      <c r="F33" s="167"/>
      <c r="G33" s="130" t="s">
        <v>446</v>
      </c>
      <c r="H33" s="184"/>
      <c r="I33" s="183" t="s">
        <v>450</v>
      </c>
      <c r="J33" s="184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42.75" customHeight="1" x14ac:dyDescent="0.45">
      <c r="A34" s="69"/>
      <c r="B34" s="130" t="s">
        <v>451</v>
      </c>
      <c r="C34" s="475"/>
      <c r="D34" s="228"/>
      <c r="E34" s="240"/>
      <c r="F34" s="172"/>
      <c r="G34" s="130" t="s">
        <v>451</v>
      </c>
      <c r="H34" s="475"/>
      <c r="I34" s="228"/>
      <c r="J34" s="240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12" customHeight="1" x14ac:dyDescent="0.45">
      <c r="A35" s="69"/>
      <c r="B35" s="445" t="s">
        <v>452</v>
      </c>
      <c r="C35" s="476"/>
      <c r="D35" s="201"/>
      <c r="E35" s="217"/>
      <c r="F35" s="172"/>
      <c r="G35" s="445" t="s">
        <v>452</v>
      </c>
      <c r="H35" s="476"/>
      <c r="I35" s="201"/>
      <c r="J35" s="217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12" customHeight="1" x14ac:dyDescent="0.45">
      <c r="A36" s="69"/>
      <c r="B36" s="446"/>
      <c r="C36" s="244"/>
      <c r="D36" s="203"/>
      <c r="E36" s="238"/>
      <c r="F36" s="172"/>
      <c r="G36" s="446"/>
      <c r="H36" s="244"/>
      <c r="I36" s="203"/>
      <c r="J36" s="238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9" customHeight="1" x14ac:dyDescent="0.45">
      <c r="A37" s="69"/>
      <c r="B37" s="446"/>
      <c r="C37" s="244"/>
      <c r="D37" s="203"/>
      <c r="E37" s="238"/>
      <c r="F37" s="172"/>
      <c r="G37" s="446"/>
      <c r="H37" s="244"/>
      <c r="I37" s="203"/>
      <c r="J37" s="238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24" customHeight="1" x14ac:dyDescent="0.45">
      <c r="A38" s="69"/>
      <c r="B38" s="447"/>
      <c r="C38" s="218"/>
      <c r="D38" s="198"/>
      <c r="E38" s="199"/>
      <c r="F38" s="172"/>
      <c r="G38" s="447"/>
      <c r="H38" s="218"/>
      <c r="I38" s="198"/>
      <c r="J38" s="19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5.75" customHeight="1" x14ac:dyDescent="0.45">
      <c r="A39" s="69"/>
      <c r="B39" s="445" t="s">
        <v>396</v>
      </c>
      <c r="C39" s="477"/>
      <c r="D39" s="478" t="s">
        <v>453</v>
      </c>
      <c r="E39" s="477"/>
      <c r="F39" s="172"/>
      <c r="G39" s="445" t="s">
        <v>396</v>
      </c>
      <c r="H39" s="477"/>
      <c r="I39" s="478" t="s">
        <v>453</v>
      </c>
      <c r="J39" s="477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5.75" customHeight="1" x14ac:dyDescent="0.45">
      <c r="A40" s="69"/>
      <c r="B40" s="446"/>
      <c r="C40" s="446"/>
      <c r="D40" s="238"/>
      <c r="E40" s="447"/>
      <c r="F40" s="167"/>
      <c r="G40" s="446"/>
      <c r="H40" s="446"/>
      <c r="I40" s="238"/>
      <c r="J40" s="447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5.75" customHeight="1" x14ac:dyDescent="0.45">
      <c r="A41" s="69"/>
      <c r="B41" s="446"/>
      <c r="C41" s="446"/>
      <c r="D41" s="445" t="s">
        <v>180</v>
      </c>
      <c r="E41" s="477"/>
      <c r="F41" s="167"/>
      <c r="G41" s="446"/>
      <c r="H41" s="446"/>
      <c r="I41" s="445" t="s">
        <v>180</v>
      </c>
      <c r="J41" s="477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5.75" customHeight="1" x14ac:dyDescent="0.45">
      <c r="A42" s="69"/>
      <c r="B42" s="447"/>
      <c r="C42" s="447"/>
      <c r="D42" s="447"/>
      <c r="E42" s="447"/>
      <c r="F42" s="167"/>
      <c r="G42" s="447"/>
      <c r="H42" s="447"/>
      <c r="I42" s="447"/>
      <c r="J42" s="447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5.75" customHeight="1" x14ac:dyDescent="0.45">
      <c r="A43" s="69"/>
      <c r="B43" s="12"/>
      <c r="C43" s="12"/>
      <c r="D43" s="12"/>
      <c r="E43" s="12"/>
      <c r="F43" s="12"/>
      <c r="G43" s="12"/>
      <c r="H43" s="12"/>
      <c r="I43" s="12"/>
      <c r="J43" s="12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5" customHeight="1" x14ac:dyDescent="0.45">
      <c r="A44" s="69"/>
      <c r="B44" s="466"/>
      <c r="C44" s="445" t="s">
        <v>0</v>
      </c>
      <c r="D44" s="131" t="s">
        <v>1</v>
      </c>
      <c r="E44" s="131" t="s">
        <v>448</v>
      </c>
      <c r="F44" s="12"/>
      <c r="G44" s="466"/>
      <c r="H44" s="445" t="s">
        <v>0</v>
      </c>
      <c r="I44" s="131" t="s">
        <v>1</v>
      </c>
      <c r="J44" s="131" t="s">
        <v>448</v>
      </c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5.75" customHeight="1" x14ac:dyDescent="0.45">
      <c r="A45" s="69"/>
      <c r="B45" s="244"/>
      <c r="C45" s="446"/>
      <c r="D45" s="132" t="s">
        <v>3</v>
      </c>
      <c r="E45" s="163">
        <v>1</v>
      </c>
      <c r="F45" s="12"/>
      <c r="G45" s="244"/>
      <c r="H45" s="446"/>
      <c r="I45" s="132" t="s">
        <v>3</v>
      </c>
      <c r="J45" s="163">
        <v>1</v>
      </c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5.75" customHeight="1" x14ac:dyDescent="0.45">
      <c r="A46" s="69"/>
      <c r="B46" s="244"/>
      <c r="C46" s="445" t="s">
        <v>449</v>
      </c>
      <c r="D46" s="182" t="s">
        <v>5</v>
      </c>
      <c r="E46" s="131" t="s">
        <v>6</v>
      </c>
      <c r="F46" s="12"/>
      <c r="G46" s="244"/>
      <c r="H46" s="445" t="s">
        <v>449</v>
      </c>
      <c r="I46" s="182" t="s">
        <v>5</v>
      </c>
      <c r="J46" s="131" t="s">
        <v>6</v>
      </c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21" customHeight="1" x14ac:dyDescent="0.45">
      <c r="A47" s="69"/>
      <c r="B47" s="244"/>
      <c r="C47" s="446"/>
      <c r="D47" s="469" t="s">
        <v>7</v>
      </c>
      <c r="E47" s="164" t="s">
        <v>200</v>
      </c>
      <c r="F47" s="12"/>
      <c r="G47" s="244"/>
      <c r="H47" s="446"/>
      <c r="I47" s="469" t="s">
        <v>7</v>
      </c>
      <c r="J47" s="164" t="s">
        <v>200</v>
      </c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8.75" customHeight="1" x14ac:dyDescent="0.45">
      <c r="A48" s="69"/>
      <c r="B48" s="244"/>
      <c r="C48" s="474"/>
      <c r="D48" s="321"/>
      <c r="E48" s="165" t="s">
        <v>201</v>
      </c>
      <c r="F48" s="12"/>
      <c r="G48" s="244"/>
      <c r="H48" s="474"/>
      <c r="I48" s="321"/>
      <c r="J48" s="165" t="s">
        <v>201</v>
      </c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46.5" customHeight="1" x14ac:dyDescent="0.45">
      <c r="A49" s="69"/>
      <c r="B49" s="130" t="s">
        <v>440</v>
      </c>
      <c r="C49" s="475"/>
      <c r="D49" s="228"/>
      <c r="E49" s="240"/>
      <c r="F49" s="167"/>
      <c r="G49" s="130" t="s">
        <v>440</v>
      </c>
      <c r="H49" s="475"/>
      <c r="I49" s="228"/>
      <c r="J49" s="240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29.25" customHeight="1" x14ac:dyDescent="0.45">
      <c r="A50" s="69"/>
      <c r="B50" s="183" t="s">
        <v>295</v>
      </c>
      <c r="C50" s="475"/>
      <c r="D50" s="228"/>
      <c r="E50" s="240"/>
      <c r="F50" s="167"/>
      <c r="G50" s="183" t="s">
        <v>295</v>
      </c>
      <c r="H50" s="475"/>
      <c r="I50" s="228"/>
      <c r="J50" s="240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34.5" customHeight="1" x14ac:dyDescent="0.45">
      <c r="A51" s="69"/>
      <c r="B51" s="130" t="s">
        <v>446</v>
      </c>
      <c r="C51" s="184"/>
      <c r="D51" s="183" t="s">
        <v>450</v>
      </c>
      <c r="E51" s="184"/>
      <c r="F51" s="167"/>
      <c r="G51" s="130" t="s">
        <v>446</v>
      </c>
      <c r="H51" s="184"/>
      <c r="I51" s="183" t="s">
        <v>450</v>
      </c>
      <c r="J51" s="184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38.25" customHeight="1" x14ac:dyDescent="0.45">
      <c r="A52" s="69"/>
      <c r="B52" s="130" t="s">
        <v>451</v>
      </c>
      <c r="C52" s="475"/>
      <c r="D52" s="228"/>
      <c r="E52" s="240"/>
      <c r="F52" s="172"/>
      <c r="G52" s="130" t="s">
        <v>451</v>
      </c>
      <c r="H52" s="475"/>
      <c r="I52" s="228"/>
      <c r="J52" s="240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8.75" customHeight="1" x14ac:dyDescent="0.45">
      <c r="A53" s="69"/>
      <c r="B53" s="445" t="s">
        <v>452</v>
      </c>
      <c r="C53" s="476"/>
      <c r="D53" s="201"/>
      <c r="E53" s="217"/>
      <c r="F53" s="172"/>
      <c r="G53" s="445" t="s">
        <v>452</v>
      </c>
      <c r="H53" s="476"/>
      <c r="I53" s="201"/>
      <c r="J53" s="217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6.5" customHeight="1" x14ac:dyDescent="0.45">
      <c r="A54" s="69"/>
      <c r="B54" s="446"/>
      <c r="C54" s="244"/>
      <c r="D54" s="203"/>
      <c r="E54" s="238"/>
      <c r="F54" s="172"/>
      <c r="G54" s="446"/>
      <c r="H54" s="244"/>
      <c r="I54" s="203"/>
      <c r="J54" s="238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9.75" customHeight="1" x14ac:dyDescent="0.45">
      <c r="A55" s="69"/>
      <c r="B55" s="446"/>
      <c r="C55" s="244"/>
      <c r="D55" s="203"/>
      <c r="E55" s="238"/>
      <c r="F55" s="172"/>
      <c r="G55" s="446"/>
      <c r="H55" s="244"/>
      <c r="I55" s="203"/>
      <c r="J55" s="238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3.5" customHeight="1" x14ac:dyDescent="0.45">
      <c r="A56" s="69"/>
      <c r="B56" s="447"/>
      <c r="C56" s="218"/>
      <c r="D56" s="198"/>
      <c r="E56" s="199"/>
      <c r="F56" s="172"/>
      <c r="G56" s="447"/>
      <c r="H56" s="218"/>
      <c r="I56" s="198"/>
      <c r="J56" s="19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5.75" customHeight="1" x14ac:dyDescent="0.45">
      <c r="A57" s="69"/>
      <c r="B57" s="445" t="s">
        <v>396</v>
      </c>
      <c r="C57" s="477"/>
      <c r="D57" s="478" t="s">
        <v>453</v>
      </c>
      <c r="E57" s="477"/>
      <c r="F57" s="172"/>
      <c r="G57" s="445" t="s">
        <v>396</v>
      </c>
      <c r="H57" s="477"/>
      <c r="I57" s="478" t="s">
        <v>453</v>
      </c>
      <c r="J57" s="477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5.75" customHeight="1" x14ac:dyDescent="0.45">
      <c r="A58" s="69"/>
      <c r="B58" s="446"/>
      <c r="C58" s="446"/>
      <c r="D58" s="238"/>
      <c r="E58" s="447"/>
      <c r="F58" s="167"/>
      <c r="G58" s="446"/>
      <c r="H58" s="446"/>
      <c r="I58" s="238"/>
      <c r="J58" s="447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5.75" customHeight="1" x14ac:dyDescent="0.45">
      <c r="A59" s="69"/>
      <c r="B59" s="446"/>
      <c r="C59" s="446"/>
      <c r="D59" s="445" t="s">
        <v>180</v>
      </c>
      <c r="E59" s="477"/>
      <c r="F59" s="167"/>
      <c r="G59" s="446"/>
      <c r="H59" s="446"/>
      <c r="I59" s="445" t="s">
        <v>180</v>
      </c>
      <c r="J59" s="477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5.75" customHeight="1" x14ac:dyDescent="0.45">
      <c r="A60" s="69"/>
      <c r="B60" s="447"/>
      <c r="C60" s="447"/>
      <c r="D60" s="447"/>
      <c r="E60" s="447"/>
      <c r="F60" s="167"/>
      <c r="G60" s="447"/>
      <c r="H60" s="447"/>
      <c r="I60" s="447"/>
      <c r="J60" s="447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5.75" customHeight="1" x14ac:dyDescent="0.45">
      <c r="A61" s="69"/>
      <c r="B61" s="12"/>
      <c r="C61" s="12"/>
      <c r="D61" s="12"/>
      <c r="E61" s="12"/>
      <c r="F61" s="12"/>
      <c r="G61" s="12"/>
      <c r="H61" s="12"/>
      <c r="I61" s="12"/>
      <c r="J61" s="12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21" customHeight="1" x14ac:dyDescent="0.45">
      <c r="A62" s="69"/>
      <c r="B62" s="466"/>
      <c r="C62" s="445" t="s">
        <v>0</v>
      </c>
      <c r="D62" s="131" t="s">
        <v>1</v>
      </c>
      <c r="E62" s="131" t="s">
        <v>448</v>
      </c>
      <c r="F62" s="12"/>
      <c r="G62" s="466"/>
      <c r="H62" s="445" t="s">
        <v>0</v>
      </c>
      <c r="I62" s="131" t="s">
        <v>1</v>
      </c>
      <c r="J62" s="131" t="s">
        <v>448</v>
      </c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21" customHeight="1" x14ac:dyDescent="0.45">
      <c r="A63" s="69"/>
      <c r="B63" s="244"/>
      <c r="C63" s="446"/>
      <c r="D63" s="132" t="s">
        <v>3</v>
      </c>
      <c r="E63" s="163">
        <v>1</v>
      </c>
      <c r="F63" s="12"/>
      <c r="G63" s="244"/>
      <c r="H63" s="446"/>
      <c r="I63" s="132" t="s">
        <v>3</v>
      </c>
      <c r="J63" s="163">
        <v>1</v>
      </c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21" customHeight="1" x14ac:dyDescent="0.45">
      <c r="A64" s="69"/>
      <c r="B64" s="244"/>
      <c r="C64" s="445" t="s">
        <v>449</v>
      </c>
      <c r="D64" s="182" t="s">
        <v>5</v>
      </c>
      <c r="E64" s="131" t="s">
        <v>6</v>
      </c>
      <c r="F64" s="12"/>
      <c r="G64" s="244"/>
      <c r="H64" s="445" t="s">
        <v>449</v>
      </c>
      <c r="I64" s="182" t="s">
        <v>5</v>
      </c>
      <c r="J64" s="131" t="s">
        <v>6</v>
      </c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22.5" customHeight="1" x14ac:dyDescent="0.45">
      <c r="A65" s="69"/>
      <c r="B65" s="244"/>
      <c r="C65" s="446"/>
      <c r="D65" s="469" t="s">
        <v>7</v>
      </c>
      <c r="E65" s="164" t="s">
        <v>200</v>
      </c>
      <c r="F65" s="12"/>
      <c r="G65" s="244"/>
      <c r="H65" s="446"/>
      <c r="I65" s="469" t="s">
        <v>7</v>
      </c>
      <c r="J65" s="164" t="s">
        <v>200</v>
      </c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8.75" customHeight="1" x14ac:dyDescent="0.45">
      <c r="A66" s="69"/>
      <c r="B66" s="244"/>
      <c r="C66" s="474"/>
      <c r="D66" s="321"/>
      <c r="E66" s="165" t="s">
        <v>201</v>
      </c>
      <c r="F66" s="12"/>
      <c r="G66" s="244"/>
      <c r="H66" s="474"/>
      <c r="I66" s="321"/>
      <c r="J66" s="165" t="s">
        <v>201</v>
      </c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45" customHeight="1" x14ac:dyDescent="0.45">
      <c r="A67" s="69"/>
      <c r="B67" s="130" t="s">
        <v>440</v>
      </c>
      <c r="C67" s="475"/>
      <c r="D67" s="228"/>
      <c r="E67" s="240"/>
      <c r="F67" s="167"/>
      <c r="G67" s="130" t="s">
        <v>440</v>
      </c>
      <c r="H67" s="475"/>
      <c r="I67" s="228"/>
      <c r="J67" s="240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30" customHeight="1" x14ac:dyDescent="0.45">
      <c r="A68" s="69"/>
      <c r="B68" s="183" t="s">
        <v>295</v>
      </c>
      <c r="C68" s="475"/>
      <c r="D68" s="228"/>
      <c r="E68" s="240"/>
      <c r="F68" s="167"/>
      <c r="G68" s="183" t="s">
        <v>295</v>
      </c>
      <c r="H68" s="475"/>
      <c r="I68" s="228"/>
      <c r="J68" s="240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45" customHeight="1" x14ac:dyDescent="0.45">
      <c r="A69" s="69"/>
      <c r="B69" s="130" t="s">
        <v>446</v>
      </c>
      <c r="C69" s="184"/>
      <c r="D69" s="183" t="s">
        <v>450</v>
      </c>
      <c r="E69" s="184"/>
      <c r="F69" s="167"/>
      <c r="G69" s="130" t="s">
        <v>446</v>
      </c>
      <c r="H69" s="184"/>
      <c r="I69" s="183" t="s">
        <v>450</v>
      </c>
      <c r="J69" s="184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36" customHeight="1" x14ac:dyDescent="0.45">
      <c r="A70" s="69"/>
      <c r="B70" s="130" t="s">
        <v>451</v>
      </c>
      <c r="C70" s="475"/>
      <c r="D70" s="228"/>
      <c r="E70" s="240"/>
      <c r="F70" s="172"/>
      <c r="G70" s="130" t="s">
        <v>451</v>
      </c>
      <c r="H70" s="475"/>
      <c r="I70" s="228"/>
      <c r="J70" s="240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2" customHeight="1" x14ac:dyDescent="0.45">
      <c r="A71" s="69"/>
      <c r="B71" s="445" t="s">
        <v>452</v>
      </c>
      <c r="C71" s="476"/>
      <c r="D71" s="201"/>
      <c r="E71" s="217"/>
      <c r="F71" s="172"/>
      <c r="G71" s="445" t="s">
        <v>452</v>
      </c>
      <c r="H71" s="476"/>
      <c r="I71" s="201"/>
      <c r="J71" s="217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3" customHeight="1" x14ac:dyDescent="0.45">
      <c r="A72" s="69"/>
      <c r="B72" s="446"/>
      <c r="C72" s="244"/>
      <c r="D72" s="203"/>
      <c r="E72" s="238"/>
      <c r="F72" s="172"/>
      <c r="G72" s="446"/>
      <c r="H72" s="244"/>
      <c r="I72" s="203"/>
      <c r="J72" s="238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6.5" customHeight="1" x14ac:dyDescent="0.45">
      <c r="A73" s="69"/>
      <c r="B73" s="446"/>
      <c r="C73" s="244"/>
      <c r="D73" s="203"/>
      <c r="E73" s="238"/>
      <c r="F73" s="172"/>
      <c r="G73" s="446"/>
      <c r="H73" s="244"/>
      <c r="I73" s="203"/>
      <c r="J73" s="238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25.5" customHeight="1" x14ac:dyDescent="0.45">
      <c r="A74" s="69"/>
      <c r="B74" s="447"/>
      <c r="C74" s="218"/>
      <c r="D74" s="198"/>
      <c r="E74" s="199"/>
      <c r="F74" s="172"/>
      <c r="G74" s="447"/>
      <c r="H74" s="218"/>
      <c r="I74" s="198"/>
      <c r="J74" s="19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5.75" customHeight="1" x14ac:dyDescent="0.45">
      <c r="A75" s="69"/>
      <c r="B75" s="445" t="s">
        <v>396</v>
      </c>
      <c r="C75" s="477"/>
      <c r="D75" s="478" t="s">
        <v>453</v>
      </c>
      <c r="E75" s="477"/>
      <c r="F75" s="172"/>
      <c r="G75" s="445" t="s">
        <v>396</v>
      </c>
      <c r="H75" s="477"/>
      <c r="I75" s="478" t="s">
        <v>453</v>
      </c>
      <c r="J75" s="477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5.75" customHeight="1" x14ac:dyDescent="0.45">
      <c r="A76" s="69"/>
      <c r="B76" s="446"/>
      <c r="C76" s="446"/>
      <c r="D76" s="238"/>
      <c r="E76" s="447"/>
      <c r="F76" s="167"/>
      <c r="G76" s="446"/>
      <c r="H76" s="446"/>
      <c r="I76" s="238"/>
      <c r="J76" s="447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5.75" customHeight="1" x14ac:dyDescent="0.45">
      <c r="A77" s="69"/>
      <c r="B77" s="446"/>
      <c r="C77" s="446"/>
      <c r="D77" s="445" t="s">
        <v>180</v>
      </c>
      <c r="E77" s="477"/>
      <c r="F77" s="167"/>
      <c r="G77" s="446"/>
      <c r="H77" s="446"/>
      <c r="I77" s="445" t="s">
        <v>180</v>
      </c>
      <c r="J77" s="477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5.75" customHeight="1" x14ac:dyDescent="0.45">
      <c r="A78" s="69"/>
      <c r="B78" s="447"/>
      <c r="C78" s="447"/>
      <c r="D78" s="447"/>
      <c r="E78" s="447"/>
      <c r="F78" s="167"/>
      <c r="G78" s="447"/>
      <c r="H78" s="447"/>
      <c r="I78" s="447"/>
      <c r="J78" s="447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5.75" customHeight="1" x14ac:dyDescent="0.45">
      <c r="A79" s="69"/>
      <c r="B79" s="12"/>
      <c r="C79" s="12"/>
      <c r="D79" s="12"/>
      <c r="E79" s="12"/>
      <c r="F79" s="12"/>
      <c r="G79" s="12"/>
      <c r="H79" s="12"/>
      <c r="I79" s="12"/>
      <c r="J79" s="12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5.75" customHeight="1" x14ac:dyDescent="0.45">
      <c r="A80" s="69"/>
      <c r="B80" s="12"/>
      <c r="C80" s="12"/>
      <c r="D80" s="12"/>
      <c r="E80" s="12"/>
      <c r="F80" s="12"/>
      <c r="G80" s="12"/>
      <c r="H80" s="12"/>
      <c r="I80" s="12"/>
      <c r="J80" s="12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5.75" customHeight="1" x14ac:dyDescent="0.45">
      <c r="A81" s="69"/>
      <c r="B81" s="12"/>
      <c r="C81" s="12"/>
      <c r="D81" s="12"/>
      <c r="E81" s="12"/>
      <c r="F81" s="12"/>
      <c r="G81" s="12"/>
      <c r="H81" s="12"/>
      <c r="I81" s="12"/>
      <c r="J81" s="12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5.75" customHeight="1" x14ac:dyDescent="0.45">
      <c r="A82" s="69"/>
      <c r="B82" s="12"/>
      <c r="C82" s="12"/>
      <c r="D82" s="12"/>
      <c r="E82" s="12"/>
      <c r="F82" s="12"/>
      <c r="G82" s="12"/>
      <c r="H82" s="12"/>
      <c r="I82" s="12"/>
      <c r="J82" s="12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5.75" customHeight="1" x14ac:dyDescent="0.45">
      <c r="A83" s="69"/>
      <c r="B83" s="12"/>
      <c r="C83" s="12"/>
      <c r="D83" s="12"/>
      <c r="E83" s="12"/>
      <c r="F83" s="12"/>
      <c r="G83" s="12"/>
      <c r="H83" s="12"/>
      <c r="I83" s="12"/>
      <c r="J83" s="12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5.75" customHeight="1" x14ac:dyDescent="0.45">
      <c r="A84" s="69"/>
      <c r="B84" s="12"/>
      <c r="C84" s="12"/>
      <c r="D84" s="12"/>
      <c r="E84" s="12"/>
      <c r="F84" s="12"/>
      <c r="G84" s="12"/>
      <c r="H84" s="12"/>
      <c r="I84" s="12"/>
      <c r="J84" s="12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5.75" customHeight="1" x14ac:dyDescent="0.45">
      <c r="A85" s="69"/>
      <c r="B85" s="12"/>
      <c r="C85" s="12"/>
      <c r="D85" s="12"/>
      <c r="E85" s="12"/>
      <c r="F85" s="12"/>
      <c r="G85" s="12"/>
      <c r="H85" s="12"/>
      <c r="I85" s="12"/>
      <c r="J85" s="12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5.75" customHeight="1" x14ac:dyDescent="0.45">
      <c r="A86" s="69"/>
      <c r="B86" s="12"/>
      <c r="C86" s="12"/>
      <c r="D86" s="12"/>
      <c r="E86" s="12"/>
      <c r="F86" s="12"/>
      <c r="G86" s="12"/>
      <c r="H86" s="12"/>
      <c r="I86" s="12"/>
      <c r="J86" s="12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5.75" customHeight="1" x14ac:dyDescent="0.45">
      <c r="A87" s="69"/>
      <c r="B87" s="12"/>
      <c r="C87" s="12"/>
      <c r="D87" s="12"/>
      <c r="E87" s="12"/>
      <c r="F87" s="12"/>
      <c r="G87" s="12"/>
      <c r="H87" s="12"/>
      <c r="I87" s="12"/>
      <c r="J87" s="12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5.75" customHeight="1" x14ac:dyDescent="0.45">
      <c r="A88" s="69"/>
      <c r="B88" s="12"/>
      <c r="C88" s="12"/>
      <c r="D88" s="12"/>
      <c r="E88" s="12"/>
      <c r="F88" s="12"/>
      <c r="G88" s="12"/>
      <c r="H88" s="12"/>
      <c r="I88" s="12"/>
      <c r="J88" s="12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5.75" customHeight="1" x14ac:dyDescent="0.45">
      <c r="A89" s="69"/>
      <c r="B89" s="12"/>
      <c r="C89" s="12"/>
      <c r="D89" s="12"/>
      <c r="E89" s="12"/>
      <c r="F89" s="12"/>
      <c r="G89" s="12"/>
      <c r="H89" s="12"/>
      <c r="I89" s="12"/>
      <c r="J89" s="12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5.75" customHeight="1" x14ac:dyDescent="0.45">
      <c r="A90" s="69"/>
      <c r="B90" s="12"/>
      <c r="C90" s="12"/>
      <c r="D90" s="12"/>
      <c r="E90" s="12"/>
      <c r="F90" s="12"/>
      <c r="G90" s="12"/>
      <c r="H90" s="12"/>
      <c r="I90" s="12"/>
      <c r="J90" s="12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5.75" customHeight="1" x14ac:dyDescent="0.45">
      <c r="A91" s="69"/>
      <c r="B91" s="12"/>
      <c r="C91" s="12"/>
      <c r="D91" s="12"/>
      <c r="E91" s="12"/>
      <c r="F91" s="12"/>
      <c r="G91" s="12"/>
      <c r="H91" s="12"/>
      <c r="I91" s="12"/>
      <c r="J91" s="12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5.75" customHeight="1" x14ac:dyDescent="0.45">
      <c r="A92" s="69"/>
      <c r="B92" s="12"/>
      <c r="C92" s="12"/>
      <c r="D92" s="12"/>
      <c r="E92" s="12"/>
      <c r="F92" s="12"/>
      <c r="G92" s="12"/>
      <c r="H92" s="12"/>
      <c r="I92" s="12"/>
      <c r="J92" s="12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5.75" customHeight="1" x14ac:dyDescent="0.45">
      <c r="A93" s="69"/>
      <c r="B93" s="12"/>
      <c r="C93" s="12"/>
      <c r="D93" s="12"/>
      <c r="E93" s="12"/>
      <c r="F93" s="12"/>
      <c r="G93" s="12"/>
      <c r="H93" s="12"/>
      <c r="I93" s="12"/>
      <c r="J93" s="12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5.75" customHeight="1" x14ac:dyDescent="0.45">
      <c r="A94" s="69"/>
      <c r="B94" s="12"/>
      <c r="C94" s="12"/>
      <c r="D94" s="12"/>
      <c r="E94" s="12"/>
      <c r="F94" s="12"/>
      <c r="G94" s="12"/>
      <c r="H94" s="12"/>
      <c r="I94" s="12"/>
      <c r="J94" s="12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5.75" customHeight="1" x14ac:dyDescent="0.45">
      <c r="A95" s="69"/>
      <c r="B95" s="12"/>
      <c r="C95" s="12"/>
      <c r="D95" s="12"/>
      <c r="E95" s="12"/>
      <c r="F95" s="12"/>
      <c r="G95" s="12"/>
      <c r="H95" s="12"/>
      <c r="I95" s="12"/>
      <c r="J95" s="12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5.75" customHeight="1" x14ac:dyDescent="0.45">
      <c r="A96" s="69"/>
      <c r="B96" s="12"/>
      <c r="C96" s="12"/>
      <c r="D96" s="12"/>
      <c r="E96" s="12"/>
      <c r="F96" s="12"/>
      <c r="G96" s="12"/>
      <c r="H96" s="12"/>
      <c r="I96" s="12"/>
      <c r="J96" s="12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5.75" customHeight="1" x14ac:dyDescent="0.45">
      <c r="A97" s="69"/>
      <c r="B97" s="12"/>
      <c r="C97" s="12"/>
      <c r="D97" s="12"/>
      <c r="E97" s="12"/>
      <c r="F97" s="12"/>
      <c r="G97" s="12"/>
      <c r="H97" s="12"/>
      <c r="I97" s="12"/>
      <c r="J97" s="12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5.75" customHeight="1" x14ac:dyDescent="0.45">
      <c r="A98" s="69"/>
      <c r="B98" s="12"/>
      <c r="C98" s="12"/>
      <c r="D98" s="12"/>
      <c r="E98" s="12"/>
      <c r="F98" s="12"/>
      <c r="G98" s="12"/>
      <c r="H98" s="12"/>
      <c r="I98" s="12"/>
      <c r="J98" s="12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5.75" customHeight="1" x14ac:dyDescent="0.45">
      <c r="A99" s="69"/>
      <c r="B99" s="12"/>
      <c r="C99" s="12"/>
      <c r="D99" s="12"/>
      <c r="E99" s="12"/>
      <c r="F99" s="12"/>
      <c r="G99" s="12"/>
      <c r="H99" s="12"/>
      <c r="I99" s="12"/>
      <c r="J99" s="12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5.75" customHeight="1" x14ac:dyDescent="0.45">
      <c r="A100" s="69"/>
      <c r="B100" s="12"/>
      <c r="C100" s="12"/>
      <c r="D100" s="12"/>
      <c r="E100" s="12"/>
      <c r="F100" s="12"/>
      <c r="G100" s="12"/>
      <c r="H100" s="12"/>
      <c r="I100" s="12"/>
      <c r="J100" s="12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5.75" customHeight="1" x14ac:dyDescent="0.45">
      <c r="A101" s="69"/>
      <c r="B101" s="12"/>
      <c r="C101" s="12"/>
      <c r="D101" s="12"/>
      <c r="E101" s="12"/>
      <c r="F101" s="12"/>
      <c r="G101" s="12"/>
      <c r="H101" s="12"/>
      <c r="I101" s="12"/>
      <c r="J101" s="12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5.75" customHeight="1" x14ac:dyDescent="0.45">
      <c r="A102" s="69"/>
      <c r="B102" s="12"/>
      <c r="C102" s="12"/>
      <c r="D102" s="12"/>
      <c r="E102" s="12"/>
      <c r="F102" s="12"/>
      <c r="G102" s="12"/>
      <c r="H102" s="12"/>
      <c r="I102" s="12"/>
      <c r="J102" s="12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5.75" customHeight="1" x14ac:dyDescent="0.45">
      <c r="A103" s="69"/>
      <c r="B103" s="12"/>
      <c r="C103" s="12"/>
      <c r="D103" s="12"/>
      <c r="E103" s="12"/>
      <c r="F103" s="12"/>
      <c r="G103" s="12"/>
      <c r="H103" s="12"/>
      <c r="I103" s="12"/>
      <c r="J103" s="12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5.75" customHeight="1" x14ac:dyDescent="0.45">
      <c r="A104" s="69"/>
      <c r="B104" s="12"/>
      <c r="C104" s="12"/>
      <c r="D104" s="12"/>
      <c r="E104" s="12"/>
      <c r="F104" s="12"/>
      <c r="G104" s="12"/>
      <c r="H104" s="12"/>
      <c r="I104" s="12"/>
      <c r="J104" s="12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5.75" customHeight="1" x14ac:dyDescent="0.45">
      <c r="A105" s="69"/>
      <c r="B105" s="12"/>
      <c r="C105" s="12"/>
      <c r="D105" s="12"/>
      <c r="E105" s="12"/>
      <c r="F105" s="12"/>
      <c r="G105" s="12"/>
      <c r="H105" s="12"/>
      <c r="I105" s="12"/>
      <c r="J105" s="12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5.75" customHeight="1" x14ac:dyDescent="0.45">
      <c r="A106" s="69"/>
      <c r="B106" s="12"/>
      <c r="C106" s="12"/>
      <c r="D106" s="12"/>
      <c r="E106" s="12"/>
      <c r="F106" s="12"/>
      <c r="G106" s="12"/>
      <c r="H106" s="12"/>
      <c r="I106" s="12"/>
      <c r="J106" s="12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5.75" customHeight="1" x14ac:dyDescent="0.45">
      <c r="A107" s="69"/>
      <c r="B107" s="12"/>
      <c r="C107" s="12"/>
      <c r="D107" s="12"/>
      <c r="E107" s="12"/>
      <c r="F107" s="12"/>
      <c r="G107" s="12"/>
      <c r="H107" s="12"/>
      <c r="I107" s="12"/>
      <c r="J107" s="12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5.75" customHeight="1" x14ac:dyDescent="0.45">
      <c r="A108" s="69"/>
      <c r="B108" s="12"/>
      <c r="C108" s="12"/>
      <c r="D108" s="12"/>
      <c r="E108" s="12"/>
      <c r="F108" s="12"/>
      <c r="G108" s="12"/>
      <c r="H108" s="12"/>
      <c r="I108" s="12"/>
      <c r="J108" s="12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5.75" customHeight="1" x14ac:dyDescent="0.45">
      <c r="A109" s="69"/>
      <c r="B109" s="12"/>
      <c r="C109" s="12"/>
      <c r="D109" s="12"/>
      <c r="E109" s="12"/>
      <c r="F109" s="12"/>
      <c r="G109" s="12"/>
      <c r="H109" s="12"/>
      <c r="I109" s="12"/>
      <c r="J109" s="12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5.75" customHeight="1" x14ac:dyDescent="0.45">
      <c r="A110" s="69"/>
      <c r="B110" s="12"/>
      <c r="C110" s="12"/>
      <c r="D110" s="12"/>
      <c r="E110" s="12"/>
      <c r="F110" s="12"/>
      <c r="G110" s="12"/>
      <c r="H110" s="12"/>
      <c r="I110" s="12"/>
      <c r="J110" s="12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5.75" customHeight="1" x14ac:dyDescent="0.45">
      <c r="A111" s="69"/>
      <c r="B111" s="12"/>
      <c r="C111" s="12"/>
      <c r="D111" s="12"/>
      <c r="E111" s="12"/>
      <c r="F111" s="12"/>
      <c r="G111" s="12"/>
      <c r="H111" s="12"/>
      <c r="I111" s="12"/>
      <c r="J111" s="12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5.75" customHeight="1" x14ac:dyDescent="0.45">
      <c r="A112" s="69"/>
      <c r="B112" s="12"/>
      <c r="C112" s="12"/>
      <c r="D112" s="12"/>
      <c r="E112" s="12"/>
      <c r="F112" s="12"/>
      <c r="G112" s="12"/>
      <c r="H112" s="12"/>
      <c r="I112" s="12"/>
      <c r="J112" s="12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5.75" customHeight="1" x14ac:dyDescent="0.45">
      <c r="A113" s="69"/>
      <c r="B113" s="12"/>
      <c r="C113" s="12"/>
      <c r="D113" s="12"/>
      <c r="E113" s="12"/>
      <c r="F113" s="12"/>
      <c r="G113" s="12"/>
      <c r="H113" s="12"/>
      <c r="I113" s="12"/>
      <c r="J113" s="12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5.75" customHeight="1" x14ac:dyDescent="0.45">
      <c r="A114" s="69"/>
      <c r="B114" s="12"/>
      <c r="C114" s="12"/>
      <c r="D114" s="12"/>
      <c r="E114" s="12"/>
      <c r="F114" s="12"/>
      <c r="G114" s="12"/>
      <c r="H114" s="12"/>
      <c r="I114" s="12"/>
      <c r="J114" s="12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5.75" customHeight="1" x14ac:dyDescent="0.45">
      <c r="A115" s="69"/>
      <c r="B115" s="12"/>
      <c r="C115" s="12"/>
      <c r="D115" s="12"/>
      <c r="E115" s="12"/>
      <c r="F115" s="12"/>
      <c r="G115" s="12"/>
      <c r="H115" s="12"/>
      <c r="I115" s="12"/>
      <c r="J115" s="12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5.75" customHeight="1" x14ac:dyDescent="0.45">
      <c r="A116" s="69"/>
      <c r="B116" s="12"/>
      <c r="C116" s="12"/>
      <c r="D116" s="12"/>
      <c r="E116" s="12"/>
      <c r="F116" s="12"/>
      <c r="G116" s="12"/>
      <c r="H116" s="12"/>
      <c r="I116" s="12"/>
      <c r="J116" s="12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5.75" customHeight="1" x14ac:dyDescent="0.45">
      <c r="A117" s="69"/>
      <c r="B117" s="12"/>
      <c r="C117" s="12"/>
      <c r="D117" s="12"/>
      <c r="E117" s="12"/>
      <c r="F117" s="12"/>
      <c r="G117" s="12"/>
      <c r="H117" s="12"/>
      <c r="I117" s="12"/>
      <c r="J117" s="12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5.75" customHeight="1" x14ac:dyDescent="0.45">
      <c r="A118" s="69"/>
      <c r="B118" s="12"/>
      <c r="C118" s="12"/>
      <c r="D118" s="12"/>
      <c r="E118" s="12"/>
      <c r="F118" s="12"/>
      <c r="G118" s="12"/>
      <c r="H118" s="12"/>
      <c r="I118" s="12"/>
      <c r="J118" s="12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5.75" customHeight="1" x14ac:dyDescent="0.45">
      <c r="A119" s="69"/>
      <c r="B119" s="12"/>
      <c r="C119" s="12"/>
      <c r="D119" s="12"/>
      <c r="E119" s="12"/>
      <c r="F119" s="12"/>
      <c r="G119" s="12"/>
      <c r="H119" s="12"/>
      <c r="I119" s="12"/>
      <c r="J119" s="12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5.75" customHeight="1" x14ac:dyDescent="0.45">
      <c r="A120" s="69"/>
      <c r="B120" s="12"/>
      <c r="C120" s="12"/>
      <c r="D120" s="12"/>
      <c r="E120" s="12"/>
      <c r="F120" s="12"/>
      <c r="G120" s="12"/>
      <c r="H120" s="12"/>
      <c r="I120" s="12"/>
      <c r="J120" s="12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5.75" customHeight="1" x14ac:dyDescent="0.45">
      <c r="A121" s="69"/>
      <c r="B121" s="12"/>
      <c r="C121" s="12"/>
      <c r="D121" s="12"/>
      <c r="E121" s="12"/>
      <c r="F121" s="12"/>
      <c r="G121" s="12"/>
      <c r="H121" s="12"/>
      <c r="I121" s="12"/>
      <c r="J121" s="12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5.75" customHeight="1" x14ac:dyDescent="0.45">
      <c r="A122" s="69"/>
      <c r="B122" s="12"/>
      <c r="C122" s="12"/>
      <c r="D122" s="12"/>
      <c r="E122" s="12"/>
      <c r="F122" s="12"/>
      <c r="G122" s="12"/>
      <c r="H122" s="12"/>
      <c r="I122" s="12"/>
      <c r="J122" s="12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5.75" customHeight="1" x14ac:dyDescent="0.45">
      <c r="A123" s="69"/>
      <c r="B123" s="12"/>
      <c r="C123" s="12"/>
      <c r="D123" s="12"/>
      <c r="E123" s="12"/>
      <c r="F123" s="12"/>
      <c r="G123" s="12"/>
      <c r="H123" s="12"/>
      <c r="I123" s="12"/>
      <c r="J123" s="12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5.75" customHeight="1" x14ac:dyDescent="0.45">
      <c r="A124" s="69"/>
      <c r="B124" s="12"/>
      <c r="C124" s="12"/>
      <c r="D124" s="12"/>
      <c r="E124" s="12"/>
      <c r="F124" s="12"/>
      <c r="G124" s="12"/>
      <c r="H124" s="12"/>
      <c r="I124" s="12"/>
      <c r="J124" s="12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5.75" customHeight="1" x14ac:dyDescent="0.45">
      <c r="A125" s="69"/>
      <c r="B125" s="12"/>
      <c r="C125" s="12"/>
      <c r="D125" s="12"/>
      <c r="E125" s="12"/>
      <c r="F125" s="12"/>
      <c r="G125" s="12"/>
      <c r="H125" s="12"/>
      <c r="I125" s="12"/>
      <c r="J125" s="12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5.75" customHeight="1" x14ac:dyDescent="0.45">
      <c r="A126" s="69"/>
      <c r="B126" s="12"/>
      <c r="C126" s="12"/>
      <c r="D126" s="12"/>
      <c r="E126" s="12"/>
      <c r="F126" s="12"/>
      <c r="G126" s="12"/>
      <c r="H126" s="12"/>
      <c r="I126" s="12"/>
      <c r="J126" s="12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5.75" customHeight="1" x14ac:dyDescent="0.45">
      <c r="A127" s="69"/>
      <c r="B127" s="12"/>
      <c r="C127" s="12"/>
      <c r="D127" s="12"/>
      <c r="E127" s="12"/>
      <c r="F127" s="12"/>
      <c r="G127" s="12"/>
      <c r="H127" s="12"/>
      <c r="I127" s="12"/>
      <c r="J127" s="12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5.75" customHeight="1" x14ac:dyDescent="0.45">
      <c r="A128" s="69"/>
      <c r="B128" s="12"/>
      <c r="C128" s="12"/>
      <c r="D128" s="12"/>
      <c r="E128" s="12"/>
      <c r="F128" s="12"/>
      <c r="G128" s="12"/>
      <c r="H128" s="12"/>
      <c r="I128" s="12"/>
      <c r="J128" s="12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5.75" customHeight="1" x14ac:dyDescent="0.45">
      <c r="A129" s="69"/>
      <c r="B129" s="12"/>
      <c r="C129" s="12"/>
      <c r="D129" s="12"/>
      <c r="E129" s="12"/>
      <c r="F129" s="12"/>
      <c r="G129" s="12"/>
      <c r="H129" s="12"/>
      <c r="I129" s="12"/>
      <c r="J129" s="12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5.75" customHeight="1" x14ac:dyDescent="0.45">
      <c r="A130" s="69"/>
      <c r="B130" s="12"/>
      <c r="C130" s="12"/>
      <c r="D130" s="12"/>
      <c r="E130" s="12"/>
      <c r="F130" s="12"/>
      <c r="G130" s="12"/>
      <c r="H130" s="12"/>
      <c r="I130" s="12"/>
      <c r="J130" s="12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5.75" customHeight="1" x14ac:dyDescent="0.45">
      <c r="A131" s="69"/>
      <c r="B131" s="12"/>
      <c r="C131" s="12"/>
      <c r="D131" s="12"/>
      <c r="E131" s="12"/>
      <c r="F131" s="12"/>
      <c r="G131" s="12"/>
      <c r="H131" s="12"/>
      <c r="I131" s="12"/>
      <c r="J131" s="12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5.75" customHeight="1" x14ac:dyDescent="0.45">
      <c r="A132" s="69"/>
      <c r="B132" s="12"/>
      <c r="C132" s="12"/>
      <c r="D132" s="12"/>
      <c r="E132" s="12"/>
      <c r="F132" s="12"/>
      <c r="G132" s="12"/>
      <c r="H132" s="12"/>
      <c r="I132" s="12"/>
      <c r="J132" s="12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5.75" customHeight="1" x14ac:dyDescent="0.45">
      <c r="A133" s="69"/>
      <c r="B133" s="12"/>
      <c r="C133" s="12"/>
      <c r="D133" s="12"/>
      <c r="E133" s="12"/>
      <c r="F133" s="12"/>
      <c r="G133" s="12"/>
      <c r="H133" s="12"/>
      <c r="I133" s="12"/>
      <c r="J133" s="12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5.75" customHeight="1" x14ac:dyDescent="0.45">
      <c r="A134" s="69"/>
      <c r="B134" s="12"/>
      <c r="C134" s="12"/>
      <c r="D134" s="12"/>
      <c r="E134" s="12"/>
      <c r="F134" s="12"/>
      <c r="G134" s="12"/>
      <c r="H134" s="12"/>
      <c r="I134" s="12"/>
      <c r="J134" s="12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5.75" customHeight="1" x14ac:dyDescent="0.45">
      <c r="A135" s="69"/>
      <c r="B135" s="12"/>
      <c r="C135" s="12"/>
      <c r="D135" s="12"/>
      <c r="E135" s="12"/>
      <c r="F135" s="12"/>
      <c r="G135" s="12"/>
      <c r="H135" s="12"/>
      <c r="I135" s="12"/>
      <c r="J135" s="12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15.75" customHeight="1" x14ac:dyDescent="0.45">
      <c r="A136" s="69"/>
      <c r="B136" s="12"/>
      <c r="C136" s="12"/>
      <c r="D136" s="12"/>
      <c r="E136" s="12"/>
      <c r="F136" s="12"/>
      <c r="G136" s="12"/>
      <c r="H136" s="12"/>
      <c r="I136" s="12"/>
      <c r="J136" s="12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15.75" customHeight="1" x14ac:dyDescent="0.45">
      <c r="A137" s="69"/>
      <c r="B137" s="12"/>
      <c r="C137" s="12"/>
      <c r="D137" s="12"/>
      <c r="E137" s="12"/>
      <c r="F137" s="12"/>
      <c r="G137" s="12"/>
      <c r="H137" s="12"/>
      <c r="I137" s="12"/>
      <c r="J137" s="12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15.75" customHeight="1" x14ac:dyDescent="0.45">
      <c r="A138" s="69"/>
      <c r="B138" s="12"/>
      <c r="C138" s="12"/>
      <c r="D138" s="12"/>
      <c r="E138" s="12"/>
      <c r="F138" s="12"/>
      <c r="G138" s="12"/>
      <c r="H138" s="12"/>
      <c r="I138" s="12"/>
      <c r="J138" s="12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15.75" customHeight="1" x14ac:dyDescent="0.45">
      <c r="A139" s="69"/>
      <c r="B139" s="12"/>
      <c r="C139" s="12"/>
      <c r="D139" s="12"/>
      <c r="E139" s="12"/>
      <c r="F139" s="12"/>
      <c r="G139" s="12"/>
      <c r="H139" s="12"/>
      <c r="I139" s="12"/>
      <c r="J139" s="12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15.75" customHeight="1" x14ac:dyDescent="0.45">
      <c r="A140" s="69"/>
      <c r="B140" s="12"/>
      <c r="C140" s="12"/>
      <c r="D140" s="12"/>
      <c r="E140" s="12"/>
      <c r="F140" s="12"/>
      <c r="G140" s="12"/>
      <c r="H140" s="12"/>
      <c r="I140" s="12"/>
      <c r="J140" s="12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15.75" customHeight="1" x14ac:dyDescent="0.45">
      <c r="A141" s="69"/>
      <c r="B141" s="12"/>
      <c r="C141" s="12"/>
      <c r="D141" s="12"/>
      <c r="E141" s="12"/>
      <c r="F141" s="12"/>
      <c r="G141" s="12"/>
      <c r="H141" s="12"/>
      <c r="I141" s="12"/>
      <c r="J141" s="12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15.75" customHeight="1" x14ac:dyDescent="0.45">
      <c r="A142" s="69"/>
      <c r="B142" s="12"/>
      <c r="C142" s="12"/>
      <c r="D142" s="12"/>
      <c r="E142" s="12"/>
      <c r="F142" s="12"/>
      <c r="G142" s="12"/>
      <c r="H142" s="12"/>
      <c r="I142" s="12"/>
      <c r="J142" s="12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15.75" customHeight="1" x14ac:dyDescent="0.45">
      <c r="A143" s="69"/>
      <c r="B143" s="12"/>
      <c r="C143" s="12"/>
      <c r="D143" s="12"/>
      <c r="E143" s="12"/>
      <c r="F143" s="12"/>
      <c r="G143" s="12"/>
      <c r="H143" s="12"/>
      <c r="I143" s="12"/>
      <c r="J143" s="12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15.75" customHeight="1" x14ac:dyDescent="0.45">
      <c r="A144" s="69"/>
      <c r="B144" s="12"/>
      <c r="C144" s="12"/>
      <c r="D144" s="12"/>
      <c r="E144" s="12"/>
      <c r="F144" s="12"/>
      <c r="G144" s="12"/>
      <c r="H144" s="12"/>
      <c r="I144" s="12"/>
      <c r="J144" s="12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15.75" customHeight="1" x14ac:dyDescent="0.45">
      <c r="A145" s="69"/>
      <c r="B145" s="12"/>
      <c r="C145" s="12"/>
      <c r="D145" s="12"/>
      <c r="E145" s="12"/>
      <c r="F145" s="12"/>
      <c r="G145" s="12"/>
      <c r="H145" s="12"/>
      <c r="I145" s="12"/>
      <c r="J145" s="12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15.75" customHeight="1" x14ac:dyDescent="0.45">
      <c r="A146" s="69"/>
      <c r="B146" s="12"/>
      <c r="C146" s="12"/>
      <c r="D146" s="12"/>
      <c r="E146" s="12"/>
      <c r="F146" s="12"/>
      <c r="G146" s="12"/>
      <c r="H146" s="12"/>
      <c r="I146" s="12"/>
      <c r="J146" s="12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15.75" customHeight="1" x14ac:dyDescent="0.45">
      <c r="A147" s="69"/>
      <c r="B147" s="12"/>
      <c r="C147" s="12"/>
      <c r="D147" s="12"/>
      <c r="E147" s="12"/>
      <c r="F147" s="12"/>
      <c r="G147" s="12"/>
      <c r="H147" s="12"/>
      <c r="I147" s="12"/>
      <c r="J147" s="12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15.75" customHeight="1" x14ac:dyDescent="0.45">
      <c r="A148" s="69"/>
      <c r="B148" s="12"/>
      <c r="C148" s="12"/>
      <c r="D148" s="12"/>
      <c r="E148" s="12"/>
      <c r="F148" s="12"/>
      <c r="G148" s="12"/>
      <c r="H148" s="12"/>
      <c r="I148" s="12"/>
      <c r="J148" s="12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15.75" customHeight="1" x14ac:dyDescent="0.45">
      <c r="A149" s="69"/>
      <c r="B149" s="12"/>
      <c r="C149" s="12"/>
      <c r="D149" s="12"/>
      <c r="E149" s="12"/>
      <c r="F149" s="12"/>
      <c r="G149" s="12"/>
      <c r="H149" s="12"/>
      <c r="I149" s="12"/>
      <c r="J149" s="12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15.75" customHeight="1" x14ac:dyDescent="0.45">
      <c r="A150" s="69"/>
      <c r="B150" s="12"/>
      <c r="C150" s="12"/>
      <c r="D150" s="12"/>
      <c r="E150" s="12"/>
      <c r="F150" s="12"/>
      <c r="G150" s="12"/>
      <c r="H150" s="12"/>
      <c r="I150" s="12"/>
      <c r="J150" s="12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15.75" customHeight="1" x14ac:dyDescent="0.45">
      <c r="A151" s="69"/>
      <c r="B151" s="12"/>
      <c r="C151" s="12"/>
      <c r="D151" s="12"/>
      <c r="E151" s="12"/>
      <c r="F151" s="12"/>
      <c r="G151" s="12"/>
      <c r="H151" s="12"/>
      <c r="I151" s="12"/>
      <c r="J151" s="12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15.75" customHeight="1" x14ac:dyDescent="0.45">
      <c r="A152" s="69"/>
      <c r="B152" s="12"/>
      <c r="C152" s="12"/>
      <c r="D152" s="12"/>
      <c r="E152" s="12"/>
      <c r="F152" s="12"/>
      <c r="G152" s="12"/>
      <c r="H152" s="12"/>
      <c r="I152" s="12"/>
      <c r="J152" s="12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15.75" customHeight="1" x14ac:dyDescent="0.45">
      <c r="A153" s="69"/>
      <c r="B153" s="12"/>
      <c r="C153" s="12"/>
      <c r="D153" s="12"/>
      <c r="E153" s="12"/>
      <c r="F153" s="12"/>
      <c r="G153" s="12"/>
      <c r="H153" s="12"/>
      <c r="I153" s="12"/>
      <c r="J153" s="12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15.75" customHeight="1" x14ac:dyDescent="0.45">
      <c r="A154" s="69"/>
      <c r="B154" s="12"/>
      <c r="C154" s="12"/>
      <c r="D154" s="12"/>
      <c r="E154" s="12"/>
      <c r="F154" s="12"/>
      <c r="G154" s="12"/>
      <c r="H154" s="12"/>
      <c r="I154" s="12"/>
      <c r="J154" s="12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5.75" customHeight="1" x14ac:dyDescent="0.45">
      <c r="A155" s="69"/>
      <c r="B155" s="12"/>
      <c r="C155" s="12"/>
      <c r="D155" s="12"/>
      <c r="E155" s="12"/>
      <c r="F155" s="12"/>
      <c r="G155" s="12"/>
      <c r="H155" s="12"/>
      <c r="I155" s="12"/>
      <c r="J155" s="12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15.75" customHeight="1" x14ac:dyDescent="0.45">
      <c r="A156" s="69"/>
      <c r="B156" s="12"/>
      <c r="C156" s="12"/>
      <c r="D156" s="12"/>
      <c r="E156" s="12"/>
      <c r="F156" s="12"/>
      <c r="G156" s="12"/>
      <c r="H156" s="12"/>
      <c r="I156" s="12"/>
      <c r="J156" s="12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15.75" customHeight="1" x14ac:dyDescent="0.45">
      <c r="A157" s="69"/>
      <c r="B157" s="12"/>
      <c r="C157" s="12"/>
      <c r="D157" s="12"/>
      <c r="E157" s="12"/>
      <c r="F157" s="12"/>
      <c r="G157" s="12"/>
      <c r="H157" s="12"/>
      <c r="I157" s="12"/>
      <c r="J157" s="12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15.75" customHeight="1" x14ac:dyDescent="0.45">
      <c r="A158" s="69"/>
      <c r="B158" s="12"/>
      <c r="C158" s="12"/>
      <c r="D158" s="12"/>
      <c r="E158" s="12"/>
      <c r="F158" s="12"/>
      <c r="G158" s="12"/>
      <c r="H158" s="12"/>
      <c r="I158" s="12"/>
      <c r="J158" s="12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15.75" customHeight="1" x14ac:dyDescent="0.45">
      <c r="A159" s="69"/>
      <c r="B159" s="12"/>
      <c r="C159" s="12"/>
      <c r="D159" s="12"/>
      <c r="E159" s="12"/>
      <c r="F159" s="12"/>
      <c r="G159" s="12"/>
      <c r="H159" s="12"/>
      <c r="I159" s="12"/>
      <c r="J159" s="12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15.75" customHeight="1" x14ac:dyDescent="0.45">
      <c r="A160" s="69"/>
      <c r="B160" s="12"/>
      <c r="C160" s="12"/>
      <c r="D160" s="12"/>
      <c r="E160" s="12"/>
      <c r="F160" s="12"/>
      <c r="G160" s="12"/>
      <c r="H160" s="12"/>
      <c r="I160" s="12"/>
      <c r="J160" s="12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15.75" customHeight="1" x14ac:dyDescent="0.45">
      <c r="A161" s="69"/>
      <c r="B161" s="12"/>
      <c r="C161" s="12"/>
      <c r="D161" s="12"/>
      <c r="E161" s="12"/>
      <c r="F161" s="12"/>
      <c r="G161" s="12"/>
      <c r="H161" s="12"/>
      <c r="I161" s="12"/>
      <c r="J161" s="12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15.75" customHeight="1" x14ac:dyDescent="0.45">
      <c r="A162" s="69"/>
      <c r="B162" s="12"/>
      <c r="C162" s="12"/>
      <c r="D162" s="12"/>
      <c r="E162" s="12"/>
      <c r="F162" s="12"/>
      <c r="G162" s="12"/>
      <c r="H162" s="12"/>
      <c r="I162" s="12"/>
      <c r="J162" s="12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15.75" customHeight="1" x14ac:dyDescent="0.45">
      <c r="A163" s="69"/>
      <c r="B163" s="12"/>
      <c r="C163" s="12"/>
      <c r="D163" s="12"/>
      <c r="E163" s="12"/>
      <c r="F163" s="12"/>
      <c r="G163" s="12"/>
      <c r="H163" s="12"/>
      <c r="I163" s="12"/>
      <c r="J163" s="12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15.75" customHeight="1" x14ac:dyDescent="0.45">
      <c r="A164" s="69"/>
      <c r="B164" s="12"/>
      <c r="C164" s="12"/>
      <c r="D164" s="12"/>
      <c r="E164" s="12"/>
      <c r="F164" s="12"/>
      <c r="G164" s="12"/>
      <c r="H164" s="12"/>
      <c r="I164" s="12"/>
      <c r="J164" s="12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15.75" customHeight="1" x14ac:dyDescent="0.45">
      <c r="A165" s="69"/>
      <c r="B165" s="12"/>
      <c r="C165" s="12"/>
      <c r="D165" s="12"/>
      <c r="E165" s="12"/>
      <c r="F165" s="12"/>
      <c r="G165" s="12"/>
      <c r="H165" s="12"/>
      <c r="I165" s="12"/>
      <c r="J165" s="12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15.75" customHeight="1" x14ac:dyDescent="0.45">
      <c r="A166" s="69"/>
      <c r="B166" s="12"/>
      <c r="C166" s="12"/>
      <c r="D166" s="12"/>
      <c r="E166" s="12"/>
      <c r="F166" s="12"/>
      <c r="G166" s="12"/>
      <c r="H166" s="12"/>
      <c r="I166" s="12"/>
      <c r="J166" s="12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15.75" customHeight="1" x14ac:dyDescent="0.45">
      <c r="A167" s="69"/>
      <c r="B167" s="12"/>
      <c r="C167" s="12"/>
      <c r="D167" s="12"/>
      <c r="E167" s="12"/>
      <c r="F167" s="12"/>
      <c r="G167" s="12"/>
      <c r="H167" s="12"/>
      <c r="I167" s="12"/>
      <c r="J167" s="12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15.75" customHeight="1" x14ac:dyDescent="0.45">
      <c r="A168" s="69"/>
      <c r="B168" s="12"/>
      <c r="C168" s="12"/>
      <c r="D168" s="12"/>
      <c r="E168" s="12"/>
      <c r="F168" s="12"/>
      <c r="G168" s="12"/>
      <c r="H168" s="12"/>
      <c r="I168" s="12"/>
      <c r="J168" s="12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15.75" customHeight="1" x14ac:dyDescent="0.45">
      <c r="A169" s="69"/>
      <c r="B169" s="12"/>
      <c r="C169" s="12"/>
      <c r="D169" s="12"/>
      <c r="E169" s="12"/>
      <c r="F169" s="12"/>
      <c r="G169" s="12"/>
      <c r="H169" s="12"/>
      <c r="I169" s="12"/>
      <c r="J169" s="12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15.75" customHeight="1" x14ac:dyDescent="0.45">
      <c r="A170" s="69"/>
      <c r="B170" s="12"/>
      <c r="C170" s="12"/>
      <c r="D170" s="12"/>
      <c r="E170" s="12"/>
      <c r="F170" s="12"/>
      <c r="G170" s="12"/>
      <c r="H170" s="12"/>
      <c r="I170" s="12"/>
      <c r="J170" s="12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15.75" customHeight="1" x14ac:dyDescent="0.45">
      <c r="A171" s="69"/>
      <c r="B171" s="12"/>
      <c r="C171" s="12"/>
      <c r="D171" s="12"/>
      <c r="E171" s="12"/>
      <c r="F171" s="12"/>
      <c r="G171" s="12"/>
      <c r="H171" s="12"/>
      <c r="I171" s="12"/>
      <c r="J171" s="12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15.75" customHeight="1" x14ac:dyDescent="0.45">
      <c r="A172" s="69"/>
      <c r="B172" s="12"/>
      <c r="C172" s="12"/>
      <c r="D172" s="12"/>
      <c r="E172" s="12"/>
      <c r="F172" s="12"/>
      <c r="G172" s="12"/>
      <c r="H172" s="12"/>
      <c r="I172" s="12"/>
      <c r="J172" s="12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15.75" customHeight="1" x14ac:dyDescent="0.45">
      <c r="A173" s="69"/>
      <c r="B173" s="12"/>
      <c r="C173" s="12"/>
      <c r="D173" s="12"/>
      <c r="E173" s="12"/>
      <c r="F173" s="12"/>
      <c r="G173" s="12"/>
      <c r="H173" s="12"/>
      <c r="I173" s="12"/>
      <c r="J173" s="12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15.75" customHeight="1" x14ac:dyDescent="0.45">
      <c r="A174" s="69"/>
      <c r="B174" s="12"/>
      <c r="C174" s="12"/>
      <c r="D174" s="12"/>
      <c r="E174" s="12"/>
      <c r="F174" s="12"/>
      <c r="G174" s="12"/>
      <c r="H174" s="12"/>
      <c r="I174" s="12"/>
      <c r="J174" s="12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5.75" customHeight="1" x14ac:dyDescent="0.45">
      <c r="A175" s="69"/>
      <c r="B175" s="12"/>
      <c r="C175" s="12"/>
      <c r="D175" s="12"/>
      <c r="E175" s="12"/>
      <c r="F175" s="12"/>
      <c r="G175" s="12"/>
      <c r="H175" s="12"/>
      <c r="I175" s="12"/>
      <c r="J175" s="12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15.75" customHeight="1" x14ac:dyDescent="0.45">
      <c r="A176" s="69"/>
      <c r="B176" s="12"/>
      <c r="C176" s="12"/>
      <c r="D176" s="12"/>
      <c r="E176" s="12"/>
      <c r="F176" s="12"/>
      <c r="G176" s="12"/>
      <c r="H176" s="12"/>
      <c r="I176" s="12"/>
      <c r="J176" s="12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15.75" customHeight="1" x14ac:dyDescent="0.45">
      <c r="A177" s="69"/>
      <c r="B177" s="12"/>
      <c r="C177" s="12"/>
      <c r="D177" s="12"/>
      <c r="E177" s="12"/>
      <c r="F177" s="12"/>
      <c r="G177" s="12"/>
      <c r="H177" s="12"/>
      <c r="I177" s="12"/>
      <c r="J177" s="12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15.75" customHeight="1" x14ac:dyDescent="0.45">
      <c r="A178" s="69"/>
      <c r="B178" s="12"/>
      <c r="C178" s="12"/>
      <c r="D178" s="12"/>
      <c r="E178" s="12"/>
      <c r="F178" s="12"/>
      <c r="G178" s="12"/>
      <c r="H178" s="12"/>
      <c r="I178" s="12"/>
      <c r="J178" s="12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15.75" customHeight="1" x14ac:dyDescent="0.45">
      <c r="A179" s="69"/>
      <c r="B179" s="12"/>
      <c r="C179" s="12"/>
      <c r="D179" s="12"/>
      <c r="E179" s="12"/>
      <c r="F179" s="12"/>
      <c r="G179" s="12"/>
      <c r="H179" s="12"/>
      <c r="I179" s="12"/>
      <c r="J179" s="12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15.75" customHeight="1" x14ac:dyDescent="0.45">
      <c r="A180" s="69"/>
      <c r="B180" s="12"/>
      <c r="C180" s="12"/>
      <c r="D180" s="12"/>
      <c r="E180" s="12"/>
      <c r="F180" s="12"/>
      <c r="G180" s="12"/>
      <c r="H180" s="12"/>
      <c r="I180" s="12"/>
      <c r="J180" s="12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15.75" customHeight="1" x14ac:dyDescent="0.45">
      <c r="A181" s="69"/>
      <c r="B181" s="12"/>
      <c r="C181" s="12"/>
      <c r="D181" s="12"/>
      <c r="E181" s="12"/>
      <c r="F181" s="12"/>
      <c r="G181" s="12"/>
      <c r="H181" s="12"/>
      <c r="I181" s="12"/>
      <c r="J181" s="12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15.75" customHeight="1" x14ac:dyDescent="0.45">
      <c r="A182" s="69"/>
      <c r="B182" s="12"/>
      <c r="C182" s="12"/>
      <c r="D182" s="12"/>
      <c r="E182" s="12"/>
      <c r="F182" s="12"/>
      <c r="G182" s="12"/>
      <c r="H182" s="12"/>
      <c r="I182" s="12"/>
      <c r="J182" s="12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15.75" customHeight="1" x14ac:dyDescent="0.45">
      <c r="A183" s="69"/>
      <c r="B183" s="12"/>
      <c r="C183" s="12"/>
      <c r="D183" s="12"/>
      <c r="E183" s="12"/>
      <c r="F183" s="12"/>
      <c r="G183" s="12"/>
      <c r="H183" s="12"/>
      <c r="I183" s="12"/>
      <c r="J183" s="12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15.75" customHeight="1" x14ac:dyDescent="0.45">
      <c r="A184" s="69"/>
      <c r="B184" s="12"/>
      <c r="C184" s="12"/>
      <c r="D184" s="12"/>
      <c r="E184" s="12"/>
      <c r="F184" s="12"/>
      <c r="G184" s="12"/>
      <c r="H184" s="12"/>
      <c r="I184" s="12"/>
      <c r="J184" s="12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15.75" customHeight="1" x14ac:dyDescent="0.45">
      <c r="A185" s="69"/>
      <c r="B185" s="12"/>
      <c r="C185" s="12"/>
      <c r="D185" s="12"/>
      <c r="E185" s="12"/>
      <c r="F185" s="12"/>
      <c r="G185" s="12"/>
      <c r="H185" s="12"/>
      <c r="I185" s="12"/>
      <c r="J185" s="12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15.75" customHeight="1" x14ac:dyDescent="0.45">
      <c r="A186" s="69"/>
      <c r="B186" s="12"/>
      <c r="C186" s="12"/>
      <c r="D186" s="12"/>
      <c r="E186" s="12"/>
      <c r="F186" s="12"/>
      <c r="G186" s="12"/>
      <c r="H186" s="12"/>
      <c r="I186" s="12"/>
      <c r="J186" s="12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15.75" customHeight="1" x14ac:dyDescent="0.45">
      <c r="A187" s="69"/>
      <c r="B187" s="12"/>
      <c r="C187" s="12"/>
      <c r="D187" s="12"/>
      <c r="E187" s="12"/>
      <c r="F187" s="12"/>
      <c r="G187" s="12"/>
      <c r="H187" s="12"/>
      <c r="I187" s="12"/>
      <c r="J187" s="12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15.75" customHeight="1" x14ac:dyDescent="0.45">
      <c r="A188" s="69"/>
      <c r="B188" s="12"/>
      <c r="C188" s="12"/>
      <c r="D188" s="12"/>
      <c r="E188" s="12"/>
      <c r="F188" s="12"/>
      <c r="G188" s="12"/>
      <c r="H188" s="12"/>
      <c r="I188" s="12"/>
      <c r="J188" s="12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15.75" customHeight="1" x14ac:dyDescent="0.45">
      <c r="A189" s="69"/>
      <c r="B189" s="12"/>
      <c r="C189" s="12"/>
      <c r="D189" s="12"/>
      <c r="E189" s="12"/>
      <c r="F189" s="12"/>
      <c r="G189" s="12"/>
      <c r="H189" s="12"/>
      <c r="I189" s="12"/>
      <c r="J189" s="12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15.75" customHeight="1" x14ac:dyDescent="0.45">
      <c r="A190" s="69"/>
      <c r="B190" s="12"/>
      <c r="C190" s="12"/>
      <c r="D190" s="12"/>
      <c r="E190" s="12"/>
      <c r="F190" s="12"/>
      <c r="G190" s="12"/>
      <c r="H190" s="12"/>
      <c r="I190" s="12"/>
      <c r="J190" s="12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15.75" customHeight="1" x14ac:dyDescent="0.45">
      <c r="A191" s="69"/>
      <c r="B191" s="12"/>
      <c r="C191" s="12"/>
      <c r="D191" s="12"/>
      <c r="E191" s="12"/>
      <c r="F191" s="12"/>
      <c r="G191" s="12"/>
      <c r="H191" s="12"/>
      <c r="I191" s="12"/>
      <c r="J191" s="12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15.75" customHeight="1" x14ac:dyDescent="0.45">
      <c r="A192" s="69"/>
      <c r="B192" s="12"/>
      <c r="C192" s="12"/>
      <c r="D192" s="12"/>
      <c r="E192" s="12"/>
      <c r="F192" s="12"/>
      <c r="G192" s="12"/>
      <c r="H192" s="12"/>
      <c r="I192" s="12"/>
      <c r="J192" s="12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15.75" customHeight="1" x14ac:dyDescent="0.45">
      <c r="A193" s="69"/>
      <c r="B193" s="12"/>
      <c r="C193" s="12"/>
      <c r="D193" s="12"/>
      <c r="E193" s="12"/>
      <c r="F193" s="12"/>
      <c r="G193" s="12"/>
      <c r="H193" s="12"/>
      <c r="I193" s="12"/>
      <c r="J193" s="12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15.75" customHeight="1" x14ac:dyDescent="0.45">
      <c r="A194" s="69"/>
      <c r="B194" s="12"/>
      <c r="C194" s="12"/>
      <c r="D194" s="12"/>
      <c r="E194" s="12"/>
      <c r="F194" s="12"/>
      <c r="G194" s="12"/>
      <c r="H194" s="12"/>
      <c r="I194" s="12"/>
      <c r="J194" s="12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15.75" customHeight="1" x14ac:dyDescent="0.45">
      <c r="A195" s="69"/>
      <c r="B195" s="12"/>
      <c r="C195" s="12"/>
      <c r="D195" s="12"/>
      <c r="E195" s="12"/>
      <c r="F195" s="12"/>
      <c r="G195" s="12"/>
      <c r="H195" s="12"/>
      <c r="I195" s="12"/>
      <c r="J195" s="12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15.75" customHeight="1" x14ac:dyDescent="0.45">
      <c r="A196" s="69"/>
      <c r="B196" s="12"/>
      <c r="C196" s="12"/>
      <c r="D196" s="12"/>
      <c r="E196" s="12"/>
      <c r="F196" s="12"/>
      <c r="G196" s="12"/>
      <c r="H196" s="12"/>
      <c r="I196" s="12"/>
      <c r="J196" s="12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15.75" customHeight="1" x14ac:dyDescent="0.45">
      <c r="A197" s="69"/>
      <c r="B197" s="12"/>
      <c r="C197" s="12"/>
      <c r="D197" s="12"/>
      <c r="E197" s="12"/>
      <c r="F197" s="12"/>
      <c r="G197" s="12"/>
      <c r="H197" s="12"/>
      <c r="I197" s="12"/>
      <c r="J197" s="12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15.75" customHeight="1" x14ac:dyDescent="0.45">
      <c r="A198" s="69"/>
      <c r="B198" s="12"/>
      <c r="C198" s="12"/>
      <c r="D198" s="12"/>
      <c r="E198" s="12"/>
      <c r="F198" s="12"/>
      <c r="G198" s="12"/>
      <c r="H198" s="12"/>
      <c r="I198" s="12"/>
      <c r="J198" s="12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15.75" customHeight="1" x14ac:dyDescent="0.45">
      <c r="A199" s="69"/>
      <c r="B199" s="12"/>
      <c r="C199" s="12"/>
      <c r="D199" s="12"/>
      <c r="E199" s="12"/>
      <c r="F199" s="12"/>
      <c r="G199" s="12"/>
      <c r="H199" s="12"/>
      <c r="I199" s="12"/>
      <c r="J199" s="12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15.75" customHeight="1" x14ac:dyDescent="0.45">
      <c r="A200" s="69"/>
      <c r="B200" s="12"/>
      <c r="C200" s="12"/>
      <c r="D200" s="12"/>
      <c r="E200" s="12"/>
      <c r="F200" s="12"/>
      <c r="G200" s="12"/>
      <c r="H200" s="12"/>
      <c r="I200" s="12"/>
      <c r="J200" s="12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15.75" customHeight="1" x14ac:dyDescent="0.45">
      <c r="A201" s="69"/>
      <c r="B201" s="12"/>
      <c r="C201" s="12"/>
      <c r="D201" s="12"/>
      <c r="E201" s="12"/>
      <c r="F201" s="12"/>
      <c r="G201" s="12"/>
      <c r="H201" s="12"/>
      <c r="I201" s="12"/>
      <c r="J201" s="12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15.75" customHeight="1" x14ac:dyDescent="0.45">
      <c r="A202" s="69"/>
      <c r="B202" s="12"/>
      <c r="C202" s="12"/>
      <c r="D202" s="12"/>
      <c r="E202" s="12"/>
      <c r="F202" s="12"/>
      <c r="G202" s="12"/>
      <c r="H202" s="12"/>
      <c r="I202" s="12"/>
      <c r="J202" s="12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15.75" customHeight="1" x14ac:dyDescent="0.45">
      <c r="A203" s="69"/>
      <c r="B203" s="12"/>
      <c r="C203" s="12"/>
      <c r="D203" s="12"/>
      <c r="E203" s="12"/>
      <c r="F203" s="12"/>
      <c r="G203" s="12"/>
      <c r="H203" s="12"/>
      <c r="I203" s="12"/>
      <c r="J203" s="12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15.75" customHeight="1" x14ac:dyDescent="0.45">
      <c r="A204" s="69"/>
      <c r="B204" s="12"/>
      <c r="C204" s="12"/>
      <c r="D204" s="12"/>
      <c r="E204" s="12"/>
      <c r="F204" s="12"/>
      <c r="G204" s="12"/>
      <c r="H204" s="12"/>
      <c r="I204" s="12"/>
      <c r="J204" s="12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15.75" customHeight="1" x14ac:dyDescent="0.45">
      <c r="A205" s="69"/>
      <c r="B205" s="12"/>
      <c r="C205" s="12"/>
      <c r="D205" s="12"/>
      <c r="E205" s="12"/>
      <c r="F205" s="12"/>
      <c r="G205" s="12"/>
      <c r="H205" s="12"/>
      <c r="I205" s="12"/>
      <c r="J205" s="12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15.75" customHeight="1" x14ac:dyDescent="0.45">
      <c r="A206" s="69"/>
      <c r="B206" s="12"/>
      <c r="C206" s="12"/>
      <c r="D206" s="12"/>
      <c r="E206" s="12"/>
      <c r="F206" s="12"/>
      <c r="G206" s="12"/>
      <c r="H206" s="12"/>
      <c r="I206" s="12"/>
      <c r="J206" s="12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15.75" customHeight="1" x14ac:dyDescent="0.45">
      <c r="A207" s="69"/>
      <c r="B207" s="12"/>
      <c r="C207" s="12"/>
      <c r="D207" s="12"/>
      <c r="E207" s="12"/>
      <c r="F207" s="12"/>
      <c r="G207" s="12"/>
      <c r="H207" s="12"/>
      <c r="I207" s="12"/>
      <c r="J207" s="12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15.75" customHeight="1" x14ac:dyDescent="0.45">
      <c r="A208" s="69"/>
      <c r="B208" s="12"/>
      <c r="C208" s="12"/>
      <c r="D208" s="12"/>
      <c r="E208" s="12"/>
      <c r="F208" s="12"/>
      <c r="G208" s="12"/>
      <c r="H208" s="12"/>
      <c r="I208" s="12"/>
      <c r="J208" s="12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15.75" customHeight="1" x14ac:dyDescent="0.45">
      <c r="A209" s="69"/>
      <c r="B209" s="12"/>
      <c r="C209" s="12"/>
      <c r="D209" s="12"/>
      <c r="E209" s="12"/>
      <c r="F209" s="12"/>
      <c r="G209" s="12"/>
      <c r="H209" s="12"/>
      <c r="I209" s="12"/>
      <c r="J209" s="12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15.75" customHeight="1" x14ac:dyDescent="0.45">
      <c r="A210" s="69"/>
      <c r="B210" s="12"/>
      <c r="C210" s="12"/>
      <c r="D210" s="12"/>
      <c r="E210" s="12"/>
      <c r="F210" s="12"/>
      <c r="G210" s="12"/>
      <c r="H210" s="12"/>
      <c r="I210" s="12"/>
      <c r="J210" s="12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15.75" customHeight="1" x14ac:dyDescent="0.45">
      <c r="A211" s="69"/>
      <c r="B211" s="12"/>
      <c r="C211" s="12"/>
      <c r="D211" s="12"/>
      <c r="E211" s="12"/>
      <c r="F211" s="12"/>
      <c r="G211" s="12"/>
      <c r="H211" s="12"/>
      <c r="I211" s="12"/>
      <c r="J211" s="12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15.75" customHeight="1" x14ac:dyDescent="0.45">
      <c r="A212" s="69"/>
      <c r="B212" s="12"/>
      <c r="C212" s="12"/>
      <c r="D212" s="12"/>
      <c r="E212" s="12"/>
      <c r="F212" s="12"/>
      <c r="G212" s="12"/>
      <c r="H212" s="12"/>
      <c r="I212" s="12"/>
      <c r="J212" s="12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15.75" customHeight="1" x14ac:dyDescent="0.45">
      <c r="A213" s="69"/>
      <c r="B213" s="12"/>
      <c r="C213" s="12"/>
      <c r="D213" s="12"/>
      <c r="E213" s="12"/>
      <c r="F213" s="12"/>
      <c r="G213" s="12"/>
      <c r="H213" s="12"/>
      <c r="I213" s="12"/>
      <c r="J213" s="12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15.75" customHeight="1" x14ac:dyDescent="0.45">
      <c r="A214" s="69"/>
      <c r="B214" s="12"/>
      <c r="C214" s="12"/>
      <c r="D214" s="12"/>
      <c r="E214" s="12"/>
      <c r="F214" s="12"/>
      <c r="G214" s="12"/>
      <c r="H214" s="12"/>
      <c r="I214" s="12"/>
      <c r="J214" s="12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15.75" customHeight="1" x14ac:dyDescent="0.45">
      <c r="A215" s="69"/>
      <c r="B215" s="12"/>
      <c r="C215" s="12"/>
      <c r="D215" s="12"/>
      <c r="E215" s="12"/>
      <c r="F215" s="12"/>
      <c r="G215" s="12"/>
      <c r="H215" s="12"/>
      <c r="I215" s="12"/>
      <c r="J215" s="12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15.75" customHeight="1" x14ac:dyDescent="0.45">
      <c r="A216" s="69"/>
      <c r="B216" s="12"/>
      <c r="C216" s="12"/>
      <c r="D216" s="12"/>
      <c r="E216" s="12"/>
      <c r="F216" s="12"/>
      <c r="G216" s="12"/>
      <c r="H216" s="12"/>
      <c r="I216" s="12"/>
      <c r="J216" s="12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15.75" customHeight="1" x14ac:dyDescent="0.45">
      <c r="A217" s="69"/>
      <c r="B217" s="12"/>
      <c r="C217" s="12"/>
      <c r="D217" s="12"/>
      <c r="E217" s="12"/>
      <c r="F217" s="12"/>
      <c r="G217" s="12"/>
      <c r="H217" s="12"/>
      <c r="I217" s="12"/>
      <c r="J217" s="12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15.75" customHeight="1" x14ac:dyDescent="0.45">
      <c r="A218" s="69"/>
      <c r="B218" s="12"/>
      <c r="C218" s="12"/>
      <c r="D218" s="12"/>
      <c r="E218" s="12"/>
      <c r="F218" s="12"/>
      <c r="G218" s="12"/>
      <c r="H218" s="12"/>
      <c r="I218" s="12"/>
      <c r="J218" s="12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15.75" customHeight="1" x14ac:dyDescent="0.45">
      <c r="A219" s="69"/>
      <c r="B219" s="12"/>
      <c r="C219" s="12"/>
      <c r="D219" s="12"/>
      <c r="E219" s="12"/>
      <c r="F219" s="12"/>
      <c r="G219" s="12"/>
      <c r="H219" s="12"/>
      <c r="I219" s="12"/>
      <c r="J219" s="12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15.75" customHeight="1" x14ac:dyDescent="0.45">
      <c r="A220" s="69"/>
      <c r="B220" s="12"/>
      <c r="C220" s="12"/>
      <c r="D220" s="12"/>
      <c r="E220" s="12"/>
      <c r="F220" s="12"/>
      <c r="G220" s="12"/>
      <c r="H220" s="12"/>
      <c r="I220" s="12"/>
      <c r="J220" s="12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15.75" customHeight="1" x14ac:dyDescent="0.45">
      <c r="A221" s="69"/>
      <c r="B221" s="12"/>
      <c r="C221" s="12"/>
      <c r="D221" s="12"/>
      <c r="E221" s="12"/>
      <c r="F221" s="12"/>
      <c r="G221" s="12"/>
      <c r="H221" s="12"/>
      <c r="I221" s="12"/>
      <c r="J221" s="12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15.75" customHeight="1" x14ac:dyDescent="0.45">
      <c r="A222" s="69"/>
      <c r="B222" s="12"/>
      <c r="C222" s="12"/>
      <c r="D222" s="12"/>
      <c r="E222" s="12"/>
      <c r="F222" s="12"/>
      <c r="G222" s="12"/>
      <c r="H222" s="12"/>
      <c r="I222" s="12"/>
      <c r="J222" s="12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15.75" customHeight="1" x14ac:dyDescent="0.45">
      <c r="A223" s="69"/>
      <c r="B223" s="12"/>
      <c r="C223" s="12"/>
      <c r="D223" s="12"/>
      <c r="E223" s="12"/>
      <c r="F223" s="12"/>
      <c r="G223" s="12"/>
      <c r="H223" s="12"/>
      <c r="I223" s="12"/>
      <c r="J223" s="12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15.75" customHeight="1" x14ac:dyDescent="0.45">
      <c r="A224" s="69"/>
      <c r="B224" s="12"/>
      <c r="C224" s="12"/>
      <c r="D224" s="12"/>
      <c r="E224" s="12"/>
      <c r="F224" s="12"/>
      <c r="G224" s="12"/>
      <c r="H224" s="12"/>
      <c r="I224" s="12"/>
      <c r="J224" s="12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15.75" customHeight="1" x14ac:dyDescent="0.45">
      <c r="A225" s="69"/>
      <c r="B225" s="12"/>
      <c r="C225" s="12"/>
      <c r="D225" s="12"/>
      <c r="E225" s="12"/>
      <c r="F225" s="12"/>
      <c r="G225" s="12"/>
      <c r="H225" s="12"/>
      <c r="I225" s="12"/>
      <c r="J225" s="12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5.75" customHeight="1" x14ac:dyDescent="0.45">
      <c r="A226" s="69"/>
      <c r="B226" s="12"/>
      <c r="C226" s="12"/>
      <c r="D226" s="12"/>
      <c r="E226" s="12"/>
      <c r="F226" s="12"/>
      <c r="G226" s="12"/>
      <c r="H226" s="12"/>
      <c r="I226" s="12"/>
      <c r="J226" s="12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15.75" customHeight="1" x14ac:dyDescent="0.45">
      <c r="A227" s="69"/>
      <c r="B227" s="12"/>
      <c r="C227" s="12"/>
      <c r="D227" s="12"/>
      <c r="E227" s="12"/>
      <c r="F227" s="12"/>
      <c r="G227" s="12"/>
      <c r="H227" s="12"/>
      <c r="I227" s="12"/>
      <c r="J227" s="12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15.75" customHeight="1" x14ac:dyDescent="0.45">
      <c r="A228" s="69"/>
      <c r="B228" s="12"/>
      <c r="C228" s="12"/>
      <c r="D228" s="12"/>
      <c r="E228" s="12"/>
      <c r="F228" s="12"/>
      <c r="G228" s="12"/>
      <c r="H228" s="12"/>
      <c r="I228" s="12"/>
      <c r="J228" s="12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15.75" customHeight="1" x14ac:dyDescent="0.45">
      <c r="A229" s="69"/>
      <c r="B229" s="12"/>
      <c r="C229" s="12"/>
      <c r="D229" s="12"/>
      <c r="E229" s="12"/>
      <c r="F229" s="12"/>
      <c r="G229" s="12"/>
      <c r="H229" s="12"/>
      <c r="I229" s="12"/>
      <c r="J229" s="12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15.75" customHeight="1" x14ac:dyDescent="0.45">
      <c r="A230" s="69"/>
      <c r="B230" s="12"/>
      <c r="C230" s="12"/>
      <c r="D230" s="12"/>
      <c r="E230" s="12"/>
      <c r="F230" s="12"/>
      <c r="G230" s="12"/>
      <c r="H230" s="12"/>
      <c r="I230" s="12"/>
      <c r="J230" s="12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15.75" customHeight="1" x14ac:dyDescent="0.45">
      <c r="A231" s="69"/>
      <c r="B231" s="12"/>
      <c r="C231" s="12"/>
      <c r="D231" s="12"/>
      <c r="E231" s="12"/>
      <c r="F231" s="12"/>
      <c r="G231" s="12"/>
      <c r="H231" s="12"/>
      <c r="I231" s="12"/>
      <c r="J231" s="12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15.75" customHeight="1" x14ac:dyDescent="0.45">
      <c r="A232" s="69"/>
      <c r="B232" s="12"/>
      <c r="C232" s="12"/>
      <c r="D232" s="12"/>
      <c r="E232" s="12"/>
      <c r="F232" s="12"/>
      <c r="G232" s="12"/>
      <c r="H232" s="12"/>
      <c r="I232" s="12"/>
      <c r="J232" s="12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15.75" customHeight="1" x14ac:dyDescent="0.45">
      <c r="A233" s="69"/>
      <c r="B233" s="12"/>
      <c r="C233" s="12"/>
      <c r="D233" s="12"/>
      <c r="E233" s="12"/>
      <c r="F233" s="12"/>
      <c r="G233" s="12"/>
      <c r="H233" s="12"/>
      <c r="I233" s="12"/>
      <c r="J233" s="12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15.75" customHeight="1" x14ac:dyDescent="0.45">
      <c r="A234" s="69"/>
      <c r="B234" s="12"/>
      <c r="C234" s="12"/>
      <c r="D234" s="12"/>
      <c r="E234" s="12"/>
      <c r="F234" s="12"/>
      <c r="G234" s="12"/>
      <c r="H234" s="12"/>
      <c r="I234" s="12"/>
      <c r="J234" s="12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15.75" customHeight="1" x14ac:dyDescent="0.45">
      <c r="A235" s="69"/>
      <c r="B235" s="12"/>
      <c r="C235" s="12"/>
      <c r="D235" s="12"/>
      <c r="E235" s="12"/>
      <c r="F235" s="12"/>
      <c r="G235" s="12"/>
      <c r="H235" s="12"/>
      <c r="I235" s="12"/>
      <c r="J235" s="12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15.75" customHeight="1" x14ac:dyDescent="0.45">
      <c r="A236" s="69"/>
      <c r="B236" s="12"/>
      <c r="C236" s="12"/>
      <c r="D236" s="12"/>
      <c r="E236" s="12"/>
      <c r="F236" s="12"/>
      <c r="G236" s="12"/>
      <c r="H236" s="12"/>
      <c r="I236" s="12"/>
      <c r="J236" s="12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15.75" customHeight="1" x14ac:dyDescent="0.45">
      <c r="A237" s="69"/>
      <c r="B237" s="12"/>
      <c r="C237" s="12"/>
      <c r="D237" s="12"/>
      <c r="E237" s="12"/>
      <c r="F237" s="12"/>
      <c r="G237" s="12"/>
      <c r="H237" s="12"/>
      <c r="I237" s="12"/>
      <c r="J237" s="12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15.75" customHeight="1" x14ac:dyDescent="0.45">
      <c r="A238" s="69"/>
      <c r="B238" s="12"/>
      <c r="C238" s="12"/>
      <c r="D238" s="12"/>
      <c r="E238" s="12"/>
      <c r="F238" s="12"/>
      <c r="G238" s="12"/>
      <c r="H238" s="12"/>
      <c r="I238" s="12"/>
      <c r="J238" s="12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5.75" customHeight="1" x14ac:dyDescent="0.45">
      <c r="A239" s="69"/>
      <c r="B239" s="12"/>
      <c r="C239" s="12"/>
      <c r="D239" s="12"/>
      <c r="E239" s="12"/>
      <c r="F239" s="12"/>
      <c r="G239" s="12"/>
      <c r="H239" s="12"/>
      <c r="I239" s="12"/>
      <c r="J239" s="12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15.75" customHeight="1" x14ac:dyDescent="0.45">
      <c r="A240" s="69"/>
      <c r="B240" s="12"/>
      <c r="C240" s="12"/>
      <c r="D240" s="12"/>
      <c r="E240" s="12"/>
      <c r="F240" s="12"/>
      <c r="G240" s="12"/>
      <c r="H240" s="12"/>
      <c r="I240" s="12"/>
      <c r="J240" s="12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15.75" customHeight="1" x14ac:dyDescent="0.45">
      <c r="A241" s="69"/>
      <c r="B241" s="12"/>
      <c r="C241" s="12"/>
      <c r="D241" s="12"/>
      <c r="E241" s="12"/>
      <c r="F241" s="12"/>
      <c r="G241" s="12"/>
      <c r="H241" s="12"/>
      <c r="I241" s="12"/>
      <c r="J241" s="12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15.75" customHeight="1" x14ac:dyDescent="0.45">
      <c r="A242" s="69"/>
      <c r="B242" s="12"/>
      <c r="C242" s="12"/>
      <c r="D242" s="12"/>
      <c r="E242" s="12"/>
      <c r="F242" s="12"/>
      <c r="G242" s="12"/>
      <c r="H242" s="12"/>
      <c r="I242" s="12"/>
      <c r="J242" s="12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15.75" customHeight="1" x14ac:dyDescent="0.45">
      <c r="A243" s="69"/>
      <c r="B243" s="12"/>
      <c r="C243" s="12"/>
      <c r="D243" s="12"/>
      <c r="E243" s="12"/>
      <c r="F243" s="12"/>
      <c r="G243" s="12"/>
      <c r="H243" s="12"/>
      <c r="I243" s="12"/>
      <c r="J243" s="12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15.75" customHeight="1" x14ac:dyDescent="0.45">
      <c r="A244" s="69"/>
      <c r="B244" s="12"/>
      <c r="C244" s="12"/>
      <c r="D244" s="12"/>
      <c r="E244" s="12"/>
      <c r="F244" s="12"/>
      <c r="G244" s="12"/>
      <c r="H244" s="12"/>
      <c r="I244" s="12"/>
      <c r="J244" s="12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15.75" customHeight="1" x14ac:dyDescent="0.45">
      <c r="A245" s="69"/>
      <c r="B245" s="12"/>
      <c r="C245" s="12"/>
      <c r="D245" s="12"/>
      <c r="E245" s="12"/>
      <c r="F245" s="12"/>
      <c r="G245" s="12"/>
      <c r="H245" s="12"/>
      <c r="I245" s="12"/>
      <c r="J245" s="12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15.75" customHeight="1" x14ac:dyDescent="0.45">
      <c r="A246" s="69"/>
      <c r="B246" s="12"/>
      <c r="C246" s="12"/>
      <c r="D246" s="12"/>
      <c r="E246" s="12"/>
      <c r="F246" s="12"/>
      <c r="G246" s="12"/>
      <c r="H246" s="12"/>
      <c r="I246" s="12"/>
      <c r="J246" s="12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15.75" customHeight="1" x14ac:dyDescent="0.45">
      <c r="A247" s="69"/>
      <c r="B247" s="12"/>
      <c r="C247" s="12"/>
      <c r="D247" s="12"/>
      <c r="E247" s="12"/>
      <c r="F247" s="12"/>
      <c r="G247" s="12"/>
      <c r="H247" s="12"/>
      <c r="I247" s="12"/>
      <c r="J247" s="12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 ht="15.75" customHeight="1" x14ac:dyDescent="0.45">
      <c r="A248" s="69"/>
      <c r="B248" s="12"/>
      <c r="C248" s="12"/>
      <c r="D248" s="12"/>
      <c r="E248" s="12"/>
      <c r="F248" s="12"/>
      <c r="G248" s="12"/>
      <c r="H248" s="12"/>
      <c r="I248" s="12"/>
      <c r="J248" s="12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 ht="15.75" customHeight="1" x14ac:dyDescent="0.45">
      <c r="A249" s="69"/>
      <c r="B249" s="12"/>
      <c r="C249" s="12"/>
      <c r="D249" s="12"/>
      <c r="E249" s="12"/>
      <c r="F249" s="12"/>
      <c r="G249" s="12"/>
      <c r="H249" s="12"/>
      <c r="I249" s="12"/>
      <c r="J249" s="12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 ht="15.75" customHeight="1" x14ac:dyDescent="0.45">
      <c r="A250" s="69"/>
      <c r="B250" s="12"/>
      <c r="C250" s="12"/>
      <c r="D250" s="12"/>
      <c r="E250" s="12"/>
      <c r="F250" s="12"/>
      <c r="G250" s="12"/>
      <c r="H250" s="12"/>
      <c r="I250" s="12"/>
      <c r="J250" s="12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 ht="15.75" customHeight="1" x14ac:dyDescent="0.45">
      <c r="A251" s="69"/>
      <c r="B251" s="12"/>
      <c r="C251" s="12"/>
      <c r="D251" s="12"/>
      <c r="E251" s="12"/>
      <c r="F251" s="12"/>
      <c r="G251" s="12"/>
      <c r="H251" s="12"/>
      <c r="I251" s="12"/>
      <c r="J251" s="12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 ht="15.75" customHeight="1" x14ac:dyDescent="0.45">
      <c r="A252" s="69"/>
      <c r="B252" s="12"/>
      <c r="C252" s="12"/>
      <c r="D252" s="12"/>
      <c r="E252" s="12"/>
      <c r="F252" s="12"/>
      <c r="G252" s="12"/>
      <c r="H252" s="12"/>
      <c r="I252" s="12"/>
      <c r="J252" s="12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 ht="15.75" customHeight="1" x14ac:dyDescent="0.45">
      <c r="A253" s="69"/>
      <c r="B253" s="12"/>
      <c r="C253" s="12"/>
      <c r="D253" s="12"/>
      <c r="E253" s="12"/>
      <c r="F253" s="12"/>
      <c r="G253" s="12"/>
      <c r="H253" s="12"/>
      <c r="I253" s="12"/>
      <c r="J253" s="12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 ht="15.75" customHeight="1" x14ac:dyDescent="0.45">
      <c r="A254" s="69"/>
      <c r="B254" s="12"/>
      <c r="C254" s="12"/>
      <c r="D254" s="12"/>
      <c r="E254" s="12"/>
      <c r="F254" s="12"/>
      <c r="G254" s="12"/>
      <c r="H254" s="12"/>
      <c r="I254" s="12"/>
      <c r="J254" s="12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 ht="15.75" customHeight="1" x14ac:dyDescent="0.45">
      <c r="A255" s="69"/>
      <c r="B255" s="12"/>
      <c r="C255" s="12"/>
      <c r="D255" s="12"/>
      <c r="E255" s="12"/>
      <c r="F255" s="12"/>
      <c r="G255" s="12"/>
      <c r="H255" s="12"/>
      <c r="I255" s="12"/>
      <c r="J255" s="12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 ht="15.75" customHeight="1" x14ac:dyDescent="0.45">
      <c r="A256" s="69"/>
      <c r="B256" s="12"/>
      <c r="C256" s="12"/>
      <c r="D256" s="12"/>
      <c r="E256" s="12"/>
      <c r="F256" s="12"/>
      <c r="G256" s="12"/>
      <c r="H256" s="12"/>
      <c r="I256" s="12"/>
      <c r="J256" s="12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 ht="15.75" customHeight="1" x14ac:dyDescent="0.45">
      <c r="A257" s="69"/>
      <c r="B257" s="12"/>
      <c r="C257" s="12"/>
      <c r="D257" s="12"/>
      <c r="E257" s="12"/>
      <c r="F257" s="12"/>
      <c r="G257" s="12"/>
      <c r="H257" s="12"/>
      <c r="I257" s="12"/>
      <c r="J257" s="12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 ht="15.75" customHeight="1" x14ac:dyDescent="0.45">
      <c r="A258" s="69"/>
      <c r="B258" s="12"/>
      <c r="C258" s="12"/>
      <c r="D258" s="12"/>
      <c r="E258" s="12"/>
      <c r="F258" s="12"/>
      <c r="G258" s="12"/>
      <c r="H258" s="12"/>
      <c r="I258" s="12"/>
      <c r="J258" s="12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 ht="15.75" customHeight="1" x14ac:dyDescent="0.45">
      <c r="A259" s="69"/>
      <c r="B259" s="12"/>
      <c r="C259" s="12"/>
      <c r="D259" s="12"/>
      <c r="E259" s="12"/>
      <c r="F259" s="12"/>
      <c r="G259" s="12"/>
      <c r="H259" s="12"/>
      <c r="I259" s="12"/>
      <c r="J259" s="12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 ht="15.75" customHeight="1" x14ac:dyDescent="0.45">
      <c r="A260" s="69"/>
      <c r="B260" s="12"/>
      <c r="C260" s="12"/>
      <c r="D260" s="12"/>
      <c r="E260" s="12"/>
      <c r="F260" s="12"/>
      <c r="G260" s="12"/>
      <c r="H260" s="12"/>
      <c r="I260" s="12"/>
      <c r="J260" s="12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 ht="15.75" customHeight="1" x14ac:dyDescent="0.45">
      <c r="A261" s="69"/>
      <c r="B261" s="12"/>
      <c r="C261" s="12"/>
      <c r="D261" s="12"/>
      <c r="E261" s="12"/>
      <c r="F261" s="12"/>
      <c r="G261" s="12"/>
      <c r="H261" s="12"/>
      <c r="I261" s="12"/>
      <c r="J261" s="12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 ht="15.75" customHeight="1" x14ac:dyDescent="0.45">
      <c r="A262" s="69"/>
      <c r="B262" s="12"/>
      <c r="C262" s="12"/>
      <c r="D262" s="12"/>
      <c r="E262" s="12"/>
      <c r="F262" s="12"/>
      <c r="G262" s="12"/>
      <c r="H262" s="12"/>
      <c r="I262" s="12"/>
      <c r="J262" s="12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 ht="15.75" customHeight="1" x14ac:dyDescent="0.45">
      <c r="A263" s="69"/>
      <c r="B263" s="12"/>
      <c r="C263" s="12"/>
      <c r="D263" s="12"/>
      <c r="E263" s="12"/>
      <c r="F263" s="12"/>
      <c r="G263" s="12"/>
      <c r="H263" s="12"/>
      <c r="I263" s="12"/>
      <c r="J263" s="12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 ht="15.75" customHeight="1" x14ac:dyDescent="0.45">
      <c r="A264" s="69"/>
      <c r="B264" s="12"/>
      <c r="C264" s="12"/>
      <c r="D264" s="12"/>
      <c r="E264" s="12"/>
      <c r="F264" s="12"/>
      <c r="G264" s="12"/>
      <c r="H264" s="12"/>
      <c r="I264" s="12"/>
      <c r="J264" s="12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 ht="15.75" customHeight="1" x14ac:dyDescent="0.45">
      <c r="A265" s="69"/>
      <c r="B265" s="12"/>
      <c r="C265" s="12"/>
      <c r="D265" s="12"/>
      <c r="E265" s="12"/>
      <c r="F265" s="12"/>
      <c r="G265" s="12"/>
      <c r="H265" s="12"/>
      <c r="I265" s="12"/>
      <c r="J265" s="12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 ht="15.75" customHeight="1" x14ac:dyDescent="0.45">
      <c r="A266" s="69"/>
      <c r="B266" s="12"/>
      <c r="C266" s="12"/>
      <c r="D266" s="12"/>
      <c r="E266" s="12"/>
      <c r="F266" s="12"/>
      <c r="G266" s="12"/>
      <c r="H266" s="12"/>
      <c r="I266" s="12"/>
      <c r="J266" s="12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 ht="15.75" customHeight="1" x14ac:dyDescent="0.45">
      <c r="A267" s="69"/>
      <c r="B267" s="12"/>
      <c r="C267" s="12"/>
      <c r="D267" s="12"/>
      <c r="E267" s="12"/>
      <c r="F267" s="12"/>
      <c r="G267" s="12"/>
      <c r="H267" s="12"/>
      <c r="I267" s="12"/>
      <c r="J267" s="12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 ht="15.75" customHeight="1" x14ac:dyDescent="0.45">
      <c r="A268" s="69"/>
      <c r="B268" s="12"/>
      <c r="C268" s="12"/>
      <c r="D268" s="12"/>
      <c r="E268" s="12"/>
      <c r="F268" s="12"/>
      <c r="G268" s="12"/>
      <c r="H268" s="12"/>
      <c r="I268" s="12"/>
      <c r="J268" s="12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 ht="15.75" customHeight="1" x14ac:dyDescent="0.45">
      <c r="A269" s="69"/>
      <c r="B269" s="12"/>
      <c r="C269" s="12"/>
      <c r="D269" s="12"/>
      <c r="E269" s="12"/>
      <c r="F269" s="12"/>
      <c r="G269" s="12"/>
      <c r="H269" s="12"/>
      <c r="I269" s="12"/>
      <c r="J269" s="12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 ht="15.75" customHeight="1" x14ac:dyDescent="0.45">
      <c r="A270" s="69"/>
      <c r="B270" s="12"/>
      <c r="C270" s="12"/>
      <c r="D270" s="12"/>
      <c r="E270" s="12"/>
      <c r="F270" s="12"/>
      <c r="G270" s="12"/>
      <c r="H270" s="12"/>
      <c r="I270" s="12"/>
      <c r="J270" s="12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 ht="15.75" customHeight="1" x14ac:dyDescent="0.45">
      <c r="A271" s="69"/>
      <c r="B271" s="12"/>
      <c r="C271" s="12"/>
      <c r="D271" s="12"/>
      <c r="E271" s="12"/>
      <c r="F271" s="12"/>
      <c r="G271" s="12"/>
      <c r="H271" s="12"/>
      <c r="I271" s="12"/>
      <c r="J271" s="12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 ht="15.75" customHeight="1" x14ac:dyDescent="0.45">
      <c r="A272" s="69"/>
      <c r="B272" s="12"/>
      <c r="C272" s="12"/>
      <c r="D272" s="12"/>
      <c r="E272" s="12"/>
      <c r="F272" s="12"/>
      <c r="G272" s="12"/>
      <c r="H272" s="12"/>
      <c r="I272" s="12"/>
      <c r="J272" s="12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 ht="15.75" customHeight="1" x14ac:dyDescent="0.45">
      <c r="A273" s="69"/>
      <c r="B273" s="12"/>
      <c r="C273" s="12"/>
      <c r="D273" s="12"/>
      <c r="E273" s="12"/>
      <c r="F273" s="12"/>
      <c r="G273" s="12"/>
      <c r="H273" s="12"/>
      <c r="I273" s="12"/>
      <c r="J273" s="12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 ht="15.75" customHeight="1" x14ac:dyDescent="0.45">
      <c r="A274" s="69"/>
      <c r="B274" s="12"/>
      <c r="C274" s="12"/>
      <c r="D274" s="12"/>
      <c r="E274" s="12"/>
      <c r="F274" s="12"/>
      <c r="G274" s="12"/>
      <c r="H274" s="12"/>
      <c r="I274" s="12"/>
      <c r="J274" s="12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 ht="15.75" customHeight="1" x14ac:dyDescent="0.45">
      <c r="A275" s="69"/>
      <c r="B275" s="12"/>
      <c r="C275" s="12"/>
      <c r="D275" s="12"/>
      <c r="E275" s="12"/>
      <c r="F275" s="12"/>
      <c r="G275" s="12"/>
      <c r="H275" s="12"/>
      <c r="I275" s="12"/>
      <c r="J275" s="12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 ht="15.75" customHeight="1" x14ac:dyDescent="0.45">
      <c r="A276" s="69"/>
      <c r="B276" s="12"/>
      <c r="C276" s="12"/>
      <c r="D276" s="12"/>
      <c r="E276" s="12"/>
      <c r="F276" s="12"/>
      <c r="G276" s="12"/>
      <c r="H276" s="12"/>
      <c r="I276" s="12"/>
      <c r="J276" s="12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 ht="15.75" customHeight="1" x14ac:dyDescent="0.45">
      <c r="A277" s="69"/>
      <c r="B277" s="12"/>
      <c r="C277" s="12"/>
      <c r="D277" s="12"/>
      <c r="E277" s="12"/>
      <c r="F277" s="12"/>
      <c r="G277" s="12"/>
      <c r="H277" s="12"/>
      <c r="I277" s="12"/>
      <c r="J277" s="12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 ht="15.75" customHeight="1" x14ac:dyDescent="0.4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 ht="15.75" customHeight="1" x14ac:dyDescent="0.4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 ht="15.75" customHeight="1" x14ac:dyDescent="0.4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 ht="15.75" customHeight="1" x14ac:dyDescent="0.4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 ht="15.75" customHeight="1" x14ac:dyDescent="0.4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 ht="15.75" customHeight="1" x14ac:dyDescent="0.4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 ht="15.75" customHeight="1" x14ac:dyDescent="0.4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 ht="15.75" customHeight="1" x14ac:dyDescent="0.4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 ht="15.75" customHeight="1" x14ac:dyDescent="0.4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 ht="15.75" customHeight="1" x14ac:dyDescent="0.4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 ht="15.75" customHeight="1" x14ac:dyDescent="0.4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 ht="15.75" customHeight="1" x14ac:dyDescent="0.4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 ht="15.75" customHeight="1" x14ac:dyDescent="0.4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 ht="15.75" customHeight="1" x14ac:dyDescent="0.4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 ht="15.75" customHeight="1" x14ac:dyDescent="0.4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 ht="15.75" customHeight="1" x14ac:dyDescent="0.4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 ht="15.75" customHeight="1" x14ac:dyDescent="0.4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 ht="15.75" customHeight="1" x14ac:dyDescent="0.4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 ht="15.75" customHeight="1" x14ac:dyDescent="0.4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 ht="15.75" customHeight="1" x14ac:dyDescent="0.4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 ht="15.75" customHeight="1" x14ac:dyDescent="0.4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 ht="15.75" customHeight="1" x14ac:dyDescent="0.4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 ht="15.75" customHeight="1" x14ac:dyDescent="0.4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 ht="15.75" customHeight="1" x14ac:dyDescent="0.4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 ht="15.75" customHeight="1" x14ac:dyDescent="0.4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 ht="15.75" customHeight="1" x14ac:dyDescent="0.4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 ht="15.75" customHeight="1" x14ac:dyDescent="0.4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 ht="15.75" customHeight="1" x14ac:dyDescent="0.4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 ht="15.75" customHeight="1" x14ac:dyDescent="0.4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 ht="15.75" customHeight="1" x14ac:dyDescent="0.4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 ht="15.75" customHeight="1" x14ac:dyDescent="0.4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 ht="15.75" customHeight="1" x14ac:dyDescent="0.4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 ht="15.75" customHeight="1" x14ac:dyDescent="0.4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 ht="15.75" customHeight="1" x14ac:dyDescent="0.4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15.75" customHeight="1" x14ac:dyDescent="0.4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 ht="15.75" customHeight="1" x14ac:dyDescent="0.4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 ht="15.75" customHeight="1" x14ac:dyDescent="0.4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 ht="15.75" customHeight="1" x14ac:dyDescent="0.4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 ht="15.75" customHeight="1" x14ac:dyDescent="0.4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 ht="15.75" customHeight="1" x14ac:dyDescent="0.4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15.75" customHeight="1" x14ac:dyDescent="0.4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15.75" customHeight="1" x14ac:dyDescent="0.4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15.75" customHeight="1" x14ac:dyDescent="0.4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15.75" customHeight="1" x14ac:dyDescent="0.4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15.75" customHeight="1" x14ac:dyDescent="0.4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15.75" customHeight="1" x14ac:dyDescent="0.4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15.75" customHeight="1" x14ac:dyDescent="0.4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15.75" customHeight="1" x14ac:dyDescent="0.4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15.75" customHeight="1" x14ac:dyDescent="0.45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15.75" customHeight="1" x14ac:dyDescent="0.45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15.75" customHeight="1" x14ac:dyDescent="0.45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15.75" customHeight="1" x14ac:dyDescent="0.45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15.75" customHeight="1" x14ac:dyDescent="0.45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15.75" customHeight="1" x14ac:dyDescent="0.45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15.75" customHeight="1" x14ac:dyDescent="0.45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15.75" customHeight="1" x14ac:dyDescent="0.45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15.75" customHeight="1" x14ac:dyDescent="0.45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15.75" customHeight="1" x14ac:dyDescent="0.4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15.75" customHeight="1" x14ac:dyDescent="0.45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15.75" customHeight="1" x14ac:dyDescent="0.45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15.75" customHeight="1" x14ac:dyDescent="0.45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15.75" customHeight="1" x14ac:dyDescent="0.45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15.75" customHeight="1" x14ac:dyDescent="0.45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15.75" customHeight="1" x14ac:dyDescent="0.45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15.75" customHeight="1" x14ac:dyDescent="0.45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5.75" customHeight="1" x14ac:dyDescent="0.45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15.75" customHeight="1" x14ac:dyDescent="0.45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15.75" customHeight="1" x14ac:dyDescent="0.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15.75" customHeight="1" x14ac:dyDescent="0.45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15.75" customHeight="1" x14ac:dyDescent="0.45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15.75" customHeight="1" x14ac:dyDescent="0.45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15.75" customHeight="1" x14ac:dyDescent="0.45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15.75" customHeight="1" x14ac:dyDescent="0.45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15.75" customHeight="1" x14ac:dyDescent="0.45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15.75" customHeight="1" x14ac:dyDescent="0.45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15.75" customHeight="1" x14ac:dyDescent="0.45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15.75" customHeight="1" x14ac:dyDescent="0.45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15.75" customHeight="1" x14ac:dyDescent="0.4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15.75" customHeight="1" x14ac:dyDescent="0.4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15.75" customHeight="1" x14ac:dyDescent="0.4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15.75" customHeight="1" x14ac:dyDescent="0.4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15.75" customHeight="1" x14ac:dyDescent="0.4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15.75" customHeight="1" x14ac:dyDescent="0.4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15.75" customHeight="1" x14ac:dyDescent="0.4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15.75" customHeight="1" x14ac:dyDescent="0.4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15.75" customHeight="1" x14ac:dyDescent="0.4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15.75" customHeight="1" x14ac:dyDescent="0.45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15.75" customHeight="1" x14ac:dyDescent="0.4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15.75" customHeight="1" x14ac:dyDescent="0.45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15.75" customHeight="1" x14ac:dyDescent="0.45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15.75" customHeight="1" x14ac:dyDescent="0.45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15.75" customHeight="1" x14ac:dyDescent="0.45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15.75" customHeight="1" x14ac:dyDescent="0.45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15.75" customHeight="1" x14ac:dyDescent="0.45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15.75" customHeight="1" x14ac:dyDescent="0.4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15.75" customHeight="1" x14ac:dyDescent="0.45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15.75" customHeight="1" x14ac:dyDescent="0.45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15.75" customHeight="1" x14ac:dyDescent="0.4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15.75" customHeight="1" x14ac:dyDescent="0.45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15.75" customHeight="1" x14ac:dyDescent="0.45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15.75" customHeight="1" x14ac:dyDescent="0.45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15.75" customHeight="1" x14ac:dyDescent="0.45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15.75" customHeight="1" x14ac:dyDescent="0.45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15.75" customHeight="1" x14ac:dyDescent="0.45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15.75" customHeight="1" x14ac:dyDescent="0.45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15.75" customHeight="1" x14ac:dyDescent="0.45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15.75" customHeight="1" x14ac:dyDescent="0.45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15.75" customHeight="1" x14ac:dyDescent="0.4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15.75" customHeight="1" x14ac:dyDescent="0.45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15.75" customHeight="1" x14ac:dyDescent="0.45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15.75" customHeight="1" x14ac:dyDescent="0.45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15.75" customHeight="1" x14ac:dyDescent="0.45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15.75" customHeight="1" x14ac:dyDescent="0.45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15.75" customHeight="1" x14ac:dyDescent="0.45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15.75" customHeight="1" x14ac:dyDescent="0.45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15.75" customHeight="1" x14ac:dyDescent="0.45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15.75" customHeight="1" x14ac:dyDescent="0.45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15.75" customHeight="1" x14ac:dyDescent="0.4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15.75" customHeight="1" x14ac:dyDescent="0.45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15.75" customHeight="1" x14ac:dyDescent="0.45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15.75" customHeight="1" x14ac:dyDescent="0.45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15.75" customHeight="1" x14ac:dyDescent="0.45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15.75" customHeight="1" x14ac:dyDescent="0.45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15.75" customHeight="1" x14ac:dyDescent="0.45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15.75" customHeight="1" x14ac:dyDescent="0.45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15.75" customHeight="1" x14ac:dyDescent="0.45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15.75" customHeight="1" x14ac:dyDescent="0.45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15.75" customHeight="1" x14ac:dyDescent="0.4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15.75" customHeight="1" x14ac:dyDescent="0.45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15.75" customHeight="1" x14ac:dyDescent="0.45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15.75" customHeight="1" x14ac:dyDescent="0.45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15.75" customHeight="1" x14ac:dyDescent="0.45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15.75" customHeight="1" x14ac:dyDescent="0.45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15.75" customHeight="1" x14ac:dyDescent="0.45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15.75" customHeight="1" x14ac:dyDescent="0.45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15.75" customHeight="1" x14ac:dyDescent="0.45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15.75" customHeight="1" x14ac:dyDescent="0.45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15.75" customHeight="1" x14ac:dyDescent="0.4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15.75" customHeight="1" x14ac:dyDescent="0.4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15.75" customHeight="1" x14ac:dyDescent="0.45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15.75" customHeight="1" x14ac:dyDescent="0.45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15.75" customHeight="1" x14ac:dyDescent="0.45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15.75" customHeight="1" x14ac:dyDescent="0.45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15.75" customHeight="1" x14ac:dyDescent="0.45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15.75" customHeight="1" x14ac:dyDescent="0.45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15.75" customHeight="1" x14ac:dyDescent="0.45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15.75" customHeight="1" x14ac:dyDescent="0.45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15.75" customHeight="1" x14ac:dyDescent="0.4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15.75" customHeight="1" x14ac:dyDescent="0.45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15.75" customHeight="1" x14ac:dyDescent="0.45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15.75" customHeight="1" x14ac:dyDescent="0.45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15.75" customHeight="1" x14ac:dyDescent="0.45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15.75" customHeight="1" x14ac:dyDescent="0.45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15.75" customHeight="1" x14ac:dyDescent="0.45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15.75" customHeight="1" x14ac:dyDescent="0.45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15.75" customHeight="1" x14ac:dyDescent="0.45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15.75" customHeight="1" x14ac:dyDescent="0.45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15.75" customHeight="1" x14ac:dyDescent="0.4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15.75" customHeight="1" x14ac:dyDescent="0.45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15.75" customHeight="1" x14ac:dyDescent="0.45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15.75" customHeight="1" x14ac:dyDescent="0.45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15.75" customHeight="1" x14ac:dyDescent="0.45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15.75" customHeight="1" x14ac:dyDescent="0.45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15.75" customHeight="1" x14ac:dyDescent="0.45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15.75" customHeight="1" x14ac:dyDescent="0.45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15.75" customHeight="1" x14ac:dyDescent="0.45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15.75" customHeight="1" x14ac:dyDescent="0.45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15.75" customHeight="1" x14ac:dyDescent="0.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15.75" customHeight="1" x14ac:dyDescent="0.45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15.75" customHeight="1" x14ac:dyDescent="0.45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15.75" customHeight="1" x14ac:dyDescent="0.45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15.75" customHeight="1" x14ac:dyDescent="0.45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15.75" customHeight="1" x14ac:dyDescent="0.45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15.75" customHeight="1" x14ac:dyDescent="0.4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15.75" customHeight="1" x14ac:dyDescent="0.45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15.75" customHeight="1" x14ac:dyDescent="0.45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15.75" customHeight="1" x14ac:dyDescent="0.45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15.75" customHeight="1" x14ac:dyDescent="0.4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15.75" customHeight="1" x14ac:dyDescent="0.45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15.75" customHeight="1" x14ac:dyDescent="0.45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15.75" customHeight="1" x14ac:dyDescent="0.45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15.75" customHeight="1" x14ac:dyDescent="0.4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15.75" customHeight="1" x14ac:dyDescent="0.4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15.75" customHeight="1" x14ac:dyDescent="0.4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15.75" customHeight="1" x14ac:dyDescent="0.4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15.75" customHeight="1" x14ac:dyDescent="0.4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15.75" customHeight="1" x14ac:dyDescent="0.4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15.75" customHeight="1" x14ac:dyDescent="0.4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15.75" customHeight="1" x14ac:dyDescent="0.4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15.75" customHeight="1" x14ac:dyDescent="0.4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15.75" customHeight="1" x14ac:dyDescent="0.4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15.75" customHeight="1" x14ac:dyDescent="0.4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15.75" customHeight="1" x14ac:dyDescent="0.4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15.75" customHeight="1" x14ac:dyDescent="0.4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15.75" customHeight="1" x14ac:dyDescent="0.4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15.75" customHeight="1" x14ac:dyDescent="0.4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15.75" customHeight="1" x14ac:dyDescent="0.4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15.75" customHeight="1" x14ac:dyDescent="0.4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15.75" customHeight="1" x14ac:dyDescent="0.4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15.75" customHeight="1" x14ac:dyDescent="0.4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15.75" customHeight="1" x14ac:dyDescent="0.4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15.75" customHeight="1" x14ac:dyDescent="0.4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15.75" customHeight="1" x14ac:dyDescent="0.4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15.75" customHeight="1" x14ac:dyDescent="0.4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15.75" customHeight="1" x14ac:dyDescent="0.4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15.75" customHeight="1" x14ac:dyDescent="0.4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15.75" customHeight="1" x14ac:dyDescent="0.4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15.75" customHeight="1" x14ac:dyDescent="0.4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15.75" customHeight="1" x14ac:dyDescent="0.4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15.75" customHeight="1" x14ac:dyDescent="0.4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15.75" customHeight="1" x14ac:dyDescent="0.4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15.75" customHeight="1" x14ac:dyDescent="0.4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15.75" customHeight="1" x14ac:dyDescent="0.4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15.75" customHeight="1" x14ac:dyDescent="0.4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15.75" customHeight="1" x14ac:dyDescent="0.4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15.75" customHeight="1" x14ac:dyDescent="0.4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15.75" customHeight="1" x14ac:dyDescent="0.4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15.75" customHeight="1" x14ac:dyDescent="0.4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15.75" customHeight="1" x14ac:dyDescent="0.4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15.75" customHeight="1" x14ac:dyDescent="0.4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15.75" customHeight="1" x14ac:dyDescent="0.4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15.75" customHeight="1" x14ac:dyDescent="0.4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15.75" customHeight="1" x14ac:dyDescent="0.4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15.75" customHeight="1" x14ac:dyDescent="0.4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15.75" customHeight="1" x14ac:dyDescent="0.4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15.75" customHeight="1" x14ac:dyDescent="0.4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15.75" customHeight="1" x14ac:dyDescent="0.4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15.75" customHeight="1" x14ac:dyDescent="0.4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15.75" customHeight="1" x14ac:dyDescent="0.4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15.75" customHeight="1" x14ac:dyDescent="0.4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15.75" customHeight="1" x14ac:dyDescent="0.4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15.75" customHeight="1" x14ac:dyDescent="0.4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15.75" customHeight="1" x14ac:dyDescent="0.4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15.75" customHeight="1" x14ac:dyDescent="0.4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15.75" customHeight="1" x14ac:dyDescent="0.4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15.75" customHeight="1" x14ac:dyDescent="0.4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15.75" customHeight="1" x14ac:dyDescent="0.4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15.75" customHeight="1" x14ac:dyDescent="0.4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15.75" customHeight="1" x14ac:dyDescent="0.4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15.75" customHeight="1" x14ac:dyDescent="0.4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15.75" customHeight="1" x14ac:dyDescent="0.4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15.75" customHeight="1" x14ac:dyDescent="0.4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15.75" customHeight="1" x14ac:dyDescent="0.4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15.75" customHeight="1" x14ac:dyDescent="0.4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15.75" customHeight="1" x14ac:dyDescent="0.4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15.75" customHeight="1" x14ac:dyDescent="0.4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15.75" customHeight="1" x14ac:dyDescent="0.4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15.75" customHeight="1" x14ac:dyDescent="0.4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15.75" customHeight="1" x14ac:dyDescent="0.4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15.75" customHeight="1" x14ac:dyDescent="0.4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15.75" customHeight="1" x14ac:dyDescent="0.4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15.75" customHeight="1" x14ac:dyDescent="0.4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15.75" customHeight="1" x14ac:dyDescent="0.4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15.75" customHeight="1" x14ac:dyDescent="0.4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15.75" customHeight="1" x14ac:dyDescent="0.4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15.75" customHeight="1" x14ac:dyDescent="0.4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15.75" customHeight="1" x14ac:dyDescent="0.4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15.75" customHeight="1" x14ac:dyDescent="0.4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15.75" customHeight="1" x14ac:dyDescent="0.4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15.75" customHeight="1" x14ac:dyDescent="0.4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15.75" customHeight="1" x14ac:dyDescent="0.4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15.75" customHeight="1" x14ac:dyDescent="0.4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15.75" customHeight="1" x14ac:dyDescent="0.4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15.75" customHeight="1" x14ac:dyDescent="0.4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15.75" customHeight="1" x14ac:dyDescent="0.4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15.75" customHeight="1" x14ac:dyDescent="0.4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15.75" customHeight="1" x14ac:dyDescent="0.4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15.75" customHeight="1" x14ac:dyDescent="0.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15.75" customHeight="1" x14ac:dyDescent="0.4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15.75" customHeight="1" x14ac:dyDescent="0.4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15.75" customHeight="1" x14ac:dyDescent="0.4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15.75" customHeight="1" x14ac:dyDescent="0.4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15.75" customHeight="1" x14ac:dyDescent="0.4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15.75" customHeight="1" x14ac:dyDescent="0.4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15.75" customHeight="1" x14ac:dyDescent="0.4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15.75" customHeight="1" x14ac:dyDescent="0.4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15.75" customHeight="1" x14ac:dyDescent="0.4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15.75" customHeight="1" x14ac:dyDescent="0.4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15.75" customHeight="1" x14ac:dyDescent="0.4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15.75" customHeight="1" x14ac:dyDescent="0.4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15.75" customHeight="1" x14ac:dyDescent="0.4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15.75" customHeight="1" x14ac:dyDescent="0.4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15.75" customHeight="1" x14ac:dyDescent="0.4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15.75" customHeight="1" x14ac:dyDescent="0.4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15.75" customHeight="1" x14ac:dyDescent="0.4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15.75" customHeight="1" x14ac:dyDescent="0.4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15.75" customHeight="1" x14ac:dyDescent="0.4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15.75" customHeight="1" x14ac:dyDescent="0.4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15.75" customHeight="1" x14ac:dyDescent="0.4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15.75" customHeight="1" x14ac:dyDescent="0.4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15.75" customHeight="1" x14ac:dyDescent="0.4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15.75" customHeight="1" x14ac:dyDescent="0.4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15.75" customHeight="1" x14ac:dyDescent="0.4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15.75" customHeight="1" x14ac:dyDescent="0.4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15.75" customHeight="1" x14ac:dyDescent="0.4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15.75" customHeight="1" x14ac:dyDescent="0.4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15.75" customHeight="1" x14ac:dyDescent="0.4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15.75" customHeight="1" x14ac:dyDescent="0.4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15.75" customHeight="1" x14ac:dyDescent="0.4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15.75" customHeight="1" x14ac:dyDescent="0.4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15.75" customHeight="1" x14ac:dyDescent="0.4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15.75" customHeight="1" x14ac:dyDescent="0.4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15.75" customHeight="1" x14ac:dyDescent="0.4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15.75" customHeight="1" x14ac:dyDescent="0.4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15.75" customHeight="1" x14ac:dyDescent="0.4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15.75" customHeight="1" x14ac:dyDescent="0.4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15.75" customHeight="1" x14ac:dyDescent="0.4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15.75" customHeight="1" x14ac:dyDescent="0.4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15.75" customHeight="1" x14ac:dyDescent="0.4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15.75" customHeight="1" x14ac:dyDescent="0.4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15.75" customHeight="1" x14ac:dyDescent="0.4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15.75" customHeight="1" x14ac:dyDescent="0.4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15.75" customHeight="1" x14ac:dyDescent="0.4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15.75" customHeight="1" x14ac:dyDescent="0.4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15.75" customHeight="1" x14ac:dyDescent="0.4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15.75" customHeight="1" x14ac:dyDescent="0.4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15.75" customHeight="1" x14ac:dyDescent="0.4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15.75" customHeight="1" x14ac:dyDescent="0.4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15.75" customHeight="1" x14ac:dyDescent="0.4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15.75" customHeight="1" x14ac:dyDescent="0.4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15.75" customHeight="1" x14ac:dyDescent="0.4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15.75" customHeight="1" x14ac:dyDescent="0.4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15.75" customHeight="1" x14ac:dyDescent="0.4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15.75" customHeight="1" x14ac:dyDescent="0.4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15.75" customHeight="1" x14ac:dyDescent="0.4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15.75" customHeight="1" x14ac:dyDescent="0.4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15.75" customHeight="1" x14ac:dyDescent="0.4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15.75" customHeight="1" x14ac:dyDescent="0.4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15.75" customHeight="1" x14ac:dyDescent="0.4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15.75" customHeight="1" x14ac:dyDescent="0.4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15.75" customHeight="1" x14ac:dyDescent="0.4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15.75" customHeight="1" x14ac:dyDescent="0.4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15.75" customHeight="1" x14ac:dyDescent="0.4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15.75" customHeight="1" x14ac:dyDescent="0.4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15.75" customHeight="1" x14ac:dyDescent="0.4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15.75" customHeight="1" x14ac:dyDescent="0.4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15.75" customHeight="1" x14ac:dyDescent="0.4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15.75" customHeight="1" x14ac:dyDescent="0.4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15.75" customHeight="1" x14ac:dyDescent="0.4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15.75" customHeight="1" x14ac:dyDescent="0.4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15.75" customHeight="1" x14ac:dyDescent="0.4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15.75" customHeight="1" x14ac:dyDescent="0.4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15.75" customHeight="1" x14ac:dyDescent="0.4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15.75" customHeight="1" x14ac:dyDescent="0.4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15.75" customHeight="1" x14ac:dyDescent="0.4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15.75" customHeight="1" x14ac:dyDescent="0.4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15.75" customHeight="1" x14ac:dyDescent="0.4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15.75" customHeight="1" x14ac:dyDescent="0.4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15.75" customHeight="1" x14ac:dyDescent="0.4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15.75" customHeight="1" x14ac:dyDescent="0.4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15.75" customHeight="1" x14ac:dyDescent="0.4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15.75" customHeight="1" x14ac:dyDescent="0.4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15.75" customHeight="1" x14ac:dyDescent="0.4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15.75" customHeight="1" x14ac:dyDescent="0.4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15.75" customHeight="1" x14ac:dyDescent="0.4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15.75" customHeight="1" x14ac:dyDescent="0.4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15.75" customHeight="1" x14ac:dyDescent="0.4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15.75" customHeight="1" x14ac:dyDescent="0.4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15.75" customHeight="1" x14ac:dyDescent="0.4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15.75" customHeight="1" x14ac:dyDescent="0.4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15.75" customHeight="1" x14ac:dyDescent="0.4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15.75" customHeight="1" x14ac:dyDescent="0.4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15.75" customHeight="1" x14ac:dyDescent="0.4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15.75" customHeight="1" x14ac:dyDescent="0.4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15.75" customHeight="1" x14ac:dyDescent="0.4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15.75" customHeight="1" x14ac:dyDescent="0.4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15.75" customHeight="1" x14ac:dyDescent="0.4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15.75" customHeight="1" x14ac:dyDescent="0.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15.75" customHeight="1" x14ac:dyDescent="0.4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15.75" customHeight="1" x14ac:dyDescent="0.4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15.75" customHeight="1" x14ac:dyDescent="0.4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15.75" customHeight="1" x14ac:dyDescent="0.4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15.75" customHeight="1" x14ac:dyDescent="0.4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15.75" customHeight="1" x14ac:dyDescent="0.4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15.75" customHeight="1" x14ac:dyDescent="0.4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15.75" customHeight="1" x14ac:dyDescent="0.4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15.75" customHeight="1" x14ac:dyDescent="0.4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15.75" customHeight="1" x14ac:dyDescent="0.4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15.75" customHeight="1" x14ac:dyDescent="0.4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15.75" customHeight="1" x14ac:dyDescent="0.4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15.75" customHeight="1" x14ac:dyDescent="0.4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15.75" customHeight="1" x14ac:dyDescent="0.4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15.75" customHeight="1" x14ac:dyDescent="0.4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15.75" customHeight="1" x14ac:dyDescent="0.4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15.75" customHeight="1" x14ac:dyDescent="0.4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15.75" customHeight="1" x14ac:dyDescent="0.4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15.75" customHeight="1" x14ac:dyDescent="0.4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15.75" customHeight="1" x14ac:dyDescent="0.4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15.75" customHeight="1" x14ac:dyDescent="0.4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15.75" customHeight="1" x14ac:dyDescent="0.4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15.75" customHeight="1" x14ac:dyDescent="0.4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15.75" customHeight="1" x14ac:dyDescent="0.4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15.75" customHeight="1" x14ac:dyDescent="0.4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15.75" customHeight="1" x14ac:dyDescent="0.4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15.75" customHeight="1" x14ac:dyDescent="0.4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15.75" customHeight="1" x14ac:dyDescent="0.4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15.75" customHeight="1" x14ac:dyDescent="0.4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15.75" customHeight="1" x14ac:dyDescent="0.4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15.75" customHeight="1" x14ac:dyDescent="0.4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15.75" customHeight="1" x14ac:dyDescent="0.4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15.75" customHeight="1" x14ac:dyDescent="0.4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15.75" customHeight="1" x14ac:dyDescent="0.4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15.75" customHeight="1" x14ac:dyDescent="0.4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15.75" customHeight="1" x14ac:dyDescent="0.4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15.75" customHeight="1" x14ac:dyDescent="0.4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15.75" customHeight="1" x14ac:dyDescent="0.4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15.75" customHeight="1" x14ac:dyDescent="0.4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15.75" customHeight="1" x14ac:dyDescent="0.4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15.75" customHeight="1" x14ac:dyDescent="0.4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15.75" customHeight="1" x14ac:dyDescent="0.4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15.75" customHeight="1" x14ac:dyDescent="0.4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15.75" customHeight="1" x14ac:dyDescent="0.4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15.75" customHeight="1" x14ac:dyDescent="0.4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15.75" customHeight="1" x14ac:dyDescent="0.4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15.75" customHeight="1" x14ac:dyDescent="0.4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15.75" customHeight="1" x14ac:dyDescent="0.4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15.75" customHeight="1" x14ac:dyDescent="0.4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15.75" customHeight="1" x14ac:dyDescent="0.4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15.75" customHeight="1" x14ac:dyDescent="0.4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15.75" customHeight="1" x14ac:dyDescent="0.4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15.75" customHeight="1" x14ac:dyDescent="0.4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15.75" customHeight="1" x14ac:dyDescent="0.4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15.75" customHeight="1" x14ac:dyDescent="0.4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15.75" customHeight="1" x14ac:dyDescent="0.4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15.75" customHeight="1" x14ac:dyDescent="0.4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15.75" customHeight="1" x14ac:dyDescent="0.4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15.75" customHeight="1" x14ac:dyDescent="0.4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15.75" customHeight="1" x14ac:dyDescent="0.4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15.75" customHeight="1" x14ac:dyDescent="0.4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15.75" customHeight="1" x14ac:dyDescent="0.4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15.75" customHeight="1" x14ac:dyDescent="0.4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15.75" customHeight="1" x14ac:dyDescent="0.4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15.75" customHeight="1" x14ac:dyDescent="0.4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15.75" customHeight="1" x14ac:dyDescent="0.4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15.75" customHeight="1" x14ac:dyDescent="0.4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15.75" customHeight="1" x14ac:dyDescent="0.4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15.75" customHeight="1" x14ac:dyDescent="0.4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15.75" customHeight="1" x14ac:dyDescent="0.4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15.75" customHeight="1" x14ac:dyDescent="0.4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15.75" customHeight="1" x14ac:dyDescent="0.4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15.75" customHeight="1" x14ac:dyDescent="0.4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15.75" customHeight="1" x14ac:dyDescent="0.4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15.75" customHeight="1" x14ac:dyDescent="0.4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15.75" customHeight="1" x14ac:dyDescent="0.4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15.75" customHeight="1" x14ac:dyDescent="0.4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15.75" customHeight="1" x14ac:dyDescent="0.4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15.75" customHeight="1" x14ac:dyDescent="0.4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15.75" customHeight="1" x14ac:dyDescent="0.4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15.75" customHeight="1" x14ac:dyDescent="0.4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15.75" customHeight="1" x14ac:dyDescent="0.4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15.75" customHeight="1" x14ac:dyDescent="0.4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15.75" customHeight="1" x14ac:dyDescent="0.4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15.75" customHeight="1" x14ac:dyDescent="0.4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15.75" customHeight="1" x14ac:dyDescent="0.4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15.75" customHeight="1" x14ac:dyDescent="0.4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15.75" customHeight="1" x14ac:dyDescent="0.4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15.75" customHeight="1" x14ac:dyDescent="0.4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15.75" customHeight="1" x14ac:dyDescent="0.4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15.75" customHeight="1" x14ac:dyDescent="0.4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15.75" customHeight="1" x14ac:dyDescent="0.4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15.75" customHeight="1" x14ac:dyDescent="0.4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15.75" customHeight="1" x14ac:dyDescent="0.4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15.75" customHeight="1" x14ac:dyDescent="0.4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15.75" customHeight="1" x14ac:dyDescent="0.4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15.75" customHeight="1" x14ac:dyDescent="0.4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15.75" customHeight="1" x14ac:dyDescent="0.4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15.75" customHeight="1" x14ac:dyDescent="0.4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15.75" customHeight="1" x14ac:dyDescent="0.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15.75" customHeight="1" x14ac:dyDescent="0.4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15.75" customHeight="1" x14ac:dyDescent="0.4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15.75" customHeight="1" x14ac:dyDescent="0.4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15.75" customHeight="1" x14ac:dyDescent="0.4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15.75" customHeight="1" x14ac:dyDescent="0.4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15.75" customHeight="1" x14ac:dyDescent="0.4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15.75" customHeight="1" x14ac:dyDescent="0.4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15.75" customHeight="1" x14ac:dyDescent="0.4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15.75" customHeight="1" x14ac:dyDescent="0.4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15.75" customHeight="1" x14ac:dyDescent="0.4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15.75" customHeight="1" x14ac:dyDescent="0.4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15.75" customHeight="1" x14ac:dyDescent="0.4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15.75" customHeight="1" x14ac:dyDescent="0.4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15.75" customHeight="1" x14ac:dyDescent="0.4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15.75" customHeight="1" x14ac:dyDescent="0.4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15.75" customHeight="1" x14ac:dyDescent="0.4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15.75" customHeight="1" x14ac:dyDescent="0.4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15.75" customHeight="1" x14ac:dyDescent="0.4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15.75" customHeight="1" x14ac:dyDescent="0.4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15.75" customHeight="1" x14ac:dyDescent="0.4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15.75" customHeight="1" x14ac:dyDescent="0.4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15.75" customHeight="1" x14ac:dyDescent="0.4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15.75" customHeight="1" x14ac:dyDescent="0.4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15.75" customHeight="1" x14ac:dyDescent="0.4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15.75" customHeight="1" x14ac:dyDescent="0.4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15.75" customHeight="1" x14ac:dyDescent="0.4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15.75" customHeight="1" x14ac:dyDescent="0.4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15.75" customHeight="1" x14ac:dyDescent="0.4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15.75" customHeight="1" x14ac:dyDescent="0.4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15.75" customHeight="1" x14ac:dyDescent="0.4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15.75" customHeight="1" x14ac:dyDescent="0.4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15.75" customHeight="1" x14ac:dyDescent="0.4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15.75" customHeight="1" x14ac:dyDescent="0.4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15.75" customHeight="1" x14ac:dyDescent="0.4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15.75" customHeight="1" x14ac:dyDescent="0.4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15.75" customHeight="1" x14ac:dyDescent="0.4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15.75" customHeight="1" x14ac:dyDescent="0.4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15.75" customHeight="1" x14ac:dyDescent="0.45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15.75" customHeight="1" x14ac:dyDescent="0.45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15.75" customHeight="1" x14ac:dyDescent="0.4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15.75" customHeight="1" x14ac:dyDescent="0.45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15.75" customHeight="1" x14ac:dyDescent="0.45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15.75" customHeight="1" x14ac:dyDescent="0.45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15.75" customHeight="1" x14ac:dyDescent="0.45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15.75" customHeight="1" x14ac:dyDescent="0.45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15.75" customHeight="1" x14ac:dyDescent="0.45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15.75" customHeight="1" x14ac:dyDescent="0.45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15.75" customHeight="1" x14ac:dyDescent="0.45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15.75" customHeight="1" x14ac:dyDescent="0.45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15.75" customHeight="1" x14ac:dyDescent="0.4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15.75" customHeight="1" x14ac:dyDescent="0.45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15.75" customHeight="1" x14ac:dyDescent="0.45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15.75" customHeight="1" x14ac:dyDescent="0.45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 ht="15.75" customHeight="1" x14ac:dyDescent="0.45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 ht="15.75" customHeight="1" x14ac:dyDescent="0.45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 ht="15.75" customHeight="1" x14ac:dyDescent="0.45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 ht="15.75" customHeight="1" x14ac:dyDescent="0.45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 ht="15.75" customHeight="1" x14ac:dyDescent="0.45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 ht="15.75" customHeight="1" x14ac:dyDescent="0.45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 ht="15.75" customHeight="1" x14ac:dyDescent="0.4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 ht="15.75" customHeight="1" x14ac:dyDescent="0.45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 ht="15.75" customHeight="1" x14ac:dyDescent="0.45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 ht="15.75" customHeight="1" x14ac:dyDescent="0.45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 ht="15.75" customHeight="1" x14ac:dyDescent="0.45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 ht="15.75" customHeight="1" x14ac:dyDescent="0.45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 ht="15.75" customHeight="1" x14ac:dyDescent="0.45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 ht="15.75" customHeight="1" x14ac:dyDescent="0.45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 ht="15.75" customHeight="1" x14ac:dyDescent="0.45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 ht="15.75" customHeight="1" x14ac:dyDescent="0.45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 ht="15.75" customHeight="1" x14ac:dyDescent="0.4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 ht="15.75" customHeight="1" x14ac:dyDescent="0.45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 ht="15.75" customHeight="1" x14ac:dyDescent="0.45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 ht="15.75" customHeight="1" x14ac:dyDescent="0.45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 ht="15.75" customHeight="1" x14ac:dyDescent="0.45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 ht="15.75" customHeight="1" x14ac:dyDescent="0.45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 ht="15.75" customHeight="1" x14ac:dyDescent="0.4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 ht="15.75" customHeight="1" x14ac:dyDescent="0.45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 ht="15.75" customHeight="1" x14ac:dyDescent="0.45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 ht="15.75" customHeight="1" x14ac:dyDescent="0.4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 ht="15.75" customHeight="1" x14ac:dyDescent="0.4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 ht="15.75" customHeight="1" x14ac:dyDescent="0.45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 ht="15.75" customHeight="1" x14ac:dyDescent="0.4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 ht="15.75" customHeight="1" x14ac:dyDescent="0.45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 ht="15.75" customHeight="1" x14ac:dyDescent="0.4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 ht="15.75" customHeight="1" x14ac:dyDescent="0.45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 ht="15.75" customHeight="1" x14ac:dyDescent="0.45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 ht="15.75" customHeight="1" x14ac:dyDescent="0.45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 ht="15.75" customHeight="1" x14ac:dyDescent="0.45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 ht="15.75" customHeight="1" x14ac:dyDescent="0.45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 ht="15.75" customHeight="1" x14ac:dyDescent="0.4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 ht="15.75" customHeight="1" x14ac:dyDescent="0.45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 ht="15.75" customHeight="1" x14ac:dyDescent="0.45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 ht="15.75" customHeight="1" x14ac:dyDescent="0.45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 ht="15.75" customHeight="1" x14ac:dyDescent="0.45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 ht="15.75" customHeight="1" x14ac:dyDescent="0.45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 ht="15.75" customHeight="1" x14ac:dyDescent="0.45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 ht="15.75" customHeight="1" x14ac:dyDescent="0.45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 ht="15.75" customHeight="1" x14ac:dyDescent="0.45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 ht="15.75" customHeight="1" x14ac:dyDescent="0.45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 ht="15.75" customHeight="1" x14ac:dyDescent="0.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 ht="15.75" customHeight="1" x14ac:dyDescent="0.45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 ht="15.75" customHeight="1" x14ac:dyDescent="0.45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 ht="15.75" customHeight="1" x14ac:dyDescent="0.45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 ht="15.75" customHeight="1" x14ac:dyDescent="0.45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 ht="15.75" customHeight="1" x14ac:dyDescent="0.45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 ht="15.75" customHeight="1" x14ac:dyDescent="0.45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 ht="15.75" customHeight="1" x14ac:dyDescent="0.45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 ht="15.75" customHeight="1" x14ac:dyDescent="0.45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 ht="15.75" customHeight="1" x14ac:dyDescent="0.45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 ht="15.75" customHeight="1" x14ac:dyDescent="0.4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 ht="15.75" customHeight="1" x14ac:dyDescent="0.45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 ht="15.75" customHeight="1" x14ac:dyDescent="0.45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 ht="15.75" customHeight="1" x14ac:dyDescent="0.45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 ht="15.75" customHeight="1" x14ac:dyDescent="0.45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 ht="15.75" customHeight="1" x14ac:dyDescent="0.45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 ht="15.75" customHeight="1" x14ac:dyDescent="0.45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 ht="15.75" customHeight="1" x14ac:dyDescent="0.45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 ht="15.75" customHeight="1" x14ac:dyDescent="0.45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 ht="15.75" customHeight="1" x14ac:dyDescent="0.45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 ht="15.75" customHeight="1" x14ac:dyDescent="0.4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 ht="15.75" customHeight="1" x14ac:dyDescent="0.45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 ht="15.75" customHeight="1" x14ac:dyDescent="0.45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 ht="15.75" customHeight="1" x14ac:dyDescent="0.45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 ht="15.75" customHeight="1" x14ac:dyDescent="0.45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 ht="15.75" customHeight="1" x14ac:dyDescent="0.4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 ht="15.75" customHeight="1" x14ac:dyDescent="0.45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 ht="15.75" customHeight="1" x14ac:dyDescent="0.45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 ht="15.75" customHeight="1" x14ac:dyDescent="0.45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 ht="15.75" customHeight="1" x14ac:dyDescent="0.45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 ht="15.75" customHeight="1" x14ac:dyDescent="0.4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 ht="15.75" customHeight="1" x14ac:dyDescent="0.45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 ht="15.75" customHeight="1" x14ac:dyDescent="0.45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 ht="15.75" customHeight="1" x14ac:dyDescent="0.45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 ht="15.75" customHeight="1" x14ac:dyDescent="0.45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 ht="15.75" customHeight="1" x14ac:dyDescent="0.45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 ht="15.75" customHeight="1" x14ac:dyDescent="0.45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 ht="15.75" customHeight="1" x14ac:dyDescent="0.45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 ht="15.75" customHeight="1" x14ac:dyDescent="0.45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 ht="15.75" customHeight="1" x14ac:dyDescent="0.45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 ht="15.75" customHeight="1" x14ac:dyDescent="0.4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 ht="15.75" customHeight="1" x14ac:dyDescent="0.45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 ht="15.75" customHeight="1" x14ac:dyDescent="0.45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 ht="15.75" customHeight="1" x14ac:dyDescent="0.45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 ht="15.75" customHeight="1" x14ac:dyDescent="0.45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 ht="15.75" customHeight="1" x14ac:dyDescent="0.45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 ht="15.75" customHeight="1" x14ac:dyDescent="0.4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 ht="15.75" customHeight="1" x14ac:dyDescent="0.45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 ht="15.75" customHeight="1" x14ac:dyDescent="0.45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 ht="15.75" customHeight="1" x14ac:dyDescent="0.45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 ht="15.75" customHeight="1" x14ac:dyDescent="0.4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 ht="15.75" customHeight="1" x14ac:dyDescent="0.45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 ht="15.75" customHeight="1" x14ac:dyDescent="0.45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 ht="15.75" customHeight="1" x14ac:dyDescent="0.45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 ht="15.75" customHeight="1" x14ac:dyDescent="0.45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 ht="15.75" customHeight="1" x14ac:dyDescent="0.45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 ht="15.75" customHeight="1" x14ac:dyDescent="0.45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 ht="15.75" customHeight="1" x14ac:dyDescent="0.45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 ht="15.75" customHeight="1" x14ac:dyDescent="0.45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 ht="15.75" customHeight="1" x14ac:dyDescent="0.45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 ht="15.75" customHeight="1" x14ac:dyDescent="0.4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 ht="15.75" customHeight="1" x14ac:dyDescent="0.45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 ht="15.75" customHeight="1" x14ac:dyDescent="0.45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 ht="15.75" customHeight="1" x14ac:dyDescent="0.45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 ht="15.75" customHeight="1" x14ac:dyDescent="0.45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 ht="15.75" customHeight="1" x14ac:dyDescent="0.45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 ht="15.75" customHeight="1" x14ac:dyDescent="0.45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 ht="15.75" customHeight="1" x14ac:dyDescent="0.45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 ht="15.75" customHeight="1" x14ac:dyDescent="0.45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 ht="15.75" customHeight="1" x14ac:dyDescent="0.45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 ht="15.75" customHeight="1" x14ac:dyDescent="0.4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 ht="15.75" customHeight="1" x14ac:dyDescent="0.45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 ht="15.75" customHeight="1" x14ac:dyDescent="0.45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 ht="15.75" customHeight="1" x14ac:dyDescent="0.45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 ht="15.75" customHeight="1" x14ac:dyDescent="0.45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 ht="15.75" customHeight="1" x14ac:dyDescent="0.45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 ht="15.75" customHeight="1" x14ac:dyDescent="0.45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 ht="15.75" customHeight="1" x14ac:dyDescent="0.45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 ht="15.75" customHeight="1" x14ac:dyDescent="0.45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 ht="15.75" customHeight="1" x14ac:dyDescent="0.45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 ht="15.75" customHeight="1" x14ac:dyDescent="0.4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 ht="15.75" customHeight="1" x14ac:dyDescent="0.45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 ht="15.75" customHeight="1" x14ac:dyDescent="0.45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 ht="15.75" customHeight="1" x14ac:dyDescent="0.45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 ht="15.75" customHeight="1" x14ac:dyDescent="0.45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 ht="15.75" customHeight="1" x14ac:dyDescent="0.45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 ht="15.75" customHeight="1" x14ac:dyDescent="0.45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 ht="15.75" customHeight="1" x14ac:dyDescent="0.45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 ht="15.75" customHeight="1" x14ac:dyDescent="0.45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 ht="15.75" customHeight="1" x14ac:dyDescent="0.45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 ht="15.75" customHeight="1" x14ac:dyDescent="0.4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 ht="15.75" customHeight="1" x14ac:dyDescent="0.45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 ht="15.75" customHeight="1" x14ac:dyDescent="0.45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 ht="15.75" customHeight="1" x14ac:dyDescent="0.45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 ht="15.75" customHeight="1" x14ac:dyDescent="0.45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 ht="15.75" customHeight="1" x14ac:dyDescent="0.45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 ht="15.75" customHeight="1" x14ac:dyDescent="0.45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 ht="15.75" customHeight="1" x14ac:dyDescent="0.45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 ht="15.75" customHeight="1" x14ac:dyDescent="0.45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 ht="15.75" customHeight="1" x14ac:dyDescent="0.45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 ht="15.75" customHeight="1" x14ac:dyDescent="0.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 ht="15.75" customHeight="1" x14ac:dyDescent="0.45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 ht="15.75" customHeight="1" x14ac:dyDescent="0.45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 ht="15.75" customHeight="1" x14ac:dyDescent="0.45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 ht="15.75" customHeight="1" x14ac:dyDescent="0.45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 ht="15.75" customHeight="1" x14ac:dyDescent="0.45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 ht="15.75" customHeight="1" x14ac:dyDescent="0.45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 ht="15.75" customHeight="1" x14ac:dyDescent="0.45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 ht="15.75" customHeight="1" x14ac:dyDescent="0.45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 ht="15.75" customHeight="1" x14ac:dyDescent="0.45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 ht="15.75" customHeight="1" x14ac:dyDescent="0.4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 ht="15.75" customHeight="1" x14ac:dyDescent="0.45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 ht="15.75" customHeight="1" x14ac:dyDescent="0.45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 ht="15.75" customHeight="1" x14ac:dyDescent="0.45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 ht="15.75" customHeight="1" x14ac:dyDescent="0.45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 ht="15.75" customHeight="1" x14ac:dyDescent="0.45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 ht="15.75" customHeight="1" x14ac:dyDescent="0.45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 ht="15.75" customHeight="1" x14ac:dyDescent="0.45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 ht="15.75" customHeight="1" x14ac:dyDescent="0.45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 ht="15.75" customHeight="1" x14ac:dyDescent="0.45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 ht="15.75" customHeight="1" x14ac:dyDescent="0.4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 ht="15.75" customHeight="1" x14ac:dyDescent="0.45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 ht="15.75" customHeight="1" x14ac:dyDescent="0.45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 ht="15.75" customHeight="1" x14ac:dyDescent="0.45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 ht="15.75" customHeight="1" x14ac:dyDescent="0.45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 ht="15.75" customHeight="1" x14ac:dyDescent="0.45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 ht="15.75" customHeight="1" x14ac:dyDescent="0.45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 ht="15.75" customHeight="1" x14ac:dyDescent="0.45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 ht="15.75" customHeight="1" x14ac:dyDescent="0.45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 ht="15.75" customHeight="1" x14ac:dyDescent="0.45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 ht="15.75" customHeight="1" x14ac:dyDescent="0.4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 ht="15.75" customHeight="1" x14ac:dyDescent="0.45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 ht="15.75" customHeight="1" x14ac:dyDescent="0.45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 ht="15.75" customHeight="1" x14ac:dyDescent="0.45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 ht="15.75" customHeight="1" x14ac:dyDescent="0.45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 ht="15.75" customHeight="1" x14ac:dyDescent="0.45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 ht="15.75" customHeight="1" x14ac:dyDescent="0.45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 ht="15.75" customHeight="1" x14ac:dyDescent="0.45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 ht="15.75" customHeight="1" x14ac:dyDescent="0.45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 ht="15.75" customHeight="1" x14ac:dyDescent="0.45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 ht="15.75" customHeight="1" x14ac:dyDescent="0.4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 ht="15.75" customHeight="1" x14ac:dyDescent="0.45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 ht="15.75" customHeight="1" x14ac:dyDescent="0.45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 ht="15.75" customHeight="1" x14ac:dyDescent="0.45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 ht="15.75" customHeight="1" x14ac:dyDescent="0.45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 ht="15.75" customHeight="1" x14ac:dyDescent="0.45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 ht="15.75" customHeight="1" x14ac:dyDescent="0.45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 ht="15.75" customHeight="1" x14ac:dyDescent="0.45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 ht="15.75" customHeight="1" x14ac:dyDescent="0.45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1:26" ht="15.75" customHeight="1" x14ac:dyDescent="0.45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1:26" ht="15.75" customHeight="1" x14ac:dyDescent="0.4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spans="1:26" ht="15.75" customHeight="1" x14ac:dyDescent="0.45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spans="1:26" ht="15.75" customHeight="1" x14ac:dyDescent="0.45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spans="1:26" ht="15.75" customHeight="1" x14ac:dyDescent="0.45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spans="1:26" ht="15.75" customHeight="1" x14ac:dyDescent="0.45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spans="1:26" ht="15.75" customHeight="1" x14ac:dyDescent="0.45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mergeCells count="124">
    <mergeCell ref="G71:G74"/>
    <mergeCell ref="I39:I40"/>
    <mergeCell ref="I41:I42"/>
    <mergeCell ref="H32:J32"/>
    <mergeCell ref="H34:J34"/>
    <mergeCell ref="G35:G38"/>
    <mergeCell ref="H35:J38"/>
    <mergeCell ref="H39:H42"/>
    <mergeCell ref="J39:J40"/>
    <mergeCell ref="J41:J42"/>
    <mergeCell ref="G39:G42"/>
    <mergeCell ref="H68:J68"/>
    <mergeCell ref="H70:J70"/>
    <mergeCell ref="H71:J74"/>
    <mergeCell ref="I75:I76"/>
    <mergeCell ref="J75:J76"/>
    <mergeCell ref="H44:H45"/>
    <mergeCell ref="H46:H48"/>
    <mergeCell ref="I47:I48"/>
    <mergeCell ref="H49:J49"/>
    <mergeCell ref="H50:J50"/>
    <mergeCell ref="H52:J52"/>
    <mergeCell ref="H62:H63"/>
    <mergeCell ref="H64:H66"/>
    <mergeCell ref="B8:B12"/>
    <mergeCell ref="D11:D12"/>
    <mergeCell ref="I11:I12"/>
    <mergeCell ref="C13:E13"/>
    <mergeCell ref="H13:J13"/>
    <mergeCell ref="C14:E14"/>
    <mergeCell ref="H14:J14"/>
    <mergeCell ref="C16:E16"/>
    <mergeCell ref="H16:J16"/>
    <mergeCell ref="H17:J20"/>
    <mergeCell ref="B1:B5"/>
    <mergeCell ref="C1:H3"/>
    <mergeCell ref="C4:H5"/>
    <mergeCell ref="I4:I5"/>
    <mergeCell ref="G8:G12"/>
    <mergeCell ref="H8:H9"/>
    <mergeCell ref="H10:H12"/>
    <mergeCell ref="D21:D22"/>
    <mergeCell ref="E21:E22"/>
    <mergeCell ref="H21:H24"/>
    <mergeCell ref="I21:I22"/>
    <mergeCell ref="J21:J22"/>
    <mergeCell ref="D23:D24"/>
    <mergeCell ref="E23:E24"/>
    <mergeCell ref="C8:C9"/>
    <mergeCell ref="C10:C12"/>
    <mergeCell ref="B17:B20"/>
    <mergeCell ref="C17:E20"/>
    <mergeCell ref="G17:G20"/>
    <mergeCell ref="C21:C24"/>
    <mergeCell ref="G21:G24"/>
    <mergeCell ref="I23:I24"/>
    <mergeCell ref="J23:J24"/>
    <mergeCell ref="G26:G30"/>
    <mergeCell ref="H26:H27"/>
    <mergeCell ref="H28:H30"/>
    <mergeCell ref="I29:I30"/>
    <mergeCell ref="H31:J31"/>
    <mergeCell ref="G44:G48"/>
    <mergeCell ref="G53:G56"/>
    <mergeCell ref="G57:G60"/>
    <mergeCell ref="D75:D76"/>
    <mergeCell ref="E75:E76"/>
    <mergeCell ref="E59:E60"/>
    <mergeCell ref="G75:G78"/>
    <mergeCell ref="H75:H78"/>
    <mergeCell ref="H53:J56"/>
    <mergeCell ref="H57:H60"/>
    <mergeCell ref="I57:I58"/>
    <mergeCell ref="J57:J58"/>
    <mergeCell ref="I59:I60"/>
    <mergeCell ref="J59:J60"/>
    <mergeCell ref="G62:G66"/>
    <mergeCell ref="I77:I78"/>
    <mergeCell ref="J77:J78"/>
    <mergeCell ref="I65:I66"/>
    <mergeCell ref="H67:J67"/>
    <mergeCell ref="B21:B24"/>
    <mergeCell ref="C26:C27"/>
    <mergeCell ref="C28:C30"/>
    <mergeCell ref="D29:D30"/>
    <mergeCell ref="C31:E31"/>
    <mergeCell ref="C32:E32"/>
    <mergeCell ref="C34:E34"/>
    <mergeCell ref="C35:E38"/>
    <mergeCell ref="C39:C42"/>
    <mergeCell ref="D39:D40"/>
    <mergeCell ref="E39:E40"/>
    <mergeCell ref="D41:D42"/>
    <mergeCell ref="E41:E42"/>
    <mergeCell ref="B26:B30"/>
    <mergeCell ref="B35:B38"/>
    <mergeCell ref="B39:B42"/>
    <mergeCell ref="B71:B74"/>
    <mergeCell ref="B75:B78"/>
    <mergeCell ref="C75:C78"/>
    <mergeCell ref="D77:D78"/>
    <mergeCell ref="E77:E78"/>
    <mergeCell ref="C62:C63"/>
    <mergeCell ref="C64:C66"/>
    <mergeCell ref="D65:D66"/>
    <mergeCell ref="C67:E67"/>
    <mergeCell ref="C68:E68"/>
    <mergeCell ref="C70:E70"/>
    <mergeCell ref="C71:E74"/>
    <mergeCell ref="B44:B48"/>
    <mergeCell ref="B53:B56"/>
    <mergeCell ref="B57:B60"/>
    <mergeCell ref="B62:B66"/>
    <mergeCell ref="C46:C48"/>
    <mergeCell ref="D47:D48"/>
    <mergeCell ref="C49:E49"/>
    <mergeCell ref="C50:E50"/>
    <mergeCell ref="C52:E52"/>
    <mergeCell ref="C53:E56"/>
    <mergeCell ref="C57:C60"/>
    <mergeCell ref="C44:C45"/>
    <mergeCell ref="D57:D58"/>
    <mergeCell ref="E57:E58"/>
    <mergeCell ref="D59:D60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LISTA CHEQUEO</vt:lpstr>
      <vt:lpstr>DESPEJE DE LINEA</vt:lpstr>
      <vt:lpstr>OP</vt:lpstr>
      <vt:lpstr>DISPENSACIÓN</vt:lpstr>
      <vt:lpstr>INSTRUCTIVO FAB</vt:lpstr>
      <vt:lpstr>COC GRANEL</vt:lpstr>
      <vt:lpstr>ORDEN ENVASADO</vt:lpstr>
      <vt:lpstr>ESTADO DE LIMPIEZA DE A Y E</vt:lpstr>
      <vt:lpstr>ACONDICIONAMIENTO</vt:lpstr>
      <vt:lpstr>COA PT</vt:lpstr>
      <vt:lpstr>ROTULO DE DISPENSACION</vt:lpstr>
      <vt:lpstr>INSPECCIÓN ETIQUETAS</vt:lpstr>
      <vt:lpstr>INSPECCIÓN DE PRODUCTO FINAL</vt:lpstr>
      <vt:lpstr>ENVASADO NO CONTINUO</vt:lpstr>
      <vt:lpstr>PRODUCTO EN PROCESO</vt:lpstr>
      <vt:lpstr>ROTULO 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Sebastian Vargas Isaza</cp:lastModifiedBy>
  <dcterms:created xsi:type="dcterms:W3CDTF">2021-04-20T16:47:37Z</dcterms:created>
  <dcterms:modified xsi:type="dcterms:W3CDTF">2026-03-28T00:07:06Z</dcterms:modified>
</cp:coreProperties>
</file>