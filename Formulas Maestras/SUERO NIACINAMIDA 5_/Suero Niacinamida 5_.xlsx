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CHEQUEO" sheetId="1" r:id="rId4"/>
    <sheet state="visible" name="DESPEJE DE LINEA" sheetId="2" r:id="rId5"/>
    <sheet state="visible" name="OP" sheetId="3" r:id="rId6"/>
    <sheet state="visible" name="DISPENSACIÓN" sheetId="4" r:id="rId7"/>
    <sheet state="visible" name="INSTRUCTIVO FAB" sheetId="5" r:id="rId8"/>
    <sheet state="visible" name="COC GRANEL" sheetId="6" r:id="rId9"/>
    <sheet state="visible" name="ORDEN ENVASADO" sheetId="7" r:id="rId10"/>
    <sheet state="visible" name=" ORDEN ENVASADO 1" sheetId="8" r:id="rId11"/>
    <sheet state="visible" name="ACONDICIONAMIENTO" sheetId="9" r:id="rId12"/>
    <sheet state="visible" name="ACONDICIONAMIENTO 1" sheetId="10" r:id="rId13"/>
    <sheet state="visible" name="ESTADO DE LIMPIEZA DE A Y E" sheetId="11" r:id="rId14"/>
    <sheet state="visible" name="COA PT" sheetId="12" r:id="rId15"/>
    <sheet state="visible" name="ROTULO DE DISPENSACION" sheetId="13" r:id="rId16"/>
    <sheet state="visible" name="INSPECCIÓN ETIQUETAS" sheetId="14" r:id="rId17"/>
    <sheet state="visible" name="PRODUCTO EN PROCESO" sheetId="15" r:id="rId18"/>
    <sheet state="visible" name="INSPECCIÓN DE PRODUCTO FINAL" sheetId="16" r:id="rId19"/>
    <sheet state="visible" name="ENVASADO NO CONTINUO" sheetId="17" r:id="rId20"/>
    <sheet state="visible" name="ROTULO PT" sheetId="18" r:id="rId21"/>
  </sheets>
  <definedNames/>
  <calcPr/>
  <extLst>
    <ext uri="GoogleSheetsCustomDataVersion2">
      <go:sheetsCustomData xmlns:go="http://customooxmlschemas.google.com/" r:id="rId22" roundtripDataChecksum="2c4ml91yOKkDXGEFu5JYpIEqNkbtVBh8aya3BpN9Z8g="/>
    </ext>
  </extLst>
</workbook>
</file>

<file path=xl/sharedStrings.xml><?xml version="1.0" encoding="utf-8"?>
<sst xmlns="http://schemas.openxmlformats.org/spreadsheetml/2006/main" count="1908" uniqueCount="474">
  <si>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</si>
  <si>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</si>
  <si>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</si>
  <si>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</si>
  <si>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</si>
  <si>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</si>
  <si>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</si>
  <si>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</si>
  <si>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</si>
  <si>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</si>
  <si>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</si>
  <si>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SUERO DE NIACINAMIDA 5%</t>
  </si>
  <si>
    <t>LOTE</t>
  </si>
  <si>
    <t>252111</t>
  </si>
  <si>
    <t>OP</t>
  </si>
  <si>
    <t>OP-L-099</t>
  </si>
  <si>
    <t>PRESENTACIÓN</t>
  </si>
  <si>
    <t>10 - 30 mL</t>
  </si>
  <si>
    <t>TAMAÑO LOTE (kg)</t>
  </si>
  <si>
    <t>CLIENTE</t>
  </si>
  <si>
    <t>ANIMUS LAB</t>
  </si>
  <si>
    <t>NOTIFICACIÓN SANITARIA</t>
  </si>
  <si>
    <t>NSOC33886-24CO</t>
  </si>
  <si>
    <t>UNIDADES APROBADAS/FABRICADAS</t>
  </si>
  <si>
    <t>FORMA COSMETICA</t>
  </si>
  <si>
    <t>SOLUCION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</si>
  <si>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</si>
  <si>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</si>
  <si>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</si>
  <si>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</si>
  <si>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</si>
  <si>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</si>
  <si>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</si>
  <si>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</si>
  <si>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</si>
  <si>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</si>
  <si>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</si>
  <si>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</si>
  <si>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</si>
  <si>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</si>
  <si>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</si>
  <si>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</si>
  <si>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</si>
  <si>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</si>
  <si>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</si>
  <si>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</si>
  <si>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</si>
  <si>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</si>
  <si>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</si>
  <si>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</si>
  <si>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</si>
  <si>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</si>
  <si>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</si>
  <si>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</si>
  <si>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</si>
  <si>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</si>
  <si>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</si>
  <si>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</si>
  <si>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</si>
  <si>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</si>
  <si>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</si>
  <si>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</si>
  <si>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</si>
  <si>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</si>
  <si>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</si>
  <si>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</si>
  <si>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</si>
  <si>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</si>
  <si>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</si>
  <si>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</si>
  <si>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</si>
  <si>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</si>
  <si>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</si>
  <si>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</si>
  <si>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</si>
  <si>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</si>
  <si>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</si>
  <si>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</si>
  <si>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</si>
  <si>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</si>
  <si>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</si>
  <si>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</si>
  <si>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</si>
  <si>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</si>
  <si>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</si>
  <si>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</si>
  <si>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</si>
  <si>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</si>
  <si>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</si>
  <si>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</si>
  <si>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</si>
  <si>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</si>
  <si>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</si>
  <si>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</si>
  <si>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</si>
  <si>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</si>
  <si>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</si>
  <si>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 xml:space="preserve"> 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</si>
  <si>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</si>
  <si>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</si>
  <si>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</si>
  <si>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</si>
  <si>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</si>
  <si>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</si>
  <si>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</si>
  <si>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AD252111</t>
  </si>
  <si>
    <t>NIACINAMIDA</t>
  </si>
  <si>
    <t>MPNIACSO01</t>
  </si>
  <si>
    <t>YT-NC20250428</t>
  </si>
  <si>
    <t>BIOSURE FE</t>
  </si>
  <si>
    <t>MPBIOFELI01</t>
  </si>
  <si>
    <t xml:space="preserve">N-ACETL GLUCOSAMINA </t>
  </si>
  <si>
    <t>MPGLUCSO01</t>
  </si>
  <si>
    <t>YT-20251213</t>
  </si>
  <si>
    <t>GLUCONOLACTONA</t>
  </si>
  <si>
    <t>MPGLUCSO02</t>
  </si>
  <si>
    <t>YT-G20250419</t>
  </si>
  <si>
    <t xml:space="preserve">ÁCIDO HIALURÓNICO 50 KD </t>
  </si>
  <si>
    <t>MPACHISO03</t>
  </si>
  <si>
    <t>LYPH250219</t>
  </si>
  <si>
    <t xml:space="preserve">ÁCIDO HIALURÓNICO 1500 KD </t>
  </si>
  <si>
    <t>MPACHISO01</t>
  </si>
  <si>
    <t xml:space="preserve">ÁCIDO HIALURÓNICO 300 KD </t>
  </si>
  <si>
    <t>MPACHISO02</t>
  </si>
  <si>
    <t>LYPH250602</t>
  </si>
  <si>
    <t>BETAINA</t>
  </si>
  <si>
    <t>MPBETASO02</t>
  </si>
  <si>
    <t>YT-20240405</t>
  </si>
  <si>
    <t>ECTOINA</t>
  </si>
  <si>
    <t>MPECTOSO01</t>
  </si>
  <si>
    <t>YT-20250123</t>
  </si>
  <si>
    <t>PANTENOL POLVO</t>
  </si>
  <si>
    <t>MPPANTSO01</t>
  </si>
  <si>
    <t>YT-20250402</t>
  </si>
  <si>
    <t>VITAMINA E POLVO</t>
  </si>
  <si>
    <t>MPVITESO01</t>
  </si>
  <si>
    <t>TERPENOS SOLUBLES 80%</t>
  </si>
  <si>
    <t>MPTERSSO01</t>
  </si>
  <si>
    <t>ASIATICOSIDO</t>
  </si>
  <si>
    <t>MPASIASO01</t>
  </si>
  <si>
    <t>YT-20250115</t>
  </si>
  <si>
    <t>1,2 HEXANEDIOL</t>
  </si>
  <si>
    <t>MPHEXDILI01</t>
  </si>
  <si>
    <t>YT-20250504</t>
  </si>
  <si>
    <t>GRANSIL VX419</t>
  </si>
  <si>
    <t>MPGRANLI01</t>
  </si>
  <si>
    <t>980305S1125</t>
  </si>
  <si>
    <t>EDTA DISODICO</t>
  </si>
  <si>
    <t>MPEDDISO01</t>
  </si>
  <si>
    <t>GLICERINA</t>
  </si>
  <si>
    <t>MPGLICLI01</t>
  </si>
  <si>
    <t>021067-25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</si>
  <si>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</si>
  <si>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</si>
  <si>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</si>
  <si>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</si>
  <si>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</si>
  <si>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</si>
  <si>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</si>
  <si>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</si>
  <si>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</si>
  <si>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</si>
  <si>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</si>
  <si>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</si>
  <si>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</si>
  <si>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</si>
  <si>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</si>
  <si>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</si>
  <si>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</si>
  <si>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</si>
  <si>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</si>
  <si>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</si>
  <si>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</si>
  <si>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</si>
  <si>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</si>
  <si>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rFont val="Times New Roman"/>
        <b/>
        <color theme="1"/>
        <sz val="12.0"/>
      </rPr>
      <t>NOTA:</t>
    </r>
    <r>
      <rPr>
        <rFont val="Times New Roman"/>
        <color theme="1"/>
        <sz val="12.0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</si>
  <si>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</si>
  <si>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</si>
  <si>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</si>
  <si>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</si>
  <si>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</si>
  <si>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</si>
  <si>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</si>
  <si>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</si>
  <si>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</si>
  <si>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</si>
  <si>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</si>
  <si>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</si>
  <si>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</si>
  <si>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</si>
  <si>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</si>
  <si>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</si>
  <si>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</si>
  <si>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</si>
  <si>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</si>
  <si>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</si>
  <si>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r>
      <rPr>
        <rFont val="Arial"/>
        <b/>
        <color theme="1"/>
        <sz val="11.0"/>
      </rPr>
      <t>1.</t>
    </r>
    <r>
      <rPr>
        <rFont val="Arial"/>
        <color theme="1"/>
        <sz val="11.0"/>
      </rPr>
      <t xml:space="preserve">   Dispensar en una balanza analítica con capacidad de 620g y adicionar en un recipiente las siguientes materias                                                                              primas:
Agua Destilada                                                                  
Carbopol                                                                                  
Propilenglicol                                                                       
Glicina Polvo                                                                                                                                                                                                                                                          Colocar en una plancha de calentamiento el Agua Destilada, la Glicina y calentar a 45°C +/- 5°C, medir y registrar la temperatura, una vez alcanzada la temperatura adecuada apague el calentamiento Temperatura Real_____, tome el carbopol y el propilenglicol hasta que se hidrate este proceso, para mezclar con el agua destilada, terminado este proceso tome un agitador o mezclador y agite  aproximadamente a 150 RPM, esta fase hasta disolucion, RPM Real:________ </t>
    </r>
  </si>
  <si>
    <r>
      <rPr>
        <rFont val="Arial"/>
        <b/>
        <color theme="1"/>
        <sz val="11.0"/>
      </rPr>
      <t xml:space="preserve">2.   </t>
    </r>
    <r>
      <rPr>
        <rFont val="Arial"/>
        <color theme="1"/>
        <sz val="11.0"/>
      </rPr>
      <t>Dispensar en una balanza analítica con capacidad de 620g y adicionar en un recipiente las siguientes materias                                                                              primas:
Agua Destilada                                                                 
Acido Hialuronico 50KD                                                                                  
Propilenglicol,                                                                        
Acido Hialuronico 300 KD                                                           
Acido Hialuronico 1500KD                                                                                                                                                                                                                                                                                                            Colocar en una plancha de calentamiento las materias primas dispensada y calentar a 45°C +/- 5°C, medir y registrar la temperatura, una vez alcanzada la temperatura adecuada apague el calentamiento Temperatura Real_____, tome el mezclador o el agitador manual hasta que se hidrate este proceso agitando  aproximadamente a 150 RPM, esta fase hasta disolucion total, RPM Real:________ y adicione a la primera fase</t>
    </r>
  </si>
  <si>
    <r>
      <rPr>
        <rFont val="Arial"/>
        <b/>
        <color theme="1"/>
        <sz val="11.0"/>
      </rPr>
      <t>3.</t>
    </r>
    <r>
      <rPr>
        <rFont val="Arial"/>
        <color theme="1"/>
        <sz val="11.0"/>
      </rPr>
      <t xml:space="preserve">   Dispensar en una balanza analítica con capacidad de 620g y adicionar en un recipiente las siguientes materias                                                                              primas:                                                                                                      
Alantoina                                                                                                               
Agua Destilada:                                             
Niacinamida                                                                             
Silicona Liquida                                                                    
Aloe Vera 200X                                                                   
Sorbato Potasio                                                                        
Benzoato Sodio                                                                          
Pantenol Polvo                                                                               
Fenoxietanol                                                                                   
Tome un recipiente y agite hasta presentar total disolucion de las mezclas a una  velocidad constante de 150 rpm RPM Real:______, por ultimo adicione esta preparacion a la fase 1      
</t>
    </r>
  </si>
  <si>
    <r>
      <rPr>
        <rFont val="Arial"/>
        <b/>
        <color theme="1"/>
        <sz val="11.0"/>
      </rPr>
      <t>4.</t>
    </r>
    <r>
      <rPr>
        <rFont val="Arial"/>
        <color theme="1"/>
        <sz val="11.0"/>
      </rPr>
      <t xml:space="preserve">  Tome un recipiente metálico las 3 etapas de premezclado y dejar agitando durante 60 minutos a una velocidad constante de 200 rpm con el agitador hasta que está presente una mezcla homogenea, RPM Real:______, por ultimo apague el agitador hasta que la mezcla quede totalmente uniforme.</t>
    </r>
  </si>
  <si>
    <r>
      <rPr>
        <rFont val="Arial"/>
        <b/>
        <color theme="1"/>
        <sz val="12.0"/>
      </rPr>
      <t>NOTA:</t>
    </r>
    <r>
      <rPr>
        <rFont val="Arial"/>
        <color theme="1"/>
        <sz val="12.0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</si>
  <si>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</si>
  <si>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</si>
  <si>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</si>
  <si>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</si>
  <si>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</si>
  <si>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</si>
  <si>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</si>
  <si>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</si>
  <si>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</si>
  <si>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</si>
  <si>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</si>
  <si>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</si>
  <si>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</si>
  <si>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</si>
  <si>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</si>
  <si>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</si>
  <si>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</si>
  <si>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</si>
  <si>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</si>
  <si>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</si>
  <si>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Opalescente o blanco, con textura ligera, fluida y viscosidad moderada, homogéneo y uniforme en color y textura, Transparente a ligeramente opaco</t>
  </si>
  <si>
    <t>Viscosidad</t>
  </si>
  <si>
    <t>INFORMATIVO</t>
  </si>
  <si>
    <t>Densidad</t>
  </si>
  <si>
    <t>0,999 - 1,100 g/cm³</t>
  </si>
  <si>
    <t>pH</t>
  </si>
  <si>
    <t>5,0 - 6,0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</si>
  <si>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</si>
  <si>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</si>
  <si>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</si>
  <si>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</si>
  <si>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</si>
  <si>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</si>
  <si>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</si>
  <si>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</si>
  <si>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</si>
  <si>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</si>
  <si>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30 mL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</si>
  <si>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</si>
  <si>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</si>
  <si>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</si>
  <si>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</si>
  <si>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</si>
  <si>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</si>
  <si>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</si>
  <si>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</si>
  <si>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</si>
  <si>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</si>
  <si>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ENV-TR-VI-030-01</t>
  </si>
  <si>
    <t>No Especifica</t>
  </si>
  <si>
    <t>Envase Vidrio Transpartente 30 ml</t>
  </si>
  <si>
    <t>TA-BL-GO-075-01</t>
  </si>
  <si>
    <t>Gotero Blanco 72 mm</t>
  </si>
  <si>
    <t>PL-NIA-30</t>
  </si>
  <si>
    <t>Plegadiza NIA 30</t>
  </si>
  <si>
    <t>Etiqueta Suero De Niacinamida 5% F.M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</si>
  <si>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</si>
  <si>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</si>
  <si>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</si>
  <si>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</si>
  <si>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</si>
  <si>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</si>
  <si>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</si>
  <si>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</si>
  <si>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</si>
  <si>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</si>
  <si>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</si>
  <si>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</si>
  <si>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</si>
  <si>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</si>
  <si>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</si>
  <si>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</si>
  <si>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</si>
  <si>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</si>
  <si>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</si>
  <si>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</si>
  <si>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</si>
  <si>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</si>
  <si>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</si>
  <si>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</si>
  <si>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</si>
  <si>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</si>
  <si>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</si>
  <si>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</si>
  <si>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</si>
  <si>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</si>
  <si>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</si>
  <si>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</si>
  <si>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</si>
  <si>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</si>
  <si>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</si>
  <si>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</si>
  <si>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</si>
  <si>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</si>
  <si>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10 mL</t>
  </si>
  <si>
    <t>ENV-VI- AZ- 010-01</t>
  </si>
  <si>
    <t>Envase Vidrio Azul 10 ml</t>
  </si>
  <si>
    <t>TA-NE-GO-075-01</t>
  </si>
  <si>
    <t>Gotero Blanco 55 mm</t>
  </si>
  <si>
    <t xml:space="preserve">Etiqueta Suero De Niacinamida 10 mL 5% </t>
  </si>
  <si>
    <t>PRD-PRO-001-F07</t>
  </si>
  <si>
    <t>ACONDICIONAMIENTO Y EMPAQUE</t>
  </si>
  <si>
    <t>HORA INICIO</t>
  </si>
  <si>
    <t>HORA FIN</t>
  </si>
  <si>
    <r>
      <rPr>
        <rFont val="Times New Roman"/>
        <b/>
        <color rgb="FF000000"/>
        <sz val="12.0"/>
      </rPr>
      <t xml:space="preserve">TAREAS A REALIZAR </t>
    </r>
    <r>
      <rPr>
        <rFont val="Times New Roman"/>
        <b val="0"/>
        <i/>
        <color rgb="FF000000"/>
        <sz val="12.0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</si>
  <si>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</si>
  <si>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</si>
  <si>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</si>
  <si>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</si>
  <si>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</si>
  <si>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</si>
  <si>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</si>
  <si>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</si>
  <si>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</si>
  <si>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</si>
  <si>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</si>
  <si>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</si>
  <si>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</si>
  <si>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</si>
  <si>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</si>
  <si>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</si>
  <si>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</si>
  <si>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</si>
  <si>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</si>
  <si>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</si>
  <si>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</si>
  <si>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</si>
  <si>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</si>
  <si>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</si>
  <si>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</si>
  <si>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</si>
  <si>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</si>
  <si>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</si>
  <si>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</si>
  <si>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</si>
  <si>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r>
      <rPr>
        <rFont val="Times New Roman"/>
        <b/>
        <color rgb="FF000000"/>
        <sz val="12.0"/>
      </rPr>
      <t xml:space="preserve">TAREAS A REALIZAR </t>
    </r>
    <r>
      <rPr>
        <rFont val="Times New Roman"/>
        <b val="0"/>
        <i/>
        <color rgb="FF000000"/>
        <sz val="12.0"/>
      </rPr>
      <t>(Marque con una X)</t>
    </r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</si>
  <si>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</si>
  <si>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</si>
  <si>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</si>
  <si>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</si>
  <si>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</si>
  <si>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</si>
  <si>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</si>
  <si>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</si>
  <si>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</si>
  <si>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</si>
  <si>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</si>
  <si>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</si>
  <si>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</si>
  <si>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</si>
  <si>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</si>
  <si>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</si>
  <si>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</si>
  <si>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</si>
  <si>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</si>
  <si>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</si>
  <si>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</si>
  <si>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</si>
  <si>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</si>
  <si>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</si>
  <si>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</si>
  <si>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Transparente a ligeramente opaco</t>
  </si>
  <si>
    <t>Organoléptico</t>
  </si>
  <si>
    <t>Olor</t>
  </si>
  <si>
    <t>Inodoro</t>
  </si>
  <si>
    <t>Apariencia</t>
  </si>
  <si>
    <t>Opalescente o blanco, con textura ligera, fluida y viscosidad moderada, homogéneo y uniforme en color y textura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</si>
  <si>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</si>
  <si>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</si>
  <si>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</si>
  <si>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</si>
  <si>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</si>
  <si>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</si>
  <si>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</si>
  <si>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</si>
  <si>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</si>
  <si>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</si>
  <si>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</si>
  <si>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</si>
  <si>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</si>
  <si>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</si>
  <si>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</si>
  <si>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</si>
  <si>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</si>
  <si>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</si>
  <si>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</si>
  <si>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</si>
  <si>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</si>
  <si>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</si>
  <si>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</si>
  <si>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</si>
  <si>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</si>
  <si>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</si>
  <si>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</si>
  <si>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</si>
  <si>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</si>
  <si>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</si>
  <si>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</si>
  <si>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</si>
  <si>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</si>
  <si>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</si>
  <si>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</si>
  <si>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</si>
  <si>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</si>
  <si>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</si>
  <si>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</si>
  <si>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</si>
  <si>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</si>
  <si>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</si>
  <si>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</si>
  <si>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</si>
  <si>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</si>
  <si>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</si>
  <si>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</si>
  <si>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</si>
  <si>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</si>
  <si>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</si>
  <si>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</si>
  <si>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</si>
  <si>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</si>
  <si>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</si>
  <si>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</si>
  <si>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</si>
  <si>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</si>
  <si>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</si>
  <si>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</si>
  <si>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</si>
  <si>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</si>
  <si>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</si>
  <si>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</si>
  <si>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rFont val="Times New Roman"/>
        <color theme="1"/>
        <sz val="14.0"/>
      </rPr>
      <t xml:space="preserve">ETIQUETA ACORDE A LO ESTIPULADO EN </t>
    </r>
    <r>
      <rPr>
        <rFont val="Times New Roman"/>
        <b/>
        <color theme="1"/>
        <sz val="14.0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</si>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</sst>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mmm\ yyyy"/>
  </numFmts>
  <fonts count="22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Arial"/>
    </font>
    <font>
      <b/>
      <sz val="12.0"/>
      <color theme="1"/>
      <name val="Arial"/>
    </font>
    <font>
      <sz val="13.0"/>
      <color rgb="FF000000"/>
      <name val="Verdana"/>
    </font>
    <font>
      <b/>
      <sz val="14.0"/>
      <color theme="1"/>
      <name val="Arial"/>
    </font>
    <font>
      <sz val="11.0"/>
      <color theme="1"/>
      <name val="Times New Roman"/>
    </font>
    <font>
      <sz val="13.0"/>
      <color rgb="FF000000"/>
      <name val="Times New Roman"/>
    </font>
    <font>
      <b/>
      <sz val="12.0"/>
      <color rgb="FF000000"/>
      <name val="Arial"/>
    </font>
    <font>
      <sz val="11.0"/>
      <color theme="1"/>
      <name val="Arial"/>
    </font>
    <font>
      <sz val="11.0"/>
      <color theme="1"/>
      <name val="Calibri"/>
    </font>
    <font>
      <b/>
      <sz val="10.0"/>
      <color rgb="FF000000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4.0"/>
      <color rgb="FF000000"/>
      <name val="Times New Roman"/>
    </font>
    <font>
      <sz val="8.0"/>
      <color theme="1"/>
      <name val="Arial"/>
    </font>
    <font>
      <sz val="14.0"/>
      <color theme="1"/>
      <name val="Arial"/>
    </font>
    <font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10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top/>
      <bottom style="thin">
        <color rgb="FF000000"/>
      </bottom>
    </border>
    <border>
      <left/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8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vertical="center"/>
    </xf>
    <xf borderId="4" fillId="0" fontId="1" numFmtId="165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4" fillId="2" fontId="1" numFmtId="0" xfId="0" applyAlignment="1" applyBorder="1" applyFill="1" applyFont="1">
      <alignment horizontal="center" vertical="center"/>
    </xf>
    <xf borderId="11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3" numFmtId="49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166" xfId="0" applyAlignment="1" applyBorder="1" applyFont="1" applyNumberFormat="1">
      <alignment horizontal="center" readingOrder="0" vertical="center"/>
    </xf>
    <xf borderId="12" fillId="0" fontId="4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4" fillId="0" fontId="3" numFmtId="166" xfId="0" applyAlignment="1" applyBorder="1" applyFont="1" applyNumberFormat="1">
      <alignment horizontal="center" vertical="center"/>
    </xf>
    <xf borderId="12" fillId="2" fontId="1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shrinkToFit="0" vertical="center" wrapText="1"/>
    </xf>
    <xf borderId="12" fillId="0" fontId="3" numFmtId="167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1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19" fillId="0" fontId="1" numFmtId="0" xfId="0" applyAlignment="1" applyBorder="1" applyFont="1">
      <alignment horizontal="left" vertical="top"/>
    </xf>
    <xf borderId="20" fillId="0" fontId="2" numFmtId="0" xfId="0" applyBorder="1" applyFont="1"/>
    <xf borderId="21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/>
    </xf>
    <xf borderId="4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wrapText="1"/>
    </xf>
    <xf borderId="6" fillId="0" fontId="6" numFmtId="0" xfId="0" applyBorder="1" applyFont="1"/>
    <xf borderId="0" fillId="0" fontId="6" numFmtId="0" xfId="0" applyFont="1"/>
    <xf borderId="0" fillId="0" fontId="3" numFmtId="168" xfId="0" applyFont="1" applyNumberFormat="1"/>
    <xf borderId="0" fillId="0" fontId="3" numFmtId="169" xfId="0" applyFont="1" applyNumberFormat="1"/>
    <xf borderId="7" fillId="0" fontId="3" numFmtId="0" xfId="0" applyBorder="1" applyFont="1"/>
    <xf borderId="8" fillId="0" fontId="6" numFmtId="0" xfId="0" applyAlignment="1" applyBorder="1" applyFont="1">
      <alignment horizontal="center"/>
    </xf>
    <xf borderId="22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4" fillId="0" fontId="1" numFmtId="164" xfId="0" applyAlignment="1" applyBorder="1" applyFont="1" applyNumberForma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24" fillId="0" fontId="3" numFmtId="0" xfId="0" applyAlignment="1" applyBorder="1" applyFont="1">
      <alignment horizontal="center" shrinkToFit="0" wrapText="1"/>
    </xf>
    <xf borderId="27" fillId="0" fontId="2" numFmtId="0" xfId="0" applyBorder="1" applyFont="1"/>
    <xf borderId="28" fillId="2" fontId="1" numFmtId="0" xfId="0" applyAlignment="1" applyBorder="1" applyFont="1">
      <alignment horizontal="center" vertical="center"/>
    </xf>
    <xf borderId="29" fillId="2" fontId="1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12" fillId="0" fontId="3" numFmtId="0" xfId="0" applyAlignment="1" applyBorder="1" applyFont="1">
      <alignment horizontal="center" vertical="center"/>
    </xf>
    <xf borderId="32" fillId="3" fontId="1" numFmtId="0" xfId="0" applyAlignment="1" applyBorder="1" applyFont="1">
      <alignment horizontal="center" vertical="center"/>
    </xf>
    <xf borderId="33" fillId="0" fontId="2" numFmtId="0" xfId="0" applyBorder="1" applyFont="1"/>
    <xf borderId="4" fillId="0" fontId="3" numFmtId="49" xfId="0" applyAlignment="1" applyBorder="1" applyFont="1" applyNumberFormat="1">
      <alignment horizontal="center" vertical="center"/>
    </xf>
    <xf borderId="34" fillId="2" fontId="1" numFmtId="0" xfId="0" applyAlignment="1" applyBorder="1" applyFont="1">
      <alignment horizontal="center" vertical="center"/>
    </xf>
    <xf borderId="35" fillId="0" fontId="2" numFmtId="0" xfId="0" applyBorder="1" applyFont="1"/>
    <xf borderId="36" fillId="0" fontId="2" numFmtId="0" xfId="0" applyBorder="1" applyFont="1"/>
    <xf borderId="37" fillId="3" fontId="1" numFmtId="0" xfId="0" applyAlignment="1" applyBorder="1" applyFont="1">
      <alignment horizontal="center" vertical="center"/>
    </xf>
    <xf borderId="38" fillId="0" fontId="2" numFmtId="0" xfId="0" applyBorder="1" applyFont="1"/>
    <xf borderId="4" fillId="4" fontId="3" numFmtId="166" xfId="0" applyAlignment="1" applyBorder="1" applyFill="1" applyFont="1" applyNumberFormat="1">
      <alignment horizontal="center" shrinkToFit="0" vertical="center" wrapText="1"/>
    </xf>
    <xf borderId="4" fillId="4" fontId="3" numFmtId="14" xfId="0" applyAlignment="1" applyBorder="1" applyFont="1" applyNumberForma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29" fillId="2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39" fillId="0" fontId="2" numFmtId="0" xfId="0" applyBorder="1" applyFont="1"/>
    <xf borderId="28" fillId="2" fontId="1" numFmtId="0" xfId="0" applyAlignment="1" applyBorder="1" applyFont="1">
      <alignment horizontal="center" shrinkToFit="0" vertical="center" wrapText="1"/>
    </xf>
    <xf borderId="28" fillId="4" fontId="5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wrapText="1"/>
    </xf>
    <xf borderId="40" fillId="2" fontId="5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shrinkToFit="0" vertical="center" wrapText="1"/>
    </xf>
    <xf borderId="41" fillId="2" fontId="1" numFmtId="0" xfId="0" applyAlignment="1" applyBorder="1" applyFont="1">
      <alignment horizontal="center" shrinkToFit="0" vertical="center" wrapText="1"/>
    </xf>
    <xf borderId="18" fillId="4" fontId="1" numFmtId="0" xfId="0" applyAlignment="1" applyBorder="1" applyFont="1">
      <alignment horizontal="center" shrinkToFit="0" wrapText="1"/>
    </xf>
    <xf borderId="18" fillId="4" fontId="1" numFmtId="0" xfId="0" applyAlignment="1" applyBorder="1" applyFont="1">
      <alignment horizontal="center" shrinkToFit="0" vertical="center" wrapText="1"/>
    </xf>
    <xf borderId="41" fillId="4" fontId="1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shrinkToFit="0" wrapText="1"/>
    </xf>
    <xf borderId="28" fillId="0" fontId="4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shrinkToFit="0" wrapText="1"/>
    </xf>
    <xf borderId="18" fillId="0" fontId="1" numFmtId="0" xfId="0" applyAlignment="1" applyBorder="1" applyFont="1">
      <alignment horizontal="center" shrinkToFit="0" vertical="center" wrapText="1"/>
    </xf>
    <xf borderId="18" fillId="0" fontId="3" numFmtId="2" xfId="0" applyAlignment="1" applyBorder="1" applyFont="1" applyNumberFormat="1">
      <alignment vertical="center"/>
    </xf>
    <xf borderId="18" fillId="0" fontId="3" numFmtId="0" xfId="0" applyBorder="1" applyFont="1"/>
    <xf borderId="41" fillId="0" fontId="3" numFmtId="0" xfId="0" applyBorder="1" applyFont="1"/>
    <xf borderId="28" fillId="0" fontId="5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7" fillId="0" fontId="3" numFmtId="0" xfId="0" applyBorder="1" applyFont="1"/>
    <xf borderId="40" fillId="5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42" fillId="0" fontId="2" numFmtId="0" xfId="0" applyBorder="1" applyFont="1"/>
    <xf borderId="43" fillId="0" fontId="3" numFmtId="0" xfId="0" applyAlignment="1" applyBorder="1" applyFont="1">
      <alignment horizontal="center"/>
    </xf>
    <xf borderId="44" fillId="0" fontId="2" numFmtId="0" xfId="0" applyBorder="1" applyFont="1"/>
    <xf borderId="45" fillId="0" fontId="2" numFmtId="0" xfId="0" applyBorder="1" applyFont="1"/>
    <xf borderId="0" fillId="0" fontId="6" numFmtId="168" xfId="0" applyFont="1" applyNumberFormat="1"/>
    <xf borderId="0" fillId="0" fontId="6" numFmtId="169" xfId="0" applyFont="1" applyNumberFormat="1"/>
    <xf borderId="46" fillId="0" fontId="2" numFmtId="0" xfId="0" applyBorder="1" applyFont="1"/>
    <xf borderId="47" fillId="0" fontId="1" numFmtId="0" xfId="0" applyAlignment="1" applyBorder="1" applyFont="1">
      <alignment horizontal="center" vertical="center"/>
    </xf>
    <xf borderId="48" fillId="0" fontId="2" numFmtId="0" xfId="0" applyBorder="1" applyFont="1"/>
    <xf borderId="49" fillId="0" fontId="2" numFmtId="0" xfId="0" applyBorder="1" applyFont="1"/>
    <xf borderId="43" fillId="0" fontId="2" numFmtId="0" xfId="0" applyBorder="1" applyFont="1"/>
    <xf borderId="0" fillId="0" fontId="1" numFmtId="164" xfId="0" applyAlignment="1" applyFont="1" applyNumberFormat="1">
      <alignment horizontal="center" vertical="center"/>
    </xf>
    <xf borderId="24" fillId="0" fontId="1" numFmtId="0" xfId="0" applyAlignment="1" applyBorder="1" applyFont="1">
      <alignment horizontal="center" vertical="center"/>
    </xf>
    <xf borderId="50" fillId="0" fontId="1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shrinkToFit="0" wrapText="1"/>
    </xf>
    <xf borderId="22" fillId="0" fontId="3" numFmtId="0" xfId="0" applyAlignment="1" applyBorder="1" applyFont="1">
      <alignment horizontal="center" shrinkToFit="0" vertical="center" wrapText="1"/>
    </xf>
    <xf borderId="51" fillId="2" fontId="1" numFmtId="0" xfId="0" applyAlignment="1" applyBorder="1" applyFont="1">
      <alignment horizontal="center" vertical="center"/>
    </xf>
    <xf borderId="18" fillId="0" fontId="4" numFmtId="49" xfId="0" applyAlignment="1" applyBorder="1" applyFont="1" applyNumberFormat="1">
      <alignment horizontal="center" vertical="center"/>
    </xf>
    <xf borderId="41" fillId="0" fontId="3" numFmtId="170" xfId="0" applyAlignment="1" applyBorder="1" applyFont="1" applyNumberFormat="1">
      <alignment horizontal="center" vertical="center"/>
    </xf>
    <xf borderId="37" fillId="2" fontId="1" numFmtId="0" xfId="0" applyAlignment="1" applyBorder="1" applyFont="1">
      <alignment horizontal="center" vertical="center"/>
    </xf>
    <xf borderId="52" fillId="0" fontId="4" numFmtId="0" xfId="0" applyAlignment="1" applyBorder="1" applyFont="1">
      <alignment horizontal="center" vertical="center"/>
    </xf>
    <xf borderId="53" fillId="0" fontId="3" numFmtId="0" xfId="0" applyAlignment="1" applyBorder="1" applyFont="1">
      <alignment horizontal="center" vertical="center"/>
    </xf>
    <xf borderId="54" fillId="2" fontId="1" numFmtId="0" xfId="0" applyAlignment="1" applyBorder="1" applyFont="1">
      <alignment horizontal="center" vertical="center"/>
    </xf>
    <xf borderId="12" fillId="0" fontId="4" numFmtId="167" xfId="0" applyAlignment="1" applyBorder="1" applyFont="1" applyNumberFormat="1">
      <alignment horizontal="center" vertical="center"/>
    </xf>
    <xf borderId="55" fillId="0" fontId="3" numFmtId="0" xfId="0" applyAlignment="1" applyBorder="1" applyFont="1">
      <alignment horizontal="center" vertical="center"/>
    </xf>
    <xf borderId="56" fillId="0" fontId="3" numFmtId="166" xfId="0" applyAlignment="1" applyBorder="1" applyFont="1" applyNumberFormat="1">
      <alignment horizontal="center" readingOrder="0" vertical="center"/>
    </xf>
    <xf borderId="47" fillId="0" fontId="7" numFmtId="0" xfId="0" applyAlignment="1" applyBorder="1" applyFont="1">
      <alignment horizontal="center" readingOrder="0" shrinkToFit="0" vertical="center" wrapText="1"/>
    </xf>
    <xf borderId="50" fillId="0" fontId="2" numFmtId="0" xfId="0" applyBorder="1" applyFont="1"/>
    <xf borderId="57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58" fillId="0" fontId="1" numFmtId="0" xfId="0" applyAlignment="1" applyBorder="1" applyFont="1">
      <alignment horizontal="center" shrinkToFit="0" vertical="center" wrapText="1"/>
    </xf>
    <xf borderId="59" fillId="0" fontId="3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left"/>
    </xf>
    <xf borderId="4" fillId="0" fontId="4" numFmtId="0" xfId="0" applyAlignment="1" applyBorder="1" applyFont="1">
      <alignment horizontal="center" readingOrder="0"/>
    </xf>
    <xf borderId="60" fillId="0" fontId="3" numFmtId="2" xfId="0" applyAlignment="1" applyBorder="1" applyFont="1" applyNumberFormat="1">
      <alignment horizontal="center" readingOrder="0"/>
    </xf>
    <xf borderId="4" fillId="0" fontId="3" numFmtId="2" xfId="0" applyAlignment="1" applyBorder="1" applyFont="1" applyNumberFormat="1">
      <alignment horizont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 readingOrder="0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/>
    </xf>
    <xf borderId="18" fillId="0" fontId="3" numFmtId="2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18" fillId="0" fontId="3" numFmtId="2" xfId="0" applyAlignment="1" applyBorder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59" fillId="0" fontId="3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left" readingOrder="0"/>
    </xf>
    <xf borderId="54" fillId="6" fontId="1" numFmtId="0" xfId="0" applyAlignment="1" applyBorder="1" applyFill="1" applyFont="1">
      <alignment horizontal="center" vertical="center"/>
    </xf>
    <xf borderId="55" fillId="6" fontId="1" numFmtId="2" xfId="0" applyAlignment="1" applyBorder="1" applyFont="1" applyNumberFormat="1">
      <alignment horizontal="center" vertical="center"/>
    </xf>
    <xf borderId="12" fillId="6" fontId="1" numFmtId="2" xfId="0" applyAlignment="1" applyBorder="1" applyFont="1" applyNumberFormat="1">
      <alignment horizontal="center" vertical="center"/>
    </xf>
    <xf borderId="61" fillId="0" fontId="2" numFmtId="0" xfId="0" applyBorder="1" applyFont="1"/>
    <xf borderId="0" fillId="0" fontId="8" numFmtId="0" xfId="0" applyAlignment="1" applyFont="1">
      <alignment horizontal="left"/>
    </xf>
    <xf borderId="51" fillId="0" fontId="1" numFmtId="0" xfId="0" applyAlignment="1" applyBorder="1" applyFont="1">
      <alignment horizontal="left" vertical="center"/>
    </xf>
    <xf borderId="28" fillId="0" fontId="3" numFmtId="0" xfId="0" applyAlignment="1" applyBorder="1" applyFont="1">
      <alignment horizontal="left" shrinkToFit="0" vertical="center" wrapText="1"/>
    </xf>
    <xf borderId="40" fillId="0" fontId="3" numFmtId="0" xfId="0" applyAlignment="1" applyBorder="1" applyFont="1">
      <alignment horizontal="left" shrinkToFit="0" vertical="center" wrapText="1"/>
    </xf>
    <xf borderId="22" fillId="0" fontId="1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horizontal="right"/>
    </xf>
    <xf borderId="16" fillId="0" fontId="1" numFmtId="0" xfId="0" applyAlignment="1" applyBorder="1" applyFont="1">
      <alignment horizontal="right"/>
    </xf>
    <xf borderId="16" fillId="0" fontId="3" numFmtId="0" xfId="0" applyAlignment="1" applyBorder="1" applyFont="1">
      <alignment horizontal="center"/>
    </xf>
    <xf borderId="20" fillId="0" fontId="3" numFmtId="0" xfId="0" applyBorder="1" applyFont="1"/>
    <xf borderId="20" fillId="0" fontId="1" numFmtId="0" xfId="0" applyAlignment="1" applyBorder="1" applyFont="1">
      <alignment horizontal="right"/>
    </xf>
    <xf borderId="24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0" fillId="0" fontId="3" numFmtId="169" xfId="0" applyAlignment="1" applyFont="1" applyNumberFormat="1">
      <alignment horizontal="right"/>
    </xf>
    <xf borderId="24" fillId="0" fontId="1" numFmtId="0" xfId="0" applyAlignment="1" applyBorder="1" applyFont="1">
      <alignment horizontal="right"/>
    </xf>
    <xf borderId="9" fillId="0" fontId="1" numFmtId="0" xfId="0" applyAlignment="1" applyBorder="1" applyFont="1">
      <alignment horizontal="right"/>
    </xf>
    <xf borderId="9" fillId="0" fontId="3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39" fillId="0" fontId="3" numFmtId="169" xfId="0" applyBorder="1" applyFont="1" applyNumberFormat="1"/>
    <xf borderId="2" fillId="0" fontId="1" numFmtId="0" xfId="0" applyAlignment="1" applyBorder="1" applyFont="1">
      <alignment horizontal="center" shrinkToFit="0" vertical="center" wrapText="1"/>
    </xf>
    <xf borderId="0" fillId="0" fontId="3" numFmtId="168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43" fillId="0" fontId="1" numFmtId="0" xfId="0" applyAlignment="1" applyBorder="1" applyFont="1">
      <alignment horizontal="right"/>
    </xf>
    <xf borderId="44" fillId="0" fontId="1" numFmtId="0" xfId="0" applyAlignment="1" applyBorder="1" applyFont="1">
      <alignment horizontal="right"/>
    </xf>
    <xf borderId="13" fillId="0" fontId="1" numFmtId="0" xfId="0" applyAlignment="1" applyBorder="1" applyFont="1">
      <alignment horizontal="center" vertical="center"/>
    </xf>
    <xf borderId="44" fillId="0" fontId="3" numFmtId="0" xfId="0" applyBorder="1" applyFont="1"/>
    <xf borderId="45" fillId="0" fontId="3" numFmtId="169" xfId="0" applyBorder="1" applyFont="1" applyNumberFormat="1"/>
    <xf borderId="0" fillId="0" fontId="9" numFmtId="0" xfId="0" applyFont="1"/>
    <xf borderId="26" fillId="0" fontId="6" numFmtId="0" xfId="0" applyAlignment="1" applyBorder="1" applyFont="1">
      <alignment horizontal="center"/>
    </xf>
    <xf borderId="27" fillId="0" fontId="10" numFmtId="0" xfId="0" applyBorder="1" applyFont="1"/>
    <xf borderId="54" fillId="2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vertical="center"/>
    </xf>
    <xf borderId="62" fillId="3" fontId="1" numFmtId="0" xfId="0" applyAlignment="1" applyBorder="1" applyFont="1">
      <alignment horizontal="center" shrinkToFit="0" vertical="center" wrapText="1"/>
    </xf>
    <xf borderId="63" fillId="0" fontId="2" numFmtId="0" xfId="0" applyBorder="1" applyFont="1"/>
    <xf borderId="56" fillId="0" fontId="10" numFmtId="0" xfId="0" applyBorder="1" applyFont="1"/>
    <xf borderId="24" fillId="0" fontId="1" numFmtId="0" xfId="0" applyAlignment="1" applyBorder="1" applyFont="1">
      <alignment horizontal="center" shrinkToFit="0" vertical="center" wrapText="1"/>
    </xf>
    <xf borderId="28" fillId="3" fontId="1" numFmtId="0" xfId="0" applyAlignment="1" applyBorder="1" applyFont="1">
      <alignment horizontal="left" shrinkToFit="0" vertical="center" wrapText="1"/>
    </xf>
    <xf borderId="41" fillId="3" fontId="1" numFmtId="0" xfId="0" applyAlignment="1" applyBorder="1" applyFont="1">
      <alignment horizontal="center" shrinkToFit="0" vertical="center" wrapText="1"/>
    </xf>
    <xf borderId="28" fillId="4" fontId="3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41" fillId="4" fontId="3" numFmtId="0" xfId="0" applyAlignment="1" applyBorder="1" applyFont="1">
      <alignment shrinkToFit="0" vertical="center" wrapText="1"/>
    </xf>
    <xf borderId="64" fillId="4" fontId="3" numFmtId="0" xfId="0" applyAlignment="1" applyBorder="1" applyFont="1">
      <alignment horizontal="left" shrinkToFit="0" vertical="center" wrapText="1"/>
    </xf>
    <xf borderId="65" fillId="4" fontId="3" numFmtId="0" xfId="0" applyAlignment="1" applyBorder="1" applyFont="1">
      <alignment horizontal="left" shrinkToFit="0" vertical="center" wrapText="1"/>
    </xf>
    <xf borderId="65" fillId="4" fontId="1" numFmtId="0" xfId="0" applyAlignment="1" applyBorder="1" applyFont="1">
      <alignment horizontal="center" shrinkToFit="0" vertical="center" wrapText="1"/>
    </xf>
    <xf borderId="66" fillId="4" fontId="1" numFmtId="0" xfId="0" applyAlignment="1" applyBorder="1" applyFont="1">
      <alignment horizontal="center" shrinkToFit="0" vertical="center" wrapText="1"/>
    </xf>
    <xf borderId="54" fillId="4" fontId="3" numFmtId="0" xfId="0" applyAlignment="1" applyBorder="1" applyFont="1">
      <alignment horizontal="left" shrinkToFit="0" vertical="center" wrapText="1"/>
    </xf>
    <xf borderId="51" fillId="5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8" fillId="5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horizontal="center" shrinkToFit="0" vertical="center" wrapText="1"/>
    </xf>
    <xf borderId="9" fillId="0" fontId="11" numFmtId="0" xfId="0" applyBorder="1" applyFont="1"/>
    <xf borderId="8" fillId="0" fontId="4" numFmtId="2" xfId="0" applyAlignment="1" applyBorder="1" applyFont="1" applyNumberFormat="1">
      <alignment horizontal="center"/>
    </xf>
    <xf borderId="11" fillId="0" fontId="3" numFmtId="2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left"/>
    </xf>
    <xf borderId="24" fillId="0" fontId="1" numFmtId="0" xfId="0" applyAlignment="1" applyBorder="1" applyFont="1">
      <alignment horizontal="left" shrinkToFit="0" vertical="top" wrapText="1"/>
    </xf>
    <xf borderId="0" fillId="0" fontId="6" numFmtId="2" xfId="0" applyFont="1" applyNumberFormat="1"/>
    <xf borderId="51" fillId="4" fontId="1" numFmtId="0" xfId="0" applyAlignment="1" applyBorder="1" applyFont="1">
      <alignment horizontal="left" shrinkToFit="0" vertical="center" wrapText="1"/>
    </xf>
    <xf borderId="67" fillId="4" fontId="3" numFmtId="0" xfId="0" applyAlignment="1" applyBorder="1" applyFont="1">
      <alignment horizontal="center" shrinkToFit="0" vertical="center" wrapText="1"/>
    </xf>
    <xf borderId="68" fillId="0" fontId="2" numFmtId="0" xfId="0" applyBorder="1" applyFont="1"/>
    <xf borderId="69" fillId="4" fontId="3" numFmtId="0" xfId="0" applyAlignment="1" applyBorder="1" applyFont="1">
      <alignment horizontal="left" shrinkToFit="0" vertical="center" wrapText="1"/>
    </xf>
    <xf borderId="15" fillId="4" fontId="1" numFmtId="0" xfId="0" applyAlignment="1" applyBorder="1" applyFont="1">
      <alignment horizontal="left" shrinkToFit="0" vertical="center" wrapText="1"/>
    </xf>
    <xf borderId="15" fillId="4" fontId="3" numFmtId="0" xfId="0" applyAlignment="1" applyBorder="1" applyFont="1">
      <alignment horizontal="center" shrinkToFit="0" vertical="center" wrapText="1"/>
    </xf>
    <xf borderId="28" fillId="4" fontId="1" numFmtId="0" xfId="0" applyAlignment="1" applyBorder="1" applyFont="1">
      <alignment horizontal="left" shrinkToFit="0" vertical="center" wrapText="1"/>
    </xf>
    <xf borderId="65" fillId="4" fontId="3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left" shrinkToFit="0" vertical="center" wrapText="1"/>
    </xf>
    <xf borderId="54" fillId="4" fontId="1" numFmtId="0" xfId="0" applyAlignment="1" applyBorder="1" applyFont="1">
      <alignment horizontal="left" shrinkToFit="0" vertical="center" wrapText="1"/>
    </xf>
    <xf borderId="12" fillId="4" fontId="3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horizontal="left" shrinkToFit="0" vertical="center" wrapText="1"/>
    </xf>
    <xf borderId="12" fillId="4" fontId="3" numFmtId="165" xfId="0" applyAlignment="1" applyBorder="1" applyFont="1" applyNumberFormat="1">
      <alignment horizontal="center" shrinkToFit="0" vertical="center" wrapText="1"/>
    </xf>
    <xf borderId="20" fillId="0" fontId="6" numFmtId="0" xfId="0" applyBorder="1" applyFont="1"/>
    <xf borderId="1" fillId="0" fontId="3" numFmtId="0" xfId="0" applyAlignment="1" applyBorder="1" applyFont="1">
      <alignment horizontal="center" vertical="center"/>
    </xf>
    <xf borderId="47" fillId="0" fontId="6" numFmtId="0" xfId="0" applyAlignment="1" applyBorder="1" applyFont="1">
      <alignment horizontal="center" shrinkToFit="0" vertical="center" wrapText="1"/>
    </xf>
    <xf borderId="51" fillId="2" fontId="7" numFmtId="0" xfId="0" applyAlignment="1" applyBorder="1" applyFont="1">
      <alignment horizontal="center" vertical="center"/>
    </xf>
    <xf borderId="37" fillId="2" fontId="7" numFmtId="0" xfId="0" applyAlignment="1" applyBorder="1" applyFont="1">
      <alignment horizontal="center" shrinkToFit="0" vertical="center" wrapText="1"/>
    </xf>
    <xf borderId="4" fillId="0" fontId="4" numFmtId="49" xfId="0" applyAlignment="1" applyBorder="1" applyFont="1" applyNumberFormat="1">
      <alignment horizontal="center" vertical="center"/>
    </xf>
    <xf borderId="4" fillId="2" fontId="7" numFmtId="0" xfId="0" applyAlignment="1" applyBorder="1" applyFont="1">
      <alignment horizontal="center" vertical="center"/>
    </xf>
    <xf borderId="18" fillId="0" fontId="6" numFmtId="165" xfId="0" applyAlignment="1" applyBorder="1" applyFont="1" applyNumberFormat="1">
      <alignment vertical="center"/>
    </xf>
    <xf borderId="4" fillId="2" fontId="7" numFmtId="0" xfId="0" applyAlignment="1" applyBorder="1" applyFont="1">
      <alignment horizontal="center" shrinkToFit="0" vertical="center" wrapText="1"/>
    </xf>
    <xf borderId="4" fillId="0" fontId="7" numFmtId="14" xfId="0" applyAlignment="1" applyBorder="1" applyFont="1" applyNumberFormat="1">
      <alignment horizontal="center" shrinkToFit="0" vertical="center" wrapText="1"/>
    </xf>
    <xf borderId="70" fillId="2" fontId="7" numFmtId="0" xfId="0" applyAlignment="1" applyBorder="1" applyFont="1">
      <alignment horizontal="center" shrinkToFit="0" vertical="center" wrapText="1"/>
    </xf>
    <xf borderId="71" fillId="0" fontId="2" numFmtId="0" xfId="0" applyBorder="1" applyFont="1"/>
    <xf borderId="72" fillId="0" fontId="2" numFmtId="0" xfId="0" applyBorder="1" applyFont="1"/>
    <xf borderId="1" fillId="0" fontId="4" numFmtId="0" xfId="0" applyAlignment="1" applyBorder="1" applyFont="1">
      <alignment horizontal="center" vertical="center"/>
    </xf>
    <xf borderId="12" fillId="2" fontId="7" numFmtId="0" xfId="0" applyAlignment="1" applyBorder="1" applyFont="1">
      <alignment horizontal="center" vertical="center"/>
    </xf>
    <xf borderId="55" fillId="0" fontId="7" numFmtId="0" xfId="0" applyAlignment="1" applyBorder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2" fillId="0" fontId="7" numFmtId="14" xfId="0" applyAlignment="1" applyBorder="1" applyFont="1" applyNumberFormat="1">
      <alignment horizontal="center" shrinkToFit="0" vertical="center" wrapText="1"/>
    </xf>
    <xf borderId="73" fillId="0" fontId="7" numFmtId="0" xfId="0" applyAlignment="1" applyBorder="1" applyFont="1">
      <alignment horizontal="center" shrinkToFit="0" vertical="center" wrapText="1"/>
    </xf>
    <xf borderId="32" fillId="3" fontId="1" numFmtId="0" xfId="0" applyAlignment="1" applyBorder="1" applyFont="1">
      <alignment horizontal="left" shrinkToFit="0" vertical="center" wrapText="1"/>
    </xf>
    <xf borderId="32" fillId="3" fontId="1" numFmtId="0" xfId="0" applyAlignment="1" applyBorder="1" applyFont="1">
      <alignment horizontal="center" shrinkToFit="0" vertical="center" wrapText="1"/>
    </xf>
    <xf borderId="74" fillId="3" fontId="1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left" shrinkToFit="0" vertical="center" wrapText="1"/>
    </xf>
    <xf borderId="18" fillId="4" fontId="3" numFmtId="0" xfId="0" applyAlignment="1" applyBorder="1" applyFont="1">
      <alignment shrinkToFit="0" vertical="center" wrapText="1"/>
    </xf>
    <xf borderId="70" fillId="4" fontId="6" numFmtId="0" xfId="0" applyAlignment="1" applyBorder="1" applyFont="1">
      <alignment horizontal="center" shrinkToFit="0" vertical="center" wrapText="1"/>
    </xf>
    <xf borderId="15" fillId="5" fontId="12" numFmtId="1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shrinkToFit="0" wrapText="1"/>
    </xf>
    <xf borderId="73" fillId="0" fontId="13" numFmtId="0" xfId="0" applyAlignment="1" applyBorder="1" applyFont="1">
      <alignment horizontal="left" shrinkToFit="0" vertical="center" wrapText="1"/>
    </xf>
    <xf borderId="73" fillId="0" fontId="13" numFmtId="0" xfId="0" applyAlignment="1" applyBorder="1" applyFont="1">
      <alignment horizontal="left" shrinkToFit="0" wrapText="1"/>
    </xf>
    <xf borderId="75" fillId="0" fontId="6" numFmtId="0" xfId="0" applyAlignment="1" applyBorder="1" applyFont="1">
      <alignment horizontal="left" shrinkToFit="0" vertical="center" wrapText="1"/>
    </xf>
    <xf borderId="76" fillId="0" fontId="2" numFmtId="0" xfId="0" applyBorder="1" applyFont="1"/>
    <xf borderId="73" fillId="0" fontId="6" numFmtId="0" xfId="0" applyAlignment="1" applyBorder="1" applyFont="1">
      <alignment horizontal="center" shrinkToFit="0" wrapText="1"/>
    </xf>
    <xf borderId="19" fillId="0" fontId="7" numFmtId="0" xfId="0" applyAlignment="1" applyBorder="1" applyFont="1">
      <alignment horizontal="left" shrinkToFit="0" vertical="top" wrapText="1"/>
    </xf>
    <xf borderId="75" fillId="0" fontId="2" numFmtId="0" xfId="0" applyBorder="1" applyFont="1"/>
    <xf borderId="15" fillId="4" fontId="7" numFmtId="0" xfId="0" applyAlignment="1" applyBorder="1" applyFont="1">
      <alignment horizontal="left" shrinkToFit="0" vertical="center" wrapText="1"/>
    </xf>
    <xf borderId="15" fillId="4" fontId="6" numFmtId="0" xfId="0" applyAlignment="1" applyBorder="1" applyFont="1">
      <alignment horizontal="center" shrinkToFit="0" vertical="center" wrapText="1"/>
    </xf>
    <xf borderId="69" fillId="4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65" fillId="4" fontId="6" numFmtId="0" xfId="0" applyAlignment="1" applyBorder="1" applyFont="1">
      <alignment horizontal="center" shrinkToFit="0" vertical="center" wrapText="1"/>
    </xf>
    <xf borderId="65" fillId="4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77" fillId="4" fontId="7" numFmtId="0" xfId="0" applyAlignment="1" applyBorder="1" applyFont="1">
      <alignment horizontal="left" shrinkToFit="0" vertical="center" wrapText="1"/>
    </xf>
    <xf borderId="77" fillId="4" fontId="6" numFmtId="0" xfId="0" applyAlignment="1" applyBorder="1" applyFont="1">
      <alignment horizontal="center" shrinkToFit="0" vertical="center" wrapText="1"/>
    </xf>
    <xf borderId="0" fillId="0" fontId="14" numFmtId="0" xfId="0" applyFont="1"/>
    <xf borderId="1" fillId="0" fontId="14" numFmtId="0" xfId="0" applyAlignment="1" applyBorder="1" applyFont="1">
      <alignment horizontal="center"/>
    </xf>
    <xf borderId="0" fillId="0" fontId="14" numFmtId="0" xfId="0" applyAlignment="1" applyFont="1">
      <alignment horizontal="center" vertical="center"/>
    </xf>
    <xf borderId="52" fillId="0" fontId="1" numFmtId="0" xfId="0" applyAlignment="1" applyBorder="1" applyFont="1">
      <alignment horizontal="center" vertical="center"/>
    </xf>
    <xf borderId="60" fillId="0" fontId="2" numFmtId="0" xfId="0" applyBorder="1" applyFont="1"/>
    <xf borderId="4" fillId="0" fontId="3" numFmtId="165" xfId="0" applyAlignment="1" applyBorder="1" applyFont="1" applyNumberFormat="1">
      <alignment horizontal="center" vertical="center"/>
    </xf>
    <xf borderId="4" fillId="0" fontId="3" numFmtId="170" xfId="0" applyAlignment="1" applyBorder="1" applyFont="1" applyNumberFormat="1">
      <alignment horizontal="center" vertical="center"/>
    </xf>
    <xf borderId="4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8" fillId="7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1" shrinkToFit="0" vertical="center" wrapText="1"/>
    </xf>
    <xf borderId="4" fillId="0" fontId="5" numFmtId="0" xfId="0" applyAlignment="1" applyBorder="1" applyFont="1">
      <alignment horizontal="center" vertical="center"/>
    </xf>
    <xf borderId="52" fillId="7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78" fillId="0" fontId="2" numFmtId="0" xfId="0" applyBorder="1" applyFont="1"/>
    <xf borderId="18" fillId="7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28" fillId="2" fontId="1" numFmtId="0" xfId="0" applyAlignment="1" applyBorder="1" applyFont="1">
      <alignment horizontal="left" vertical="center"/>
    </xf>
    <xf borderId="34" fillId="2" fontId="1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center" vertical="center"/>
    </xf>
    <xf borderId="37" fillId="2" fontId="1" numFmtId="0" xfId="0" applyAlignment="1" applyBorder="1" applyFont="1">
      <alignment horizontal="left" vertical="center"/>
    </xf>
    <xf borderId="37" fillId="2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left" shrinkToFit="0" vertical="center" wrapText="1"/>
    </xf>
    <xf borderId="4" fillId="0" fontId="3" numFmtId="1" xfId="0" applyAlignment="1" applyBorder="1" applyFont="1" applyNumberFormat="1">
      <alignment horizontal="center" readingOrder="0" vertical="center"/>
    </xf>
    <xf borderId="79" fillId="0" fontId="2" numFmtId="0" xfId="0" applyBorder="1" applyFont="1"/>
    <xf borderId="28" fillId="2" fontId="1" numFmtId="0" xfId="0" applyAlignment="1" applyBorder="1" applyFont="1">
      <alignment horizontal="left" shrinkToFit="0" vertical="center" wrapText="1"/>
    </xf>
    <xf borderId="4" fillId="0" fontId="3" numFmtId="1" xfId="0" applyAlignment="1" applyBorder="1" applyFont="1" applyNumberFormat="1">
      <alignment horizontal="center" vertical="center"/>
    </xf>
    <xf borderId="29" fillId="3" fontId="5" numFmtId="1" xfId="0" applyAlignment="1" applyBorder="1" applyFont="1" applyNumberFormat="1">
      <alignment horizontal="center" shrinkToFit="0" vertical="center" wrapText="1"/>
    </xf>
    <xf borderId="80" fillId="0" fontId="2" numFmtId="0" xfId="0" applyBorder="1" applyFont="1"/>
    <xf borderId="0" fillId="0" fontId="6" numFmtId="0" xfId="0" applyAlignment="1" applyFont="1">
      <alignment vertical="center"/>
    </xf>
    <xf borderId="4" fillId="3" fontId="5" numFmtId="1" xfId="0" applyAlignment="1" applyBorder="1" applyFont="1" applyNumberFormat="1">
      <alignment horizontal="center" shrinkToFit="0" vertical="center" wrapText="1"/>
    </xf>
    <xf borderId="32" fillId="3" fontId="5" numFmtId="1" xfId="0" applyAlignment="1" applyBorder="1" applyFont="1" applyNumberFormat="1">
      <alignment horizontal="center" shrinkToFit="0" vertical="center" wrapText="1"/>
    </xf>
    <xf borderId="28" fillId="0" fontId="4" numFmtId="1" xfId="0" applyAlignment="1" applyBorder="1" applyFont="1" applyNumberFormat="1">
      <alignment horizontal="center" readingOrder="0" shrinkToFit="0" vertical="center" wrapText="1"/>
    </xf>
    <xf borderId="4" fillId="0" fontId="4" numFmtId="1" xfId="0" applyAlignment="1" applyBorder="1" applyFont="1" applyNumberFormat="1">
      <alignment horizontal="center" shrinkToFit="0" vertical="center" wrapText="1"/>
    </xf>
    <xf borderId="11" fillId="0" fontId="4" numFmtId="1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shrinkToFit="0" vertical="center" wrapText="1"/>
    </xf>
    <xf borderId="28" fillId="0" fontId="4" numFmtId="1" xfId="0" applyAlignment="1" applyBorder="1" applyFont="1" applyNumberFormat="1">
      <alignment horizontal="center" shrinkToFit="0" vertical="center" wrapText="1"/>
    </xf>
    <xf borderId="28" fillId="0" fontId="5" numFmtId="1" xfId="0" applyAlignment="1" applyBorder="1" applyFont="1" applyNumberFormat="1">
      <alignment horizontal="center" shrinkToFit="0" vertical="center" wrapText="1"/>
    </xf>
    <xf borderId="8" fillId="0" fontId="5" numFmtId="1" xfId="0" applyAlignment="1" applyBorder="1" applyFont="1" applyNumberFormat="1">
      <alignment horizontal="center" shrinkToFit="0" vertical="center" wrapText="1"/>
    </xf>
    <xf borderId="9" fillId="0" fontId="5" numFmtId="1" xfId="0" applyAlignment="1" applyBorder="1" applyFont="1" applyNumberFormat="1">
      <alignment horizontal="center" shrinkToFit="0" vertical="center" wrapText="1"/>
    </xf>
    <xf borderId="18" fillId="0" fontId="5" numFmtId="1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vertical="center"/>
    </xf>
    <xf borderId="18" fillId="0" fontId="5" numFmtId="1" xfId="0" applyAlignment="1" applyBorder="1" applyFont="1" applyNumberFormat="1">
      <alignment horizontal="center" vertical="center"/>
    </xf>
    <xf borderId="18" fillId="0" fontId="5" numFmtId="1" xfId="0" applyAlignment="1" applyBorder="1" applyFont="1" applyNumberFormat="1">
      <alignment vertical="center"/>
    </xf>
    <xf borderId="24" fillId="0" fontId="6" numFmtId="0" xfId="0" applyAlignment="1" applyBorder="1" applyFont="1">
      <alignment vertical="center"/>
    </xf>
    <xf borderId="4" fillId="0" fontId="10" numFmtId="0" xfId="0" applyAlignment="1" applyBorder="1" applyFont="1">
      <alignment horizontal="center"/>
    </xf>
    <xf borderId="4" fillId="3" fontId="5" numFmtId="1" xfId="0" applyAlignment="1" applyBorder="1" applyFont="1" applyNumberFormat="1">
      <alignment horizontal="center" vertical="center"/>
    </xf>
    <xf borderId="18" fillId="3" fontId="5" numFmtId="1" xfId="0" applyAlignment="1" applyBorder="1" applyFont="1" applyNumberFormat="1">
      <alignment horizontal="center" vertical="center"/>
    </xf>
    <xf borderId="32" fillId="2" fontId="1" numFmtId="0" xfId="0" applyAlignment="1" applyBorder="1" applyFont="1">
      <alignment horizontal="center" shrinkToFit="0" vertical="center" wrapText="1"/>
    </xf>
    <xf borderId="8" fillId="0" fontId="3" numFmtId="2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shrinkToFit="0" vertical="center" wrapText="1"/>
    </xf>
    <xf borderId="4" fillId="0" fontId="3" numFmtId="2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shrinkToFit="0" vertical="center" wrapText="1"/>
    </xf>
    <xf borderId="1" fillId="0" fontId="5" numFmtId="1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6" fillId="0" fontId="5" numFmtId="1" xfId="0" applyAlignment="1" applyBorder="1" applyFont="1" applyNumberFormat="1">
      <alignment horizontal="center" shrinkToFit="0" vertical="center" wrapText="1"/>
    </xf>
    <xf borderId="78" fillId="0" fontId="5" numFmtId="1" xfId="0" applyAlignment="1" applyBorder="1" applyFont="1" applyNumberFormat="1">
      <alignment horizontal="center" shrinkToFit="0" vertical="center" wrapText="1"/>
    </xf>
    <xf borderId="60" fillId="0" fontId="5" numFmtId="1" xfId="0" applyAlignment="1" applyBorder="1" applyFont="1" applyNumberFormat="1">
      <alignment horizontal="center" shrinkToFit="0" vertical="center" wrapText="1"/>
    </xf>
    <xf borderId="81" fillId="0" fontId="15" numFmtId="1" xfId="0" applyAlignment="1" applyBorder="1" applyFont="1" applyNumberFormat="1">
      <alignment horizontal="center" shrinkToFit="0" vertical="center" wrapText="1"/>
    </xf>
    <xf borderId="14" fillId="0" fontId="5" numFmtId="1" xfId="0" applyAlignment="1" applyBorder="1" applyFont="1" applyNumberFormat="1">
      <alignment horizontal="center" shrinkToFit="0" vertical="center" wrapText="1"/>
    </xf>
    <xf borderId="55" fillId="0" fontId="5" numFmtId="1" xfId="0" applyAlignment="1" applyBorder="1" applyFont="1" applyNumberFormat="1">
      <alignment horizontal="center" shrinkToFit="0" vertical="center" wrapText="1"/>
    </xf>
    <xf borderId="12" fillId="0" fontId="5" numFmtId="1" xfId="0" applyAlignment="1" applyBorder="1" applyFont="1" applyNumberFormat="1">
      <alignment horizontal="center" shrinkToFit="0" vertical="center" wrapText="1"/>
    </xf>
    <xf borderId="56" fillId="0" fontId="5" numFmtId="1" xfId="0" applyAlignment="1" applyBorder="1" applyFont="1" applyNumberFormat="1">
      <alignment horizontal="center" shrinkToFit="0" vertical="center" wrapText="1"/>
    </xf>
    <xf borderId="51" fillId="3" fontId="5" numFmtId="1" xfId="0" applyAlignment="1" applyBorder="1" applyFont="1" applyNumberFormat="1">
      <alignment horizontal="center" shrinkToFit="0" vertical="center" wrapText="1"/>
    </xf>
    <xf borderId="41" fillId="0" fontId="5" numFmtId="1" xfId="0" applyAlignment="1" applyBorder="1" applyFont="1" applyNumberFormat="1">
      <alignment horizontal="center" shrinkToFit="0" vertical="center" wrapText="1"/>
    </xf>
    <xf borderId="28" fillId="0" fontId="5" numFmtId="1" xfId="0" applyAlignment="1" applyBorder="1" applyFont="1" applyNumberFormat="1">
      <alignment horizontal="left" shrinkToFit="0" vertical="center" wrapText="1"/>
    </xf>
    <xf borderId="54" fillId="0" fontId="5" numFmtId="1" xfId="0" applyAlignment="1" applyBorder="1" applyFont="1" applyNumberFormat="1">
      <alignment horizontal="center" shrinkToFit="0" vertical="center" wrapText="1"/>
    </xf>
    <xf borderId="47" fillId="5" fontId="5" numFmtId="1" xfId="0" applyAlignment="1" applyBorder="1" applyFont="1" applyNumberFormat="1">
      <alignment horizontal="center" shrinkToFit="0" vertical="center" wrapText="1"/>
    </xf>
    <xf borderId="22" fillId="0" fontId="5" numFmtId="1" xfId="0" applyAlignment="1" applyBorder="1" applyFont="1" applyNumberFormat="1">
      <alignment horizontal="right" shrinkToFit="0" vertical="center" wrapText="1"/>
    </xf>
    <xf borderId="20" fillId="0" fontId="5" numFmtId="1" xfId="0" applyAlignment="1" applyBorder="1" applyFont="1" applyNumberFormat="1">
      <alignment horizontal="center" shrinkToFit="0" vertical="center" wrapText="1"/>
    </xf>
    <xf borderId="20" fillId="0" fontId="5" numFmtId="1" xfId="0" applyAlignment="1" applyBorder="1" applyFont="1" applyNumberFormat="1">
      <alignment horizontal="right" shrinkToFit="0" vertical="center" wrapText="1"/>
    </xf>
    <xf borderId="16" fillId="0" fontId="5" numFmtId="1" xfId="0" applyAlignment="1" applyBorder="1" applyFont="1" applyNumberFormat="1">
      <alignment horizontal="center" shrinkToFit="0" vertical="center" wrapText="1"/>
    </xf>
    <xf borderId="24" fillId="0" fontId="5" numFmtId="1" xfId="0" applyAlignment="1" applyBorder="1" applyFont="1" applyNumberFormat="1">
      <alignment horizontal="right" shrinkToFit="0" vertical="center" wrapText="1"/>
    </xf>
    <xf borderId="11" fillId="0" fontId="5" numFmtId="1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right" shrinkToFit="0" vertical="center" wrapText="1"/>
    </xf>
    <xf borderId="43" fillId="0" fontId="5" numFmtId="1" xfId="0" applyAlignment="1" applyBorder="1" applyFont="1" applyNumberFormat="1">
      <alignment horizontal="right" shrinkToFit="0" vertical="center" wrapText="1"/>
    </xf>
    <xf borderId="44" fillId="0" fontId="5" numFmtId="1" xfId="0" applyAlignment="1" applyBorder="1" applyFont="1" applyNumberFormat="1">
      <alignment horizontal="center" shrinkToFit="0" vertical="center" wrapText="1"/>
    </xf>
    <xf borderId="44" fillId="0" fontId="5" numFmtId="1" xfId="0" applyAlignment="1" applyBorder="1" applyFont="1" applyNumberFormat="1">
      <alignment horizontal="right" shrinkToFit="0" vertical="center" wrapText="1"/>
    </xf>
    <xf borderId="22" fillId="0" fontId="5" numFmtId="1" xfId="0" applyAlignment="1" applyBorder="1" applyFont="1" applyNumberFormat="1">
      <alignment horizontal="left" shrinkToFit="0" vertical="top" wrapText="1"/>
    </xf>
    <xf borderId="4" fillId="0" fontId="4" numFmtId="1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42" fillId="0" fontId="1" numFmtId="165" xfId="0" applyAlignment="1" applyBorder="1" applyFont="1" applyNumberFormat="1">
      <alignment horizontal="center" vertical="center"/>
    </xf>
    <xf borderId="34" fillId="2" fontId="1" numFmtId="0" xfId="0" applyAlignment="1" applyBorder="1" applyFont="1">
      <alignment horizontal="center" shrinkToFit="0" vertical="center" wrapText="1"/>
    </xf>
    <xf borderId="37" fillId="2" fontId="1" numFmtId="0" xfId="0" applyAlignment="1" applyBorder="1" applyFont="1">
      <alignment horizontal="center" shrinkToFit="0" vertical="center" wrapText="1"/>
    </xf>
    <xf borderId="34" fillId="4" fontId="3" numFmtId="0" xfId="0" applyAlignment="1" applyBorder="1" applyFont="1">
      <alignment horizontal="left" shrinkToFit="0" vertical="center" wrapText="1"/>
    </xf>
    <xf borderId="37" fillId="4" fontId="3" numFmtId="0" xfId="0" applyAlignment="1" applyBorder="1" applyFont="1">
      <alignment horizontal="center" shrinkToFit="0" vertical="center" wrapText="1"/>
    </xf>
    <xf borderId="82" fillId="4" fontId="3" numFmtId="0" xfId="0" applyAlignment="1" applyBorder="1" applyFont="1">
      <alignment shrinkToFit="0" vertical="center" wrapText="1"/>
    </xf>
    <xf borderId="28" fillId="3" fontId="5" numFmtId="1" xfId="0" applyAlignment="1" applyBorder="1" applyFont="1" applyNumberFormat="1">
      <alignment horizontal="center" shrinkToFit="0" vertical="center" wrapText="1"/>
    </xf>
    <xf borderId="28" fillId="3" fontId="1" numFmtId="0" xfId="0" applyAlignment="1" applyBorder="1" applyFont="1">
      <alignment horizontal="center" shrinkToFit="0" vertical="center" wrapText="1"/>
    </xf>
    <xf borderId="29" fillId="4" fontId="1" numFmtId="0" xfId="0" applyAlignment="1" applyBorder="1" applyFont="1">
      <alignment horizontal="center" shrinkToFit="0" vertical="center" wrapText="1"/>
    </xf>
    <xf borderId="83" fillId="4" fontId="1" numFmtId="0" xfId="0" applyAlignment="1" applyBorder="1" applyFont="1">
      <alignment horizontal="center" shrinkToFit="0" vertical="center" wrapText="1"/>
    </xf>
    <xf borderId="32" fillId="4" fontId="1" numFmtId="0" xfId="0" applyAlignment="1" applyBorder="1" applyFont="1">
      <alignment horizontal="center" shrinkToFit="0" vertical="center" wrapText="1"/>
    </xf>
    <xf borderId="34" fillId="4" fontId="3" numFmtId="0" xfId="0" applyAlignment="1" applyBorder="1" applyFont="1">
      <alignment horizontal="center" shrinkToFit="0" vertical="center" wrapText="1"/>
    </xf>
    <xf borderId="84" fillId="4" fontId="3" numFmtId="0" xfId="0" applyAlignment="1" applyBorder="1" applyFont="1">
      <alignment horizontal="left" shrinkToFit="0" vertical="center" wrapText="1"/>
    </xf>
    <xf borderId="37" fillId="4" fontId="3" numFmtId="0" xfId="0" applyAlignment="1" applyBorder="1" applyFont="1">
      <alignment horizontal="left" shrinkToFit="0" vertical="center" wrapText="1"/>
    </xf>
    <xf borderId="85" fillId="0" fontId="2" numFmtId="0" xfId="0" applyBorder="1" applyFont="1"/>
    <xf borderId="28" fillId="4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right" shrinkToFit="0" vertical="center" wrapText="1"/>
    </xf>
    <xf borderId="86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34" fillId="5" fontId="1" numFmtId="0" xfId="0" applyAlignment="1" applyBorder="1" applyFont="1">
      <alignment horizontal="center" shrinkToFit="0" vertical="center" wrapText="1"/>
    </xf>
    <xf borderId="40" fillId="4" fontId="1" numFmtId="0" xfId="0" applyAlignment="1" applyBorder="1" applyFont="1">
      <alignment horizontal="left" shrinkToFit="0" vertical="top" wrapText="1"/>
    </xf>
    <xf borderId="87" fillId="4" fontId="1" numFmtId="0" xfId="0" applyAlignment="1" applyBorder="1" applyFont="1">
      <alignment horizontal="left" shrinkToFit="0" vertical="center" wrapText="1"/>
    </xf>
    <xf borderId="88" fillId="4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center" vertical="center"/>
    </xf>
    <xf borderId="18" fillId="0" fontId="16" numFmtId="164" xfId="0" applyAlignment="1" applyBorder="1" applyFont="1" applyNumberFormat="1">
      <alignment horizontal="center" vertical="center"/>
    </xf>
    <xf borderId="18" fillId="0" fontId="16" numFmtId="165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7" numFmtId="0" xfId="0" applyFont="1"/>
    <xf borderId="1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vertical="center"/>
    </xf>
    <xf borderId="4" fillId="0" fontId="16" numFmtId="164" xfId="0" applyAlignment="1" applyBorder="1" applyFont="1" applyNumberFormat="1">
      <alignment horizontal="center" vertical="center"/>
    </xf>
    <xf borderId="52" fillId="0" fontId="16" numFmtId="0" xfId="0" applyAlignment="1" applyBorder="1" applyFont="1">
      <alignment horizontal="center" vertical="center"/>
    </xf>
    <xf borderId="4" fillId="0" fontId="16" numFmtId="165" xfId="0" applyAlignment="1" applyBorder="1" applyFont="1" applyNumberFormat="1">
      <alignment horizontal="center" vertical="center"/>
    </xf>
    <xf borderId="18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6" fillId="0" fontId="14" numFmtId="0" xfId="0" applyBorder="1" applyFont="1"/>
    <xf borderId="7" fillId="0" fontId="14" numFmtId="0" xfId="0" applyBorder="1" applyFont="1"/>
    <xf borderId="4" fillId="0" fontId="17" numFmtId="0" xfId="0" applyAlignment="1" applyBorder="1" applyFont="1">
      <alignment shrinkToFit="0" vertical="center" wrapText="1"/>
    </xf>
    <xf borderId="4" fillId="4" fontId="16" numFmtId="0" xfId="0" applyAlignment="1" applyBorder="1" applyFont="1">
      <alignment horizontal="center" shrinkToFit="0" vertical="center" wrapText="1"/>
    </xf>
    <xf borderId="4" fillId="0" fontId="17" numFmtId="1" xfId="0" applyAlignment="1" applyBorder="1" applyFont="1" applyNumberFormat="1">
      <alignment horizontal="center" shrinkToFit="0" vertical="center" wrapText="1"/>
    </xf>
    <xf borderId="4" fillId="0" fontId="17" numFmtId="0" xfId="0" applyAlignment="1" applyBorder="1" applyFont="1">
      <alignment horizontal="center" vertical="center"/>
    </xf>
    <xf borderId="11" fillId="0" fontId="17" numFmtId="0" xfId="0" applyAlignment="1" applyBorder="1" applyFont="1">
      <alignment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right" shrinkToFit="0" wrapText="1"/>
    </xf>
    <xf borderId="9" fillId="0" fontId="17" numFmtId="0" xfId="0" applyAlignment="1" applyBorder="1" applyFont="1">
      <alignment horizontal="center" shrinkToFit="0" wrapText="1"/>
    </xf>
    <xf borderId="0" fillId="0" fontId="17" numFmtId="0" xfId="0" applyAlignment="1" applyFont="1">
      <alignment shrinkToFit="0" wrapText="1"/>
    </xf>
    <xf borderId="7" fillId="0" fontId="17" numFmtId="0" xfId="0" applyAlignment="1" applyBorder="1" applyFont="1">
      <alignment shrinkToFit="0" wrapText="1"/>
    </xf>
    <xf borderId="6" fillId="0" fontId="17" numFmtId="0" xfId="0" applyAlignment="1" applyBorder="1" applyFont="1">
      <alignment shrinkToFit="0" wrapText="1"/>
    </xf>
    <xf borderId="6" fillId="0" fontId="16" numFmtId="0" xfId="0" applyAlignment="1" applyBorder="1" applyFont="1">
      <alignment horizontal="center" shrinkToFit="0" textRotation="90" vertical="center" wrapText="1"/>
    </xf>
    <xf borderId="60" fillId="0" fontId="16" numFmtId="0" xfId="0" applyAlignment="1" applyBorder="1" applyFont="1">
      <alignment horizontal="center" vertical="center"/>
    </xf>
    <xf borderId="8" fillId="0" fontId="17" numFmtId="0" xfId="0" applyAlignment="1" applyBorder="1" applyFont="1">
      <alignment horizontal="center" shrinkToFit="0" vertical="center" wrapText="1"/>
    </xf>
    <xf borderId="9" fillId="0" fontId="17" numFmtId="0" xfId="0" applyAlignment="1" applyBorder="1" applyFont="1">
      <alignment horizontal="center" vertical="center"/>
    </xf>
    <xf borderId="8" fillId="0" fontId="16" numFmtId="0" xfId="0" applyAlignment="1" applyBorder="1" applyFont="1">
      <alignment horizontal="center" shrinkToFit="0" vertical="center" wrapText="1"/>
    </xf>
    <xf borderId="60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center" vertical="center"/>
    </xf>
    <xf borderId="52" fillId="0" fontId="16" numFmtId="0" xfId="0" applyAlignment="1" applyBorder="1" applyFont="1">
      <alignment horizontal="center" shrinkToFit="0" textRotation="90" vertical="center" wrapText="1"/>
    </xf>
    <xf borderId="1" fillId="0" fontId="18" numFmtId="0" xfId="0" applyAlignment="1" applyBorder="1" applyFont="1">
      <alignment horizontal="center" shrinkToFit="0" vertical="center" wrapText="1"/>
    </xf>
    <xf borderId="18" fillId="0" fontId="18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5" fillId="0" fontId="17" numFmtId="0" xfId="0" applyBorder="1" applyFont="1"/>
    <xf borderId="52" fillId="0" fontId="18" numFmtId="0" xfId="0" applyAlignment="1" applyBorder="1" applyFont="1">
      <alignment horizontal="center" shrinkToFit="0" vertical="center" wrapText="1"/>
    </xf>
    <xf borderId="2" fillId="0" fontId="17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52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right" shrinkToFit="0" vertical="center" wrapText="1"/>
    </xf>
    <xf borderId="1" fillId="0" fontId="17" numFmtId="0" xfId="0" applyBorder="1" applyFont="1"/>
    <xf borderId="4" fillId="0" fontId="16" numFmtId="0" xfId="0" applyAlignment="1" applyBorder="1" applyFont="1">
      <alignment horizontal="left" shrinkToFit="0" vertical="center" wrapText="1"/>
    </xf>
    <xf borderId="4" fillId="0" fontId="17" numFmtId="0" xfId="0" applyAlignment="1" applyBorder="1" applyFont="1">
      <alignment horizontal="center"/>
    </xf>
    <xf borderId="0" fillId="0" fontId="17" numFmtId="0" xfId="0" applyAlignment="1" applyFont="1">
      <alignment horizontal="center" shrinkToFit="0" wrapText="1"/>
    </xf>
    <xf borderId="89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58" fillId="0" fontId="1" numFmtId="0" xfId="0" applyAlignment="1" applyBorder="1" applyFont="1">
      <alignment horizontal="center" vertical="center"/>
    </xf>
    <xf borderId="90" fillId="0" fontId="2" numFmtId="0" xfId="0" applyBorder="1" applyFont="1"/>
    <xf borderId="91" fillId="0" fontId="2" numFmtId="0" xfId="0" applyBorder="1" applyFont="1"/>
    <xf borderId="92" fillId="0" fontId="2" numFmtId="0" xfId="0" applyBorder="1" applyFont="1"/>
    <xf borderId="12" fillId="0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59" fillId="0" fontId="19" numFmtId="0" xfId="0" applyAlignment="1" applyBorder="1" applyFont="1">
      <alignment horizontal="right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10" fillId="0" fontId="19" numFmtId="0" xfId="0" applyAlignment="1" applyBorder="1" applyFont="1">
      <alignment horizontal="right" shrinkToFit="0" wrapText="1"/>
    </xf>
    <xf borderId="8" fillId="0" fontId="10" numFmtId="165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shrinkToFit="0" wrapText="1"/>
    </xf>
    <xf borderId="93" fillId="0" fontId="19" numFmtId="0" xfId="0" applyAlignment="1" applyBorder="1" applyFont="1">
      <alignment horizontal="right" shrinkToFit="0" wrapText="1"/>
    </xf>
    <xf borderId="5" fillId="0" fontId="19" numFmtId="0" xfId="0" applyAlignment="1" applyBorder="1" applyFont="1">
      <alignment horizontal="right" shrinkToFit="0" wrapText="1"/>
    </xf>
    <xf borderId="8" fillId="0" fontId="10" numFmtId="49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right" shrinkToFit="0" vertical="center" wrapText="1"/>
    </xf>
    <xf borderId="24" fillId="0" fontId="19" numFmtId="0" xfId="0" applyAlignment="1" applyBorder="1" applyFont="1">
      <alignment horizontal="right" shrinkToFit="0" wrapText="1"/>
    </xf>
    <xf borderId="9" fillId="0" fontId="10" numFmtId="2" xfId="0" applyAlignment="1" applyBorder="1" applyFont="1" applyNumberFormat="1">
      <alignment horizontal="center" shrinkToFit="0" wrapText="1"/>
    </xf>
    <xf borderId="0" fillId="0" fontId="19" numFmtId="0" xfId="0" applyAlignment="1" applyFont="1">
      <alignment horizontal="right" shrinkToFit="0" wrapText="1"/>
    </xf>
    <xf borderId="27" fillId="0" fontId="14" numFmtId="0" xfId="0" applyAlignment="1" applyBorder="1" applyFont="1">
      <alignment shrinkToFit="0" wrapText="1"/>
    </xf>
    <xf borderId="9" fillId="0" fontId="14" numFmtId="0" xfId="0" applyAlignment="1" applyBorder="1" applyFont="1">
      <alignment shrinkToFit="0" wrapText="1"/>
    </xf>
    <xf borderId="39" fillId="0" fontId="14" numFmtId="0" xfId="0" applyAlignment="1" applyBorder="1" applyFont="1">
      <alignment shrinkToFit="0" wrapText="1"/>
    </xf>
    <xf borderId="43" fillId="0" fontId="19" numFmtId="0" xfId="0" applyAlignment="1" applyBorder="1" applyFont="1">
      <alignment horizontal="left" vertical="center"/>
    </xf>
    <xf borderId="44" fillId="0" fontId="14" numFmtId="0" xfId="0" applyAlignment="1" applyBorder="1" applyFont="1">
      <alignment shrinkToFit="0" wrapText="1"/>
    </xf>
    <xf borderId="44" fillId="0" fontId="6" numFmtId="0" xfId="0" applyBorder="1" applyFont="1"/>
    <xf borderId="45" fillId="0" fontId="14" numFmtId="0" xfId="0" applyAlignment="1" applyBorder="1" applyFont="1">
      <alignment shrinkToFit="0" wrapText="1"/>
    </xf>
    <xf borderId="0" fillId="0" fontId="6" numFmtId="167" xfId="0" applyFont="1" applyNumberFormat="1"/>
    <xf borderId="0" fillId="0" fontId="1" numFmtId="2" xfId="0" applyAlignment="1" applyFont="1" applyNumberFormat="1">
      <alignment horizontal="center" shrinkToFit="0" vertical="center" wrapText="1"/>
    </xf>
    <xf borderId="9" fillId="0" fontId="14" numFmtId="2" xfId="0" applyAlignment="1" applyBorder="1" applyFont="1" applyNumberFormat="1">
      <alignment shrinkToFit="0" wrapText="1"/>
    </xf>
    <xf borderId="44" fillId="0" fontId="14" numFmtId="2" xfId="0" applyAlignment="1" applyBorder="1" applyFont="1" applyNumberFormat="1">
      <alignment shrinkToFit="0" wrapText="1"/>
    </xf>
    <xf borderId="44" fillId="0" fontId="6" numFmtId="2" xfId="0" applyBorder="1" applyFont="1" applyNumberFormat="1"/>
    <xf borderId="94" fillId="0" fontId="1" numFmtId="0" xfId="0" applyAlignment="1" applyBorder="1" applyFont="1">
      <alignment horizontal="center" shrinkToFit="0" vertical="center" wrapText="1"/>
    </xf>
    <xf borderId="22" fillId="0" fontId="1" numFmtId="2" xfId="0" applyAlignment="1" applyBorder="1" applyFont="1" applyNumberFormat="1">
      <alignment horizontal="center" shrinkToFit="0" vertical="center" wrapText="1"/>
    </xf>
    <xf borderId="95" fillId="0" fontId="1" numFmtId="0" xfId="0" applyAlignment="1" applyBorder="1" applyFont="1">
      <alignment horizontal="center" vertical="center"/>
    </xf>
    <xf borderId="96" fillId="0" fontId="2" numFmtId="0" xfId="0" applyBorder="1" applyFont="1"/>
    <xf borderId="47" fillId="0" fontId="1" numFmtId="164" xfId="0" applyAlignment="1" applyBorder="1" applyFont="1" applyNumberFormat="1">
      <alignment horizontal="center" vertical="center"/>
    </xf>
    <xf borderId="94" fillId="0" fontId="1" numFmtId="0" xfId="0" applyAlignment="1" applyBorder="1" applyFont="1">
      <alignment horizontal="center" vertical="center"/>
    </xf>
    <xf borderId="97" fillId="0" fontId="2" numFmtId="0" xfId="0" applyBorder="1" applyFont="1"/>
    <xf borderId="47" fillId="0" fontId="1" numFmtId="165" xfId="0" applyAlignment="1" applyBorder="1" applyFont="1" applyNumberFormat="1">
      <alignment horizontal="center" vertical="center"/>
    </xf>
    <xf borderId="19" fillId="0" fontId="1" numFmtId="2" xfId="0" applyAlignment="1" applyBorder="1" applyFont="1" applyNumberFormat="1">
      <alignment horizontal="center" shrinkToFit="0" vertical="center" wrapText="1"/>
    </xf>
    <xf borderId="7" fillId="0" fontId="1" numFmtId="165" xfId="0" applyAlignment="1" applyBorder="1" applyFont="1" applyNumberFormat="1">
      <alignment horizontal="center" vertical="center"/>
    </xf>
    <xf borderId="7" fillId="0" fontId="6" numFmtId="0" xfId="0" applyBorder="1" applyFont="1"/>
    <xf borderId="18" fillId="7" fontId="16" numFmtId="0" xfId="0" applyAlignment="1" applyBorder="1" applyFont="1">
      <alignment horizontal="center" shrinkToFit="0" vertical="center" wrapText="1"/>
    </xf>
    <xf borderId="4" fillId="4" fontId="17" numFmtId="0" xfId="0" applyAlignment="1" applyBorder="1" applyFont="1">
      <alignment horizontal="center" shrinkToFit="0" vertical="center" wrapText="1"/>
    </xf>
    <xf borderId="4" fillId="4" fontId="17" numFmtId="171" xfId="0" applyAlignment="1" applyBorder="1" applyFont="1" applyNumberFormat="1">
      <alignment horizontal="center" shrinkToFit="0" vertical="center" wrapText="1"/>
    </xf>
    <xf borderId="4" fillId="4" fontId="17" numFmtId="1" xfId="0" applyAlignment="1" applyBorder="1" applyFont="1" applyNumberFormat="1">
      <alignment horizontal="center" shrinkToFit="0" vertical="center" wrapText="1"/>
    </xf>
    <xf borderId="6" fillId="0" fontId="20" numFmtId="0" xfId="0" applyBorder="1" applyFont="1"/>
    <xf borderId="0" fillId="0" fontId="20" numFmtId="0" xfId="0" applyFont="1"/>
    <xf borderId="7" fillId="0" fontId="20" numFmtId="0" xfId="0" applyBorder="1" applyFont="1"/>
    <xf borderId="4" fillId="7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left" shrinkToFit="0" vertical="center" wrapText="1"/>
    </xf>
    <xf borderId="4" fillId="0" fontId="16" numFmtId="0" xfId="0" applyAlignment="1" applyBorder="1" applyFont="1">
      <alignment horizontal="center" shrinkToFit="0" wrapText="1"/>
    </xf>
    <xf borderId="60" fillId="0" fontId="18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shrinkToFit="0" wrapText="1"/>
    </xf>
    <xf borderId="0" fillId="0" fontId="16" numFmtId="0" xfId="0" applyAlignment="1" applyFont="1">
      <alignment horizontal="right" shrinkToFit="0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center" shrinkToFit="0" wrapText="1"/>
    </xf>
    <xf borderId="7" fillId="0" fontId="16" numFmtId="0" xfId="0" applyAlignment="1" applyBorder="1" applyFont="1">
      <alignment horizontal="center" shrinkToFit="0" wrapText="1"/>
    </xf>
    <xf borderId="52" fillId="7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wrapText="1"/>
    </xf>
    <xf borderId="4" fillId="0" fontId="18" numFmtId="0" xfId="0" applyAlignment="1" applyBorder="1" applyFont="1">
      <alignment horizontal="center" shrinkToFit="0" vertical="center" wrapText="1"/>
    </xf>
    <xf borderId="9" fillId="0" fontId="16" numFmtId="0" xfId="0" applyAlignment="1" applyBorder="1" applyFont="1">
      <alignment horizontal="center" shrinkToFit="0" wrapText="1"/>
    </xf>
    <xf borderId="10" fillId="0" fontId="16" numFmtId="0" xfId="0" applyAlignment="1" applyBorder="1" applyFont="1">
      <alignment horizontal="center" shrinkToFit="0" wrapText="1"/>
    </xf>
    <xf borderId="27" fillId="0" fontId="14" numFmtId="0" xfId="0" applyAlignment="1" applyBorder="1" applyFont="1">
      <alignment horizontal="center" vertical="center"/>
    </xf>
    <xf borderId="20" fillId="0" fontId="16" numFmtId="0" xfId="0" applyAlignment="1" applyBorder="1" applyFont="1">
      <alignment horizontal="center" vertical="center"/>
    </xf>
    <xf borderId="22" fillId="0" fontId="16" numFmtId="0" xfId="0" applyAlignment="1" applyBorder="1" applyFont="1">
      <alignment horizontal="center" vertical="center"/>
    </xf>
    <xf borderId="98" fillId="0" fontId="16" numFmtId="0" xfId="0" applyAlignment="1" applyBorder="1" applyFont="1">
      <alignment horizontal="center" vertical="center"/>
    </xf>
    <xf borderId="99" fillId="0" fontId="16" numFmtId="0" xfId="0" applyAlignment="1" applyBorder="1" applyFont="1">
      <alignment horizontal="center" vertical="center"/>
    </xf>
    <xf borderId="95" fillId="0" fontId="16" numFmtId="164" xfId="0" applyAlignment="1" applyBorder="1" applyFont="1" applyNumberFormat="1">
      <alignment horizontal="center" vertical="center"/>
    </xf>
    <xf borderId="95" fillId="0" fontId="16" numFmtId="0" xfId="0" applyAlignment="1" applyBorder="1" applyFont="1">
      <alignment horizontal="center" vertical="center"/>
    </xf>
    <xf borderId="27" fillId="0" fontId="14" numFmtId="0" xfId="0" applyBorder="1" applyFont="1"/>
    <xf borderId="94" fillId="0" fontId="16" numFmtId="0" xfId="0" applyAlignment="1" applyBorder="1" applyFont="1">
      <alignment horizontal="center" vertical="center"/>
    </xf>
    <xf borderId="46" fillId="0" fontId="16" numFmtId="0" xfId="0" applyAlignment="1" applyBorder="1" applyFont="1">
      <alignment horizontal="center" vertical="center"/>
    </xf>
    <xf borderId="95" fillId="0" fontId="16" numFmtId="165" xfId="0" applyAlignment="1" applyBorder="1" applyFont="1" applyNumberFormat="1">
      <alignment horizontal="center" vertical="center"/>
    </xf>
    <xf borderId="22" fillId="0" fontId="1" numFmtId="0" xfId="0" applyAlignment="1" applyBorder="1" applyFont="1">
      <alignment horizontal="center" shrinkToFit="0" vertical="center" wrapText="1"/>
    </xf>
    <xf borderId="95" fillId="0" fontId="1" numFmtId="164" xfId="0" applyAlignment="1" applyBorder="1" applyFont="1" applyNumberFormat="1">
      <alignment horizontal="center" vertical="center"/>
    </xf>
    <xf borderId="46" fillId="0" fontId="1" numFmtId="0" xfId="0" applyAlignment="1" applyBorder="1" applyFont="1">
      <alignment horizontal="center" vertical="center"/>
    </xf>
    <xf borderId="94" fillId="0" fontId="1" numFmtId="165" xfId="0" applyAlignment="1" applyBorder="1" applyFont="1" applyNumberFormat="1">
      <alignment horizontal="center" vertical="center"/>
    </xf>
    <xf borderId="94" fillId="0" fontId="6" numFmtId="0" xfId="0" applyAlignment="1" applyBorder="1" applyFont="1">
      <alignment horizontal="center" shrinkToFit="0" vertical="center" wrapText="1"/>
    </xf>
    <xf borderId="27" fillId="0" fontId="6" numFmtId="0" xfId="0" applyBorder="1" applyFont="1"/>
    <xf borderId="95" fillId="0" fontId="6" numFmtId="0" xfId="0" applyAlignment="1" applyBorder="1" applyFont="1">
      <alignment horizontal="center" shrinkToFit="0" vertical="center" wrapText="1"/>
    </xf>
    <xf borderId="47" fillId="0" fontId="3" numFmtId="1" xfId="0" applyAlignment="1" applyBorder="1" applyFont="1" applyNumberFormat="1">
      <alignment horizontal="center" shrinkToFit="0" vertical="center" wrapText="1"/>
    </xf>
    <xf borderId="49" fillId="0" fontId="6" numFmtId="0" xfId="0" applyAlignment="1" applyBorder="1" applyFont="1">
      <alignment horizontal="center" shrinkToFit="0" wrapText="1"/>
    </xf>
    <xf borderId="47" fillId="0" fontId="3" numFmtId="0" xfId="0" applyAlignment="1" applyBorder="1" applyFont="1">
      <alignment horizontal="center" shrinkToFit="0" vertical="center" wrapText="1"/>
    </xf>
    <xf borderId="47" fillId="0" fontId="3" numFmtId="166" xfId="0" applyAlignment="1" applyBorder="1" applyFont="1" applyNumberFormat="1">
      <alignment horizontal="center" shrinkToFit="0" vertical="center" wrapText="1"/>
    </xf>
    <xf borderId="96" fillId="0" fontId="6" numFmtId="0" xfId="0" applyBorder="1" applyFont="1"/>
    <xf borderId="94" fillId="0" fontId="7" numFmtId="0" xfId="0" applyAlignment="1" applyBorder="1" applyFont="1">
      <alignment horizontal="center" shrinkToFit="0" vertical="center" wrapText="1"/>
    </xf>
    <xf borderId="22" fillId="0" fontId="14" numFmtId="0" xfId="0" applyAlignment="1" applyBorder="1" applyFont="1">
      <alignment horizontal="center" shrinkToFit="0" wrapText="1"/>
    </xf>
    <xf borderId="95" fillId="0" fontId="7" numFmtId="0" xfId="0" applyAlignment="1" applyBorder="1" applyFont="1">
      <alignment horizontal="center" shrinkToFit="0" vertical="center" wrapText="1"/>
    </xf>
    <xf borderId="47" fillId="0" fontId="14" numFmtId="0" xfId="0" applyAlignment="1" applyBorder="1" applyFont="1">
      <alignment horizontal="center" shrinkToFit="0" wrapText="1"/>
    </xf>
    <xf borderId="22" fillId="0" fontId="6" numFmtId="0" xfId="0" applyAlignment="1" applyBorder="1" applyFont="1">
      <alignment horizontal="center" shrinkToFit="0" wrapText="1"/>
    </xf>
    <xf borderId="47" fillId="0" fontId="6" numFmtId="0" xfId="0" applyAlignment="1" applyBorder="1" applyFont="1">
      <alignment horizontal="center" shrinkToFit="0" wrapText="1"/>
    </xf>
    <xf borderId="4" fillId="0" fontId="9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/>
    </xf>
    <xf borderId="4" fillId="0" fontId="20" numFmtId="0" xfId="0" applyAlignment="1" applyBorder="1" applyFont="1">
      <alignment horizontal="center" vertical="center"/>
    </xf>
    <xf borderId="18" fillId="7" fontId="18" numFmtId="0" xfId="0" applyAlignment="1" applyBorder="1" applyFont="1">
      <alignment horizontal="center" shrinkToFit="0" vertical="center" wrapText="1"/>
    </xf>
    <xf borderId="74" fillId="7" fontId="18" numFmtId="0" xfId="0" applyAlignment="1" applyBorder="1" applyFont="1">
      <alignment horizontal="center" shrinkToFit="0" vertical="center" wrapText="1"/>
    </xf>
    <xf borderId="4" fillId="7" fontId="16" numFmtId="0" xfId="0" applyAlignment="1" applyBorder="1" applyFont="1">
      <alignment horizontal="center" vertical="center"/>
    </xf>
    <xf borderId="4" fillId="0" fontId="16" numFmtId="0" xfId="0" applyAlignment="1" applyBorder="1" applyFont="1">
      <alignment shrinkToFit="0" vertical="center" wrapText="1"/>
    </xf>
    <xf borderId="18" fillId="0" fontId="16" numFmtId="0" xfId="0" applyAlignment="1" applyBorder="1" applyFont="1">
      <alignment shrinkToFit="0" vertical="center" wrapText="1"/>
    </xf>
    <xf borderId="18" fillId="0" fontId="16" numFmtId="0" xfId="0" applyAlignment="1" applyBorder="1" applyFont="1">
      <alignment shrinkToFit="0" wrapText="1"/>
    </xf>
    <xf borderId="9" fillId="0" fontId="16" numFmtId="0" xfId="0" applyAlignment="1" applyBorder="1" applyFont="1">
      <alignment horizontal="center" shrinkToFit="0" vertical="center" wrapText="1"/>
    </xf>
    <xf borderId="10" fillId="0" fontId="16" numFmtId="0" xfId="0" applyAlignment="1" applyBorder="1" applyFont="1">
      <alignment shrinkToFit="0" vertical="center" wrapText="1"/>
    </xf>
    <xf borderId="32" fillId="7" fontId="16" numFmtId="0" xfId="0" applyAlignment="1" applyBorder="1" applyFont="1">
      <alignment horizontal="center" vertical="center"/>
    </xf>
    <xf borderId="8" fillId="0" fontId="16" numFmtId="0" xfId="0" applyAlignment="1" applyBorder="1" applyFont="1">
      <alignment shrinkToFit="0" wrapText="1"/>
    </xf>
    <xf borderId="10" fillId="0" fontId="16" numFmtId="0" xfId="0" applyAlignment="1" applyBorder="1" applyFont="1">
      <alignment horizontal="center" shrinkToFit="0" vertical="center" wrapText="1"/>
    </xf>
    <xf borderId="8" fillId="0" fontId="20" numFmtId="0" xfId="0" applyAlignment="1" applyBorder="1" applyFont="1">
      <alignment horizontal="center"/>
    </xf>
    <xf borderId="4" fillId="0" fontId="20" numFmtId="0" xfId="0" applyAlignment="1" applyBorder="1" applyFont="1">
      <alignment horizontal="center"/>
    </xf>
    <xf borderId="97" fillId="0" fontId="6" numFmtId="0" xfId="0" applyAlignment="1" applyBorder="1" applyFont="1">
      <alignment shrinkToFit="0" wrapText="1"/>
    </xf>
    <xf borderId="96" fillId="0" fontId="6" numFmtId="0" xfId="0" applyAlignment="1" applyBorder="1" applyFont="1">
      <alignment shrinkToFit="0" wrapText="1"/>
    </xf>
    <xf borderId="47" fillId="0" fontId="7" numFmtId="0" xfId="0" applyAlignment="1" applyBorder="1" applyFont="1">
      <alignment horizontal="center" shrinkToFit="0" vertical="center" wrapText="1"/>
    </xf>
    <xf borderId="95" fillId="0" fontId="7" numFmtId="0" xfId="0" applyAlignment="1" applyBorder="1" applyFont="1">
      <alignment shrinkToFit="0" vertical="center" wrapText="1"/>
    </xf>
    <xf borderId="95" fillId="0" fontId="6" numFmtId="0" xfId="0" applyAlignment="1" applyBorder="1" applyFont="1">
      <alignment shrinkToFit="0" wrapText="1"/>
    </xf>
    <xf borderId="97" fillId="0" fontId="6" numFmtId="0" xfId="0" applyAlignment="1" applyBorder="1" applyFont="1">
      <alignment shrinkToFit="0" vertical="center" wrapText="1"/>
    </xf>
    <xf borderId="49" fillId="0" fontId="1" numFmtId="0" xfId="0" applyAlignment="1" applyBorder="1" applyFont="1">
      <alignment horizontal="center" vertical="center"/>
    </xf>
    <xf borderId="100" fillId="0" fontId="2" numFmtId="0" xfId="0" applyBorder="1" applyFont="1"/>
    <xf borderId="22" fillId="0" fontId="3" numFmtId="0" xfId="0" applyAlignment="1" applyBorder="1" applyFont="1">
      <alignment horizontal="center" shrinkToFit="0" wrapText="1"/>
    </xf>
    <xf borderId="47" fillId="0" fontId="3" numFmtId="0" xfId="0" applyAlignment="1" applyBorder="1" applyFont="1">
      <alignment horizontal="center" shrinkToFit="0" wrapText="1"/>
    </xf>
    <xf borderId="47" fillId="0" fontId="1" numFmtId="0" xfId="0" applyAlignment="1" applyBorder="1" applyFont="1">
      <alignment horizontal="center" shrinkToFit="0" vertical="center" wrapText="1"/>
    </xf>
    <xf borderId="95" fillId="0" fontId="3" numFmtId="0" xfId="0" applyAlignment="1" applyBorder="1" applyFont="1">
      <alignment horizontal="center" shrinkToFit="0" wrapText="1"/>
    </xf>
    <xf borderId="95" fillId="0" fontId="1" numFmtId="0" xfId="0" applyAlignment="1" applyBorder="1" applyFont="1">
      <alignment horizontal="center" shrinkToFit="0" wrapText="1"/>
    </xf>
    <xf borderId="95" fillId="0" fontId="1" numFmtId="0" xfId="0" applyAlignment="1" applyBorder="1" applyFont="1">
      <alignment horizontal="center" shrinkToFit="0" vertical="center" wrapText="1"/>
    </xf>
    <xf borderId="97" fillId="0" fontId="3" numFmtId="0" xfId="0" applyAlignment="1" applyBorder="1" applyFont="1">
      <alignment shrinkToFit="0" wrapText="1"/>
    </xf>
    <xf borderId="97" fillId="0" fontId="1" numFmtId="0" xfId="0" applyAlignment="1" applyBorder="1" applyFont="1">
      <alignment horizontal="center" shrinkToFit="0" vertical="center" wrapText="1"/>
    </xf>
    <xf borderId="94" fillId="0" fontId="3" numFmtId="0" xfId="0" applyAlignment="1" applyBorder="1" applyFont="1">
      <alignment horizontal="center" shrinkToFit="0" wrapText="1"/>
    </xf>
    <xf borderId="46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33</xdr:row>
      <xdr:rowOff>0</xdr:rowOff>
    </xdr:from>
    <xdr:ext cx="257175" cy="323850"/>
    <xdr:sp>
      <xdr:nvSpPr>
        <xdr:cNvPr id="3" name="Shape 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>
      <xdr:nvSpPr>
        <xdr:cNvPr id="5" name="Shape 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32</xdr:row>
      <xdr:rowOff>0</xdr:rowOff>
    </xdr:from>
    <xdr:ext cx="257175" cy="323850"/>
    <xdr:sp>
      <xdr:nvSpPr>
        <xdr:cNvPr id="6" name="Shape 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>
      <xdr:nvSpPr>
        <xdr:cNvPr id="7" name="Shape 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46</xdr:row>
      <xdr:rowOff>0</xdr:rowOff>
    </xdr:from>
    <xdr:ext cx="257175" cy="323850"/>
    <xdr:sp>
      <xdr:nvSpPr>
        <xdr:cNvPr id="8" name="Shape 8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57175" cy="323850"/>
    <xdr:sp>
      <xdr:nvSpPr>
        <xdr:cNvPr id="9" name="Shape 9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40</xdr:row>
      <xdr:rowOff>0</xdr:rowOff>
    </xdr:from>
    <xdr:ext cx="257175" cy="323850"/>
    <xdr:sp>
      <xdr:nvSpPr>
        <xdr:cNvPr id="10" name="Shape 10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>
      <xdr:nvSpPr>
        <xdr:cNvPr id="11" name="Shape 11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28</xdr:row>
      <xdr:rowOff>0</xdr:rowOff>
    </xdr:from>
    <xdr:ext cx="257175" cy="323850"/>
    <xdr:sp>
      <xdr:nvSpPr>
        <xdr:cNvPr id="12" name="Shape 12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28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28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28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57175" cy="323850"/>
    <xdr:sp>
      <xdr:nvSpPr>
        <xdr:cNvPr id="13" name="Shape 1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47</xdr:row>
      <xdr:rowOff>0</xdr:rowOff>
    </xdr:from>
    <xdr:ext cx="257175" cy="323850"/>
    <xdr:sp>
      <xdr:nvSpPr>
        <xdr:cNvPr id="14" name="Shape 14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>
      <xdr:nvSpPr>
        <xdr:cNvPr id="15" name="Shape 1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46</xdr:row>
      <xdr:rowOff>0</xdr:rowOff>
    </xdr:from>
    <xdr:ext cx="257175" cy="323850"/>
    <xdr:sp>
      <xdr:nvSpPr>
        <xdr:cNvPr id="14" name="Shape 14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57175" cy="323850"/>
    <xdr:sp>
      <xdr:nvSpPr>
        <xdr:cNvPr id="15" name="Shape 1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40</xdr:row>
      <xdr:rowOff>0</xdr:rowOff>
    </xdr:from>
    <xdr:ext cx="257175" cy="323850"/>
    <xdr:sp>
      <xdr:nvSpPr>
        <xdr:cNvPr id="16" name="Shape 1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>
      <xdr:nvSpPr>
        <xdr:cNvPr id="17" name="Shape 1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40</xdr:row>
      <xdr:rowOff>0</xdr:rowOff>
    </xdr:from>
    <xdr:ext cx="257175" cy="323850"/>
    <xdr:sp>
      <xdr:nvSpPr>
        <xdr:cNvPr id="16" name="Shape 1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>
      <xdr:nvSpPr>
        <xdr:cNvPr id="17" name="Shape 1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128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198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268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3.71"/>
    <col customWidth="1" min="12" max="12" width="16.0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8.7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4" t="s">
        <v>2</v>
      </c>
      <c r="P1" s="5"/>
      <c r="Q1" s="6"/>
      <c r="R1" s="6"/>
      <c r="S1" s="6"/>
      <c r="T1" s="7"/>
      <c r="U1" s="7"/>
      <c r="V1" s="7"/>
      <c r="W1" s="7"/>
      <c r="X1" s="7"/>
      <c r="Y1" s="7"/>
      <c r="Z1" s="7"/>
    </row>
    <row r="2" ht="15.0" customHeight="1">
      <c r="A2" s="8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3"/>
      <c r="Q2" s="15"/>
      <c r="R2" s="15"/>
      <c r="S2" s="15"/>
      <c r="T2" s="7"/>
      <c r="U2" s="7"/>
      <c r="V2" s="7"/>
      <c r="W2" s="7"/>
      <c r="X2" s="7"/>
      <c r="Y2" s="7"/>
      <c r="Z2" s="7"/>
    </row>
    <row r="3" ht="21.0" customHeight="1">
      <c r="A3" s="8"/>
      <c r="C3" s="9"/>
      <c r="D3" s="16" t="s">
        <v>4</v>
      </c>
      <c r="E3" s="2"/>
      <c r="F3" s="2"/>
      <c r="G3" s="2"/>
      <c r="H3" s="2"/>
      <c r="I3" s="2"/>
      <c r="J3" s="2"/>
      <c r="K3" s="2"/>
      <c r="L3" s="3"/>
      <c r="M3" s="13" t="s">
        <v>5</v>
      </c>
      <c r="N3" s="12"/>
      <c r="O3" s="4" t="s">
        <v>6</v>
      </c>
      <c r="P3" s="5"/>
      <c r="Q3" s="15"/>
      <c r="R3" s="15"/>
      <c r="S3" s="15"/>
      <c r="T3" s="7"/>
      <c r="U3" s="7"/>
      <c r="V3" s="7"/>
      <c r="W3" s="7"/>
      <c r="X3" s="7"/>
      <c r="Y3" s="7"/>
      <c r="Z3" s="7"/>
    </row>
    <row r="4" ht="21.0" customHeight="1">
      <c r="A4" s="8"/>
      <c r="C4" s="9"/>
      <c r="D4" s="8"/>
      <c r="L4" s="9"/>
      <c r="M4" s="1" t="s">
        <v>7</v>
      </c>
      <c r="N4" s="3"/>
      <c r="O4" s="17" t="s">
        <v>8</v>
      </c>
      <c r="P4" s="5"/>
      <c r="Q4" s="15"/>
      <c r="R4" s="15"/>
      <c r="S4" s="15"/>
      <c r="T4" s="7"/>
      <c r="U4" s="7"/>
      <c r="V4" s="7"/>
      <c r="W4" s="7"/>
      <c r="X4" s="7"/>
      <c r="Y4" s="7"/>
      <c r="Z4" s="7"/>
    </row>
    <row r="5" ht="21.0" customHeight="1">
      <c r="A5" s="10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5"/>
      <c r="Q5" s="15"/>
      <c r="R5" s="15"/>
      <c r="S5" s="15"/>
      <c r="T5" s="7"/>
      <c r="U5" s="7"/>
      <c r="V5" s="7"/>
      <c r="W5" s="7"/>
      <c r="X5" s="7"/>
      <c r="Y5" s="7"/>
      <c r="Z5" s="7"/>
    </row>
    <row r="6" ht="12.0" customHeight="1">
      <c r="A6" s="19"/>
      <c r="B6" s="20"/>
      <c r="C6" s="20"/>
      <c r="D6" s="20"/>
      <c r="E6" s="20"/>
      <c r="F6" s="21"/>
      <c r="G6" s="21"/>
      <c r="H6" s="21"/>
      <c r="I6" s="21"/>
      <c r="J6" s="21"/>
      <c r="K6" s="21"/>
      <c r="L6" s="21"/>
      <c r="M6" s="21"/>
      <c r="N6" s="20"/>
      <c r="O6" s="20"/>
      <c r="P6" s="22"/>
      <c r="Q6" s="15"/>
      <c r="R6" s="15"/>
      <c r="S6" s="15"/>
      <c r="T6" s="7"/>
      <c r="U6" s="7"/>
      <c r="V6" s="7"/>
      <c r="W6" s="7"/>
      <c r="X6" s="7"/>
      <c r="Y6" s="7"/>
      <c r="Z6" s="7"/>
    </row>
    <row r="7" ht="30.75" customHeight="1">
      <c r="A7" s="23" t="s">
        <v>10</v>
      </c>
      <c r="B7" s="24"/>
      <c r="C7" s="24"/>
      <c r="D7" s="24"/>
      <c r="E7" s="5"/>
      <c r="F7" s="25" t="s">
        <v>11</v>
      </c>
      <c r="G7" s="24"/>
      <c r="H7" s="24"/>
      <c r="I7" s="24"/>
      <c r="J7" s="24"/>
      <c r="K7" s="24"/>
      <c r="L7" s="24"/>
      <c r="M7" s="24"/>
      <c r="N7" s="24"/>
      <c r="O7" s="24"/>
      <c r="P7" s="5"/>
      <c r="Q7" s="15"/>
      <c r="R7" s="15"/>
      <c r="S7" s="15"/>
      <c r="T7" s="7"/>
      <c r="U7" s="7"/>
      <c r="V7" s="7"/>
      <c r="W7" s="7"/>
      <c r="X7" s="7"/>
      <c r="Y7" s="7"/>
      <c r="Z7" s="7"/>
    </row>
    <row r="8" ht="21.75" customHeight="1">
      <c r="A8" s="23" t="s">
        <v>12</v>
      </c>
      <c r="B8" s="24"/>
      <c r="C8" s="24"/>
      <c r="D8" s="24"/>
      <c r="E8" s="5"/>
      <c r="F8" s="26" t="s">
        <v>13</v>
      </c>
      <c r="G8" s="24"/>
      <c r="H8" s="24"/>
      <c r="I8" s="24"/>
      <c r="J8" s="5"/>
      <c r="K8" s="23" t="s">
        <v>14</v>
      </c>
      <c r="L8" s="5"/>
      <c r="M8" s="27" t="s">
        <v>15</v>
      </c>
      <c r="N8" s="24"/>
      <c r="O8" s="24"/>
      <c r="P8" s="5"/>
      <c r="Q8" s="15"/>
      <c r="R8" s="15"/>
      <c r="S8" s="15"/>
      <c r="T8" s="7"/>
      <c r="U8" s="7"/>
      <c r="V8" s="7"/>
      <c r="W8" s="7"/>
      <c r="X8" s="7"/>
      <c r="Y8" s="7"/>
      <c r="Z8" s="7"/>
    </row>
    <row r="9" ht="24.0" customHeight="1">
      <c r="A9" s="23" t="s">
        <v>16</v>
      </c>
      <c r="B9" s="24"/>
      <c r="C9" s="24"/>
      <c r="D9" s="24"/>
      <c r="E9" s="5"/>
      <c r="F9" s="27" t="s">
        <v>17</v>
      </c>
      <c r="G9" s="24"/>
      <c r="H9" s="24"/>
      <c r="I9" s="24"/>
      <c r="J9" s="5"/>
      <c r="K9" s="23" t="s">
        <v>18</v>
      </c>
      <c r="L9" s="5"/>
      <c r="M9" s="28">
        <v>33.0</v>
      </c>
      <c r="N9" s="24"/>
      <c r="O9" s="24"/>
      <c r="P9" s="5"/>
      <c r="Q9" s="15"/>
      <c r="R9" s="15"/>
      <c r="S9" s="15"/>
      <c r="T9" s="7"/>
      <c r="U9" s="7"/>
      <c r="V9" s="7"/>
      <c r="W9" s="7"/>
      <c r="X9" s="7"/>
      <c r="Y9" s="7"/>
      <c r="Z9" s="7"/>
    </row>
    <row r="10" ht="24.75" customHeight="1">
      <c r="A10" s="23" t="s">
        <v>19</v>
      </c>
      <c r="B10" s="24"/>
      <c r="C10" s="24"/>
      <c r="D10" s="24"/>
      <c r="E10" s="5"/>
      <c r="F10" s="25" t="s">
        <v>20</v>
      </c>
      <c r="G10" s="24"/>
      <c r="H10" s="24"/>
      <c r="I10" s="24"/>
      <c r="J10" s="24"/>
      <c r="K10" s="24"/>
      <c r="L10" s="24"/>
      <c r="M10" s="24"/>
      <c r="N10" s="24"/>
      <c r="O10" s="24"/>
      <c r="P10" s="5"/>
      <c r="Q10" s="15"/>
      <c r="R10" s="15"/>
      <c r="S10" s="15"/>
      <c r="T10" s="7"/>
      <c r="U10" s="7"/>
      <c r="V10" s="7"/>
      <c r="W10" s="7"/>
      <c r="X10" s="7"/>
      <c r="Y10" s="7"/>
      <c r="Z10" s="7"/>
    </row>
    <row r="11" ht="31.5" customHeight="1">
      <c r="A11" s="23" t="s">
        <v>21</v>
      </c>
      <c r="B11" s="24"/>
      <c r="C11" s="24"/>
      <c r="D11" s="24"/>
      <c r="E11" s="5"/>
      <c r="F11" s="29" t="s">
        <v>22</v>
      </c>
      <c r="G11" s="30"/>
      <c r="H11" s="30"/>
      <c r="I11" s="30"/>
      <c r="J11" s="31"/>
      <c r="K11" s="32" t="s">
        <v>23</v>
      </c>
      <c r="L11" s="5"/>
      <c r="M11" s="33"/>
      <c r="N11" s="24"/>
      <c r="O11" s="24"/>
      <c r="P11" s="5"/>
      <c r="Q11" s="15"/>
      <c r="R11" s="15"/>
      <c r="S11" s="15"/>
      <c r="T11" s="7"/>
      <c r="U11" s="7"/>
      <c r="V11" s="7"/>
      <c r="W11" s="7"/>
      <c r="X11" s="7"/>
      <c r="Y11" s="7"/>
      <c r="Z11" s="7"/>
    </row>
    <row r="12" ht="34.5" customHeight="1">
      <c r="A12" s="34" t="s">
        <v>24</v>
      </c>
      <c r="B12" s="30"/>
      <c r="C12" s="30"/>
      <c r="D12" s="30"/>
      <c r="E12" s="31"/>
      <c r="F12" s="35" t="s">
        <v>25</v>
      </c>
      <c r="G12" s="30"/>
      <c r="H12" s="30"/>
      <c r="I12" s="30"/>
      <c r="J12" s="31"/>
      <c r="K12" s="36" t="s">
        <v>26</v>
      </c>
      <c r="L12" s="31"/>
      <c r="M12" s="37"/>
      <c r="N12" s="30"/>
      <c r="O12" s="30"/>
      <c r="P12" s="31"/>
      <c r="Q12" s="15"/>
      <c r="R12" s="15"/>
      <c r="S12" s="15"/>
      <c r="T12" s="7"/>
      <c r="U12" s="7"/>
      <c r="V12" s="7"/>
      <c r="W12" s="7"/>
      <c r="X12" s="7"/>
      <c r="Y12" s="7"/>
      <c r="Z12" s="7"/>
    </row>
    <row r="13" ht="12.0" customHeight="1">
      <c r="A13" s="38"/>
      <c r="P13" s="9"/>
      <c r="Q13" s="15"/>
      <c r="R13" s="15"/>
      <c r="S13" s="15"/>
      <c r="T13" s="7"/>
      <c r="U13" s="7"/>
      <c r="V13" s="7"/>
      <c r="W13" s="7"/>
      <c r="X13" s="7"/>
      <c r="Y13" s="7"/>
      <c r="Z13" s="7"/>
    </row>
    <row r="14" ht="27.0" customHeight="1">
      <c r="A14" s="39" t="s">
        <v>27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1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3.25" customHeight="1">
      <c r="A15" s="42" t="s">
        <v>28</v>
      </c>
      <c r="B15" s="4" t="s">
        <v>29</v>
      </c>
      <c r="C15" s="24"/>
      <c r="D15" s="24"/>
      <c r="E15" s="24"/>
      <c r="F15" s="24"/>
      <c r="G15" s="24"/>
      <c r="H15" s="24"/>
      <c r="I15" s="24"/>
      <c r="J15" s="24"/>
      <c r="K15" s="5"/>
      <c r="L15" s="4" t="s">
        <v>30</v>
      </c>
      <c r="M15" s="5"/>
      <c r="N15" s="4" t="s">
        <v>31</v>
      </c>
      <c r="O15" s="24"/>
      <c r="P15" s="5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A16" s="43">
        <v>1.0</v>
      </c>
      <c r="B16" s="44" t="s">
        <v>32</v>
      </c>
      <c r="C16" s="24"/>
      <c r="D16" s="24"/>
      <c r="E16" s="24"/>
      <c r="F16" s="24"/>
      <c r="G16" s="24"/>
      <c r="H16" s="24"/>
      <c r="I16" s="24"/>
      <c r="J16" s="24"/>
      <c r="K16" s="5"/>
      <c r="L16" s="4"/>
      <c r="M16" s="5"/>
      <c r="N16" s="4"/>
      <c r="O16" s="24"/>
      <c r="P16" s="5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A17" s="43">
        <v>2.0</v>
      </c>
      <c r="B17" s="44" t="s">
        <v>33</v>
      </c>
      <c r="C17" s="24"/>
      <c r="D17" s="24"/>
      <c r="E17" s="24"/>
      <c r="F17" s="24"/>
      <c r="G17" s="24"/>
      <c r="H17" s="24"/>
      <c r="I17" s="24"/>
      <c r="J17" s="24"/>
      <c r="K17" s="5"/>
      <c r="L17" s="4"/>
      <c r="M17" s="5"/>
      <c r="N17" s="4"/>
      <c r="O17" s="24"/>
      <c r="P17" s="5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A18" s="43">
        <v>3.0</v>
      </c>
      <c r="B18" s="44" t="s">
        <v>34</v>
      </c>
      <c r="C18" s="24"/>
      <c r="D18" s="24"/>
      <c r="E18" s="24"/>
      <c r="F18" s="24"/>
      <c r="G18" s="24"/>
      <c r="H18" s="24"/>
      <c r="I18" s="24"/>
      <c r="J18" s="24"/>
      <c r="K18" s="5"/>
      <c r="L18" s="4"/>
      <c r="M18" s="5"/>
      <c r="N18" s="4"/>
      <c r="O18" s="24"/>
      <c r="P18" s="5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A19" s="43">
        <v>4.0</v>
      </c>
      <c r="B19" s="44" t="s">
        <v>35</v>
      </c>
      <c r="C19" s="24"/>
      <c r="D19" s="24"/>
      <c r="E19" s="24"/>
      <c r="F19" s="24"/>
      <c r="G19" s="24"/>
      <c r="H19" s="24"/>
      <c r="I19" s="24"/>
      <c r="J19" s="24"/>
      <c r="K19" s="5"/>
      <c r="L19" s="4"/>
      <c r="M19" s="5"/>
      <c r="N19" s="4"/>
      <c r="O19" s="24"/>
      <c r="P19" s="5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A20" s="43">
        <v>5.0</v>
      </c>
      <c r="B20" s="44" t="s">
        <v>36</v>
      </c>
      <c r="C20" s="24"/>
      <c r="D20" s="24"/>
      <c r="E20" s="24"/>
      <c r="F20" s="24"/>
      <c r="G20" s="24"/>
      <c r="H20" s="24"/>
      <c r="I20" s="24"/>
      <c r="J20" s="24"/>
      <c r="K20" s="5"/>
      <c r="L20" s="4"/>
      <c r="M20" s="5"/>
      <c r="N20" s="4"/>
      <c r="O20" s="24"/>
      <c r="P20" s="5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A21" s="43">
        <v>6.0</v>
      </c>
      <c r="B21" s="44" t="s">
        <v>37</v>
      </c>
      <c r="C21" s="24"/>
      <c r="D21" s="24"/>
      <c r="E21" s="24"/>
      <c r="F21" s="24"/>
      <c r="G21" s="24"/>
      <c r="H21" s="24"/>
      <c r="I21" s="24"/>
      <c r="J21" s="24"/>
      <c r="K21" s="5"/>
      <c r="L21" s="4"/>
      <c r="M21" s="5"/>
      <c r="N21" s="4"/>
      <c r="O21" s="24"/>
      <c r="P21" s="5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A22" s="43">
        <v>7.0</v>
      </c>
      <c r="B22" s="44" t="s">
        <v>38</v>
      </c>
      <c r="C22" s="24"/>
      <c r="D22" s="24"/>
      <c r="E22" s="24"/>
      <c r="F22" s="24"/>
      <c r="G22" s="24"/>
      <c r="H22" s="24"/>
      <c r="I22" s="24"/>
      <c r="J22" s="24"/>
      <c r="K22" s="5"/>
      <c r="L22" s="4"/>
      <c r="M22" s="5"/>
      <c r="N22" s="4"/>
      <c r="O22" s="24"/>
      <c r="P22" s="5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A23" s="43">
        <v>8.0</v>
      </c>
      <c r="B23" s="44" t="s">
        <v>39</v>
      </c>
      <c r="C23" s="24"/>
      <c r="D23" s="24"/>
      <c r="E23" s="24"/>
      <c r="F23" s="24"/>
      <c r="G23" s="24"/>
      <c r="H23" s="24"/>
      <c r="I23" s="24"/>
      <c r="J23" s="24"/>
      <c r="K23" s="5"/>
      <c r="L23" s="4"/>
      <c r="M23" s="5"/>
      <c r="N23" s="4"/>
      <c r="O23" s="24"/>
      <c r="P23" s="5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A24" s="43">
        <v>9.0</v>
      </c>
      <c r="B24" s="44" t="s">
        <v>40</v>
      </c>
      <c r="C24" s="24"/>
      <c r="D24" s="24"/>
      <c r="E24" s="24"/>
      <c r="F24" s="24"/>
      <c r="G24" s="24"/>
      <c r="H24" s="24"/>
      <c r="I24" s="24"/>
      <c r="J24" s="24"/>
      <c r="K24" s="5"/>
      <c r="L24" s="4"/>
      <c r="M24" s="5"/>
      <c r="N24" s="4"/>
      <c r="O24" s="24"/>
      <c r="P24" s="5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A25" s="43">
        <v>10.0</v>
      </c>
      <c r="B25" s="44" t="s">
        <v>41</v>
      </c>
      <c r="C25" s="24"/>
      <c r="D25" s="24"/>
      <c r="E25" s="24"/>
      <c r="F25" s="24"/>
      <c r="G25" s="24"/>
      <c r="H25" s="24"/>
      <c r="I25" s="24"/>
      <c r="J25" s="24"/>
      <c r="K25" s="5"/>
      <c r="L25" s="4"/>
      <c r="M25" s="5"/>
      <c r="N25" s="4"/>
      <c r="O25" s="24"/>
      <c r="P25" s="5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A26" s="43">
        <v>11.0</v>
      </c>
      <c r="B26" s="44" t="s">
        <v>42</v>
      </c>
      <c r="C26" s="24"/>
      <c r="D26" s="24"/>
      <c r="E26" s="24"/>
      <c r="F26" s="24"/>
      <c r="G26" s="24"/>
      <c r="H26" s="24"/>
      <c r="I26" s="24"/>
      <c r="J26" s="24"/>
      <c r="K26" s="5"/>
      <c r="L26" s="4"/>
      <c r="M26" s="5"/>
      <c r="N26" s="4"/>
      <c r="O26" s="24"/>
      <c r="P26" s="5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43">
        <v>12.0</v>
      </c>
      <c r="B27" s="44" t="s">
        <v>43</v>
      </c>
      <c r="C27" s="24"/>
      <c r="D27" s="24"/>
      <c r="E27" s="24"/>
      <c r="F27" s="24"/>
      <c r="G27" s="24"/>
      <c r="H27" s="24"/>
      <c r="I27" s="24"/>
      <c r="J27" s="24"/>
      <c r="K27" s="5"/>
      <c r="L27" s="4"/>
      <c r="M27" s="5"/>
      <c r="N27" s="4"/>
      <c r="O27" s="24"/>
      <c r="P27" s="5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43">
        <v>13.0</v>
      </c>
      <c r="B28" s="44" t="s">
        <v>44</v>
      </c>
      <c r="C28" s="24"/>
      <c r="D28" s="24"/>
      <c r="E28" s="24"/>
      <c r="F28" s="24"/>
      <c r="G28" s="24"/>
      <c r="H28" s="24"/>
      <c r="I28" s="24"/>
      <c r="J28" s="24"/>
      <c r="K28" s="5"/>
      <c r="L28" s="4"/>
      <c r="M28" s="5"/>
      <c r="N28" s="4"/>
      <c r="O28" s="24"/>
      <c r="P28" s="5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63.75" customHeight="1">
      <c r="A29" s="45" t="s">
        <v>45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4.0" customHeight="1">
      <c r="A30" s="48" t="s">
        <v>46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5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8.25" customHeight="1">
      <c r="A31" s="49"/>
      <c r="B31" s="24"/>
      <c r="C31" s="24"/>
      <c r="D31" s="24"/>
      <c r="E31" s="24"/>
      <c r="F31" s="24"/>
      <c r="G31" s="24"/>
      <c r="H31" s="24"/>
      <c r="I31" s="24"/>
      <c r="J31" s="5"/>
      <c r="K31" s="50"/>
      <c r="L31" s="24"/>
      <c r="M31" s="24"/>
      <c r="N31" s="24"/>
      <c r="O31" s="24"/>
      <c r="P31" s="5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7.0" customHeight="1">
      <c r="A32" s="51" t="s">
        <v>47</v>
      </c>
      <c r="B32" s="24"/>
      <c r="C32" s="24"/>
      <c r="D32" s="24"/>
      <c r="E32" s="24"/>
      <c r="F32" s="24"/>
      <c r="G32" s="24"/>
      <c r="H32" s="24"/>
      <c r="I32" s="24"/>
      <c r="J32" s="5"/>
      <c r="K32" s="4" t="s">
        <v>48</v>
      </c>
      <c r="L32" s="24"/>
      <c r="M32" s="24"/>
      <c r="N32" s="24"/>
      <c r="O32" s="24"/>
      <c r="P32" s="5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3.25" customHeight="1">
      <c r="A33" s="48" t="s">
        <v>49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5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1.0" customHeight="1">
      <c r="A34" s="52" t="s">
        <v>50</v>
      </c>
      <c r="B34" s="24"/>
      <c r="C34" s="24"/>
      <c r="D34" s="24"/>
      <c r="E34" s="24"/>
      <c r="F34" s="24"/>
      <c r="G34" s="5"/>
      <c r="H34" s="53"/>
      <c r="I34" s="24"/>
      <c r="J34" s="24"/>
      <c r="K34" s="24"/>
      <c r="L34" s="24"/>
      <c r="M34" s="24"/>
      <c r="N34" s="24"/>
      <c r="O34" s="24"/>
      <c r="P34" s="5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6.25" customHeight="1">
      <c r="A35" s="51" t="s">
        <v>51</v>
      </c>
      <c r="B35" s="24"/>
      <c r="C35" s="24"/>
      <c r="D35" s="24"/>
      <c r="E35" s="24"/>
      <c r="F35" s="24"/>
      <c r="G35" s="5"/>
      <c r="H35" s="49"/>
      <c r="I35" s="24"/>
      <c r="J35" s="24"/>
      <c r="K35" s="24"/>
      <c r="L35" s="24"/>
      <c r="M35" s="24"/>
      <c r="N35" s="24"/>
      <c r="O35" s="24"/>
      <c r="P35" s="5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7"/>
      <c r="L36" s="7"/>
      <c r="M36" s="56"/>
      <c r="N36" s="57"/>
      <c r="O36" s="57"/>
      <c r="P36" s="58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9" t="s">
        <v>52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56"/>
      <c r="N38" s="57"/>
      <c r="O38" s="5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56"/>
      <c r="N39" s="57"/>
      <c r="O39" s="5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56"/>
      <c r="N40" s="57"/>
      <c r="O40" s="5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56"/>
      <c r="N41" s="57"/>
      <c r="O41" s="5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56"/>
      <c r="N42" s="57"/>
      <c r="O42" s="5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56"/>
      <c r="N43" s="57"/>
      <c r="O43" s="5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56"/>
      <c r="N44" s="57"/>
      <c r="O44" s="5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56"/>
      <c r="N45" s="57"/>
      <c r="O45" s="5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56"/>
      <c r="N46" s="57"/>
      <c r="O46" s="5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56"/>
      <c r="N47" s="57"/>
      <c r="O47" s="5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6"/>
      <c r="N48" s="57"/>
      <c r="O48" s="5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56"/>
      <c r="N49" s="57"/>
      <c r="O49" s="5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56"/>
      <c r="N50" s="57"/>
      <c r="O50" s="5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56"/>
      <c r="N51" s="57"/>
      <c r="O51" s="5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56"/>
      <c r="N52" s="57"/>
      <c r="O52" s="5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56"/>
      <c r="N53" s="57"/>
      <c r="O53" s="5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56"/>
      <c r="N54" s="57"/>
      <c r="O54" s="5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56"/>
      <c r="N55" s="57"/>
      <c r="O55" s="5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56"/>
      <c r="N56" s="57"/>
      <c r="O56" s="5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56"/>
      <c r="N57" s="57"/>
      <c r="O57" s="5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56"/>
      <c r="N58" s="57"/>
      <c r="O58" s="5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6"/>
      <c r="N59" s="57"/>
      <c r="O59" s="5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6"/>
      <c r="N60" s="57"/>
      <c r="O60" s="5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6"/>
      <c r="N61" s="57"/>
      <c r="O61" s="5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56"/>
      <c r="N62" s="57"/>
      <c r="O62" s="5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56"/>
      <c r="N63" s="57"/>
      <c r="O63" s="5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56"/>
      <c r="N64" s="57"/>
      <c r="O64" s="5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56"/>
      <c r="N65" s="57"/>
      <c r="O65" s="5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56"/>
      <c r="N66" s="57"/>
      <c r="O66" s="5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56"/>
      <c r="N67" s="57"/>
      <c r="O67" s="5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56"/>
      <c r="N68" s="57"/>
      <c r="O68" s="5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6"/>
      <c r="N69" s="57"/>
      <c r="O69" s="5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6"/>
      <c r="N70" s="57"/>
      <c r="O70" s="5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56"/>
      <c r="N71" s="57"/>
      <c r="O71" s="5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56"/>
      <c r="N72" s="57"/>
      <c r="O72" s="5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56"/>
      <c r="N73" s="57"/>
      <c r="O73" s="5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56"/>
      <c r="N74" s="57"/>
      <c r="O74" s="5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6"/>
      <c r="N75" s="57"/>
      <c r="O75" s="5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6"/>
      <c r="N76" s="57"/>
      <c r="O76" s="5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56"/>
      <c r="N77" s="57"/>
      <c r="O77" s="5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56"/>
      <c r="N78" s="57"/>
      <c r="O78" s="5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56"/>
      <c r="N79" s="57"/>
      <c r="O79" s="5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56"/>
      <c r="N80" s="57"/>
      <c r="O80" s="5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6"/>
      <c r="N81" s="57"/>
      <c r="O81" s="5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6"/>
      <c r="N82" s="57"/>
      <c r="O82" s="5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56"/>
      <c r="N83" s="57"/>
      <c r="O83" s="5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56"/>
      <c r="N84" s="57"/>
      <c r="O84" s="5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56"/>
      <c r="N85" s="57"/>
      <c r="O85" s="5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56"/>
      <c r="N86" s="57"/>
      <c r="O86" s="5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56"/>
      <c r="N87" s="57"/>
      <c r="O87" s="5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56"/>
      <c r="N88" s="57"/>
      <c r="O88" s="5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56"/>
      <c r="N89" s="57"/>
      <c r="O89" s="5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56"/>
      <c r="N90" s="57"/>
      <c r="O90" s="5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56"/>
      <c r="N91" s="57"/>
      <c r="O91" s="5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56"/>
      <c r="N92" s="57"/>
      <c r="O92" s="5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56"/>
      <c r="N93" s="57"/>
      <c r="O93" s="5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56"/>
      <c r="N94" s="57"/>
      <c r="O94" s="5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56"/>
      <c r="N95" s="57"/>
      <c r="O95" s="5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56"/>
      <c r="N96" s="57"/>
      <c r="O96" s="5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56"/>
      <c r="N97" s="57"/>
      <c r="O97" s="5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56"/>
      <c r="N98" s="57"/>
      <c r="O98" s="5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56"/>
      <c r="N99" s="57"/>
      <c r="O99" s="5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56"/>
      <c r="N100" s="57"/>
      <c r="O100" s="5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56"/>
      <c r="N101" s="57"/>
      <c r="O101" s="5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56"/>
      <c r="N102" s="57"/>
      <c r="O102" s="5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56"/>
      <c r="N103" s="57"/>
      <c r="O103" s="5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56"/>
      <c r="N104" s="57"/>
      <c r="O104" s="5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56"/>
      <c r="N105" s="57"/>
      <c r="O105" s="5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56"/>
      <c r="N106" s="57"/>
      <c r="O106" s="5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56"/>
      <c r="N107" s="57"/>
      <c r="O107" s="5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56"/>
      <c r="N108" s="57"/>
      <c r="O108" s="5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56"/>
      <c r="N109" s="57"/>
      <c r="O109" s="5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56"/>
      <c r="N110" s="57"/>
      <c r="O110" s="5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56"/>
      <c r="N111" s="57"/>
      <c r="O111" s="5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56"/>
      <c r="N112" s="57"/>
      <c r="O112" s="5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56"/>
      <c r="N113" s="57"/>
      <c r="O113" s="5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56"/>
      <c r="N114" s="57"/>
      <c r="O114" s="5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56"/>
      <c r="N115" s="57"/>
      <c r="O115" s="5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56"/>
      <c r="N116" s="57"/>
      <c r="O116" s="5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56"/>
      <c r="N117" s="57"/>
      <c r="O117" s="5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56"/>
      <c r="N118" s="57"/>
      <c r="O118" s="5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56"/>
      <c r="N119" s="57"/>
      <c r="O119" s="5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56"/>
      <c r="N120" s="57"/>
      <c r="O120" s="5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56"/>
      <c r="N121" s="57"/>
      <c r="O121" s="5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56"/>
      <c r="N122" s="57"/>
      <c r="O122" s="5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56"/>
      <c r="N123" s="57"/>
      <c r="O123" s="5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56"/>
      <c r="N124" s="57"/>
      <c r="O124" s="5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56"/>
      <c r="N125" s="57"/>
      <c r="O125" s="5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56"/>
      <c r="N126" s="57"/>
      <c r="O126" s="5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56"/>
      <c r="N127" s="57"/>
      <c r="O127" s="5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56"/>
      <c r="N128" s="57"/>
      <c r="O128" s="5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56"/>
      <c r="N129" s="57"/>
      <c r="O129" s="5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56"/>
      <c r="N130" s="57"/>
      <c r="O130" s="5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56"/>
      <c r="N131" s="57"/>
      <c r="O131" s="5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56"/>
      <c r="N132" s="57"/>
      <c r="O132" s="5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56"/>
      <c r="N133" s="57"/>
      <c r="O133" s="5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56"/>
      <c r="N134" s="57"/>
      <c r="O134" s="5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56"/>
      <c r="N135" s="57"/>
      <c r="O135" s="5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56"/>
      <c r="N136" s="57"/>
      <c r="O136" s="5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56"/>
      <c r="N137" s="57"/>
      <c r="O137" s="5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56"/>
      <c r="N138" s="57"/>
      <c r="O138" s="5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56"/>
      <c r="N139" s="57"/>
      <c r="O139" s="5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56"/>
      <c r="N140" s="57"/>
      <c r="O140" s="5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56"/>
      <c r="N141" s="57"/>
      <c r="O141" s="5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56"/>
      <c r="N142" s="57"/>
      <c r="O142" s="5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56"/>
      <c r="N143" s="57"/>
      <c r="O143" s="5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56"/>
      <c r="N144" s="57"/>
      <c r="O144" s="5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56"/>
      <c r="N145" s="57"/>
      <c r="O145" s="5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56"/>
      <c r="N146" s="57"/>
      <c r="O146" s="5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56"/>
      <c r="N147" s="57"/>
      <c r="O147" s="5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56"/>
      <c r="N148" s="57"/>
      <c r="O148" s="5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56"/>
      <c r="N149" s="57"/>
      <c r="O149" s="5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56"/>
      <c r="N150" s="57"/>
      <c r="O150" s="5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56"/>
      <c r="N151" s="57"/>
      <c r="O151" s="5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56"/>
      <c r="N152" s="57"/>
      <c r="O152" s="5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56"/>
      <c r="N153" s="57"/>
      <c r="O153" s="5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56"/>
      <c r="N154" s="57"/>
      <c r="O154" s="5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56"/>
      <c r="N155" s="57"/>
      <c r="O155" s="5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56"/>
      <c r="N156" s="57"/>
      <c r="O156" s="5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56"/>
      <c r="N157" s="57"/>
      <c r="O157" s="5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56"/>
      <c r="N158" s="57"/>
      <c r="O158" s="5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56"/>
      <c r="N159" s="57"/>
      <c r="O159" s="5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56"/>
      <c r="N160" s="57"/>
      <c r="O160" s="5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56"/>
      <c r="N161" s="57"/>
      <c r="O161" s="5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56"/>
      <c r="N162" s="57"/>
      <c r="O162" s="5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56"/>
      <c r="N163" s="57"/>
      <c r="O163" s="5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56"/>
      <c r="N164" s="57"/>
      <c r="O164" s="5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56"/>
      <c r="N165" s="57"/>
      <c r="O165" s="5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56"/>
      <c r="N166" s="57"/>
      <c r="O166" s="5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56"/>
      <c r="N167" s="57"/>
      <c r="O167" s="5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56"/>
      <c r="N168" s="57"/>
      <c r="O168" s="5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56"/>
      <c r="N169" s="57"/>
      <c r="O169" s="5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56"/>
      <c r="N170" s="57"/>
      <c r="O170" s="5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56"/>
      <c r="N171" s="57"/>
      <c r="O171" s="5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56"/>
      <c r="N172" s="57"/>
      <c r="O172" s="5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56"/>
      <c r="N173" s="57"/>
      <c r="O173" s="5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56"/>
      <c r="N174" s="57"/>
      <c r="O174" s="5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56"/>
      <c r="N175" s="57"/>
      <c r="O175" s="5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56"/>
      <c r="N176" s="57"/>
      <c r="O176" s="5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56"/>
      <c r="N177" s="57"/>
      <c r="O177" s="5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56"/>
      <c r="N178" s="57"/>
      <c r="O178" s="5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56"/>
      <c r="N179" s="57"/>
      <c r="O179" s="5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56"/>
      <c r="N180" s="57"/>
      <c r="O180" s="5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56"/>
      <c r="N181" s="57"/>
      <c r="O181" s="5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56"/>
      <c r="N182" s="57"/>
      <c r="O182" s="5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56"/>
      <c r="N183" s="57"/>
      <c r="O183" s="5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56"/>
      <c r="N184" s="57"/>
      <c r="O184" s="5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56"/>
      <c r="N185" s="57"/>
      <c r="O185" s="5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56"/>
      <c r="N186" s="57"/>
      <c r="O186" s="5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56"/>
      <c r="N187" s="57"/>
      <c r="O187" s="5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56"/>
      <c r="N188" s="57"/>
      <c r="O188" s="5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56"/>
      <c r="N189" s="57"/>
      <c r="O189" s="5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56"/>
      <c r="N190" s="57"/>
      <c r="O190" s="5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56"/>
      <c r="N191" s="57"/>
      <c r="O191" s="5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56"/>
      <c r="N192" s="57"/>
      <c r="O192" s="5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56"/>
      <c r="N193" s="57"/>
      <c r="O193" s="5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56"/>
      <c r="N194" s="57"/>
      <c r="O194" s="5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56"/>
      <c r="N195" s="57"/>
      <c r="O195" s="5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56"/>
      <c r="N196" s="57"/>
      <c r="O196" s="5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56"/>
      <c r="N197" s="57"/>
      <c r="O197" s="5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56"/>
      <c r="N198" s="57"/>
      <c r="O198" s="5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56"/>
      <c r="N199" s="57"/>
      <c r="O199" s="5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56"/>
      <c r="N200" s="57"/>
      <c r="O200" s="5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56"/>
      <c r="N201" s="57"/>
      <c r="O201" s="5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56"/>
      <c r="N202" s="57"/>
      <c r="O202" s="5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56"/>
      <c r="N203" s="57"/>
      <c r="O203" s="5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56"/>
      <c r="N204" s="57"/>
      <c r="O204" s="5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56"/>
      <c r="N205" s="57"/>
      <c r="O205" s="5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56"/>
      <c r="N206" s="57"/>
      <c r="O206" s="5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56"/>
      <c r="N207" s="57"/>
      <c r="O207" s="5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56"/>
      <c r="N208" s="57"/>
      <c r="O208" s="5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56"/>
      <c r="N209" s="57"/>
      <c r="O209" s="5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56"/>
      <c r="N210" s="57"/>
      <c r="O210" s="5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56"/>
      <c r="N211" s="57"/>
      <c r="O211" s="5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56"/>
      <c r="N212" s="57"/>
      <c r="O212" s="5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56"/>
      <c r="N213" s="57"/>
      <c r="O213" s="5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56"/>
      <c r="N214" s="57"/>
      <c r="O214" s="5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56"/>
      <c r="N215" s="57"/>
      <c r="O215" s="5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56"/>
      <c r="N216" s="57"/>
      <c r="O216" s="5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56"/>
      <c r="N217" s="57"/>
      <c r="O217" s="5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56"/>
      <c r="N218" s="57"/>
      <c r="O218" s="5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56"/>
      <c r="N219" s="57"/>
      <c r="O219" s="5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56"/>
      <c r="N220" s="57"/>
      <c r="O220" s="5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56"/>
      <c r="N221" s="57"/>
      <c r="O221" s="5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56"/>
      <c r="N222" s="57"/>
      <c r="O222" s="5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56"/>
      <c r="N223" s="57"/>
      <c r="O223" s="5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56"/>
      <c r="N224" s="57"/>
      <c r="O224" s="5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56"/>
      <c r="N225" s="57"/>
      <c r="O225" s="5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56"/>
      <c r="N226" s="57"/>
      <c r="O226" s="5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56"/>
      <c r="N227" s="57"/>
      <c r="O227" s="5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56"/>
      <c r="N228" s="57"/>
      <c r="O228" s="5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56"/>
      <c r="N229" s="57"/>
      <c r="O229" s="5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56"/>
      <c r="N230" s="57"/>
      <c r="O230" s="5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56"/>
      <c r="N231" s="57"/>
      <c r="O231" s="5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56"/>
      <c r="N232" s="57"/>
      <c r="O232" s="5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56"/>
      <c r="N233" s="57"/>
      <c r="O233" s="5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56"/>
      <c r="N234" s="57"/>
      <c r="O234" s="5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56"/>
      <c r="N235" s="57"/>
      <c r="O235" s="5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56"/>
      <c r="N236" s="57"/>
      <c r="O236" s="5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56"/>
      <c r="N237" s="57"/>
      <c r="O237" s="5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8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2:J32"/>
    <mergeCell ref="K32:P32"/>
    <mergeCell ref="A33:P33"/>
    <mergeCell ref="A34:G34"/>
    <mergeCell ref="H34:P3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</mergeCells>
  <printOptions/>
  <pageMargins bottom="0.7480314960629921" footer="0.0" header="0.0" left="0.2362204724409449" right="0.2362204724409449" top="0.3937007874015748"/>
  <pageSetup fitToHeight="0" paperSize="3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1.0"/>
    <col customWidth="1" min="7" max="7" width="12.14"/>
    <col customWidth="1" min="8" max="8" width="9.57"/>
    <col customWidth="1" min="9" max="9" width="8.29"/>
    <col customWidth="1" min="10" max="10" width="11.71"/>
    <col customWidth="1" min="11" max="11" width="12.0"/>
    <col customWidth="1" min="12" max="12" width="13.29"/>
    <col customWidth="1" min="13" max="13" width="11.29"/>
    <col customWidth="1" min="14" max="14" width="10.29"/>
    <col customWidth="1" min="15" max="15" width="14.29"/>
    <col customWidth="1" min="16" max="16" width="13.86"/>
    <col customWidth="1" min="17" max="19" width="19.0"/>
  </cols>
  <sheetData>
    <row r="1" ht="15.0" customHeight="1">
      <c r="A1" s="60"/>
      <c r="B1" s="46"/>
      <c r="C1" s="47"/>
      <c r="D1" s="61" t="s">
        <v>0</v>
      </c>
      <c r="E1" s="46"/>
      <c r="F1" s="46"/>
      <c r="G1" s="46"/>
      <c r="H1" s="46"/>
      <c r="I1" s="46"/>
      <c r="J1" s="46"/>
      <c r="K1" s="46"/>
      <c r="L1" s="47"/>
      <c r="M1" s="62" t="s">
        <v>1</v>
      </c>
      <c r="N1" s="41"/>
      <c r="O1" s="62" t="s">
        <v>53</v>
      </c>
      <c r="P1" s="63"/>
    </row>
    <row r="2" ht="15.0" customHeight="1">
      <c r="A2" s="64"/>
      <c r="C2" s="9"/>
      <c r="D2" s="10"/>
      <c r="E2" s="11"/>
      <c r="F2" s="11"/>
      <c r="G2" s="11"/>
      <c r="H2" s="11"/>
      <c r="I2" s="11"/>
      <c r="J2" s="11"/>
      <c r="K2" s="11"/>
      <c r="L2" s="12"/>
      <c r="M2" s="4" t="s">
        <v>3</v>
      </c>
      <c r="N2" s="5"/>
      <c r="O2" s="65">
        <v>1.0</v>
      </c>
      <c r="P2" s="66"/>
    </row>
    <row r="3" ht="15.75" customHeight="1">
      <c r="A3" s="64"/>
      <c r="C3" s="9"/>
      <c r="D3" s="16" t="s">
        <v>54</v>
      </c>
      <c r="E3" s="2"/>
      <c r="F3" s="2"/>
      <c r="G3" s="2"/>
      <c r="H3" s="2"/>
      <c r="I3" s="2"/>
      <c r="J3" s="2"/>
      <c r="K3" s="2"/>
      <c r="L3" s="3"/>
      <c r="M3" s="4" t="s">
        <v>5</v>
      </c>
      <c r="N3" s="5"/>
      <c r="O3" s="4" t="s">
        <v>6</v>
      </c>
      <c r="P3" s="66"/>
      <c r="Q3" s="55"/>
      <c r="R3" s="55"/>
      <c r="S3" s="55"/>
    </row>
    <row r="4" ht="15.75" customHeight="1">
      <c r="A4" s="64"/>
      <c r="C4" s="9"/>
      <c r="D4" s="8"/>
      <c r="L4" s="9"/>
      <c r="M4" s="38" t="s">
        <v>7</v>
      </c>
      <c r="N4" s="9"/>
      <c r="O4" s="17" t="s">
        <v>8</v>
      </c>
      <c r="P4" s="66"/>
      <c r="Q4" s="55"/>
      <c r="R4" s="55"/>
      <c r="S4" s="55"/>
    </row>
    <row r="5" ht="15.75" customHeight="1">
      <c r="A5" s="67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66"/>
      <c r="Q5" s="55"/>
      <c r="R5" s="55"/>
      <c r="S5" s="55"/>
    </row>
    <row r="6" ht="12.0" customHeight="1">
      <c r="A6" s="68"/>
      <c r="P6" s="69"/>
      <c r="Q6" s="55"/>
      <c r="R6" s="55"/>
      <c r="S6" s="55"/>
    </row>
    <row r="7" ht="30.0" customHeight="1">
      <c r="A7" s="70" t="s">
        <v>10</v>
      </c>
      <c r="B7" s="24"/>
      <c r="C7" s="24"/>
      <c r="D7" s="24"/>
      <c r="E7" s="24"/>
      <c r="F7" s="5"/>
      <c r="G7" s="25" t="str">
        <f>'LISTA CHEQUEO'!F7</f>
        <v>SUERO DE NIACINAMIDA 5%</v>
      </c>
      <c r="H7" s="24"/>
      <c r="I7" s="24"/>
      <c r="J7" s="24"/>
      <c r="K7" s="24"/>
      <c r="L7" s="24"/>
      <c r="M7" s="24"/>
      <c r="N7" s="24"/>
      <c r="O7" s="24"/>
      <c r="P7" s="66"/>
      <c r="Q7" s="55"/>
      <c r="R7" s="55"/>
      <c r="S7" s="55"/>
    </row>
    <row r="8" ht="30.0" customHeight="1">
      <c r="A8" s="71" t="s">
        <v>21</v>
      </c>
      <c r="B8" s="72"/>
      <c r="C8" s="72"/>
      <c r="D8" s="72"/>
      <c r="E8" s="72"/>
      <c r="F8" s="73"/>
      <c r="G8" s="74" t="str">
        <f>'LISTA CHEQUEO'!F11</f>
        <v>NSOC33886-24CO</v>
      </c>
      <c r="H8" s="30"/>
      <c r="I8" s="30"/>
      <c r="J8" s="30"/>
      <c r="K8" s="31"/>
      <c r="L8" s="75" t="s">
        <v>55</v>
      </c>
      <c r="M8" s="76"/>
      <c r="N8" s="77" t="str">
        <f>'LISTA CHEQUEO'!F8</f>
        <v>252111</v>
      </c>
      <c r="O8" s="24"/>
      <c r="P8" s="66"/>
      <c r="Q8" s="55"/>
      <c r="R8" s="55"/>
      <c r="S8" s="55"/>
    </row>
    <row r="9" ht="30.0" customHeight="1">
      <c r="A9" s="78" t="s">
        <v>56</v>
      </c>
      <c r="B9" s="79"/>
      <c r="C9" s="79"/>
      <c r="D9" s="79"/>
      <c r="E9" s="79"/>
      <c r="F9" s="80"/>
      <c r="G9" s="74" t="str">
        <f>'LISTA CHEQUEO'!F12</f>
        <v>SOLUCION</v>
      </c>
      <c r="H9" s="30"/>
      <c r="I9" s="30"/>
      <c r="J9" s="30"/>
      <c r="K9" s="31"/>
      <c r="L9" s="81" t="s">
        <v>57</v>
      </c>
      <c r="M9" s="82"/>
      <c r="N9" s="25" t="str">
        <f>'LISTA CHEQUEO'!M8</f>
        <v>OP-L-099</v>
      </c>
      <c r="O9" s="24"/>
      <c r="P9" s="66"/>
      <c r="Q9" s="55"/>
      <c r="R9" s="55"/>
      <c r="S9" s="55"/>
    </row>
    <row r="10" ht="30.0" customHeight="1">
      <c r="A10" s="70" t="s">
        <v>58</v>
      </c>
      <c r="B10" s="24"/>
      <c r="C10" s="24"/>
      <c r="D10" s="24"/>
      <c r="E10" s="24"/>
      <c r="F10" s="5"/>
      <c r="G10" s="83">
        <f>'LISTA CHEQUEO'!M9</f>
        <v>33</v>
      </c>
      <c r="H10" s="24"/>
      <c r="I10" s="24"/>
      <c r="J10" s="24"/>
      <c r="K10" s="5"/>
      <c r="L10" s="48" t="s">
        <v>59</v>
      </c>
      <c r="M10" s="5"/>
      <c r="N10" s="84"/>
      <c r="O10" s="24"/>
      <c r="P10" s="66"/>
      <c r="Q10" s="55"/>
      <c r="R10" s="55"/>
      <c r="S10" s="55"/>
    </row>
    <row r="11" ht="12.0" customHeight="1">
      <c r="A11" s="85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66"/>
      <c r="Q11" s="55"/>
      <c r="R11" s="55"/>
      <c r="S11" s="55"/>
    </row>
    <row r="12" ht="42.75" customHeight="1">
      <c r="A12" s="86" t="s">
        <v>60</v>
      </c>
      <c r="B12" s="72"/>
      <c r="C12" s="72"/>
      <c r="D12" s="72"/>
      <c r="E12" s="72"/>
      <c r="F12" s="73"/>
      <c r="G12" s="87"/>
      <c r="H12" s="11"/>
      <c r="I12" s="11"/>
      <c r="J12" s="11"/>
      <c r="K12" s="11"/>
      <c r="L12" s="11"/>
      <c r="M12" s="11"/>
      <c r="N12" s="11"/>
      <c r="O12" s="11"/>
      <c r="P12" s="88"/>
      <c r="Q12" s="55"/>
      <c r="R12" s="55"/>
      <c r="S12" s="55"/>
    </row>
    <row r="13" ht="43.5" customHeight="1">
      <c r="A13" s="89" t="s">
        <v>61</v>
      </c>
      <c r="B13" s="24"/>
      <c r="C13" s="24"/>
      <c r="D13" s="24"/>
      <c r="E13" s="24"/>
      <c r="F13" s="5"/>
      <c r="G13" s="32" t="s">
        <v>62</v>
      </c>
      <c r="H13" s="5"/>
      <c r="I13" s="32" t="s">
        <v>63</v>
      </c>
      <c r="J13" s="5"/>
      <c r="K13" s="32" t="s">
        <v>64</v>
      </c>
      <c r="L13" s="5"/>
      <c r="M13" s="32" t="s">
        <v>65</v>
      </c>
      <c r="N13" s="5"/>
      <c r="O13" s="32" t="s">
        <v>66</v>
      </c>
      <c r="P13" s="66"/>
      <c r="Q13" s="55"/>
      <c r="R13" s="55"/>
      <c r="S13" s="55"/>
    </row>
    <row r="14" ht="24.75" customHeight="1">
      <c r="A14" s="90" t="s">
        <v>67</v>
      </c>
      <c r="B14" s="24"/>
      <c r="C14" s="24"/>
      <c r="D14" s="24"/>
      <c r="E14" s="24"/>
      <c r="F14" s="5"/>
      <c r="G14" s="91"/>
      <c r="H14" s="5"/>
      <c r="I14" s="91"/>
      <c r="J14" s="5"/>
      <c r="K14" s="91"/>
      <c r="L14" s="5"/>
      <c r="M14" s="91"/>
      <c r="N14" s="5"/>
      <c r="O14" s="91"/>
      <c r="P14" s="66"/>
      <c r="Q14" s="55"/>
      <c r="R14" s="55"/>
      <c r="S14" s="55"/>
    </row>
    <row r="15" ht="27.75" customHeight="1">
      <c r="A15" s="90" t="s">
        <v>68</v>
      </c>
      <c r="B15" s="24"/>
      <c r="C15" s="24"/>
      <c r="D15" s="24"/>
      <c r="E15" s="24"/>
      <c r="F15" s="5"/>
      <c r="G15" s="92"/>
      <c r="H15" s="5"/>
      <c r="I15" s="92"/>
      <c r="J15" s="5"/>
      <c r="K15" s="92"/>
      <c r="L15" s="5"/>
      <c r="M15" s="92"/>
      <c r="N15" s="5"/>
      <c r="O15" s="92"/>
      <c r="P15" s="66"/>
      <c r="Q15" s="55"/>
      <c r="R15" s="55"/>
      <c r="S15" s="55"/>
    </row>
    <row r="16" ht="16.5" customHeight="1">
      <c r="A16" s="93" t="s">
        <v>69</v>
      </c>
      <c r="B16" s="2"/>
      <c r="C16" s="2"/>
      <c r="D16" s="2"/>
      <c r="E16" s="2"/>
      <c r="F16" s="3"/>
      <c r="G16" s="94" t="s">
        <v>70</v>
      </c>
      <c r="H16" s="94" t="s">
        <v>71</v>
      </c>
      <c r="I16" s="94" t="s">
        <v>70</v>
      </c>
      <c r="J16" s="94" t="s">
        <v>71</v>
      </c>
      <c r="K16" s="94" t="s">
        <v>70</v>
      </c>
      <c r="L16" s="94" t="s">
        <v>71</v>
      </c>
      <c r="M16" s="94" t="s">
        <v>70</v>
      </c>
      <c r="N16" s="94" t="s">
        <v>71</v>
      </c>
      <c r="O16" s="94" t="s">
        <v>70</v>
      </c>
      <c r="P16" s="95" t="s">
        <v>71</v>
      </c>
      <c r="Q16" s="55"/>
      <c r="R16" s="55"/>
      <c r="S16" s="55"/>
    </row>
    <row r="17" ht="16.5" customHeight="1">
      <c r="A17" s="64"/>
      <c r="F17" s="9"/>
      <c r="G17" s="96"/>
      <c r="H17" s="96"/>
      <c r="I17" s="96"/>
      <c r="J17" s="96"/>
      <c r="K17" s="96"/>
      <c r="L17" s="96"/>
      <c r="M17" s="97"/>
      <c r="N17" s="97"/>
      <c r="O17" s="97"/>
      <c r="P17" s="98"/>
      <c r="Q17" s="55"/>
      <c r="R17" s="55"/>
      <c r="S17" s="55"/>
    </row>
    <row r="18" ht="16.5" customHeight="1">
      <c r="A18" s="67"/>
      <c r="B18" s="11"/>
      <c r="C18" s="11"/>
      <c r="D18" s="11"/>
      <c r="E18" s="11"/>
      <c r="F18" s="12"/>
      <c r="G18" s="99" t="s">
        <v>72</v>
      </c>
      <c r="H18" s="99" t="s">
        <v>73</v>
      </c>
      <c r="I18" s="99" t="s">
        <v>72</v>
      </c>
      <c r="J18" s="99" t="s">
        <v>73</v>
      </c>
      <c r="K18" s="99" t="s">
        <v>72</v>
      </c>
      <c r="L18" s="99" t="s">
        <v>73</v>
      </c>
      <c r="M18" s="94" t="s">
        <v>72</v>
      </c>
      <c r="N18" s="94" t="s">
        <v>73</v>
      </c>
      <c r="O18" s="94" t="s">
        <v>72</v>
      </c>
      <c r="P18" s="95" t="s">
        <v>73</v>
      </c>
      <c r="Q18" s="55"/>
      <c r="R18" s="55"/>
      <c r="S18" s="55"/>
    </row>
    <row r="19" ht="54.0" customHeight="1">
      <c r="A19" s="100" t="s">
        <v>74</v>
      </c>
      <c r="B19" s="24"/>
      <c r="C19" s="24"/>
      <c r="D19" s="24"/>
      <c r="E19" s="24"/>
      <c r="F19" s="5"/>
      <c r="G19" s="96"/>
      <c r="H19" s="96"/>
      <c r="I19" s="96"/>
      <c r="J19" s="96"/>
      <c r="K19" s="96"/>
      <c r="L19" s="96"/>
      <c r="M19" s="97"/>
      <c r="N19" s="97"/>
      <c r="O19" s="97"/>
      <c r="P19" s="98"/>
      <c r="Q19" s="55"/>
      <c r="R19" s="55"/>
      <c r="S19" s="55"/>
    </row>
    <row r="20" ht="30.75" customHeight="1">
      <c r="A20" s="100" t="s">
        <v>75</v>
      </c>
      <c r="B20" s="24"/>
      <c r="C20" s="24"/>
      <c r="D20" s="24"/>
      <c r="E20" s="24"/>
      <c r="F20" s="5"/>
      <c r="G20" s="101"/>
      <c r="H20" s="101"/>
      <c r="I20" s="102"/>
      <c r="J20" s="102"/>
      <c r="K20" s="102"/>
      <c r="L20" s="102"/>
      <c r="M20" s="102"/>
      <c r="N20" s="103"/>
      <c r="O20" s="104"/>
      <c r="P20" s="105"/>
      <c r="Q20" s="55"/>
      <c r="R20" s="55"/>
      <c r="S20" s="55"/>
    </row>
    <row r="21" ht="39.0" customHeight="1">
      <c r="A21" s="100" t="s">
        <v>76</v>
      </c>
      <c r="B21" s="24"/>
      <c r="C21" s="24"/>
      <c r="D21" s="24"/>
      <c r="E21" s="24"/>
      <c r="F21" s="5"/>
      <c r="G21" s="101"/>
      <c r="H21" s="101"/>
      <c r="I21" s="102"/>
      <c r="J21" s="102"/>
      <c r="K21" s="102"/>
      <c r="L21" s="102"/>
      <c r="M21" s="102"/>
      <c r="N21" s="103"/>
      <c r="O21" s="104"/>
      <c r="P21" s="105"/>
      <c r="Q21" s="55"/>
      <c r="R21" s="55"/>
      <c r="S21" s="55"/>
    </row>
    <row r="22" ht="36.75" customHeight="1">
      <c r="A22" s="100" t="s">
        <v>77</v>
      </c>
      <c r="B22" s="24"/>
      <c r="C22" s="24"/>
      <c r="D22" s="24"/>
      <c r="E22" s="24"/>
      <c r="F22" s="5"/>
      <c r="G22" s="101"/>
      <c r="H22" s="101"/>
      <c r="I22" s="102"/>
      <c r="J22" s="102"/>
      <c r="K22" s="102"/>
      <c r="L22" s="102"/>
      <c r="M22" s="102"/>
      <c r="N22" s="103"/>
      <c r="O22" s="104"/>
      <c r="P22" s="105"/>
      <c r="Q22" s="55"/>
      <c r="R22" s="55"/>
      <c r="S22" s="55"/>
    </row>
    <row r="23" ht="45.0" customHeight="1">
      <c r="A23" s="100" t="s">
        <v>78</v>
      </c>
      <c r="B23" s="24"/>
      <c r="C23" s="24"/>
      <c r="D23" s="24"/>
      <c r="E23" s="24"/>
      <c r="F23" s="5"/>
      <c r="G23" s="101"/>
      <c r="H23" s="101"/>
      <c r="I23" s="102"/>
      <c r="J23" s="102"/>
      <c r="K23" s="102"/>
      <c r="L23" s="102"/>
      <c r="M23" s="102"/>
      <c r="N23" s="103"/>
      <c r="O23" s="104"/>
      <c r="P23" s="105"/>
      <c r="Q23" s="55"/>
      <c r="R23" s="55"/>
      <c r="S23" s="55"/>
    </row>
    <row r="24" ht="54.0" customHeight="1">
      <c r="A24" s="100" t="s">
        <v>79</v>
      </c>
      <c r="B24" s="24"/>
      <c r="C24" s="24"/>
      <c r="D24" s="24"/>
      <c r="E24" s="24"/>
      <c r="F24" s="5"/>
      <c r="G24" s="101"/>
      <c r="H24" s="101"/>
      <c r="I24" s="102"/>
      <c r="J24" s="102"/>
      <c r="K24" s="102"/>
      <c r="L24" s="102"/>
      <c r="M24" s="102"/>
      <c r="N24" s="103"/>
      <c r="O24" s="104"/>
      <c r="P24" s="105"/>
      <c r="Q24" s="55"/>
      <c r="R24" s="55"/>
      <c r="S24" s="55"/>
    </row>
    <row r="25" ht="42.0" customHeight="1">
      <c r="A25" s="100" t="s">
        <v>80</v>
      </c>
      <c r="B25" s="24"/>
      <c r="C25" s="24"/>
      <c r="D25" s="24"/>
      <c r="E25" s="24"/>
      <c r="F25" s="5"/>
      <c r="G25" s="101"/>
      <c r="H25" s="101"/>
      <c r="I25" s="102"/>
      <c r="J25" s="102"/>
      <c r="K25" s="102"/>
      <c r="L25" s="102"/>
      <c r="M25" s="102"/>
      <c r="N25" s="103"/>
      <c r="O25" s="104"/>
      <c r="P25" s="105"/>
      <c r="Q25" s="55"/>
      <c r="R25" s="55"/>
      <c r="S25" s="55"/>
    </row>
    <row r="26" ht="57.75" customHeight="1">
      <c r="A26" s="100" t="s">
        <v>81</v>
      </c>
      <c r="B26" s="24"/>
      <c r="C26" s="24"/>
      <c r="D26" s="24"/>
      <c r="E26" s="24"/>
      <c r="F26" s="5"/>
      <c r="G26" s="101"/>
      <c r="H26" s="101"/>
      <c r="I26" s="102"/>
      <c r="J26" s="102"/>
      <c r="K26" s="102"/>
      <c r="L26" s="102"/>
      <c r="M26" s="102"/>
      <c r="N26" s="103"/>
      <c r="O26" s="104"/>
      <c r="P26" s="105"/>
      <c r="Q26" s="55"/>
      <c r="R26" s="55"/>
      <c r="S26" s="55"/>
    </row>
    <row r="27" ht="37.5" customHeight="1">
      <c r="A27" s="100" t="s">
        <v>82</v>
      </c>
      <c r="B27" s="24"/>
      <c r="C27" s="24"/>
      <c r="D27" s="24"/>
      <c r="E27" s="24"/>
      <c r="F27" s="5"/>
      <c r="G27" s="101"/>
      <c r="H27" s="101"/>
      <c r="I27" s="102"/>
      <c r="J27" s="102"/>
      <c r="K27" s="102"/>
      <c r="L27" s="102"/>
      <c r="M27" s="102"/>
      <c r="N27" s="103"/>
      <c r="O27" s="104"/>
      <c r="P27" s="105"/>
      <c r="Q27" s="55"/>
      <c r="R27" s="55"/>
      <c r="S27" s="55"/>
    </row>
    <row r="28" ht="41.25" customHeight="1">
      <c r="A28" s="100" t="s">
        <v>83</v>
      </c>
      <c r="B28" s="24"/>
      <c r="C28" s="24"/>
      <c r="D28" s="24"/>
      <c r="E28" s="24"/>
      <c r="F28" s="5"/>
      <c r="G28" s="101"/>
      <c r="H28" s="101"/>
      <c r="I28" s="102"/>
      <c r="J28" s="102"/>
      <c r="K28" s="102"/>
      <c r="L28" s="102"/>
      <c r="M28" s="102"/>
      <c r="N28" s="103"/>
      <c r="O28" s="104"/>
      <c r="P28" s="105"/>
      <c r="Q28" s="55"/>
      <c r="R28" s="55"/>
      <c r="S28" s="55"/>
    </row>
    <row r="29" ht="49.5" customHeight="1">
      <c r="A29" s="100" t="s">
        <v>84</v>
      </c>
      <c r="B29" s="24"/>
      <c r="C29" s="24"/>
      <c r="D29" s="24"/>
      <c r="E29" s="24"/>
      <c r="F29" s="5"/>
      <c r="G29" s="101"/>
      <c r="H29" s="101"/>
      <c r="I29" s="102"/>
      <c r="J29" s="102"/>
      <c r="K29" s="102"/>
      <c r="L29" s="102"/>
      <c r="M29" s="102"/>
      <c r="N29" s="103"/>
      <c r="O29" s="104"/>
      <c r="P29" s="105"/>
      <c r="Q29" s="55"/>
      <c r="R29" s="55"/>
      <c r="S29" s="55"/>
    </row>
    <row r="30" ht="27.0" customHeight="1">
      <c r="A30" s="100" t="s">
        <v>85</v>
      </c>
      <c r="B30" s="24"/>
      <c r="C30" s="24"/>
      <c r="D30" s="24"/>
      <c r="E30" s="24"/>
      <c r="F30" s="5"/>
      <c r="G30" s="101"/>
      <c r="H30" s="101"/>
      <c r="I30" s="102"/>
      <c r="J30" s="102"/>
      <c r="K30" s="102"/>
      <c r="L30" s="102"/>
      <c r="M30" s="102"/>
      <c r="N30" s="103"/>
      <c r="O30" s="104"/>
      <c r="P30" s="105"/>
      <c r="Q30" s="55"/>
      <c r="R30" s="55"/>
      <c r="S30" s="55"/>
    </row>
    <row r="31" ht="21.75" customHeight="1">
      <c r="A31" s="106" t="s">
        <v>86</v>
      </c>
      <c r="B31" s="24"/>
      <c r="C31" s="24"/>
      <c r="D31" s="24"/>
      <c r="E31" s="24"/>
      <c r="F31" s="5"/>
      <c r="G31" s="53"/>
      <c r="H31" s="5"/>
      <c r="I31" s="53"/>
      <c r="J31" s="5"/>
      <c r="K31" s="53"/>
      <c r="L31" s="5"/>
      <c r="M31" s="53"/>
      <c r="N31" s="5"/>
      <c r="O31" s="53"/>
      <c r="P31" s="66"/>
      <c r="Q31" s="55"/>
      <c r="R31" s="55"/>
      <c r="S31" s="55"/>
    </row>
    <row r="32" ht="21.0" customHeight="1">
      <c r="A32" s="85" t="s">
        <v>87</v>
      </c>
      <c r="B32" s="24"/>
      <c r="C32" s="24"/>
      <c r="D32" s="24"/>
      <c r="E32" s="24"/>
      <c r="F32" s="5"/>
      <c r="G32" s="53"/>
      <c r="H32" s="5"/>
      <c r="I32" s="53"/>
      <c r="J32" s="5"/>
      <c r="K32" s="53"/>
      <c r="L32" s="5"/>
      <c r="M32" s="53"/>
      <c r="N32" s="5"/>
      <c r="O32" s="53"/>
      <c r="P32" s="66"/>
      <c r="Q32" s="55"/>
      <c r="R32" s="55"/>
      <c r="S32" s="55"/>
    </row>
    <row r="33" ht="15.75" customHeight="1">
      <c r="A33" s="10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56"/>
      <c r="N33" s="57"/>
      <c r="O33" s="57"/>
      <c r="P33" s="108"/>
      <c r="Q33" s="55"/>
      <c r="R33" s="55"/>
      <c r="S33" s="55"/>
    </row>
    <row r="34" ht="42.0" customHeight="1">
      <c r="A34" s="109" t="s">
        <v>45</v>
      </c>
      <c r="B34" s="2"/>
      <c r="C34" s="2"/>
      <c r="D34" s="2"/>
      <c r="E34" s="2"/>
      <c r="F34" s="3"/>
      <c r="G34" s="110"/>
      <c r="H34" s="2"/>
      <c r="I34" s="2"/>
      <c r="J34" s="2"/>
      <c r="K34" s="2"/>
      <c r="L34" s="2"/>
      <c r="M34" s="2"/>
      <c r="N34" s="2"/>
      <c r="O34" s="2"/>
      <c r="P34" s="111"/>
      <c r="Q34" s="55"/>
      <c r="R34" s="55"/>
      <c r="S34" s="55"/>
    </row>
    <row r="35" ht="45.75" customHeight="1">
      <c r="A35" s="64"/>
      <c r="F35" s="9"/>
      <c r="G35" s="8"/>
      <c r="P35" s="69"/>
      <c r="Q35" s="55"/>
      <c r="R35" s="55"/>
      <c r="S35" s="55"/>
    </row>
    <row r="36" ht="15.75" customHeight="1">
      <c r="A36" s="67"/>
      <c r="B36" s="11"/>
      <c r="C36" s="11"/>
      <c r="D36" s="11"/>
      <c r="E36" s="11"/>
      <c r="F36" s="12"/>
      <c r="G36" s="10"/>
      <c r="H36" s="11"/>
      <c r="I36" s="11"/>
      <c r="J36" s="11"/>
      <c r="K36" s="11"/>
      <c r="L36" s="11"/>
      <c r="M36" s="11"/>
      <c r="N36" s="11"/>
      <c r="O36" s="11"/>
      <c r="P36" s="88"/>
      <c r="Q36" s="55"/>
      <c r="R36" s="55"/>
      <c r="S36" s="55"/>
    </row>
    <row r="37" ht="15.75" customHeight="1">
      <c r="A37" s="10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57"/>
      <c r="O37" s="57"/>
      <c r="P37" s="108"/>
      <c r="Q37" s="55"/>
      <c r="R37" s="55"/>
      <c r="S37" s="55"/>
    </row>
    <row r="38" ht="15.75" customHeight="1">
      <c r="A38" s="112" t="s">
        <v>88</v>
      </c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4"/>
      <c r="Q38" s="55"/>
      <c r="R38" s="55"/>
      <c r="S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115"/>
      <c r="N39" s="116"/>
      <c r="O39" s="116"/>
      <c r="P39" s="55"/>
      <c r="Q39" s="55"/>
      <c r="R39" s="55"/>
      <c r="S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115"/>
      <c r="N40" s="116"/>
      <c r="O40" s="116"/>
      <c r="P40" s="55"/>
      <c r="Q40" s="55"/>
      <c r="R40" s="55"/>
      <c r="S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115"/>
      <c r="N41" s="116"/>
      <c r="O41" s="116"/>
      <c r="P41" s="55"/>
      <c r="Q41" s="55"/>
      <c r="R41" s="55"/>
      <c r="S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115"/>
      <c r="N42" s="116"/>
      <c r="O42" s="116"/>
      <c r="P42" s="55"/>
      <c r="Q42" s="55"/>
      <c r="R42" s="55"/>
      <c r="S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115"/>
      <c r="N43" s="116"/>
      <c r="O43" s="116"/>
      <c r="P43" s="55"/>
      <c r="Q43" s="55"/>
      <c r="R43" s="55"/>
      <c r="S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115"/>
      <c r="N44" s="116"/>
      <c r="O44" s="116"/>
      <c r="P44" s="55"/>
      <c r="Q44" s="55"/>
      <c r="R44" s="55"/>
      <c r="S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115"/>
      <c r="N45" s="116"/>
      <c r="O45" s="116"/>
      <c r="P45" s="55"/>
      <c r="Q45" s="55"/>
      <c r="R45" s="55"/>
      <c r="S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115"/>
      <c r="N46" s="116"/>
      <c r="O46" s="116"/>
      <c r="P46" s="55"/>
      <c r="Q46" s="55"/>
      <c r="R46" s="55"/>
      <c r="S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115"/>
      <c r="N47" s="116"/>
      <c r="O47" s="116"/>
      <c r="P47" s="55"/>
      <c r="Q47" s="55"/>
      <c r="R47" s="55"/>
      <c r="S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115"/>
      <c r="N48" s="116"/>
      <c r="O48" s="116"/>
      <c r="P48" s="55"/>
      <c r="Q48" s="55"/>
      <c r="R48" s="55"/>
      <c r="S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115"/>
      <c r="N49" s="116"/>
      <c r="O49" s="116"/>
      <c r="P49" s="55"/>
      <c r="Q49" s="55"/>
      <c r="R49" s="55"/>
      <c r="S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115"/>
      <c r="N50" s="116"/>
      <c r="O50" s="116"/>
      <c r="P50" s="55"/>
      <c r="Q50" s="55"/>
      <c r="R50" s="55"/>
      <c r="S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115"/>
      <c r="N51" s="116"/>
      <c r="O51" s="116"/>
      <c r="P51" s="55"/>
      <c r="Q51" s="55"/>
      <c r="R51" s="55"/>
      <c r="S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115"/>
      <c r="N52" s="116"/>
      <c r="O52" s="116"/>
      <c r="P52" s="55"/>
      <c r="Q52" s="55"/>
      <c r="R52" s="55"/>
      <c r="S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115"/>
      <c r="N53" s="116"/>
      <c r="O53" s="116"/>
      <c r="P53" s="55"/>
      <c r="Q53" s="55"/>
      <c r="R53" s="55"/>
      <c r="S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115"/>
      <c r="N54" s="116"/>
      <c r="O54" s="116"/>
      <c r="P54" s="55"/>
      <c r="Q54" s="55"/>
      <c r="R54" s="55"/>
      <c r="S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115"/>
      <c r="N55" s="116"/>
      <c r="O55" s="116"/>
      <c r="P55" s="55"/>
      <c r="Q55" s="55"/>
      <c r="R55" s="55"/>
      <c r="S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115"/>
      <c r="N56" s="116"/>
      <c r="O56" s="116"/>
      <c r="P56" s="55"/>
      <c r="Q56" s="55"/>
      <c r="R56" s="55"/>
      <c r="S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115"/>
      <c r="N57" s="116"/>
      <c r="O57" s="116"/>
      <c r="P57" s="55"/>
      <c r="Q57" s="55"/>
      <c r="R57" s="55"/>
      <c r="S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115"/>
      <c r="N58" s="116"/>
      <c r="O58" s="116"/>
      <c r="P58" s="55"/>
      <c r="Q58" s="55"/>
      <c r="R58" s="55"/>
      <c r="S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115"/>
      <c r="N59" s="116"/>
      <c r="O59" s="116"/>
      <c r="P59" s="55"/>
      <c r="Q59" s="55"/>
      <c r="R59" s="55"/>
      <c r="S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115"/>
      <c r="N60" s="116"/>
      <c r="O60" s="116"/>
      <c r="P60" s="55"/>
      <c r="Q60" s="55"/>
      <c r="R60" s="55"/>
      <c r="S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115"/>
      <c r="N61" s="116"/>
      <c r="O61" s="116"/>
      <c r="P61" s="55"/>
      <c r="Q61" s="55"/>
      <c r="R61" s="55"/>
      <c r="S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115"/>
      <c r="N62" s="116"/>
      <c r="O62" s="116"/>
      <c r="P62" s="55"/>
      <c r="Q62" s="55"/>
      <c r="R62" s="55"/>
      <c r="S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115"/>
      <c r="N63" s="116"/>
      <c r="O63" s="116"/>
      <c r="P63" s="55"/>
      <c r="Q63" s="55"/>
      <c r="R63" s="55"/>
      <c r="S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115"/>
      <c r="N64" s="116"/>
      <c r="O64" s="116"/>
      <c r="P64" s="55"/>
      <c r="Q64" s="55"/>
      <c r="R64" s="55"/>
      <c r="S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115"/>
      <c r="N65" s="116"/>
      <c r="O65" s="116"/>
      <c r="P65" s="55"/>
      <c r="Q65" s="55"/>
      <c r="R65" s="55"/>
      <c r="S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115"/>
      <c r="N66" s="116"/>
      <c r="O66" s="116"/>
      <c r="P66" s="55"/>
      <c r="Q66" s="55"/>
      <c r="R66" s="55"/>
      <c r="S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115"/>
      <c r="N67" s="116"/>
      <c r="O67" s="116"/>
      <c r="P67" s="55"/>
      <c r="Q67" s="55"/>
      <c r="R67" s="55"/>
      <c r="S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115"/>
      <c r="N68" s="116"/>
      <c r="O68" s="116"/>
      <c r="P68" s="55"/>
      <c r="Q68" s="55"/>
      <c r="R68" s="55"/>
      <c r="S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115"/>
      <c r="N69" s="116"/>
      <c r="O69" s="116"/>
      <c r="P69" s="55"/>
      <c r="Q69" s="55"/>
      <c r="R69" s="55"/>
      <c r="S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115"/>
      <c r="N70" s="116"/>
      <c r="O70" s="116"/>
      <c r="P70" s="55"/>
      <c r="Q70" s="55"/>
      <c r="R70" s="55"/>
      <c r="S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115"/>
      <c r="N71" s="116"/>
      <c r="O71" s="116"/>
      <c r="P71" s="55"/>
      <c r="Q71" s="55"/>
      <c r="R71" s="55"/>
      <c r="S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115"/>
      <c r="N72" s="116"/>
      <c r="O72" s="116"/>
      <c r="P72" s="55"/>
      <c r="Q72" s="55"/>
      <c r="R72" s="55"/>
      <c r="S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115"/>
      <c r="N73" s="116"/>
      <c r="O73" s="116"/>
      <c r="P73" s="55"/>
      <c r="Q73" s="55"/>
      <c r="R73" s="55"/>
      <c r="S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115"/>
      <c r="N74" s="116"/>
      <c r="O74" s="116"/>
      <c r="P74" s="55"/>
      <c r="Q74" s="55"/>
      <c r="R74" s="55"/>
      <c r="S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115"/>
      <c r="N75" s="116"/>
      <c r="O75" s="116"/>
      <c r="P75" s="55"/>
      <c r="Q75" s="55"/>
      <c r="R75" s="55"/>
      <c r="S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115"/>
      <c r="N76" s="116"/>
      <c r="O76" s="116"/>
      <c r="P76" s="55"/>
      <c r="Q76" s="55"/>
      <c r="R76" s="55"/>
      <c r="S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115"/>
      <c r="N77" s="116"/>
      <c r="O77" s="116"/>
      <c r="P77" s="55"/>
      <c r="Q77" s="55"/>
      <c r="R77" s="55"/>
      <c r="S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115"/>
      <c r="N78" s="116"/>
      <c r="O78" s="116"/>
      <c r="P78" s="55"/>
      <c r="Q78" s="55"/>
      <c r="R78" s="55"/>
      <c r="S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115"/>
      <c r="N79" s="116"/>
      <c r="O79" s="116"/>
      <c r="P79" s="55"/>
      <c r="Q79" s="55"/>
      <c r="R79" s="55"/>
      <c r="S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115"/>
      <c r="N80" s="116"/>
      <c r="O80" s="116"/>
      <c r="P80" s="55"/>
      <c r="Q80" s="55"/>
      <c r="R80" s="55"/>
      <c r="S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115"/>
      <c r="N81" s="116"/>
      <c r="O81" s="116"/>
      <c r="P81" s="55"/>
      <c r="Q81" s="55"/>
      <c r="R81" s="55"/>
      <c r="S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115"/>
      <c r="N82" s="116"/>
      <c r="O82" s="116"/>
      <c r="P82" s="55"/>
      <c r="Q82" s="55"/>
      <c r="R82" s="55"/>
      <c r="S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115"/>
      <c r="N83" s="116"/>
      <c r="O83" s="116"/>
      <c r="P83" s="55"/>
      <c r="Q83" s="55"/>
      <c r="R83" s="55"/>
      <c r="S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115"/>
      <c r="N84" s="116"/>
      <c r="O84" s="116"/>
      <c r="P84" s="55"/>
      <c r="Q84" s="55"/>
      <c r="R84" s="55"/>
      <c r="S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115"/>
      <c r="N85" s="116"/>
      <c r="O85" s="116"/>
      <c r="P85" s="55"/>
      <c r="Q85" s="55"/>
      <c r="R85" s="55"/>
      <c r="S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115"/>
      <c r="N86" s="116"/>
      <c r="O86" s="116"/>
      <c r="P86" s="55"/>
      <c r="Q86" s="55"/>
      <c r="R86" s="55"/>
      <c r="S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115"/>
      <c r="N87" s="116"/>
      <c r="O87" s="116"/>
      <c r="P87" s="55"/>
      <c r="Q87" s="55"/>
      <c r="R87" s="55"/>
      <c r="S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115"/>
      <c r="N88" s="116"/>
      <c r="O88" s="116"/>
      <c r="P88" s="55"/>
      <c r="Q88" s="55"/>
      <c r="R88" s="55"/>
      <c r="S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115"/>
      <c r="N89" s="116"/>
      <c r="O89" s="116"/>
      <c r="P89" s="55"/>
      <c r="Q89" s="55"/>
      <c r="R89" s="55"/>
      <c r="S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115"/>
      <c r="N90" s="116"/>
      <c r="O90" s="116"/>
      <c r="P90" s="55"/>
      <c r="Q90" s="55"/>
      <c r="R90" s="55"/>
      <c r="S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115"/>
      <c r="N91" s="116"/>
      <c r="O91" s="116"/>
      <c r="P91" s="55"/>
      <c r="Q91" s="55"/>
      <c r="R91" s="55"/>
      <c r="S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115"/>
      <c r="N92" s="116"/>
      <c r="O92" s="116"/>
      <c r="P92" s="55"/>
      <c r="Q92" s="55"/>
      <c r="R92" s="55"/>
      <c r="S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115"/>
      <c r="N93" s="116"/>
      <c r="O93" s="116"/>
      <c r="P93" s="55"/>
      <c r="Q93" s="55"/>
      <c r="R93" s="55"/>
      <c r="S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115"/>
      <c r="N94" s="116"/>
      <c r="O94" s="116"/>
      <c r="P94" s="55"/>
      <c r="Q94" s="55"/>
      <c r="R94" s="55"/>
      <c r="S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115"/>
      <c r="N95" s="116"/>
      <c r="O95" s="116"/>
      <c r="P95" s="55"/>
      <c r="Q95" s="55"/>
      <c r="R95" s="55"/>
      <c r="S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115"/>
      <c r="N96" s="116"/>
      <c r="O96" s="116"/>
      <c r="P96" s="55"/>
      <c r="Q96" s="55"/>
      <c r="R96" s="55"/>
      <c r="S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115"/>
      <c r="N97" s="116"/>
      <c r="O97" s="116"/>
      <c r="P97" s="55"/>
      <c r="Q97" s="55"/>
      <c r="R97" s="55"/>
      <c r="S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115"/>
      <c r="N98" s="116"/>
      <c r="O98" s="116"/>
      <c r="P98" s="55"/>
      <c r="Q98" s="55"/>
      <c r="R98" s="55"/>
      <c r="S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115"/>
      <c r="N99" s="116"/>
      <c r="O99" s="116"/>
      <c r="P99" s="55"/>
      <c r="Q99" s="55"/>
      <c r="R99" s="55"/>
      <c r="S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115"/>
      <c r="N100" s="116"/>
      <c r="O100" s="116"/>
      <c r="P100" s="55"/>
      <c r="Q100" s="55"/>
      <c r="R100" s="55"/>
      <c r="S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115"/>
      <c r="N101" s="116"/>
      <c r="O101" s="116"/>
      <c r="P101" s="55"/>
      <c r="Q101" s="55"/>
      <c r="R101" s="55"/>
      <c r="S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115"/>
      <c r="N102" s="116"/>
      <c r="O102" s="116"/>
      <c r="P102" s="55"/>
      <c r="Q102" s="55"/>
      <c r="R102" s="55"/>
      <c r="S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115"/>
      <c r="N103" s="116"/>
      <c r="O103" s="116"/>
      <c r="P103" s="55"/>
      <c r="Q103" s="55"/>
      <c r="R103" s="55"/>
      <c r="S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115"/>
      <c r="N104" s="116"/>
      <c r="O104" s="116"/>
      <c r="P104" s="55"/>
      <c r="Q104" s="55"/>
      <c r="R104" s="55"/>
      <c r="S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115"/>
      <c r="N105" s="116"/>
      <c r="O105" s="116"/>
      <c r="P105" s="55"/>
      <c r="Q105" s="55"/>
      <c r="R105" s="55"/>
      <c r="S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115"/>
      <c r="N106" s="116"/>
      <c r="O106" s="116"/>
      <c r="P106" s="55"/>
      <c r="Q106" s="55"/>
      <c r="R106" s="55"/>
      <c r="S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115"/>
      <c r="N107" s="116"/>
      <c r="O107" s="116"/>
      <c r="P107" s="55"/>
      <c r="Q107" s="55"/>
      <c r="R107" s="55"/>
      <c r="S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115"/>
      <c r="N108" s="116"/>
      <c r="O108" s="116"/>
      <c r="P108" s="55"/>
      <c r="Q108" s="55"/>
      <c r="R108" s="55"/>
      <c r="S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115"/>
      <c r="N109" s="116"/>
      <c r="O109" s="116"/>
      <c r="P109" s="55"/>
      <c r="Q109" s="55"/>
      <c r="R109" s="55"/>
      <c r="S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115"/>
      <c r="N110" s="116"/>
      <c r="O110" s="116"/>
      <c r="P110" s="55"/>
      <c r="Q110" s="55"/>
      <c r="R110" s="55"/>
      <c r="S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115"/>
      <c r="N111" s="116"/>
      <c r="O111" s="116"/>
      <c r="P111" s="55"/>
      <c r="Q111" s="55"/>
      <c r="R111" s="55"/>
      <c r="S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115"/>
      <c r="N112" s="116"/>
      <c r="O112" s="116"/>
      <c r="P112" s="55"/>
      <c r="Q112" s="55"/>
      <c r="R112" s="55"/>
      <c r="S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115"/>
      <c r="N113" s="116"/>
      <c r="O113" s="116"/>
      <c r="P113" s="55"/>
      <c r="Q113" s="55"/>
      <c r="R113" s="55"/>
      <c r="S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115"/>
      <c r="N114" s="116"/>
      <c r="O114" s="116"/>
      <c r="P114" s="55"/>
      <c r="Q114" s="55"/>
      <c r="R114" s="55"/>
      <c r="S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115"/>
      <c r="N115" s="116"/>
      <c r="O115" s="116"/>
      <c r="P115" s="55"/>
      <c r="Q115" s="55"/>
      <c r="R115" s="55"/>
      <c r="S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115"/>
      <c r="N116" s="116"/>
      <c r="O116" s="116"/>
      <c r="P116" s="55"/>
      <c r="Q116" s="55"/>
      <c r="R116" s="55"/>
      <c r="S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115"/>
      <c r="N117" s="116"/>
      <c r="O117" s="116"/>
      <c r="P117" s="55"/>
      <c r="Q117" s="55"/>
      <c r="R117" s="55"/>
      <c r="S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115"/>
      <c r="N118" s="116"/>
      <c r="O118" s="116"/>
      <c r="P118" s="55"/>
      <c r="Q118" s="55"/>
      <c r="R118" s="55"/>
      <c r="S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115"/>
      <c r="N119" s="116"/>
      <c r="O119" s="116"/>
      <c r="P119" s="55"/>
      <c r="Q119" s="55"/>
      <c r="R119" s="55"/>
      <c r="S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115"/>
      <c r="N120" s="116"/>
      <c r="O120" s="116"/>
      <c r="P120" s="55"/>
      <c r="Q120" s="55"/>
      <c r="R120" s="55"/>
      <c r="S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115"/>
      <c r="N121" s="116"/>
      <c r="O121" s="116"/>
      <c r="P121" s="55"/>
      <c r="Q121" s="55"/>
      <c r="R121" s="55"/>
      <c r="S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115"/>
      <c r="N122" s="116"/>
      <c r="O122" s="116"/>
      <c r="P122" s="55"/>
      <c r="Q122" s="55"/>
      <c r="R122" s="55"/>
      <c r="S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115"/>
      <c r="N123" s="116"/>
      <c r="O123" s="116"/>
      <c r="P123" s="55"/>
      <c r="Q123" s="55"/>
      <c r="R123" s="55"/>
      <c r="S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115"/>
      <c r="N124" s="116"/>
      <c r="O124" s="116"/>
      <c r="P124" s="55"/>
      <c r="Q124" s="55"/>
      <c r="R124" s="55"/>
      <c r="S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115"/>
      <c r="N125" s="116"/>
      <c r="O125" s="116"/>
      <c r="P125" s="55"/>
      <c r="Q125" s="55"/>
      <c r="R125" s="55"/>
      <c r="S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115"/>
      <c r="N126" s="116"/>
      <c r="O126" s="116"/>
      <c r="P126" s="55"/>
      <c r="Q126" s="55"/>
      <c r="R126" s="55"/>
      <c r="S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115"/>
      <c r="N127" s="116"/>
      <c r="O127" s="116"/>
      <c r="P127" s="55"/>
      <c r="Q127" s="55"/>
      <c r="R127" s="55"/>
      <c r="S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115"/>
      <c r="N128" s="116"/>
      <c r="O128" s="116"/>
      <c r="P128" s="55"/>
      <c r="Q128" s="55"/>
      <c r="R128" s="55"/>
      <c r="S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115"/>
      <c r="N129" s="116"/>
      <c r="O129" s="116"/>
      <c r="P129" s="55"/>
      <c r="Q129" s="55"/>
      <c r="R129" s="55"/>
      <c r="S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115"/>
      <c r="N130" s="116"/>
      <c r="O130" s="116"/>
      <c r="P130" s="55"/>
      <c r="Q130" s="55"/>
      <c r="R130" s="55"/>
      <c r="S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115"/>
      <c r="N131" s="116"/>
      <c r="O131" s="116"/>
      <c r="P131" s="55"/>
      <c r="Q131" s="55"/>
      <c r="R131" s="55"/>
      <c r="S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115"/>
      <c r="N132" s="116"/>
      <c r="O132" s="116"/>
      <c r="P132" s="55"/>
      <c r="Q132" s="55"/>
      <c r="R132" s="55"/>
      <c r="S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115"/>
      <c r="N133" s="116"/>
      <c r="O133" s="116"/>
      <c r="P133" s="55"/>
      <c r="Q133" s="55"/>
      <c r="R133" s="55"/>
      <c r="S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115"/>
      <c r="N134" s="116"/>
      <c r="O134" s="116"/>
      <c r="P134" s="55"/>
      <c r="Q134" s="55"/>
      <c r="R134" s="55"/>
      <c r="S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115"/>
      <c r="N135" s="116"/>
      <c r="O135" s="116"/>
      <c r="P135" s="55"/>
      <c r="Q135" s="55"/>
      <c r="R135" s="55"/>
      <c r="S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115"/>
      <c r="N136" s="116"/>
      <c r="O136" s="116"/>
      <c r="P136" s="55"/>
      <c r="Q136" s="55"/>
      <c r="R136" s="55"/>
      <c r="S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115"/>
      <c r="N137" s="116"/>
      <c r="O137" s="116"/>
      <c r="P137" s="55"/>
      <c r="Q137" s="55"/>
      <c r="R137" s="55"/>
      <c r="S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115"/>
      <c r="N138" s="116"/>
      <c r="O138" s="116"/>
      <c r="P138" s="55"/>
      <c r="Q138" s="55"/>
      <c r="R138" s="55"/>
      <c r="S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115"/>
      <c r="N139" s="116"/>
      <c r="O139" s="116"/>
      <c r="P139" s="55"/>
      <c r="Q139" s="55"/>
      <c r="R139" s="55"/>
      <c r="S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115"/>
      <c r="N140" s="116"/>
      <c r="O140" s="116"/>
      <c r="P140" s="55"/>
      <c r="Q140" s="55"/>
      <c r="R140" s="55"/>
      <c r="S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115"/>
      <c r="N141" s="116"/>
      <c r="O141" s="116"/>
      <c r="P141" s="55"/>
      <c r="Q141" s="55"/>
      <c r="R141" s="55"/>
      <c r="S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115"/>
      <c r="N142" s="116"/>
      <c r="O142" s="116"/>
      <c r="P142" s="55"/>
      <c r="Q142" s="55"/>
      <c r="R142" s="55"/>
      <c r="S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115"/>
      <c r="N143" s="116"/>
      <c r="O143" s="116"/>
      <c r="P143" s="55"/>
      <c r="Q143" s="55"/>
      <c r="R143" s="55"/>
      <c r="S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115"/>
      <c r="N144" s="116"/>
      <c r="O144" s="116"/>
      <c r="P144" s="55"/>
      <c r="Q144" s="55"/>
      <c r="R144" s="55"/>
      <c r="S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115"/>
      <c r="N145" s="116"/>
      <c r="O145" s="116"/>
      <c r="P145" s="55"/>
      <c r="Q145" s="55"/>
      <c r="R145" s="55"/>
      <c r="S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115"/>
      <c r="N146" s="116"/>
      <c r="O146" s="116"/>
      <c r="P146" s="55"/>
      <c r="Q146" s="55"/>
      <c r="R146" s="55"/>
      <c r="S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115"/>
      <c r="N147" s="116"/>
      <c r="O147" s="116"/>
      <c r="P147" s="55"/>
      <c r="Q147" s="55"/>
      <c r="R147" s="55"/>
      <c r="S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115"/>
      <c r="N148" s="116"/>
      <c r="O148" s="116"/>
      <c r="P148" s="55"/>
      <c r="Q148" s="55"/>
      <c r="R148" s="55"/>
      <c r="S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115"/>
      <c r="N149" s="116"/>
      <c r="O149" s="116"/>
      <c r="P149" s="55"/>
      <c r="Q149" s="55"/>
      <c r="R149" s="55"/>
      <c r="S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115"/>
      <c r="N150" s="116"/>
      <c r="O150" s="116"/>
      <c r="P150" s="55"/>
      <c r="Q150" s="55"/>
      <c r="R150" s="55"/>
      <c r="S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115"/>
      <c r="N151" s="116"/>
      <c r="O151" s="116"/>
      <c r="P151" s="55"/>
      <c r="Q151" s="55"/>
      <c r="R151" s="55"/>
      <c r="S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115"/>
      <c r="N152" s="116"/>
      <c r="O152" s="116"/>
      <c r="P152" s="55"/>
      <c r="Q152" s="55"/>
      <c r="R152" s="55"/>
      <c r="S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115"/>
      <c r="N153" s="116"/>
      <c r="O153" s="116"/>
      <c r="P153" s="55"/>
      <c r="Q153" s="55"/>
      <c r="R153" s="55"/>
      <c r="S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115"/>
      <c r="N154" s="116"/>
      <c r="O154" s="116"/>
      <c r="P154" s="55"/>
      <c r="Q154" s="55"/>
      <c r="R154" s="55"/>
      <c r="S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115"/>
      <c r="N155" s="116"/>
      <c r="O155" s="116"/>
      <c r="P155" s="55"/>
      <c r="Q155" s="55"/>
      <c r="R155" s="55"/>
      <c r="S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115"/>
      <c r="N156" s="116"/>
      <c r="O156" s="116"/>
      <c r="P156" s="55"/>
      <c r="Q156" s="55"/>
      <c r="R156" s="55"/>
      <c r="S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115"/>
      <c r="N157" s="116"/>
      <c r="O157" s="116"/>
      <c r="P157" s="55"/>
      <c r="Q157" s="55"/>
      <c r="R157" s="55"/>
      <c r="S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115"/>
      <c r="N158" s="116"/>
      <c r="O158" s="116"/>
      <c r="P158" s="55"/>
      <c r="Q158" s="55"/>
      <c r="R158" s="55"/>
      <c r="S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115"/>
      <c r="N159" s="116"/>
      <c r="O159" s="116"/>
      <c r="P159" s="55"/>
      <c r="Q159" s="55"/>
      <c r="R159" s="55"/>
      <c r="S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115"/>
      <c r="N160" s="116"/>
      <c r="O160" s="116"/>
      <c r="P160" s="55"/>
      <c r="Q160" s="55"/>
      <c r="R160" s="55"/>
      <c r="S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115"/>
      <c r="N161" s="116"/>
      <c r="O161" s="116"/>
      <c r="P161" s="55"/>
      <c r="Q161" s="55"/>
      <c r="R161" s="55"/>
      <c r="S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115"/>
      <c r="N162" s="116"/>
      <c r="O162" s="116"/>
      <c r="P162" s="55"/>
      <c r="Q162" s="55"/>
      <c r="R162" s="55"/>
      <c r="S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115"/>
      <c r="N163" s="116"/>
      <c r="O163" s="116"/>
      <c r="P163" s="55"/>
      <c r="Q163" s="55"/>
      <c r="R163" s="55"/>
      <c r="S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115"/>
      <c r="N164" s="116"/>
      <c r="O164" s="116"/>
      <c r="P164" s="55"/>
      <c r="Q164" s="55"/>
      <c r="R164" s="55"/>
      <c r="S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115"/>
      <c r="N165" s="116"/>
      <c r="O165" s="116"/>
      <c r="P165" s="55"/>
      <c r="Q165" s="55"/>
      <c r="R165" s="55"/>
      <c r="S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115"/>
      <c r="N166" s="116"/>
      <c r="O166" s="116"/>
      <c r="P166" s="55"/>
      <c r="Q166" s="55"/>
      <c r="R166" s="55"/>
      <c r="S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115"/>
      <c r="N167" s="116"/>
      <c r="O167" s="116"/>
      <c r="P167" s="55"/>
      <c r="Q167" s="55"/>
      <c r="R167" s="55"/>
      <c r="S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115"/>
      <c r="N168" s="116"/>
      <c r="O168" s="116"/>
      <c r="P168" s="55"/>
      <c r="Q168" s="55"/>
      <c r="R168" s="55"/>
      <c r="S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115"/>
      <c r="N169" s="116"/>
      <c r="O169" s="116"/>
      <c r="P169" s="55"/>
      <c r="Q169" s="55"/>
      <c r="R169" s="55"/>
      <c r="S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115"/>
      <c r="N170" s="116"/>
      <c r="O170" s="116"/>
      <c r="P170" s="55"/>
      <c r="Q170" s="55"/>
      <c r="R170" s="55"/>
      <c r="S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115"/>
      <c r="N171" s="116"/>
      <c r="O171" s="116"/>
      <c r="P171" s="55"/>
      <c r="Q171" s="55"/>
      <c r="R171" s="55"/>
      <c r="S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115"/>
      <c r="N172" s="116"/>
      <c r="O172" s="116"/>
      <c r="P172" s="55"/>
      <c r="Q172" s="55"/>
      <c r="R172" s="55"/>
      <c r="S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115"/>
      <c r="N173" s="116"/>
      <c r="O173" s="116"/>
      <c r="P173" s="55"/>
      <c r="Q173" s="55"/>
      <c r="R173" s="55"/>
      <c r="S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115"/>
      <c r="N174" s="116"/>
      <c r="O174" s="116"/>
      <c r="P174" s="55"/>
      <c r="Q174" s="55"/>
      <c r="R174" s="55"/>
      <c r="S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115"/>
      <c r="N175" s="116"/>
      <c r="O175" s="116"/>
      <c r="P175" s="55"/>
      <c r="Q175" s="55"/>
      <c r="R175" s="55"/>
      <c r="S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115"/>
      <c r="N176" s="116"/>
      <c r="O176" s="116"/>
      <c r="P176" s="55"/>
      <c r="Q176" s="55"/>
      <c r="R176" s="55"/>
      <c r="S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115"/>
      <c r="N177" s="116"/>
      <c r="O177" s="116"/>
      <c r="P177" s="55"/>
      <c r="Q177" s="55"/>
      <c r="R177" s="55"/>
      <c r="S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115"/>
      <c r="N178" s="116"/>
      <c r="O178" s="116"/>
      <c r="P178" s="55"/>
      <c r="Q178" s="55"/>
      <c r="R178" s="55"/>
      <c r="S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115"/>
      <c r="N179" s="116"/>
      <c r="O179" s="116"/>
      <c r="P179" s="55"/>
      <c r="Q179" s="55"/>
      <c r="R179" s="55"/>
      <c r="S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115"/>
      <c r="N180" s="116"/>
      <c r="O180" s="116"/>
      <c r="P180" s="55"/>
      <c r="Q180" s="55"/>
      <c r="R180" s="55"/>
      <c r="S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115"/>
      <c r="N181" s="116"/>
      <c r="O181" s="116"/>
      <c r="P181" s="55"/>
      <c r="Q181" s="55"/>
      <c r="R181" s="55"/>
      <c r="S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115"/>
      <c r="N182" s="116"/>
      <c r="O182" s="116"/>
      <c r="P182" s="55"/>
      <c r="Q182" s="55"/>
      <c r="R182" s="55"/>
      <c r="S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115"/>
      <c r="N183" s="116"/>
      <c r="O183" s="116"/>
      <c r="P183" s="55"/>
      <c r="Q183" s="55"/>
      <c r="R183" s="55"/>
      <c r="S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115"/>
      <c r="N184" s="116"/>
      <c r="O184" s="116"/>
      <c r="P184" s="55"/>
      <c r="Q184" s="55"/>
      <c r="R184" s="55"/>
      <c r="S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115"/>
      <c r="N185" s="116"/>
      <c r="O185" s="116"/>
      <c r="P185" s="55"/>
      <c r="Q185" s="55"/>
      <c r="R185" s="55"/>
      <c r="S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115"/>
      <c r="N186" s="116"/>
      <c r="O186" s="116"/>
      <c r="P186" s="55"/>
      <c r="Q186" s="55"/>
      <c r="R186" s="55"/>
      <c r="S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115"/>
      <c r="N187" s="116"/>
      <c r="O187" s="116"/>
      <c r="P187" s="55"/>
      <c r="Q187" s="55"/>
      <c r="R187" s="55"/>
      <c r="S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115"/>
      <c r="N188" s="116"/>
      <c r="O188" s="116"/>
      <c r="P188" s="55"/>
      <c r="Q188" s="55"/>
      <c r="R188" s="55"/>
      <c r="S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115"/>
      <c r="N189" s="116"/>
      <c r="O189" s="116"/>
      <c r="P189" s="55"/>
      <c r="Q189" s="55"/>
      <c r="R189" s="55"/>
      <c r="S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115"/>
      <c r="N190" s="116"/>
      <c r="O190" s="116"/>
      <c r="P190" s="55"/>
      <c r="Q190" s="55"/>
      <c r="R190" s="55"/>
      <c r="S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115"/>
      <c r="N191" s="116"/>
      <c r="O191" s="116"/>
      <c r="P191" s="55"/>
      <c r="Q191" s="55"/>
      <c r="R191" s="55"/>
      <c r="S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115"/>
      <c r="N192" s="116"/>
      <c r="O192" s="116"/>
      <c r="P192" s="55"/>
      <c r="Q192" s="55"/>
      <c r="R192" s="55"/>
      <c r="S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115"/>
      <c r="N193" s="116"/>
      <c r="O193" s="116"/>
      <c r="P193" s="55"/>
      <c r="Q193" s="55"/>
      <c r="R193" s="55"/>
      <c r="S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115"/>
      <c r="N194" s="116"/>
      <c r="O194" s="116"/>
      <c r="P194" s="55"/>
      <c r="Q194" s="55"/>
      <c r="R194" s="55"/>
      <c r="S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115"/>
      <c r="N195" s="116"/>
      <c r="O195" s="116"/>
      <c r="P195" s="55"/>
      <c r="Q195" s="55"/>
      <c r="R195" s="55"/>
      <c r="S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115"/>
      <c r="N196" s="116"/>
      <c r="O196" s="116"/>
      <c r="P196" s="55"/>
      <c r="Q196" s="55"/>
      <c r="R196" s="55"/>
      <c r="S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115"/>
      <c r="N197" s="116"/>
      <c r="O197" s="116"/>
      <c r="P197" s="55"/>
      <c r="Q197" s="55"/>
      <c r="R197" s="55"/>
      <c r="S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115"/>
      <c r="N198" s="116"/>
      <c r="O198" s="116"/>
      <c r="P198" s="55"/>
      <c r="Q198" s="55"/>
      <c r="R198" s="55"/>
      <c r="S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115"/>
      <c r="N199" s="116"/>
      <c r="O199" s="116"/>
      <c r="P199" s="55"/>
      <c r="Q199" s="55"/>
      <c r="R199" s="55"/>
      <c r="S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115"/>
      <c r="N200" s="116"/>
      <c r="O200" s="116"/>
      <c r="P200" s="55"/>
      <c r="Q200" s="55"/>
      <c r="R200" s="55"/>
      <c r="S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115"/>
      <c r="N201" s="116"/>
      <c r="O201" s="116"/>
      <c r="P201" s="55"/>
      <c r="Q201" s="55"/>
      <c r="R201" s="55"/>
      <c r="S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115"/>
      <c r="N202" s="116"/>
      <c r="O202" s="116"/>
      <c r="P202" s="55"/>
      <c r="Q202" s="55"/>
      <c r="R202" s="55"/>
      <c r="S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115"/>
      <c r="N203" s="116"/>
      <c r="O203" s="116"/>
      <c r="P203" s="55"/>
      <c r="Q203" s="55"/>
      <c r="R203" s="55"/>
      <c r="S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115"/>
      <c r="N204" s="116"/>
      <c r="O204" s="116"/>
      <c r="P204" s="55"/>
      <c r="Q204" s="55"/>
      <c r="R204" s="55"/>
      <c r="S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115"/>
      <c r="N205" s="116"/>
      <c r="O205" s="116"/>
      <c r="P205" s="55"/>
      <c r="Q205" s="55"/>
      <c r="R205" s="55"/>
      <c r="S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115"/>
      <c r="N206" s="116"/>
      <c r="O206" s="116"/>
      <c r="P206" s="55"/>
      <c r="Q206" s="55"/>
      <c r="R206" s="55"/>
      <c r="S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115"/>
      <c r="N207" s="116"/>
      <c r="O207" s="116"/>
      <c r="P207" s="55"/>
      <c r="Q207" s="55"/>
      <c r="R207" s="55"/>
      <c r="S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115"/>
      <c r="N208" s="116"/>
      <c r="O208" s="116"/>
      <c r="P208" s="55"/>
      <c r="Q208" s="55"/>
      <c r="R208" s="55"/>
      <c r="S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115"/>
      <c r="N209" s="116"/>
      <c r="O209" s="116"/>
      <c r="P209" s="55"/>
      <c r="Q209" s="55"/>
      <c r="R209" s="55"/>
      <c r="S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115"/>
      <c r="N210" s="116"/>
      <c r="O210" s="116"/>
      <c r="P210" s="55"/>
      <c r="Q210" s="55"/>
      <c r="R210" s="55"/>
      <c r="S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115"/>
      <c r="N211" s="116"/>
      <c r="O211" s="116"/>
      <c r="P211" s="55"/>
      <c r="Q211" s="55"/>
      <c r="R211" s="55"/>
      <c r="S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115"/>
      <c r="N212" s="116"/>
      <c r="O212" s="116"/>
      <c r="P212" s="55"/>
      <c r="Q212" s="55"/>
      <c r="R212" s="55"/>
      <c r="S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115"/>
      <c r="N213" s="116"/>
      <c r="O213" s="116"/>
      <c r="P213" s="55"/>
      <c r="Q213" s="55"/>
      <c r="R213" s="55"/>
      <c r="S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115"/>
      <c r="N214" s="116"/>
      <c r="O214" s="116"/>
      <c r="P214" s="55"/>
      <c r="Q214" s="55"/>
      <c r="R214" s="55"/>
      <c r="S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115"/>
      <c r="N215" s="116"/>
      <c r="O215" s="116"/>
      <c r="P215" s="55"/>
      <c r="Q215" s="55"/>
      <c r="R215" s="55"/>
      <c r="S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115"/>
      <c r="N216" s="116"/>
      <c r="O216" s="116"/>
      <c r="P216" s="55"/>
      <c r="Q216" s="55"/>
      <c r="R216" s="55"/>
      <c r="S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115"/>
      <c r="N217" s="116"/>
      <c r="O217" s="116"/>
      <c r="P217" s="55"/>
      <c r="Q217" s="55"/>
      <c r="R217" s="55"/>
      <c r="S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115"/>
      <c r="N218" s="116"/>
      <c r="O218" s="116"/>
      <c r="P218" s="55"/>
      <c r="Q218" s="55"/>
      <c r="R218" s="55"/>
      <c r="S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115"/>
      <c r="N219" s="116"/>
      <c r="O219" s="116"/>
      <c r="P219" s="55"/>
      <c r="Q219" s="55"/>
      <c r="R219" s="55"/>
      <c r="S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115"/>
      <c r="N220" s="116"/>
      <c r="O220" s="116"/>
      <c r="P220" s="55"/>
      <c r="Q220" s="55"/>
      <c r="R220" s="55"/>
      <c r="S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115"/>
      <c r="N221" s="116"/>
      <c r="O221" s="116"/>
      <c r="P221" s="55"/>
      <c r="Q221" s="55"/>
      <c r="R221" s="55"/>
      <c r="S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115"/>
      <c r="N222" s="116"/>
      <c r="O222" s="116"/>
      <c r="P222" s="55"/>
      <c r="Q222" s="55"/>
      <c r="R222" s="55"/>
      <c r="S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115"/>
      <c r="N223" s="116"/>
      <c r="O223" s="116"/>
      <c r="P223" s="55"/>
      <c r="Q223" s="55"/>
      <c r="R223" s="55"/>
      <c r="S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115"/>
      <c r="N224" s="116"/>
      <c r="O224" s="116"/>
      <c r="P224" s="55"/>
      <c r="Q224" s="55"/>
      <c r="R224" s="55"/>
      <c r="S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115"/>
      <c r="N225" s="116"/>
      <c r="O225" s="116"/>
      <c r="P225" s="55"/>
      <c r="Q225" s="55"/>
      <c r="R225" s="55"/>
      <c r="S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115"/>
      <c r="N226" s="116"/>
      <c r="O226" s="116"/>
      <c r="P226" s="55"/>
      <c r="Q226" s="55"/>
      <c r="R226" s="55"/>
      <c r="S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115"/>
      <c r="N227" s="116"/>
      <c r="O227" s="116"/>
      <c r="P227" s="55"/>
      <c r="Q227" s="55"/>
      <c r="R227" s="55"/>
      <c r="S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115"/>
      <c r="N228" s="116"/>
      <c r="O228" s="116"/>
      <c r="P228" s="55"/>
      <c r="Q228" s="55"/>
      <c r="R228" s="55"/>
      <c r="S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115"/>
      <c r="N229" s="116"/>
      <c r="O229" s="116"/>
      <c r="P229" s="55"/>
      <c r="Q229" s="55"/>
      <c r="R229" s="55"/>
      <c r="S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115"/>
      <c r="N230" s="116"/>
      <c r="O230" s="116"/>
      <c r="P230" s="55"/>
      <c r="Q230" s="55"/>
      <c r="R230" s="55"/>
      <c r="S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115"/>
      <c r="N231" s="116"/>
      <c r="O231" s="116"/>
      <c r="P231" s="55"/>
      <c r="Q231" s="55"/>
      <c r="R231" s="55"/>
      <c r="S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115"/>
      <c r="N232" s="116"/>
      <c r="O232" s="116"/>
      <c r="P232" s="55"/>
      <c r="Q232" s="55"/>
      <c r="R232" s="55"/>
      <c r="S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115"/>
      <c r="N233" s="116"/>
      <c r="O233" s="116"/>
      <c r="P233" s="55"/>
      <c r="Q233" s="55"/>
      <c r="R233" s="55"/>
      <c r="S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115"/>
      <c r="N234" s="116"/>
      <c r="O234" s="116"/>
      <c r="P234" s="55"/>
      <c r="Q234" s="55"/>
      <c r="R234" s="55"/>
      <c r="S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115"/>
      <c r="N235" s="116"/>
      <c r="O235" s="116"/>
      <c r="P235" s="55"/>
      <c r="Q235" s="55"/>
      <c r="R235" s="55"/>
      <c r="S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115"/>
      <c r="N236" s="116"/>
      <c r="O236" s="116"/>
      <c r="P236" s="55"/>
      <c r="Q236" s="55"/>
      <c r="R236" s="55"/>
      <c r="S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115"/>
      <c r="N237" s="116"/>
      <c r="O237" s="116"/>
      <c r="P237" s="55"/>
      <c r="Q237" s="55"/>
      <c r="R237" s="55"/>
      <c r="S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115"/>
      <c r="N238" s="116"/>
      <c r="O238" s="116"/>
      <c r="P238" s="55"/>
      <c r="Q238" s="55"/>
      <c r="R238" s="55"/>
      <c r="S238" s="55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0:F10"/>
    <mergeCell ref="A11:P11"/>
    <mergeCell ref="A12:F12"/>
    <mergeCell ref="G12:P12"/>
    <mergeCell ref="G13:H13"/>
    <mergeCell ref="I13:J13"/>
    <mergeCell ref="O13:P13"/>
    <mergeCell ref="A13:F13"/>
    <mergeCell ref="A14:F14"/>
    <mergeCell ref="G14:H14"/>
    <mergeCell ref="I14:J14"/>
    <mergeCell ref="K14:L14"/>
    <mergeCell ref="M14:N14"/>
    <mergeCell ref="O14:P14"/>
    <mergeCell ref="A19:F19"/>
    <mergeCell ref="A20:F20"/>
    <mergeCell ref="A21:F21"/>
    <mergeCell ref="A22:F22"/>
    <mergeCell ref="A23:F23"/>
    <mergeCell ref="A24:F24"/>
    <mergeCell ref="A25:F25"/>
    <mergeCell ref="I31:J31"/>
    <mergeCell ref="K31:L31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26:F26"/>
    <mergeCell ref="A27:F27"/>
    <mergeCell ref="A28:F28"/>
    <mergeCell ref="A29:F29"/>
    <mergeCell ref="A30:F30"/>
    <mergeCell ref="A31:F31"/>
    <mergeCell ref="G31:H31"/>
    <mergeCell ref="A34:F36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  <mergeCell ref="K13:L13"/>
    <mergeCell ref="M13:N13"/>
    <mergeCell ref="A15:F15"/>
    <mergeCell ref="G15:H15"/>
    <mergeCell ref="I15:J15"/>
    <mergeCell ref="K15:L15"/>
    <mergeCell ref="M15:N15"/>
    <mergeCell ref="O15:P15"/>
    <mergeCell ref="A16:F18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5.43"/>
    <col customWidth="1" min="7" max="7" width="14.86"/>
    <col customWidth="1" min="8" max="8" width="5.71"/>
    <col customWidth="1" min="9" max="9" width="2.0"/>
    <col customWidth="1" min="10" max="10" width="2.57"/>
    <col customWidth="1" min="11" max="11" width="12.0"/>
    <col customWidth="1" min="12" max="12" width="11.0"/>
    <col customWidth="1" min="13" max="13" width="10.0"/>
    <col customWidth="1" min="14" max="14" width="12.57"/>
    <col customWidth="1" min="15" max="15" width="2.86"/>
    <col customWidth="1" min="16" max="16" width="16.71"/>
    <col customWidth="1" min="17" max="17" width="19.0"/>
  </cols>
  <sheetData>
    <row r="1" ht="15.0" customHeight="1">
      <c r="A1" s="60" t="s">
        <v>89</v>
      </c>
      <c r="B1" s="46"/>
      <c r="C1" s="117"/>
      <c r="D1" s="60" t="s">
        <v>0</v>
      </c>
      <c r="E1" s="46"/>
      <c r="F1" s="46"/>
      <c r="G1" s="46"/>
      <c r="H1" s="46"/>
      <c r="I1" s="46"/>
      <c r="J1" s="46"/>
      <c r="K1" s="46"/>
      <c r="L1" s="117"/>
      <c r="M1" s="118" t="s">
        <v>1</v>
      </c>
      <c r="N1" s="119"/>
      <c r="O1" s="118" t="s">
        <v>90</v>
      </c>
      <c r="P1" s="120"/>
    </row>
    <row r="2" ht="15.0" customHeight="1">
      <c r="A2" s="64"/>
      <c r="C2" s="69"/>
      <c r="D2" s="121"/>
      <c r="E2" s="113"/>
      <c r="F2" s="113"/>
      <c r="G2" s="113"/>
      <c r="H2" s="113"/>
      <c r="I2" s="113"/>
      <c r="J2" s="113"/>
      <c r="K2" s="113"/>
      <c r="L2" s="114"/>
      <c r="M2" s="118" t="s">
        <v>3</v>
      </c>
      <c r="N2" s="120"/>
      <c r="O2" s="122">
        <v>1.0</v>
      </c>
      <c r="P2" s="69"/>
    </row>
    <row r="3" ht="15.75" customHeight="1">
      <c r="A3" s="64"/>
      <c r="C3" s="69"/>
      <c r="D3" s="21" t="s">
        <v>91</v>
      </c>
      <c r="L3" s="69"/>
      <c r="M3" s="123" t="s">
        <v>5</v>
      </c>
      <c r="N3" s="69"/>
      <c r="O3" s="124" t="s">
        <v>6</v>
      </c>
      <c r="P3" s="120"/>
      <c r="Q3" s="55"/>
    </row>
    <row r="4" ht="15.75" customHeight="1">
      <c r="A4" s="64"/>
      <c r="C4" s="69"/>
      <c r="L4" s="69"/>
      <c r="M4" s="60" t="s">
        <v>7</v>
      </c>
      <c r="N4" s="117"/>
      <c r="O4" s="17" t="s">
        <v>8</v>
      </c>
      <c r="P4" s="66"/>
      <c r="Q4" s="55"/>
    </row>
    <row r="5" ht="15.75" customHeight="1">
      <c r="A5" s="121"/>
      <c r="B5" s="113"/>
      <c r="C5" s="114"/>
      <c r="D5" s="113"/>
      <c r="E5" s="113"/>
      <c r="F5" s="113"/>
      <c r="G5" s="113"/>
      <c r="H5" s="113"/>
      <c r="I5" s="113"/>
      <c r="J5" s="113"/>
      <c r="K5" s="113"/>
      <c r="L5" s="114"/>
      <c r="M5" s="121"/>
      <c r="N5" s="114"/>
      <c r="O5" s="18" t="s">
        <v>9</v>
      </c>
      <c r="P5" s="66"/>
      <c r="Q5" s="55"/>
    </row>
    <row r="6" ht="12.0" customHeight="1">
      <c r="A6" s="125"/>
      <c r="P6" s="69"/>
      <c r="Q6" s="55"/>
    </row>
    <row r="7" ht="26.25" customHeight="1">
      <c r="A7" s="126" t="s">
        <v>92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117"/>
      <c r="Q7" s="55"/>
    </row>
    <row r="8" ht="26.25" customHeight="1">
      <c r="A8" s="121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4"/>
      <c r="Q8" s="55"/>
    </row>
    <row r="9" ht="36.0" customHeight="1">
      <c r="A9" s="127" t="s">
        <v>10</v>
      </c>
      <c r="B9" s="40"/>
      <c r="C9" s="40"/>
      <c r="D9" s="40"/>
      <c r="E9" s="40"/>
      <c r="F9" s="41"/>
      <c r="G9" s="25" t="str">
        <f>'DESPEJE DE LINEA'!G7</f>
        <v>SUERO DE NIACINAMIDA 5%</v>
      </c>
      <c r="H9" s="24"/>
      <c r="I9" s="24"/>
      <c r="J9" s="24"/>
      <c r="K9" s="24"/>
      <c r="L9" s="24"/>
      <c r="M9" s="24"/>
      <c r="N9" s="24"/>
      <c r="O9" s="24"/>
      <c r="P9" s="66"/>
      <c r="Q9" s="55"/>
    </row>
    <row r="10" ht="36.0" customHeight="1">
      <c r="A10" s="70" t="s">
        <v>21</v>
      </c>
      <c r="B10" s="24"/>
      <c r="C10" s="24"/>
      <c r="D10" s="24"/>
      <c r="E10" s="24"/>
      <c r="F10" s="5"/>
      <c r="G10" s="25" t="str">
        <f>'DESPEJE DE LINEA'!G8</f>
        <v>NSOC33886-24CO</v>
      </c>
      <c r="H10" s="24"/>
      <c r="I10" s="24"/>
      <c r="J10" s="5"/>
      <c r="K10" s="23" t="s">
        <v>55</v>
      </c>
      <c r="L10" s="5"/>
      <c r="M10" s="128" t="str">
        <f>'DESPEJE DE LINEA'!N8</f>
        <v>252111</v>
      </c>
      <c r="N10" s="32" t="s">
        <v>59</v>
      </c>
      <c r="O10" s="5"/>
      <c r="P10" s="129"/>
      <c r="Q10" s="55"/>
    </row>
    <row r="11" ht="36.0" customHeight="1">
      <c r="A11" s="70" t="s">
        <v>56</v>
      </c>
      <c r="B11" s="24"/>
      <c r="C11" s="24"/>
      <c r="D11" s="24"/>
      <c r="E11" s="24"/>
      <c r="F11" s="5"/>
      <c r="G11" s="74" t="str">
        <f>'DESPEJE DE LINEA'!G9</f>
        <v>SOLUCION</v>
      </c>
      <c r="H11" s="30"/>
      <c r="I11" s="30"/>
      <c r="J11" s="31"/>
      <c r="K11" s="130" t="s">
        <v>93</v>
      </c>
      <c r="L11" s="82"/>
      <c r="M11" s="131" t="str">
        <f>'DESPEJE DE LINEA'!N9</f>
        <v>OP-L-099</v>
      </c>
      <c r="N11" s="32" t="s">
        <v>94</v>
      </c>
      <c r="O11" s="5"/>
      <c r="P11" s="132"/>
      <c r="Q11" s="55"/>
    </row>
    <row r="12" ht="36.0" customHeight="1">
      <c r="A12" s="133" t="s">
        <v>95</v>
      </c>
      <c r="B12" s="30"/>
      <c r="C12" s="30"/>
      <c r="D12" s="30"/>
      <c r="E12" s="30"/>
      <c r="F12" s="31"/>
      <c r="G12" s="134"/>
      <c r="H12" s="30"/>
      <c r="I12" s="30"/>
      <c r="J12" s="31"/>
      <c r="K12" s="36" t="s">
        <v>96</v>
      </c>
      <c r="L12" s="31"/>
      <c r="M12" s="135"/>
      <c r="N12" s="36" t="s">
        <v>58</v>
      </c>
      <c r="O12" s="31"/>
      <c r="P12" s="136">
        <v>90.0</v>
      </c>
      <c r="Q12" s="55"/>
    </row>
    <row r="13" ht="12.0" customHeight="1">
      <c r="A13" s="137" t="s">
        <v>97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20"/>
      <c r="Q13" s="55"/>
    </row>
    <row r="14" ht="42.75" customHeight="1">
      <c r="A14" s="139" t="s">
        <v>98</v>
      </c>
      <c r="B14" s="140" t="s">
        <v>99</v>
      </c>
      <c r="C14" s="40"/>
      <c r="D14" s="40"/>
      <c r="E14" s="40"/>
      <c r="F14" s="41"/>
      <c r="G14" s="140" t="s">
        <v>100</v>
      </c>
      <c r="H14" s="40"/>
      <c r="I14" s="41"/>
      <c r="J14" s="140" t="s">
        <v>12</v>
      </c>
      <c r="K14" s="40"/>
      <c r="L14" s="41"/>
      <c r="M14" s="141" t="s">
        <v>101</v>
      </c>
      <c r="N14" s="140" t="s">
        <v>102</v>
      </c>
      <c r="O14" s="40"/>
      <c r="P14" s="63"/>
      <c r="Q14" s="55"/>
    </row>
    <row r="15" ht="16.5" customHeight="1">
      <c r="A15" s="142">
        <v>1.0</v>
      </c>
      <c r="B15" s="143" t="s">
        <v>103</v>
      </c>
      <c r="C15" s="11"/>
      <c r="D15" s="11"/>
      <c r="E15" s="11"/>
      <c r="F15" s="12"/>
      <c r="G15" s="144" t="s">
        <v>104</v>
      </c>
      <c r="H15" s="24"/>
      <c r="I15" s="5"/>
      <c r="J15" s="144" t="s">
        <v>105</v>
      </c>
      <c r="K15" s="24"/>
      <c r="L15" s="5"/>
      <c r="M15" s="145">
        <v>91.43</v>
      </c>
      <c r="N15" s="146">
        <f t="shared" ref="N15:N32" si="1">(+$P$12*M15/100)*1000</f>
        <v>82287</v>
      </c>
      <c r="O15" s="24"/>
      <c r="P15" s="66"/>
      <c r="Q15" s="147"/>
      <c r="V15" s="148"/>
      <c r="Y15" s="148"/>
    </row>
    <row r="16" ht="16.5" customHeight="1">
      <c r="A16" s="142">
        <v>2.0</v>
      </c>
      <c r="B16" s="149" t="s">
        <v>106</v>
      </c>
      <c r="C16" s="24"/>
      <c r="D16" s="24"/>
      <c r="E16" s="24"/>
      <c r="F16" s="5"/>
      <c r="G16" s="150" t="s">
        <v>107</v>
      </c>
      <c r="H16" s="24"/>
      <c r="I16" s="5"/>
      <c r="J16" s="144" t="s">
        <v>108</v>
      </c>
      <c r="K16" s="24"/>
      <c r="L16" s="5"/>
      <c r="M16" s="151">
        <v>5.0</v>
      </c>
      <c r="N16" s="146">
        <f t="shared" si="1"/>
        <v>4500</v>
      </c>
      <c r="O16" s="24"/>
      <c r="P16" s="66"/>
      <c r="Q16" s="147"/>
      <c r="V16" s="152"/>
      <c r="Y16" s="148"/>
    </row>
    <row r="17" ht="16.5" customHeight="1">
      <c r="A17" s="142">
        <v>3.0</v>
      </c>
      <c r="B17" s="149" t="s">
        <v>109</v>
      </c>
      <c r="C17" s="24"/>
      <c r="D17" s="24"/>
      <c r="E17" s="24"/>
      <c r="F17" s="5"/>
      <c r="G17" s="144" t="s">
        <v>110</v>
      </c>
      <c r="H17" s="24"/>
      <c r="I17" s="5"/>
      <c r="J17" s="144">
        <v>2.50127005E8</v>
      </c>
      <c r="K17" s="24"/>
      <c r="L17" s="5"/>
      <c r="M17" s="153">
        <v>1.0</v>
      </c>
      <c r="N17" s="146">
        <f t="shared" si="1"/>
        <v>900</v>
      </c>
      <c r="O17" s="24"/>
      <c r="P17" s="66"/>
      <c r="Q17" s="147"/>
      <c r="V17" s="152"/>
      <c r="Y17" s="148"/>
    </row>
    <row r="18" ht="16.5" customHeight="1">
      <c r="A18" s="142">
        <v>4.0</v>
      </c>
      <c r="B18" s="149" t="s">
        <v>111</v>
      </c>
      <c r="C18" s="24"/>
      <c r="D18" s="24"/>
      <c r="E18" s="24"/>
      <c r="F18" s="5"/>
      <c r="G18" s="144" t="s">
        <v>112</v>
      </c>
      <c r="H18" s="24"/>
      <c r="I18" s="5"/>
      <c r="J18" s="144" t="s">
        <v>113</v>
      </c>
      <c r="K18" s="24"/>
      <c r="L18" s="5"/>
      <c r="M18" s="153">
        <v>0.5</v>
      </c>
      <c r="N18" s="146">
        <f t="shared" si="1"/>
        <v>450</v>
      </c>
      <c r="O18" s="24"/>
      <c r="P18" s="66"/>
      <c r="Q18" s="147"/>
      <c r="V18" s="152"/>
      <c r="Y18" s="148"/>
    </row>
    <row r="19" ht="16.5" customHeight="1">
      <c r="A19" s="142">
        <v>5.0</v>
      </c>
      <c r="B19" s="149" t="s">
        <v>114</v>
      </c>
      <c r="C19" s="24"/>
      <c r="D19" s="24"/>
      <c r="E19" s="24"/>
      <c r="F19" s="5"/>
      <c r="G19" s="144" t="s">
        <v>115</v>
      </c>
      <c r="H19" s="24"/>
      <c r="I19" s="5"/>
      <c r="J19" s="144" t="s">
        <v>116</v>
      </c>
      <c r="K19" s="24"/>
      <c r="L19" s="5"/>
      <c r="M19" s="153">
        <v>0.3</v>
      </c>
      <c r="N19" s="146">
        <f t="shared" si="1"/>
        <v>270</v>
      </c>
      <c r="O19" s="24"/>
      <c r="P19" s="66"/>
      <c r="Q19" s="147"/>
      <c r="V19" s="152"/>
      <c r="Y19" s="148"/>
    </row>
    <row r="20" ht="16.5" customHeight="1">
      <c r="A20" s="142">
        <v>6.0</v>
      </c>
      <c r="B20" s="149" t="s">
        <v>117</v>
      </c>
      <c r="C20" s="24"/>
      <c r="D20" s="24"/>
      <c r="E20" s="24"/>
      <c r="F20" s="5"/>
      <c r="G20" s="150" t="s">
        <v>118</v>
      </c>
      <c r="H20" s="24"/>
      <c r="I20" s="5"/>
      <c r="J20" s="144" t="s">
        <v>119</v>
      </c>
      <c r="K20" s="24"/>
      <c r="L20" s="5"/>
      <c r="M20" s="153">
        <v>0.35</v>
      </c>
      <c r="N20" s="146">
        <f t="shared" si="1"/>
        <v>315</v>
      </c>
      <c r="O20" s="24"/>
      <c r="P20" s="66"/>
      <c r="Q20" s="154"/>
      <c r="V20" s="152"/>
      <c r="Y20" s="148"/>
    </row>
    <row r="21" ht="16.5" customHeight="1">
      <c r="A21" s="155">
        <v>7.0</v>
      </c>
      <c r="B21" s="149" t="s">
        <v>120</v>
      </c>
      <c r="C21" s="24"/>
      <c r="D21" s="24"/>
      <c r="E21" s="24"/>
      <c r="F21" s="5"/>
      <c r="G21" s="150" t="s">
        <v>121</v>
      </c>
      <c r="H21" s="24"/>
      <c r="I21" s="5"/>
      <c r="J21" s="144" t="s">
        <v>119</v>
      </c>
      <c r="K21" s="24"/>
      <c r="L21" s="5"/>
      <c r="M21" s="153">
        <v>0.05</v>
      </c>
      <c r="N21" s="146">
        <f t="shared" si="1"/>
        <v>45</v>
      </c>
      <c r="O21" s="24"/>
      <c r="P21" s="66"/>
      <c r="Q21" s="154"/>
      <c r="R21" s="154"/>
      <c r="S21" s="154"/>
      <c r="T21" s="154"/>
      <c r="U21" s="154"/>
      <c r="V21" s="152"/>
      <c r="W21" s="152"/>
      <c r="X21" s="152"/>
      <c r="Y21" s="148"/>
      <c r="Z21" s="148"/>
      <c r="AA21" s="148"/>
    </row>
    <row r="22" ht="16.5" customHeight="1">
      <c r="A22" s="155">
        <v>8.0</v>
      </c>
      <c r="B22" s="149" t="s">
        <v>122</v>
      </c>
      <c r="C22" s="24"/>
      <c r="D22" s="24"/>
      <c r="E22" s="24"/>
      <c r="F22" s="5"/>
      <c r="G22" s="150" t="s">
        <v>123</v>
      </c>
      <c r="H22" s="24"/>
      <c r="I22" s="5"/>
      <c r="J22" s="144" t="s">
        <v>124</v>
      </c>
      <c r="K22" s="24"/>
      <c r="L22" s="5"/>
      <c r="M22" s="153">
        <v>0.05</v>
      </c>
      <c r="N22" s="146">
        <f t="shared" si="1"/>
        <v>45</v>
      </c>
      <c r="O22" s="24"/>
      <c r="P22" s="66"/>
      <c r="Q22" s="154"/>
      <c r="R22" s="154"/>
      <c r="S22" s="154"/>
      <c r="T22" s="154"/>
      <c r="U22" s="154"/>
      <c r="V22" s="152"/>
      <c r="W22" s="152"/>
      <c r="X22" s="152"/>
      <c r="Y22" s="148"/>
      <c r="Z22" s="148"/>
      <c r="AA22" s="148"/>
    </row>
    <row r="23" ht="15.0" customHeight="1">
      <c r="A23" s="155">
        <v>9.0</v>
      </c>
      <c r="B23" s="149" t="s">
        <v>125</v>
      </c>
      <c r="C23" s="24"/>
      <c r="D23" s="24"/>
      <c r="E23" s="24"/>
      <c r="F23" s="5"/>
      <c r="G23" s="144" t="s">
        <v>126</v>
      </c>
      <c r="H23" s="24"/>
      <c r="I23" s="5"/>
      <c r="J23" s="144" t="s">
        <v>127</v>
      </c>
      <c r="K23" s="24"/>
      <c r="L23" s="5"/>
      <c r="M23" s="153">
        <v>0.05</v>
      </c>
      <c r="N23" s="146">
        <f t="shared" si="1"/>
        <v>45</v>
      </c>
      <c r="O23" s="24"/>
      <c r="P23" s="66"/>
      <c r="Q23" s="147"/>
      <c r="V23" s="152"/>
      <c r="Y23" s="148"/>
    </row>
    <row r="24" ht="15.0" customHeight="1">
      <c r="A24" s="155">
        <v>10.0</v>
      </c>
      <c r="B24" s="149" t="s">
        <v>128</v>
      </c>
      <c r="C24" s="24"/>
      <c r="D24" s="24"/>
      <c r="E24" s="24"/>
      <c r="F24" s="5"/>
      <c r="G24" s="144" t="s">
        <v>129</v>
      </c>
      <c r="H24" s="24"/>
      <c r="I24" s="5"/>
      <c r="J24" s="144" t="s">
        <v>130</v>
      </c>
      <c r="K24" s="24"/>
      <c r="L24" s="5"/>
      <c r="M24" s="153">
        <v>0.1</v>
      </c>
      <c r="N24" s="146">
        <f t="shared" si="1"/>
        <v>90</v>
      </c>
      <c r="O24" s="24"/>
      <c r="P24" s="66"/>
      <c r="Q24" s="147"/>
      <c r="V24" s="152"/>
      <c r="Y24" s="148"/>
    </row>
    <row r="25" ht="15.0" customHeight="1">
      <c r="A25" s="155">
        <v>11.0</v>
      </c>
      <c r="B25" s="149" t="s">
        <v>131</v>
      </c>
      <c r="C25" s="24"/>
      <c r="D25" s="24"/>
      <c r="E25" s="24"/>
      <c r="F25" s="5"/>
      <c r="G25" s="150" t="s">
        <v>132</v>
      </c>
      <c r="H25" s="24"/>
      <c r="I25" s="5"/>
      <c r="J25" s="144" t="s">
        <v>133</v>
      </c>
      <c r="K25" s="24"/>
      <c r="L25" s="5"/>
      <c r="M25" s="153">
        <v>0.05</v>
      </c>
      <c r="N25" s="146">
        <f t="shared" si="1"/>
        <v>45</v>
      </c>
      <c r="O25" s="24"/>
      <c r="P25" s="66"/>
      <c r="Q25" s="147"/>
      <c r="V25" s="152"/>
      <c r="Y25" s="148"/>
    </row>
    <row r="26" ht="15.0" customHeight="1">
      <c r="A26" s="155">
        <v>12.0</v>
      </c>
      <c r="B26" s="149" t="s">
        <v>134</v>
      </c>
      <c r="C26" s="24"/>
      <c r="D26" s="24"/>
      <c r="E26" s="24"/>
      <c r="F26" s="5"/>
      <c r="G26" s="150" t="s">
        <v>135</v>
      </c>
      <c r="H26" s="24"/>
      <c r="I26" s="5"/>
      <c r="J26" s="144">
        <v>2.0240217E7</v>
      </c>
      <c r="K26" s="24"/>
      <c r="L26" s="5"/>
      <c r="M26" s="153">
        <v>0.15</v>
      </c>
      <c r="N26" s="146">
        <f t="shared" si="1"/>
        <v>135</v>
      </c>
      <c r="O26" s="24"/>
      <c r="P26" s="66"/>
      <c r="Q26" s="147"/>
      <c r="V26" s="152"/>
      <c r="Y26" s="148"/>
    </row>
    <row r="27" ht="15.0" customHeight="1">
      <c r="A27" s="155">
        <v>13.0</v>
      </c>
      <c r="B27" s="149" t="s">
        <v>136</v>
      </c>
      <c r="C27" s="24"/>
      <c r="D27" s="24"/>
      <c r="E27" s="24"/>
      <c r="F27" s="5"/>
      <c r="G27" s="144" t="s">
        <v>137</v>
      </c>
      <c r="H27" s="24"/>
      <c r="I27" s="5"/>
      <c r="J27" s="144" t="s">
        <v>130</v>
      </c>
      <c r="K27" s="24"/>
      <c r="L27" s="5"/>
      <c r="M27" s="153">
        <v>0.01</v>
      </c>
      <c r="N27" s="146">
        <f t="shared" si="1"/>
        <v>9</v>
      </c>
      <c r="O27" s="24"/>
      <c r="P27" s="66"/>
      <c r="Q27" s="154"/>
      <c r="V27" s="152"/>
      <c r="Y27" s="148"/>
    </row>
    <row r="28" ht="15.0" customHeight="1">
      <c r="A28" s="155">
        <v>14.0</v>
      </c>
      <c r="B28" s="149" t="s">
        <v>138</v>
      </c>
      <c r="C28" s="24"/>
      <c r="D28" s="24"/>
      <c r="E28" s="24"/>
      <c r="F28" s="5"/>
      <c r="G28" s="144" t="s">
        <v>139</v>
      </c>
      <c r="H28" s="24"/>
      <c r="I28" s="5"/>
      <c r="J28" s="144" t="s">
        <v>140</v>
      </c>
      <c r="K28" s="24"/>
      <c r="L28" s="5"/>
      <c r="M28" s="153">
        <v>0.01</v>
      </c>
      <c r="N28" s="146">
        <f t="shared" si="1"/>
        <v>9</v>
      </c>
      <c r="O28" s="24"/>
      <c r="P28" s="66"/>
      <c r="Q28" s="154"/>
      <c r="V28" s="152"/>
      <c r="Y28" s="148"/>
    </row>
    <row r="29" ht="15.0" customHeight="1">
      <c r="A29" s="155">
        <v>15.0</v>
      </c>
      <c r="B29" s="149" t="s">
        <v>141</v>
      </c>
      <c r="C29" s="24"/>
      <c r="D29" s="24"/>
      <c r="E29" s="24"/>
      <c r="F29" s="5"/>
      <c r="G29" s="144" t="s">
        <v>142</v>
      </c>
      <c r="H29" s="24"/>
      <c r="I29" s="5"/>
      <c r="J29" s="144" t="s">
        <v>143</v>
      </c>
      <c r="K29" s="24"/>
      <c r="L29" s="5"/>
      <c r="M29" s="153">
        <v>0.5</v>
      </c>
      <c r="N29" s="146">
        <f t="shared" si="1"/>
        <v>450</v>
      </c>
      <c r="O29" s="24"/>
      <c r="P29" s="66"/>
      <c r="Q29" s="147"/>
      <c r="V29" s="152"/>
      <c r="Y29" s="148"/>
    </row>
    <row r="30" ht="15.0" customHeight="1">
      <c r="A30" s="155">
        <v>16.0</v>
      </c>
      <c r="B30" s="149" t="s">
        <v>144</v>
      </c>
      <c r="C30" s="24"/>
      <c r="D30" s="24"/>
      <c r="E30" s="24"/>
      <c r="F30" s="5"/>
      <c r="G30" s="144" t="s">
        <v>145</v>
      </c>
      <c r="H30" s="24"/>
      <c r="I30" s="5"/>
      <c r="J30" s="144" t="s">
        <v>146</v>
      </c>
      <c r="K30" s="24"/>
      <c r="L30" s="5"/>
      <c r="M30" s="153">
        <v>0.3</v>
      </c>
      <c r="N30" s="146">
        <f t="shared" si="1"/>
        <v>270</v>
      </c>
      <c r="O30" s="24"/>
      <c r="P30" s="66"/>
      <c r="Q30" s="147"/>
      <c r="V30" s="152"/>
      <c r="Y30" s="148"/>
    </row>
    <row r="31" ht="15.0" customHeight="1">
      <c r="A31" s="155">
        <v>17.0</v>
      </c>
      <c r="B31" s="149" t="s">
        <v>147</v>
      </c>
      <c r="C31" s="24"/>
      <c r="D31" s="24"/>
      <c r="E31" s="24"/>
      <c r="F31" s="5"/>
      <c r="G31" s="144" t="s">
        <v>148</v>
      </c>
      <c r="H31" s="24"/>
      <c r="I31" s="5"/>
      <c r="J31" s="144">
        <v>2.0240815E7</v>
      </c>
      <c r="K31" s="24"/>
      <c r="L31" s="5"/>
      <c r="M31" s="151">
        <v>0.05</v>
      </c>
      <c r="N31" s="146">
        <f t="shared" si="1"/>
        <v>45</v>
      </c>
      <c r="O31" s="24"/>
      <c r="P31" s="66"/>
      <c r="Q31" s="154"/>
      <c r="V31" s="152"/>
      <c r="Y31" s="148"/>
    </row>
    <row r="32" ht="15.0" customHeight="1">
      <c r="A32" s="155">
        <v>18.0</v>
      </c>
      <c r="B32" s="156" t="s">
        <v>149</v>
      </c>
      <c r="C32" s="11"/>
      <c r="D32" s="11"/>
      <c r="E32" s="11"/>
      <c r="F32" s="12"/>
      <c r="G32" s="144" t="s">
        <v>150</v>
      </c>
      <c r="H32" s="24"/>
      <c r="I32" s="5"/>
      <c r="J32" s="144" t="s">
        <v>151</v>
      </c>
      <c r="K32" s="24"/>
      <c r="L32" s="5"/>
      <c r="M32" s="153">
        <v>0.1</v>
      </c>
      <c r="N32" s="146">
        <f t="shared" si="1"/>
        <v>90</v>
      </c>
      <c r="O32" s="24"/>
      <c r="P32" s="66"/>
      <c r="Q32" s="147"/>
      <c r="V32" s="152"/>
      <c r="Y32" s="148"/>
    </row>
    <row r="33" ht="21.0" customHeight="1">
      <c r="A33" s="157" t="s">
        <v>152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1"/>
      <c r="M33" s="158">
        <f>SUM(M15:M32)</f>
        <v>100</v>
      </c>
      <c r="N33" s="159">
        <f>SUM(N15:P32)</f>
        <v>90000</v>
      </c>
      <c r="O33" s="30"/>
      <c r="P33" s="160"/>
      <c r="Q33" s="55"/>
      <c r="R33" s="161"/>
    </row>
    <row r="34" ht="18.0" customHeight="1">
      <c r="A34" s="162" t="s">
        <v>153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63"/>
      <c r="Q34" s="55"/>
      <c r="R34" s="161"/>
    </row>
    <row r="35" ht="51.0" customHeight="1">
      <c r="A35" s="163" t="s">
        <v>154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66"/>
      <c r="Q35" s="55"/>
      <c r="R35" s="161"/>
    </row>
    <row r="36" ht="33.0" customHeight="1">
      <c r="A36" s="163" t="s">
        <v>155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66"/>
      <c r="Q36" s="55"/>
      <c r="R36" s="161"/>
    </row>
    <row r="37" ht="30.75" customHeight="1">
      <c r="A37" s="163" t="s">
        <v>156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66"/>
      <c r="Q37" s="55"/>
      <c r="R37" s="161"/>
    </row>
    <row r="38" ht="18.0" customHeight="1">
      <c r="A38" s="164" t="s">
        <v>157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11"/>
      <c r="Q38" s="55"/>
      <c r="R38" s="161"/>
    </row>
    <row r="39" ht="34.5" customHeight="1">
      <c r="A39" s="165" t="s">
        <v>45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117"/>
      <c r="Q39" s="55"/>
      <c r="R39" s="161"/>
    </row>
    <row r="40" ht="27.0" customHeight="1">
      <c r="A40" s="121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4"/>
      <c r="Q40" s="55"/>
      <c r="R40" s="161"/>
    </row>
    <row r="41" ht="19.5" customHeight="1">
      <c r="A41" s="166" t="s">
        <v>158</v>
      </c>
      <c r="B41" s="46"/>
      <c r="C41" s="46"/>
      <c r="D41" s="46"/>
      <c r="E41" s="46"/>
      <c r="F41" s="167"/>
      <c r="G41" s="168"/>
      <c r="H41" s="40"/>
      <c r="I41" s="40"/>
      <c r="J41" s="40"/>
      <c r="K41" s="40"/>
      <c r="L41" s="40"/>
      <c r="M41" s="169"/>
      <c r="N41" s="170" t="s">
        <v>67</v>
      </c>
      <c r="O41" s="167"/>
      <c r="P41" s="63"/>
      <c r="Q41" s="55"/>
      <c r="R41" s="161"/>
    </row>
    <row r="42" ht="18.0" customHeight="1">
      <c r="A42" s="171"/>
      <c r="F42" s="7"/>
      <c r="G42" s="172" t="s">
        <v>159</v>
      </c>
      <c r="H42" s="2"/>
      <c r="I42" s="2"/>
      <c r="J42" s="2"/>
      <c r="K42" s="2"/>
      <c r="L42" s="2"/>
      <c r="M42" s="7"/>
      <c r="N42" s="173"/>
      <c r="O42" s="173"/>
      <c r="P42" s="108"/>
      <c r="Q42" s="55"/>
      <c r="R42" s="161"/>
    </row>
    <row r="43" ht="19.5" customHeight="1">
      <c r="A43" s="174" t="s">
        <v>160</v>
      </c>
      <c r="F43" s="175"/>
      <c r="G43" s="176"/>
      <c r="H43" s="11"/>
      <c r="I43" s="11"/>
      <c r="J43" s="11"/>
      <c r="K43" s="11"/>
      <c r="L43" s="11"/>
      <c r="M43" s="7"/>
      <c r="N43" s="177" t="s">
        <v>67</v>
      </c>
      <c r="O43" s="175"/>
      <c r="P43" s="178"/>
      <c r="Q43" s="55"/>
      <c r="R43" s="161"/>
    </row>
    <row r="44" ht="33.75" customHeight="1">
      <c r="A44" s="171"/>
      <c r="F44" s="7"/>
      <c r="G44" s="179" t="s">
        <v>161</v>
      </c>
      <c r="H44" s="2"/>
      <c r="I44" s="2"/>
      <c r="J44" s="2"/>
      <c r="K44" s="2"/>
      <c r="L44" s="2"/>
      <c r="M44" s="180"/>
      <c r="N44" s="181"/>
      <c r="O44" s="181"/>
      <c r="P44" s="108"/>
      <c r="Q44" s="55"/>
      <c r="R44" s="161"/>
    </row>
    <row r="45" ht="19.5" customHeight="1">
      <c r="A45" s="174" t="s">
        <v>162</v>
      </c>
      <c r="F45" s="175"/>
      <c r="G45" s="176"/>
      <c r="H45" s="11"/>
      <c r="I45" s="11"/>
      <c r="J45" s="11"/>
      <c r="K45" s="11"/>
      <c r="L45" s="11"/>
      <c r="M45" s="7"/>
      <c r="N45" s="177" t="s">
        <v>67</v>
      </c>
      <c r="O45" s="175"/>
      <c r="P45" s="178"/>
      <c r="Q45" s="55"/>
    </row>
    <row r="46" ht="19.5" customHeight="1">
      <c r="A46" s="182"/>
      <c r="B46" s="183"/>
      <c r="C46" s="183"/>
      <c r="D46" s="183"/>
      <c r="E46" s="183"/>
      <c r="F46" s="184" t="s">
        <v>163</v>
      </c>
      <c r="G46" s="30"/>
      <c r="H46" s="30"/>
      <c r="I46" s="30"/>
      <c r="J46" s="30"/>
      <c r="K46" s="30"/>
      <c r="L46" s="30"/>
      <c r="M46" s="185"/>
      <c r="N46" s="183"/>
      <c r="O46" s="183"/>
      <c r="P46" s="186"/>
      <c r="Q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115"/>
      <c r="N47" s="116"/>
      <c r="O47" s="116"/>
      <c r="P47" s="55"/>
      <c r="Q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115"/>
      <c r="N48" s="116"/>
      <c r="O48" s="116"/>
      <c r="P48" s="55"/>
      <c r="Q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115"/>
      <c r="N49" s="116"/>
      <c r="O49" s="116"/>
      <c r="P49" s="55"/>
      <c r="Q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115"/>
      <c r="N50" s="116"/>
      <c r="O50" s="116"/>
      <c r="P50" s="55"/>
      <c r="Q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115"/>
      <c r="N51" s="116"/>
      <c r="O51" s="116"/>
      <c r="P51" s="55"/>
      <c r="Q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115"/>
      <c r="N52" s="116"/>
      <c r="O52" s="116"/>
      <c r="P52" s="55"/>
      <c r="Q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115"/>
      <c r="N53" s="116"/>
      <c r="O53" s="116"/>
      <c r="P53" s="55"/>
      <c r="Q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115"/>
      <c r="N54" s="116"/>
      <c r="O54" s="116"/>
      <c r="P54" s="55"/>
      <c r="Q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115"/>
      <c r="N55" s="116"/>
      <c r="O55" s="116"/>
      <c r="P55" s="55"/>
      <c r="Q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115"/>
      <c r="N56" s="116"/>
      <c r="O56" s="116"/>
      <c r="P56" s="55"/>
      <c r="Q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115"/>
      <c r="N57" s="116"/>
      <c r="O57" s="116"/>
      <c r="P57" s="55"/>
      <c r="Q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115"/>
      <c r="N58" s="116"/>
      <c r="O58" s="116"/>
      <c r="P58" s="55"/>
      <c r="Q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115"/>
      <c r="N59" s="116"/>
      <c r="O59" s="116"/>
      <c r="P59" s="55"/>
      <c r="Q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115"/>
      <c r="N60" s="116"/>
      <c r="O60" s="116"/>
      <c r="P60" s="55"/>
      <c r="Q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115"/>
      <c r="N61" s="116"/>
      <c r="O61" s="116"/>
      <c r="P61" s="55"/>
      <c r="Q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115"/>
      <c r="N62" s="116"/>
      <c r="O62" s="116"/>
      <c r="P62" s="55"/>
      <c r="Q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115"/>
      <c r="N63" s="116"/>
      <c r="O63" s="116"/>
      <c r="P63" s="55"/>
      <c r="Q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115"/>
      <c r="N64" s="116"/>
      <c r="O64" s="116"/>
      <c r="P64" s="55"/>
      <c r="Q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115"/>
      <c r="N65" s="116"/>
      <c r="O65" s="116"/>
      <c r="P65" s="55"/>
      <c r="Q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115"/>
      <c r="N66" s="116"/>
      <c r="O66" s="116"/>
      <c r="P66" s="55"/>
      <c r="Q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115"/>
      <c r="N67" s="116"/>
      <c r="O67" s="116"/>
      <c r="P67" s="55"/>
      <c r="Q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115"/>
      <c r="N68" s="116"/>
      <c r="O68" s="116"/>
      <c r="P68" s="55"/>
      <c r="Q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115"/>
      <c r="N69" s="116"/>
      <c r="O69" s="116"/>
      <c r="P69" s="55"/>
      <c r="Q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115"/>
      <c r="N70" s="116"/>
      <c r="O70" s="116"/>
      <c r="P70" s="55"/>
      <c r="Q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115"/>
      <c r="N71" s="116"/>
      <c r="O71" s="116"/>
      <c r="P71" s="55"/>
      <c r="Q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115"/>
      <c r="N72" s="116"/>
      <c r="O72" s="116"/>
      <c r="P72" s="55"/>
      <c r="Q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115"/>
      <c r="N73" s="116"/>
      <c r="O73" s="116"/>
      <c r="P73" s="55"/>
      <c r="Q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115"/>
      <c r="N74" s="116"/>
      <c r="O74" s="116"/>
      <c r="P74" s="55"/>
      <c r="Q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115"/>
      <c r="N75" s="116"/>
      <c r="O75" s="116"/>
      <c r="P75" s="55"/>
      <c r="Q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115"/>
      <c r="N76" s="116"/>
      <c r="O76" s="116"/>
      <c r="P76" s="55"/>
      <c r="Q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115"/>
      <c r="N77" s="116"/>
      <c r="O77" s="116"/>
      <c r="P77" s="55"/>
      <c r="Q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115"/>
      <c r="N78" s="116"/>
      <c r="O78" s="116"/>
      <c r="P78" s="55"/>
      <c r="Q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115"/>
      <c r="N79" s="116"/>
      <c r="O79" s="116"/>
      <c r="P79" s="55"/>
      <c r="Q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115"/>
      <c r="N80" s="116"/>
      <c r="O80" s="116"/>
      <c r="P80" s="55"/>
      <c r="Q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115"/>
      <c r="N81" s="116"/>
      <c r="O81" s="116"/>
      <c r="P81" s="55"/>
      <c r="Q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115"/>
      <c r="N82" s="116"/>
      <c r="O82" s="116"/>
      <c r="P82" s="55"/>
      <c r="Q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115"/>
      <c r="N83" s="116"/>
      <c r="O83" s="116"/>
      <c r="P83" s="55"/>
      <c r="Q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115"/>
      <c r="N84" s="116"/>
      <c r="O84" s="116"/>
      <c r="P84" s="55"/>
      <c r="Q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115"/>
      <c r="N85" s="116"/>
      <c r="O85" s="116"/>
      <c r="P85" s="55"/>
      <c r="Q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115"/>
      <c r="N86" s="116"/>
      <c r="O86" s="116"/>
      <c r="P86" s="55"/>
      <c r="Q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115"/>
      <c r="N87" s="116"/>
      <c r="O87" s="116"/>
      <c r="P87" s="55"/>
      <c r="Q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115"/>
      <c r="N88" s="116"/>
      <c r="O88" s="116"/>
      <c r="P88" s="55"/>
      <c r="Q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115"/>
      <c r="N89" s="116"/>
      <c r="O89" s="116"/>
      <c r="P89" s="55"/>
      <c r="Q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115"/>
      <c r="N90" s="116"/>
      <c r="O90" s="116"/>
      <c r="P90" s="55"/>
      <c r="Q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115"/>
      <c r="N91" s="116"/>
      <c r="O91" s="116"/>
      <c r="P91" s="55"/>
      <c r="Q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115"/>
      <c r="N92" s="116"/>
      <c r="O92" s="116"/>
      <c r="P92" s="55"/>
      <c r="Q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115"/>
      <c r="N93" s="116"/>
      <c r="O93" s="116"/>
      <c r="P93" s="55"/>
      <c r="Q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115"/>
      <c r="N94" s="116"/>
      <c r="O94" s="116"/>
      <c r="P94" s="55"/>
      <c r="Q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115"/>
      <c r="N95" s="116"/>
      <c r="O95" s="116"/>
      <c r="P95" s="55"/>
      <c r="Q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115"/>
      <c r="N96" s="116"/>
      <c r="O96" s="116"/>
      <c r="P96" s="55"/>
      <c r="Q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115"/>
      <c r="N97" s="116"/>
      <c r="O97" s="116"/>
      <c r="P97" s="55"/>
      <c r="Q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115"/>
      <c r="N98" s="116"/>
      <c r="O98" s="116"/>
      <c r="P98" s="55"/>
      <c r="Q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115"/>
      <c r="N99" s="116"/>
      <c r="O99" s="116"/>
      <c r="P99" s="55"/>
      <c r="Q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115"/>
      <c r="N100" s="116"/>
      <c r="O100" s="116"/>
      <c r="P100" s="55"/>
      <c r="Q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115"/>
      <c r="N101" s="116"/>
      <c r="O101" s="116"/>
      <c r="P101" s="55"/>
      <c r="Q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115"/>
      <c r="N102" s="116"/>
      <c r="O102" s="116"/>
      <c r="P102" s="55"/>
      <c r="Q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115"/>
      <c r="N103" s="116"/>
      <c r="O103" s="116"/>
      <c r="P103" s="55"/>
      <c r="Q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115"/>
      <c r="N104" s="116"/>
      <c r="O104" s="116"/>
      <c r="P104" s="55"/>
      <c r="Q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115"/>
      <c r="N105" s="116"/>
      <c r="O105" s="116"/>
      <c r="P105" s="55"/>
      <c r="Q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115"/>
      <c r="N106" s="116"/>
      <c r="O106" s="116"/>
      <c r="P106" s="55"/>
      <c r="Q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115"/>
      <c r="N107" s="116"/>
      <c r="O107" s="116"/>
      <c r="P107" s="55"/>
      <c r="Q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115"/>
      <c r="N108" s="116"/>
      <c r="O108" s="116"/>
      <c r="P108" s="55"/>
      <c r="Q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115"/>
      <c r="N109" s="116"/>
      <c r="O109" s="116"/>
      <c r="P109" s="55"/>
      <c r="Q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115"/>
      <c r="N110" s="116"/>
      <c r="O110" s="116"/>
      <c r="P110" s="55"/>
      <c r="Q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115"/>
      <c r="N111" s="116"/>
      <c r="O111" s="116"/>
      <c r="P111" s="55"/>
      <c r="Q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115"/>
      <c r="N112" s="116"/>
      <c r="O112" s="116"/>
      <c r="P112" s="55"/>
      <c r="Q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115"/>
      <c r="N113" s="116"/>
      <c r="O113" s="116"/>
      <c r="P113" s="55"/>
      <c r="Q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115"/>
      <c r="N114" s="116"/>
      <c r="O114" s="116"/>
      <c r="P114" s="55"/>
      <c r="Q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115"/>
      <c r="N115" s="116"/>
      <c r="O115" s="116"/>
      <c r="P115" s="55"/>
      <c r="Q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115"/>
      <c r="N116" s="116"/>
      <c r="O116" s="116"/>
      <c r="P116" s="55"/>
      <c r="Q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115"/>
      <c r="N117" s="116"/>
      <c r="O117" s="116"/>
      <c r="P117" s="55"/>
      <c r="Q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115"/>
      <c r="N118" s="116"/>
      <c r="O118" s="116"/>
      <c r="P118" s="55"/>
      <c r="Q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115"/>
      <c r="N119" s="116"/>
      <c r="O119" s="116"/>
      <c r="P119" s="55"/>
      <c r="Q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115"/>
      <c r="N120" s="116"/>
      <c r="O120" s="116"/>
      <c r="P120" s="55"/>
      <c r="Q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115"/>
      <c r="N121" s="116"/>
      <c r="O121" s="116"/>
      <c r="P121" s="55"/>
      <c r="Q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115"/>
      <c r="N122" s="116"/>
      <c r="O122" s="116"/>
      <c r="P122" s="55"/>
      <c r="Q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115"/>
      <c r="N123" s="116"/>
      <c r="O123" s="116"/>
      <c r="P123" s="55"/>
      <c r="Q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115"/>
      <c r="N124" s="116"/>
      <c r="O124" s="116"/>
      <c r="P124" s="55"/>
      <c r="Q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115"/>
      <c r="N125" s="116"/>
      <c r="O125" s="116"/>
      <c r="P125" s="55"/>
      <c r="Q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115"/>
      <c r="N126" s="116"/>
      <c r="O126" s="116"/>
      <c r="P126" s="55"/>
      <c r="Q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115"/>
      <c r="N127" s="116"/>
      <c r="O127" s="116"/>
      <c r="P127" s="55"/>
      <c r="Q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115"/>
      <c r="N128" s="116"/>
      <c r="O128" s="116"/>
      <c r="P128" s="55"/>
      <c r="Q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115"/>
      <c r="N129" s="116"/>
      <c r="O129" s="116"/>
      <c r="P129" s="55"/>
      <c r="Q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115"/>
      <c r="N130" s="116"/>
      <c r="O130" s="116"/>
      <c r="P130" s="55"/>
      <c r="Q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115"/>
      <c r="N131" s="116"/>
      <c r="O131" s="116"/>
      <c r="P131" s="55"/>
      <c r="Q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115"/>
      <c r="N132" s="116"/>
      <c r="O132" s="116"/>
      <c r="P132" s="55"/>
      <c r="Q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115"/>
      <c r="N133" s="116"/>
      <c r="O133" s="116"/>
      <c r="P133" s="55"/>
      <c r="Q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115"/>
      <c r="N134" s="116"/>
      <c r="O134" s="116"/>
      <c r="P134" s="55"/>
      <c r="Q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115"/>
      <c r="N135" s="116"/>
      <c r="O135" s="116"/>
      <c r="P135" s="55"/>
      <c r="Q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115"/>
      <c r="N136" s="116"/>
      <c r="O136" s="116"/>
      <c r="P136" s="55"/>
      <c r="Q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115"/>
      <c r="N137" s="116"/>
      <c r="O137" s="116"/>
      <c r="P137" s="55"/>
      <c r="Q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115"/>
      <c r="N138" s="116"/>
      <c r="O138" s="116"/>
      <c r="P138" s="55"/>
      <c r="Q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115"/>
      <c r="N139" s="116"/>
      <c r="O139" s="116"/>
      <c r="P139" s="55"/>
      <c r="Q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115"/>
      <c r="N140" s="116"/>
      <c r="O140" s="116"/>
      <c r="P140" s="55"/>
      <c r="Q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115"/>
      <c r="N141" s="116"/>
      <c r="O141" s="116"/>
      <c r="P141" s="55"/>
      <c r="Q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115"/>
      <c r="N142" s="116"/>
      <c r="O142" s="116"/>
      <c r="P142" s="55"/>
      <c r="Q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115"/>
      <c r="N143" s="116"/>
      <c r="O143" s="116"/>
      <c r="P143" s="55"/>
      <c r="Q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115"/>
      <c r="N144" s="116"/>
      <c r="O144" s="116"/>
      <c r="P144" s="55"/>
      <c r="Q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115"/>
      <c r="N145" s="116"/>
      <c r="O145" s="116"/>
      <c r="P145" s="55"/>
      <c r="Q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115"/>
      <c r="N146" s="116"/>
      <c r="O146" s="116"/>
      <c r="P146" s="55"/>
      <c r="Q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115"/>
      <c r="N147" s="116"/>
      <c r="O147" s="116"/>
      <c r="P147" s="55"/>
      <c r="Q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115"/>
      <c r="N148" s="116"/>
      <c r="O148" s="116"/>
      <c r="P148" s="55"/>
      <c r="Q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115"/>
      <c r="N149" s="116"/>
      <c r="O149" s="116"/>
      <c r="P149" s="55"/>
      <c r="Q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115"/>
      <c r="N150" s="116"/>
      <c r="O150" s="116"/>
      <c r="P150" s="55"/>
      <c r="Q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115"/>
      <c r="N151" s="116"/>
      <c r="O151" s="116"/>
      <c r="P151" s="55"/>
      <c r="Q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115"/>
      <c r="N152" s="116"/>
      <c r="O152" s="116"/>
      <c r="P152" s="55"/>
      <c r="Q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115"/>
      <c r="N153" s="116"/>
      <c r="O153" s="116"/>
      <c r="P153" s="55"/>
      <c r="Q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115"/>
      <c r="N154" s="116"/>
      <c r="O154" s="116"/>
      <c r="P154" s="55"/>
      <c r="Q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115"/>
      <c r="N155" s="116"/>
      <c r="O155" s="116"/>
      <c r="P155" s="55"/>
      <c r="Q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115"/>
      <c r="N156" s="116"/>
      <c r="O156" s="116"/>
      <c r="P156" s="55"/>
      <c r="Q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115"/>
      <c r="N157" s="116"/>
      <c r="O157" s="116"/>
      <c r="P157" s="55"/>
      <c r="Q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115"/>
      <c r="N158" s="116"/>
      <c r="O158" s="116"/>
      <c r="P158" s="55"/>
      <c r="Q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115"/>
      <c r="N159" s="116"/>
      <c r="O159" s="116"/>
      <c r="P159" s="55"/>
      <c r="Q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115"/>
      <c r="N160" s="116"/>
      <c r="O160" s="116"/>
      <c r="P160" s="55"/>
      <c r="Q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115"/>
      <c r="N161" s="116"/>
      <c r="O161" s="116"/>
      <c r="P161" s="55"/>
      <c r="Q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115"/>
      <c r="N162" s="116"/>
      <c r="O162" s="116"/>
      <c r="P162" s="55"/>
      <c r="Q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115"/>
      <c r="N163" s="116"/>
      <c r="O163" s="116"/>
      <c r="P163" s="55"/>
      <c r="Q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115"/>
      <c r="N164" s="116"/>
      <c r="O164" s="116"/>
      <c r="P164" s="55"/>
      <c r="Q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115"/>
      <c r="N165" s="116"/>
      <c r="O165" s="116"/>
      <c r="P165" s="55"/>
      <c r="Q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115"/>
      <c r="N166" s="116"/>
      <c r="O166" s="116"/>
      <c r="P166" s="55"/>
      <c r="Q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115"/>
      <c r="N167" s="116"/>
      <c r="O167" s="116"/>
      <c r="P167" s="55"/>
      <c r="Q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115"/>
      <c r="N168" s="116"/>
      <c r="O168" s="116"/>
      <c r="P168" s="55"/>
      <c r="Q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115"/>
      <c r="N169" s="116"/>
      <c r="O169" s="116"/>
      <c r="P169" s="55"/>
      <c r="Q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115"/>
      <c r="N170" s="116"/>
      <c r="O170" s="116"/>
      <c r="P170" s="55"/>
      <c r="Q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115"/>
      <c r="N171" s="116"/>
      <c r="O171" s="116"/>
      <c r="P171" s="55"/>
      <c r="Q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115"/>
      <c r="N172" s="116"/>
      <c r="O172" s="116"/>
      <c r="P172" s="55"/>
      <c r="Q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115"/>
      <c r="N173" s="116"/>
      <c r="O173" s="116"/>
      <c r="P173" s="55"/>
      <c r="Q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115"/>
      <c r="N174" s="116"/>
      <c r="O174" s="116"/>
      <c r="P174" s="55"/>
      <c r="Q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115"/>
      <c r="N175" s="116"/>
      <c r="O175" s="116"/>
      <c r="P175" s="55"/>
      <c r="Q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115"/>
      <c r="N176" s="116"/>
      <c r="O176" s="116"/>
      <c r="P176" s="55"/>
      <c r="Q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115"/>
      <c r="N177" s="116"/>
      <c r="O177" s="116"/>
      <c r="P177" s="55"/>
      <c r="Q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115"/>
      <c r="N178" s="116"/>
      <c r="O178" s="116"/>
      <c r="P178" s="55"/>
      <c r="Q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115"/>
      <c r="N179" s="116"/>
      <c r="O179" s="116"/>
      <c r="P179" s="55"/>
      <c r="Q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115"/>
      <c r="N180" s="116"/>
      <c r="O180" s="116"/>
      <c r="P180" s="55"/>
      <c r="Q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115"/>
      <c r="N181" s="116"/>
      <c r="O181" s="116"/>
      <c r="P181" s="55"/>
      <c r="Q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115"/>
      <c r="N182" s="116"/>
      <c r="O182" s="116"/>
      <c r="P182" s="55"/>
      <c r="Q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115"/>
      <c r="N183" s="116"/>
      <c r="O183" s="116"/>
      <c r="P183" s="55"/>
      <c r="Q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115"/>
      <c r="N184" s="116"/>
      <c r="O184" s="116"/>
      <c r="P184" s="55"/>
      <c r="Q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115"/>
      <c r="N185" s="116"/>
      <c r="O185" s="116"/>
      <c r="P185" s="55"/>
      <c r="Q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115"/>
      <c r="N186" s="116"/>
      <c r="O186" s="116"/>
      <c r="P186" s="55"/>
      <c r="Q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115"/>
      <c r="N187" s="116"/>
      <c r="O187" s="116"/>
      <c r="P187" s="55"/>
      <c r="Q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115"/>
      <c r="N188" s="116"/>
      <c r="O188" s="116"/>
      <c r="P188" s="55"/>
      <c r="Q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115"/>
      <c r="N189" s="116"/>
      <c r="O189" s="116"/>
      <c r="P189" s="55"/>
      <c r="Q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115"/>
      <c r="N190" s="116"/>
      <c r="O190" s="116"/>
      <c r="P190" s="55"/>
      <c r="Q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115"/>
      <c r="N191" s="116"/>
      <c r="O191" s="116"/>
      <c r="P191" s="55"/>
      <c r="Q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115"/>
      <c r="N192" s="116"/>
      <c r="O192" s="116"/>
      <c r="P192" s="55"/>
      <c r="Q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115"/>
      <c r="N193" s="116"/>
      <c r="O193" s="116"/>
      <c r="P193" s="55"/>
      <c r="Q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115"/>
      <c r="N194" s="116"/>
      <c r="O194" s="116"/>
      <c r="P194" s="55"/>
      <c r="Q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115"/>
      <c r="N195" s="116"/>
      <c r="O195" s="116"/>
      <c r="P195" s="55"/>
      <c r="Q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115"/>
      <c r="N196" s="116"/>
      <c r="O196" s="116"/>
      <c r="P196" s="55"/>
      <c r="Q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115"/>
      <c r="N197" s="116"/>
      <c r="O197" s="116"/>
      <c r="P197" s="55"/>
      <c r="Q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115"/>
      <c r="N198" s="116"/>
      <c r="O198" s="116"/>
      <c r="P198" s="55"/>
      <c r="Q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115"/>
      <c r="N199" s="116"/>
      <c r="O199" s="116"/>
      <c r="P199" s="55"/>
      <c r="Q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115"/>
      <c r="N200" s="116"/>
      <c r="O200" s="116"/>
      <c r="P200" s="55"/>
      <c r="Q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115"/>
      <c r="N201" s="116"/>
      <c r="O201" s="116"/>
      <c r="P201" s="55"/>
      <c r="Q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115"/>
      <c r="N202" s="116"/>
      <c r="O202" s="116"/>
      <c r="P202" s="55"/>
      <c r="Q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115"/>
      <c r="N203" s="116"/>
      <c r="O203" s="116"/>
      <c r="P203" s="55"/>
      <c r="Q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115"/>
      <c r="N204" s="116"/>
      <c r="O204" s="116"/>
      <c r="P204" s="55"/>
      <c r="Q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115"/>
      <c r="N205" s="116"/>
      <c r="O205" s="116"/>
      <c r="P205" s="55"/>
      <c r="Q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115"/>
      <c r="N206" s="116"/>
      <c r="O206" s="116"/>
      <c r="P206" s="55"/>
      <c r="Q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115"/>
      <c r="N207" s="116"/>
      <c r="O207" s="116"/>
      <c r="P207" s="55"/>
      <c r="Q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115"/>
      <c r="N208" s="116"/>
      <c r="O208" s="116"/>
      <c r="P208" s="55"/>
      <c r="Q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115"/>
      <c r="N209" s="116"/>
      <c r="O209" s="116"/>
      <c r="P209" s="55"/>
      <c r="Q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115"/>
      <c r="N210" s="116"/>
      <c r="O210" s="116"/>
      <c r="P210" s="55"/>
      <c r="Q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115"/>
      <c r="N211" s="116"/>
      <c r="O211" s="116"/>
      <c r="P211" s="55"/>
      <c r="Q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115"/>
      <c r="N212" s="116"/>
      <c r="O212" s="116"/>
      <c r="P212" s="55"/>
      <c r="Q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115"/>
      <c r="N213" s="116"/>
      <c r="O213" s="116"/>
      <c r="P213" s="55"/>
      <c r="Q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115"/>
      <c r="N214" s="116"/>
      <c r="O214" s="116"/>
      <c r="P214" s="55"/>
      <c r="Q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115"/>
      <c r="N215" s="116"/>
      <c r="O215" s="116"/>
      <c r="P215" s="55"/>
      <c r="Q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115"/>
      <c r="N216" s="116"/>
      <c r="O216" s="116"/>
      <c r="P216" s="55"/>
      <c r="Q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115"/>
      <c r="N217" s="116"/>
      <c r="O217" s="116"/>
      <c r="P217" s="55"/>
      <c r="Q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115"/>
      <c r="N218" s="116"/>
      <c r="O218" s="116"/>
      <c r="P218" s="55"/>
      <c r="Q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115"/>
      <c r="N219" s="116"/>
      <c r="O219" s="116"/>
      <c r="P219" s="55"/>
      <c r="Q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115"/>
      <c r="N220" s="116"/>
      <c r="O220" s="116"/>
      <c r="P220" s="55"/>
      <c r="Q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115"/>
      <c r="N221" s="116"/>
      <c r="O221" s="116"/>
      <c r="P221" s="55"/>
      <c r="Q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115"/>
      <c r="N222" s="116"/>
      <c r="O222" s="116"/>
      <c r="P222" s="55"/>
      <c r="Q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115"/>
      <c r="N223" s="116"/>
      <c r="O223" s="116"/>
      <c r="P223" s="55"/>
      <c r="Q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115"/>
      <c r="N224" s="116"/>
      <c r="O224" s="116"/>
      <c r="P224" s="55"/>
      <c r="Q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115"/>
      <c r="N225" s="116"/>
      <c r="O225" s="116"/>
      <c r="P225" s="55"/>
      <c r="Q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115"/>
      <c r="N226" s="116"/>
      <c r="O226" s="116"/>
      <c r="P226" s="55"/>
      <c r="Q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115"/>
      <c r="N227" s="116"/>
      <c r="O227" s="116"/>
      <c r="P227" s="55"/>
      <c r="Q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115"/>
      <c r="N228" s="116"/>
      <c r="O228" s="116"/>
      <c r="P228" s="55"/>
      <c r="Q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115"/>
      <c r="N229" s="116"/>
      <c r="O229" s="116"/>
      <c r="P229" s="55"/>
      <c r="Q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115"/>
      <c r="N230" s="116"/>
      <c r="O230" s="116"/>
      <c r="P230" s="55"/>
      <c r="Q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115"/>
      <c r="N231" s="116"/>
      <c r="O231" s="116"/>
      <c r="P231" s="55"/>
      <c r="Q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115"/>
      <c r="N232" s="116"/>
      <c r="O232" s="116"/>
      <c r="P232" s="55"/>
      <c r="Q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115"/>
      <c r="N233" s="116"/>
      <c r="O233" s="116"/>
      <c r="P233" s="55"/>
      <c r="Q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115"/>
      <c r="N234" s="116"/>
      <c r="O234" s="116"/>
      <c r="P234" s="55"/>
      <c r="Q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115"/>
      <c r="N235" s="116"/>
      <c r="O235" s="116"/>
      <c r="P235" s="55"/>
      <c r="Q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115"/>
      <c r="N236" s="116"/>
      <c r="O236" s="116"/>
      <c r="P236" s="55"/>
      <c r="Q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115"/>
      <c r="N237" s="116"/>
      <c r="O237" s="116"/>
      <c r="P237" s="55"/>
      <c r="Q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115"/>
      <c r="N238" s="116"/>
      <c r="O238" s="116"/>
      <c r="P238" s="55"/>
      <c r="Q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115"/>
      <c r="N239" s="116"/>
      <c r="O239" s="116"/>
      <c r="P239" s="55"/>
      <c r="Q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115"/>
      <c r="N240" s="116"/>
      <c r="O240" s="116"/>
      <c r="P240" s="55"/>
      <c r="Q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115"/>
      <c r="N241" s="116"/>
      <c r="O241" s="116"/>
      <c r="P241" s="55"/>
      <c r="Q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115"/>
      <c r="N242" s="116"/>
      <c r="O242" s="116"/>
      <c r="P242" s="55"/>
      <c r="Q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115"/>
      <c r="N243" s="116"/>
      <c r="O243" s="116"/>
      <c r="P243" s="55"/>
      <c r="Q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115"/>
      <c r="N244" s="116"/>
      <c r="O244" s="116"/>
      <c r="P244" s="55"/>
      <c r="Q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115"/>
      <c r="N245" s="116"/>
      <c r="O245" s="116"/>
      <c r="P245" s="55"/>
      <c r="Q245" s="55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5"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B32:F32"/>
    <mergeCell ref="A33:L33"/>
    <mergeCell ref="N33:P33"/>
    <mergeCell ref="R33:T33"/>
    <mergeCell ref="A34:P34"/>
    <mergeCell ref="R34:T34"/>
    <mergeCell ref="R35:T35"/>
    <mergeCell ref="R38:T38"/>
    <mergeCell ref="R39:T39"/>
    <mergeCell ref="R41:T41"/>
    <mergeCell ref="R42:T42"/>
    <mergeCell ref="R43:T43"/>
    <mergeCell ref="R44:T44"/>
    <mergeCell ref="A35:P35"/>
    <mergeCell ref="A36:P36"/>
    <mergeCell ref="R36:T36"/>
    <mergeCell ref="A37:P37"/>
    <mergeCell ref="R37:T37"/>
    <mergeCell ref="A38:P38"/>
    <mergeCell ref="R40:T40"/>
    <mergeCell ref="A43:E43"/>
    <mergeCell ref="A44:E44"/>
    <mergeCell ref="G44:L44"/>
    <mergeCell ref="A45:E45"/>
    <mergeCell ref="G45:L45"/>
    <mergeCell ref="F46:L46"/>
    <mergeCell ref="A39:P40"/>
    <mergeCell ref="A41:E41"/>
    <mergeCell ref="G41:L41"/>
    <mergeCell ref="O41:P41"/>
    <mergeCell ref="A42:E42"/>
    <mergeCell ref="G42:L42"/>
    <mergeCell ref="G43:L43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Q15:U15"/>
    <mergeCell ref="V15:X15"/>
    <mergeCell ref="Y15:AA15"/>
    <mergeCell ref="B16:F16"/>
    <mergeCell ref="G16:I16"/>
    <mergeCell ref="J16:L16"/>
    <mergeCell ref="N16:P16"/>
    <mergeCell ref="Q16:U16"/>
    <mergeCell ref="V16:X16"/>
    <mergeCell ref="Y16:AA16"/>
    <mergeCell ref="B31:F31"/>
    <mergeCell ref="G32:I32"/>
    <mergeCell ref="J32:L32"/>
    <mergeCell ref="N32:P32"/>
    <mergeCell ref="Q32:U32"/>
    <mergeCell ref="V32:X32"/>
    <mergeCell ref="Y32:AA32"/>
    <mergeCell ref="B17:F17"/>
    <mergeCell ref="G17:I17"/>
    <mergeCell ref="J17:L17"/>
    <mergeCell ref="N17:P17"/>
    <mergeCell ref="Q17:U17"/>
    <mergeCell ref="V17:X17"/>
    <mergeCell ref="Y17:AA17"/>
    <mergeCell ref="B18:F18"/>
    <mergeCell ref="G18:I18"/>
    <mergeCell ref="J18:L18"/>
    <mergeCell ref="N18:P18"/>
    <mergeCell ref="Q18:U18"/>
    <mergeCell ref="V18:X18"/>
    <mergeCell ref="Y18:AA18"/>
    <mergeCell ref="B19:F19"/>
    <mergeCell ref="G19:I19"/>
    <mergeCell ref="J19:L19"/>
    <mergeCell ref="N19:P19"/>
    <mergeCell ref="Q19:U19"/>
    <mergeCell ref="V19:X19"/>
    <mergeCell ref="Y19:AA19"/>
    <mergeCell ref="B20:F20"/>
    <mergeCell ref="G20:I20"/>
    <mergeCell ref="J20:L20"/>
    <mergeCell ref="N20:P20"/>
    <mergeCell ref="Q20:U20"/>
    <mergeCell ref="V20:X20"/>
    <mergeCell ref="Y20:AA20"/>
    <mergeCell ref="B21:F21"/>
    <mergeCell ref="G21:I21"/>
    <mergeCell ref="J21:L21"/>
    <mergeCell ref="N21:P21"/>
    <mergeCell ref="G22:I22"/>
    <mergeCell ref="J22:L22"/>
    <mergeCell ref="N22:P22"/>
    <mergeCell ref="B22:F22"/>
    <mergeCell ref="G23:I23"/>
    <mergeCell ref="J23:L23"/>
    <mergeCell ref="N23:P23"/>
    <mergeCell ref="Q23:U23"/>
    <mergeCell ref="V23:X23"/>
    <mergeCell ref="Y23:AA23"/>
    <mergeCell ref="B23:F23"/>
    <mergeCell ref="G24:I24"/>
    <mergeCell ref="J24:L24"/>
    <mergeCell ref="N24:P24"/>
    <mergeCell ref="Q24:U24"/>
    <mergeCell ref="V24:X24"/>
    <mergeCell ref="Y24:AA24"/>
    <mergeCell ref="B24:F24"/>
    <mergeCell ref="G25:I25"/>
    <mergeCell ref="J25:L25"/>
    <mergeCell ref="N25:P25"/>
    <mergeCell ref="Q25:U25"/>
    <mergeCell ref="V25:X25"/>
    <mergeCell ref="Y25:AA25"/>
    <mergeCell ref="B25:F25"/>
    <mergeCell ref="G26:I26"/>
    <mergeCell ref="J26:L26"/>
    <mergeCell ref="N26:P26"/>
    <mergeCell ref="Q26:U26"/>
    <mergeCell ref="V26:X26"/>
    <mergeCell ref="Y26:AA26"/>
    <mergeCell ref="B26:F26"/>
    <mergeCell ref="G27:I27"/>
    <mergeCell ref="J27:L27"/>
    <mergeCell ref="N27:P27"/>
    <mergeCell ref="Q27:U27"/>
    <mergeCell ref="V27:X27"/>
    <mergeCell ref="Y27:AA27"/>
    <mergeCell ref="B27:F27"/>
    <mergeCell ref="G28:I28"/>
    <mergeCell ref="J28:L28"/>
    <mergeCell ref="N28:P28"/>
    <mergeCell ref="Q28:U28"/>
    <mergeCell ref="V28:X28"/>
    <mergeCell ref="Y28:AA28"/>
    <mergeCell ref="B28:F28"/>
    <mergeCell ref="G29:I29"/>
    <mergeCell ref="J29:L29"/>
    <mergeCell ref="N29:P29"/>
    <mergeCell ref="Q29:U29"/>
    <mergeCell ref="V29:X29"/>
    <mergeCell ref="Y29:AA29"/>
    <mergeCell ref="B29:F29"/>
    <mergeCell ref="G30:I30"/>
    <mergeCell ref="J30:L30"/>
    <mergeCell ref="N30:P30"/>
    <mergeCell ref="Q30:U30"/>
    <mergeCell ref="V30:X30"/>
    <mergeCell ref="Y30:AA30"/>
    <mergeCell ref="B30:F30"/>
    <mergeCell ref="G31:I31"/>
    <mergeCell ref="J31:L31"/>
    <mergeCell ref="N31:P31"/>
    <mergeCell ref="Q31:U31"/>
    <mergeCell ref="V31:X31"/>
    <mergeCell ref="Y31:AA31"/>
  </mergeCells>
  <printOptions/>
  <pageMargins bottom="0.7480314960629921" footer="0.0" header="0.0" left="0.2362204724409449" right="0.2362204724409449" top="0.3937007874015748"/>
  <pageSetup fitToWidth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5.57"/>
    <col customWidth="1" min="6" max="6" width="6.86"/>
    <col customWidth="1" min="7" max="7" width="22.0"/>
    <col customWidth="1" min="8" max="8" width="9.14"/>
    <col customWidth="1" min="9" max="9" width="3.29"/>
    <col customWidth="1" min="10" max="10" width="3.43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32.57"/>
    <col customWidth="1" min="18" max="21" width="44.0"/>
  </cols>
  <sheetData>
    <row r="1" ht="19.5" customHeight="1">
      <c r="A1" s="60"/>
      <c r="B1" s="46"/>
      <c r="C1" s="47"/>
      <c r="D1" s="61" t="s">
        <v>0</v>
      </c>
      <c r="E1" s="46"/>
      <c r="F1" s="46"/>
      <c r="G1" s="46"/>
      <c r="H1" s="46"/>
      <c r="I1" s="46"/>
      <c r="J1" s="46"/>
      <c r="K1" s="46"/>
      <c r="L1" s="47"/>
      <c r="M1" s="62" t="s">
        <v>1</v>
      </c>
      <c r="N1" s="41"/>
      <c r="O1" s="62" t="s">
        <v>164</v>
      </c>
      <c r="P1" s="63"/>
      <c r="Q1" s="55"/>
      <c r="R1" s="55"/>
      <c r="S1" s="55"/>
      <c r="T1" s="55"/>
      <c r="U1" s="55"/>
    </row>
    <row r="2" ht="21.0" customHeight="1">
      <c r="A2" s="64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111"/>
      <c r="Q2" s="55"/>
      <c r="R2" s="55"/>
      <c r="S2" s="55"/>
      <c r="T2" s="55"/>
      <c r="U2" s="55"/>
    </row>
    <row r="3" ht="18.75" customHeight="1">
      <c r="A3" s="64"/>
      <c r="C3" s="9"/>
      <c r="D3" s="16" t="s">
        <v>165</v>
      </c>
      <c r="E3" s="2"/>
      <c r="F3" s="2"/>
      <c r="G3" s="2"/>
      <c r="H3" s="2"/>
      <c r="I3" s="2"/>
      <c r="J3" s="2"/>
      <c r="K3" s="2"/>
      <c r="L3" s="2"/>
      <c r="M3" s="13" t="s">
        <v>5</v>
      </c>
      <c r="N3" s="12"/>
      <c r="O3" s="4" t="s">
        <v>6</v>
      </c>
      <c r="P3" s="66"/>
      <c r="Q3" s="187"/>
      <c r="R3" s="187"/>
      <c r="S3" s="187"/>
      <c r="T3" s="187"/>
      <c r="U3" s="187"/>
    </row>
    <row r="4" ht="15.75" customHeight="1">
      <c r="A4" s="64"/>
      <c r="C4" s="9"/>
      <c r="D4" s="8"/>
      <c r="M4" s="1" t="s">
        <v>7</v>
      </c>
      <c r="N4" s="3"/>
      <c r="O4" s="17" t="s">
        <v>8</v>
      </c>
      <c r="P4" s="66"/>
      <c r="Q4" s="55"/>
      <c r="R4" s="55"/>
      <c r="S4" s="55"/>
      <c r="T4" s="55"/>
      <c r="U4" s="55"/>
    </row>
    <row r="5" ht="15.75" customHeight="1">
      <c r="A5" s="67"/>
      <c r="B5" s="11"/>
      <c r="C5" s="12"/>
      <c r="D5" s="10"/>
      <c r="E5" s="11"/>
      <c r="F5" s="11"/>
      <c r="G5" s="11"/>
      <c r="H5" s="11"/>
      <c r="I5" s="11"/>
      <c r="J5" s="11"/>
      <c r="K5" s="11"/>
      <c r="L5" s="11"/>
      <c r="M5" s="10"/>
      <c r="N5" s="12"/>
      <c r="O5" s="18" t="s">
        <v>9</v>
      </c>
      <c r="P5" s="66"/>
      <c r="Q5" s="55"/>
      <c r="R5" s="55"/>
      <c r="S5" s="55"/>
      <c r="T5" s="55"/>
      <c r="U5" s="55"/>
    </row>
    <row r="6" ht="12.0" customHeight="1">
      <c r="A6" s="188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88"/>
      <c r="Q6" s="55"/>
      <c r="R6" s="55"/>
      <c r="S6" s="55"/>
      <c r="T6" s="55"/>
      <c r="U6" s="55"/>
    </row>
    <row r="7" ht="36.0" customHeight="1">
      <c r="A7" s="71" t="s">
        <v>10</v>
      </c>
      <c r="B7" s="72"/>
      <c r="C7" s="72"/>
      <c r="D7" s="72"/>
      <c r="E7" s="76"/>
      <c r="F7" s="25" t="str">
        <f>OP!G9</f>
        <v>SUERO DE NIACINAMIDA 5%</v>
      </c>
      <c r="G7" s="24"/>
      <c r="H7" s="24"/>
      <c r="I7" s="24"/>
      <c r="J7" s="24"/>
      <c r="K7" s="24"/>
      <c r="L7" s="24"/>
      <c r="M7" s="24"/>
      <c r="N7" s="24"/>
      <c r="O7" s="24"/>
      <c r="P7" s="66"/>
      <c r="Q7" s="55"/>
      <c r="R7" s="55"/>
      <c r="S7" s="55"/>
      <c r="T7" s="55"/>
      <c r="U7" s="55"/>
    </row>
    <row r="8" ht="36.0" customHeight="1">
      <c r="A8" s="89" t="s">
        <v>55</v>
      </c>
      <c r="B8" s="24"/>
      <c r="C8" s="24"/>
      <c r="D8" s="24"/>
      <c r="E8" s="5"/>
      <c r="F8" s="77" t="str">
        <f>OP!M10</f>
        <v>252111</v>
      </c>
      <c r="G8" s="5"/>
      <c r="H8" s="75" t="s">
        <v>166</v>
      </c>
      <c r="I8" s="72"/>
      <c r="J8" s="72"/>
      <c r="K8" s="73"/>
      <c r="L8" s="37"/>
      <c r="M8" s="160"/>
      <c r="N8" s="32" t="s">
        <v>167</v>
      </c>
      <c r="O8" s="5"/>
      <c r="P8" s="189"/>
      <c r="Q8" s="55"/>
      <c r="R8" s="55"/>
      <c r="S8" s="55"/>
      <c r="T8" s="55"/>
      <c r="U8" s="55"/>
    </row>
    <row r="9" ht="36.0" customHeight="1">
      <c r="A9" s="190" t="s">
        <v>168</v>
      </c>
      <c r="B9" s="30"/>
      <c r="C9" s="30"/>
      <c r="D9" s="30"/>
      <c r="E9" s="31"/>
      <c r="F9" s="25" t="str">
        <f>OP!M11</f>
        <v>OP-L-099</v>
      </c>
      <c r="G9" s="66"/>
      <c r="H9" s="34" t="s">
        <v>169</v>
      </c>
      <c r="I9" s="30"/>
      <c r="J9" s="30"/>
      <c r="K9" s="31"/>
      <c r="L9" s="191"/>
      <c r="M9" s="31"/>
      <c r="N9" s="192" t="s">
        <v>170</v>
      </c>
      <c r="O9" s="193"/>
      <c r="P9" s="194"/>
      <c r="Q9" s="55"/>
      <c r="R9" s="55"/>
      <c r="S9" s="55"/>
      <c r="T9" s="55"/>
      <c r="U9" s="55"/>
    </row>
    <row r="10" ht="12.0" customHeight="1">
      <c r="A10" s="195"/>
      <c r="P10" s="69"/>
      <c r="Q10" s="187"/>
      <c r="R10" s="187"/>
      <c r="S10" s="187"/>
      <c r="T10" s="187"/>
      <c r="U10" s="187"/>
    </row>
    <row r="11" ht="21.0" customHeight="1">
      <c r="A11" s="196" t="s">
        <v>171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48" t="s">
        <v>172</v>
      </c>
      <c r="O11" s="5"/>
      <c r="P11" s="197" t="s">
        <v>173</v>
      </c>
      <c r="Q11" s="55"/>
      <c r="R11" s="55"/>
      <c r="S11" s="55"/>
      <c r="T11" s="55"/>
      <c r="U11" s="55"/>
    </row>
    <row r="12" ht="36.75" customHeight="1">
      <c r="A12" s="198" t="s">
        <v>174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5"/>
      <c r="N12" s="199"/>
      <c r="O12" s="5"/>
      <c r="P12" s="200"/>
      <c r="Q12" s="55"/>
      <c r="R12" s="55"/>
      <c r="S12" s="55"/>
      <c r="T12" s="55"/>
      <c r="U12" s="55"/>
    </row>
    <row r="13" ht="12.0" customHeight="1">
      <c r="A13" s="201"/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3"/>
      <c r="O13" s="203"/>
      <c r="P13" s="204"/>
      <c r="Q13" s="55"/>
      <c r="R13" s="55"/>
      <c r="S13" s="55"/>
      <c r="T13" s="55"/>
      <c r="U13" s="55"/>
    </row>
    <row r="14" ht="18.75" customHeight="1">
      <c r="A14" s="205" t="s">
        <v>175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160"/>
      <c r="Q14" s="55"/>
      <c r="R14" s="55"/>
      <c r="S14" s="55"/>
      <c r="T14" s="55"/>
      <c r="U14" s="55"/>
    </row>
    <row r="15" ht="24.75" customHeight="1">
      <c r="A15" s="206" t="s">
        <v>176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63"/>
      <c r="Q15" s="207"/>
      <c r="R15" s="207"/>
      <c r="S15" s="207"/>
      <c r="T15" s="207"/>
      <c r="U15" s="207"/>
    </row>
    <row r="16" ht="27.0" customHeight="1">
      <c r="A16" s="208" t="s">
        <v>177</v>
      </c>
      <c r="B16" s="5"/>
      <c r="C16" s="209" t="s">
        <v>178</v>
      </c>
      <c r="D16" s="24"/>
      <c r="E16" s="24"/>
      <c r="F16" s="24"/>
      <c r="G16" s="5"/>
      <c r="H16" s="209" t="s">
        <v>101</v>
      </c>
      <c r="I16" s="24"/>
      <c r="J16" s="5"/>
      <c r="K16" s="209" t="s">
        <v>102</v>
      </c>
      <c r="L16" s="5"/>
      <c r="M16" s="209" t="s">
        <v>12</v>
      </c>
      <c r="N16" s="5"/>
      <c r="O16" s="209" t="s">
        <v>179</v>
      </c>
      <c r="P16" s="66"/>
      <c r="Q16" s="207"/>
      <c r="R16" s="207"/>
      <c r="S16" s="207"/>
      <c r="T16" s="207"/>
      <c r="U16" s="207"/>
    </row>
    <row r="17" ht="20.25" customHeight="1">
      <c r="A17" s="210" t="str">
        <f>OP!G15</f>
        <v>MPAGUALI01</v>
      </c>
      <c r="B17" s="5"/>
      <c r="C17" s="211" t="str">
        <f>OP!B15</f>
        <v>AGUA DESIONIZADA</v>
      </c>
      <c r="D17" s="11"/>
      <c r="E17" s="11"/>
      <c r="F17" s="11"/>
      <c r="G17" s="12"/>
      <c r="H17" s="212">
        <f>OP!M15</f>
        <v>91.43</v>
      </c>
      <c r="I17" s="11"/>
      <c r="J17" s="12"/>
      <c r="K17" s="213">
        <f>OP!N15</f>
        <v>82287</v>
      </c>
      <c r="L17" s="5"/>
      <c r="M17" s="49" t="str">
        <f>OP!J15</f>
        <v>AD252111</v>
      </c>
      <c r="N17" s="5"/>
      <c r="O17" s="49"/>
      <c r="P17" s="66"/>
      <c r="Q17" s="207"/>
      <c r="R17" s="161"/>
      <c r="S17" s="161"/>
      <c r="T17" s="161"/>
      <c r="U17" s="214"/>
    </row>
    <row r="18" ht="20.25" customHeight="1">
      <c r="A18" s="210" t="str">
        <f>OP!G16</f>
        <v>MPNIACSO01</v>
      </c>
      <c r="B18" s="5"/>
      <c r="C18" s="211" t="str">
        <f>OP!B16</f>
        <v>NIACINAMIDA</v>
      </c>
      <c r="D18" s="11"/>
      <c r="E18" s="11"/>
      <c r="F18" s="11"/>
      <c r="G18" s="12"/>
      <c r="H18" s="212">
        <f>OP!M16</f>
        <v>5</v>
      </c>
      <c r="I18" s="11"/>
      <c r="J18" s="12"/>
      <c r="K18" s="213">
        <f>OP!N16</f>
        <v>4500</v>
      </c>
      <c r="L18" s="5"/>
      <c r="M18" s="49" t="str">
        <f>OP!J16</f>
        <v>YT-NC20250428</v>
      </c>
      <c r="N18" s="5"/>
      <c r="O18" s="49"/>
      <c r="P18" s="66"/>
      <c r="Q18" s="207"/>
      <c r="R18" s="161"/>
      <c r="S18" s="161"/>
      <c r="T18" s="161"/>
      <c r="U18" s="161"/>
    </row>
    <row r="19" ht="20.25" customHeight="1">
      <c r="A19" s="210" t="str">
        <f>OP!G17</f>
        <v>MPBIOFELI01</v>
      </c>
      <c r="B19" s="5"/>
      <c r="C19" s="211" t="str">
        <f>OP!B17</f>
        <v>BIOSURE FE</v>
      </c>
      <c r="D19" s="11"/>
      <c r="E19" s="11"/>
      <c r="F19" s="11"/>
      <c r="G19" s="12"/>
      <c r="H19" s="212">
        <f>OP!M17</f>
        <v>1</v>
      </c>
      <c r="I19" s="11"/>
      <c r="J19" s="12"/>
      <c r="K19" s="213">
        <f>OP!N17</f>
        <v>900</v>
      </c>
      <c r="L19" s="5"/>
      <c r="M19" s="49">
        <f>OP!J17</f>
        <v>250127005</v>
      </c>
      <c r="N19" s="5"/>
      <c r="O19" s="49"/>
      <c r="P19" s="66"/>
      <c r="Q19" s="207"/>
      <c r="R19" s="161"/>
      <c r="S19" s="161"/>
      <c r="T19" s="161"/>
      <c r="U19" s="161"/>
    </row>
    <row r="20" ht="20.25" customHeight="1">
      <c r="A20" s="210" t="str">
        <f>OP!G18</f>
        <v>MPGLUCSO01</v>
      </c>
      <c r="B20" s="5"/>
      <c r="C20" s="211" t="str">
        <f>OP!B18</f>
        <v>N-ACETL GLUCOSAMINA </v>
      </c>
      <c r="D20" s="11"/>
      <c r="E20" s="11"/>
      <c r="F20" s="11"/>
      <c r="G20" s="12"/>
      <c r="H20" s="212">
        <f>OP!M18</f>
        <v>0.5</v>
      </c>
      <c r="I20" s="11"/>
      <c r="J20" s="12"/>
      <c r="K20" s="213">
        <f>OP!N18</f>
        <v>450</v>
      </c>
      <c r="L20" s="5"/>
      <c r="M20" s="49" t="str">
        <f>OP!J18</f>
        <v>YT-20251213</v>
      </c>
      <c r="N20" s="5"/>
      <c r="O20" s="49"/>
      <c r="P20" s="66"/>
      <c r="Q20" s="207"/>
      <c r="R20" s="161"/>
      <c r="S20" s="161"/>
      <c r="T20" s="161"/>
      <c r="U20" s="161"/>
    </row>
    <row r="21" ht="20.25" customHeight="1">
      <c r="A21" s="210" t="str">
        <f>OP!G19</f>
        <v>MPGLUCSO02</v>
      </c>
      <c r="B21" s="5"/>
      <c r="C21" s="211" t="str">
        <f>OP!B19</f>
        <v>GLUCONOLACTONA</v>
      </c>
      <c r="D21" s="11"/>
      <c r="E21" s="11"/>
      <c r="F21" s="11"/>
      <c r="G21" s="12"/>
      <c r="H21" s="212">
        <f>OP!M19</f>
        <v>0.3</v>
      </c>
      <c r="I21" s="11"/>
      <c r="J21" s="12"/>
      <c r="K21" s="213">
        <f>OP!N19</f>
        <v>270</v>
      </c>
      <c r="L21" s="5"/>
      <c r="M21" s="49" t="str">
        <f>OP!J19</f>
        <v>YT-G20250419</v>
      </c>
      <c r="N21" s="5"/>
      <c r="O21" s="49"/>
      <c r="P21" s="66"/>
      <c r="Q21" s="207"/>
      <c r="R21" s="161"/>
      <c r="S21" s="161"/>
      <c r="T21" s="161"/>
      <c r="U21" s="161"/>
    </row>
    <row r="22" ht="20.25" customHeight="1">
      <c r="A22" s="210" t="str">
        <f>OP!G20</f>
        <v>MPACHISO03</v>
      </c>
      <c r="B22" s="5"/>
      <c r="C22" s="211" t="str">
        <f>OP!B20</f>
        <v>ÁCIDO HIALURÓNICO 50 KD </v>
      </c>
      <c r="D22" s="11"/>
      <c r="E22" s="11"/>
      <c r="F22" s="11"/>
      <c r="G22" s="12"/>
      <c r="H22" s="212">
        <f>OP!M20</f>
        <v>0.35</v>
      </c>
      <c r="I22" s="11"/>
      <c r="J22" s="12"/>
      <c r="K22" s="213">
        <f>OP!N20</f>
        <v>315</v>
      </c>
      <c r="L22" s="5"/>
      <c r="M22" s="49" t="str">
        <f>OP!J20</f>
        <v>LYPH250219</v>
      </c>
      <c r="N22" s="5"/>
      <c r="O22" s="49"/>
      <c r="P22" s="66"/>
      <c r="Q22" s="207"/>
      <c r="R22" s="161"/>
      <c r="S22" s="161"/>
      <c r="T22" s="161"/>
      <c r="U22" s="161"/>
    </row>
    <row r="23" ht="20.25" customHeight="1">
      <c r="A23" s="210" t="str">
        <f>OP!G21</f>
        <v>MPACHISO01</v>
      </c>
      <c r="B23" s="5"/>
      <c r="C23" s="211" t="str">
        <f>OP!B21</f>
        <v>ÁCIDO HIALURÓNICO 1500 KD </v>
      </c>
      <c r="D23" s="11"/>
      <c r="E23" s="11"/>
      <c r="F23" s="11"/>
      <c r="G23" s="12"/>
      <c r="H23" s="212">
        <f>OP!M21</f>
        <v>0.05</v>
      </c>
      <c r="I23" s="11"/>
      <c r="J23" s="12"/>
      <c r="K23" s="213">
        <f>OP!N21</f>
        <v>45</v>
      </c>
      <c r="L23" s="5"/>
      <c r="M23" s="49" t="str">
        <f>OP!J21</f>
        <v>LYPH250219</v>
      </c>
      <c r="N23" s="5"/>
      <c r="O23" s="49"/>
      <c r="P23" s="66"/>
      <c r="Q23" s="207"/>
      <c r="R23" s="161"/>
      <c r="S23" s="161"/>
      <c r="T23" s="161"/>
      <c r="U23" s="161"/>
    </row>
    <row r="24" ht="20.25" customHeight="1">
      <c r="A24" s="210" t="str">
        <f>OP!G22</f>
        <v>MPACHISO02</v>
      </c>
      <c r="B24" s="5"/>
      <c r="C24" s="211" t="str">
        <f>OP!B22</f>
        <v>ÁCIDO HIALURÓNICO 300 KD </v>
      </c>
      <c r="D24" s="11"/>
      <c r="E24" s="11"/>
      <c r="F24" s="11"/>
      <c r="G24" s="12"/>
      <c r="H24" s="212">
        <f>OP!M22</f>
        <v>0.05</v>
      </c>
      <c r="I24" s="11"/>
      <c r="J24" s="12"/>
      <c r="K24" s="213">
        <f>OP!N22</f>
        <v>45</v>
      </c>
      <c r="L24" s="5"/>
      <c r="M24" s="49" t="str">
        <f>OP!J22</f>
        <v>LYPH250602</v>
      </c>
      <c r="N24" s="5"/>
      <c r="O24" s="49"/>
      <c r="P24" s="66"/>
      <c r="Q24" s="207"/>
      <c r="R24" s="161"/>
      <c r="S24" s="161"/>
      <c r="T24" s="161"/>
      <c r="U24" s="161"/>
    </row>
    <row r="25" ht="20.25" customHeight="1">
      <c r="A25" s="210" t="str">
        <f>OP!G23</f>
        <v>MPBETASO02</v>
      </c>
      <c r="B25" s="5"/>
      <c r="C25" s="211" t="str">
        <f>OP!B23</f>
        <v>BETAINA</v>
      </c>
      <c r="D25" s="11"/>
      <c r="E25" s="11"/>
      <c r="F25" s="11"/>
      <c r="G25" s="12"/>
      <c r="H25" s="212">
        <f>OP!M23</f>
        <v>0.05</v>
      </c>
      <c r="I25" s="11"/>
      <c r="J25" s="12"/>
      <c r="K25" s="213">
        <f>OP!N23</f>
        <v>45</v>
      </c>
      <c r="L25" s="5"/>
      <c r="M25" s="49" t="str">
        <f>OP!J23</f>
        <v>YT-20240405</v>
      </c>
      <c r="N25" s="5"/>
      <c r="O25" s="49"/>
      <c r="P25" s="66"/>
      <c r="Q25" s="207"/>
      <c r="R25" s="161"/>
      <c r="S25" s="161"/>
      <c r="T25" s="161"/>
      <c r="U25" s="161"/>
    </row>
    <row r="26" ht="20.25" customHeight="1">
      <c r="A26" s="210" t="str">
        <f>OP!G24</f>
        <v>MPECTOSO01</v>
      </c>
      <c r="B26" s="5"/>
      <c r="C26" s="211" t="str">
        <f>OP!B24</f>
        <v>ECTOINA</v>
      </c>
      <c r="D26" s="11"/>
      <c r="E26" s="11"/>
      <c r="F26" s="11"/>
      <c r="G26" s="12"/>
      <c r="H26" s="212">
        <f>OP!M24</f>
        <v>0.1</v>
      </c>
      <c r="I26" s="11"/>
      <c r="J26" s="12"/>
      <c r="K26" s="213">
        <f>OP!N24</f>
        <v>90</v>
      </c>
      <c r="L26" s="5"/>
      <c r="M26" s="49" t="str">
        <f>OP!J24</f>
        <v>YT-20250123</v>
      </c>
      <c r="N26" s="5"/>
      <c r="O26" s="49"/>
      <c r="P26" s="66"/>
      <c r="Q26" s="207"/>
      <c r="R26" s="161"/>
      <c r="S26" s="161"/>
      <c r="T26" s="161"/>
      <c r="U26" s="161"/>
    </row>
    <row r="27" ht="20.25" customHeight="1">
      <c r="A27" s="210" t="str">
        <f>OP!G25</f>
        <v>MPPANTSO01</v>
      </c>
      <c r="B27" s="5"/>
      <c r="C27" s="211" t="str">
        <f>OP!B25</f>
        <v>PANTENOL POLVO</v>
      </c>
      <c r="D27" s="11"/>
      <c r="E27" s="11"/>
      <c r="F27" s="11"/>
      <c r="G27" s="12"/>
      <c r="H27" s="212">
        <f>OP!M25</f>
        <v>0.05</v>
      </c>
      <c r="I27" s="11"/>
      <c r="J27" s="12"/>
      <c r="K27" s="213">
        <f>OP!N25</f>
        <v>45</v>
      </c>
      <c r="L27" s="5"/>
      <c r="M27" s="49" t="str">
        <f>OP!J25</f>
        <v>YT-20250402</v>
      </c>
      <c r="N27" s="5"/>
      <c r="O27" s="49"/>
      <c r="P27" s="66"/>
      <c r="Q27" s="207"/>
      <c r="R27" s="161"/>
      <c r="S27" s="161"/>
      <c r="T27" s="161"/>
      <c r="U27" s="161"/>
    </row>
    <row r="28" ht="20.25" customHeight="1">
      <c r="A28" s="210" t="str">
        <f>OP!G26</f>
        <v>MPVITESO01</v>
      </c>
      <c r="B28" s="5"/>
      <c r="C28" s="211" t="str">
        <f>OP!B26</f>
        <v>VITAMINA E POLVO</v>
      </c>
      <c r="D28" s="11"/>
      <c r="E28" s="11"/>
      <c r="F28" s="11"/>
      <c r="G28" s="12"/>
      <c r="H28" s="212">
        <f>OP!M26</f>
        <v>0.15</v>
      </c>
      <c r="I28" s="11"/>
      <c r="J28" s="12"/>
      <c r="K28" s="213">
        <f>OP!N26</f>
        <v>135</v>
      </c>
      <c r="L28" s="5"/>
      <c r="M28" s="49">
        <f>OP!J26</f>
        <v>20240217</v>
      </c>
      <c r="N28" s="5"/>
      <c r="O28" s="49"/>
      <c r="P28" s="66"/>
      <c r="Q28" s="207"/>
      <c r="R28" s="161"/>
      <c r="S28" s="161"/>
      <c r="T28" s="161"/>
      <c r="U28" s="161"/>
    </row>
    <row r="29" ht="20.25" customHeight="1">
      <c r="A29" s="210" t="str">
        <f>OP!G27</f>
        <v>MPTERSSO01</v>
      </c>
      <c r="B29" s="5"/>
      <c r="C29" s="211" t="str">
        <f>OP!B27</f>
        <v>TERPENOS SOLUBLES 80%</v>
      </c>
      <c r="D29" s="11"/>
      <c r="E29" s="11"/>
      <c r="F29" s="11"/>
      <c r="G29" s="12"/>
      <c r="H29" s="212">
        <f>OP!M27</f>
        <v>0.01</v>
      </c>
      <c r="I29" s="11"/>
      <c r="J29" s="12"/>
      <c r="K29" s="213">
        <f>OP!N27</f>
        <v>9</v>
      </c>
      <c r="L29" s="5"/>
      <c r="M29" s="49" t="str">
        <f>OP!J27</f>
        <v>YT-20250123</v>
      </c>
      <c r="N29" s="5"/>
      <c r="O29" s="49"/>
      <c r="P29" s="66"/>
      <c r="Q29" s="207"/>
      <c r="R29" s="161"/>
      <c r="S29" s="161"/>
      <c r="T29" s="161"/>
      <c r="U29" s="161"/>
    </row>
    <row r="30" ht="20.25" customHeight="1">
      <c r="A30" s="210" t="str">
        <f>OP!G28</f>
        <v>MPASIASO01</v>
      </c>
      <c r="B30" s="5"/>
      <c r="C30" s="211" t="str">
        <f>OP!B28</f>
        <v>ASIATICOSIDO</v>
      </c>
      <c r="D30" s="11"/>
      <c r="E30" s="11"/>
      <c r="F30" s="11"/>
      <c r="G30" s="12"/>
      <c r="H30" s="212">
        <f>OP!M28</f>
        <v>0.01</v>
      </c>
      <c r="I30" s="11"/>
      <c r="J30" s="12"/>
      <c r="K30" s="213">
        <f>OP!N28</f>
        <v>9</v>
      </c>
      <c r="L30" s="5"/>
      <c r="M30" s="49" t="str">
        <f>OP!J28</f>
        <v>YT-20250115</v>
      </c>
      <c r="N30" s="5"/>
      <c r="O30" s="49"/>
      <c r="P30" s="66"/>
      <c r="Q30" s="207"/>
      <c r="R30" s="161"/>
      <c r="S30" s="161"/>
      <c r="T30" s="161"/>
      <c r="U30" s="161"/>
    </row>
    <row r="31" ht="20.25" customHeight="1">
      <c r="A31" s="210" t="str">
        <f>OP!G29</f>
        <v>MPHEXDILI01</v>
      </c>
      <c r="B31" s="5"/>
      <c r="C31" s="211" t="str">
        <f>OP!B29</f>
        <v>1,2 HEXANEDIOL</v>
      </c>
      <c r="D31" s="11"/>
      <c r="E31" s="11"/>
      <c r="F31" s="11"/>
      <c r="G31" s="12"/>
      <c r="H31" s="212">
        <f>OP!M29</f>
        <v>0.5</v>
      </c>
      <c r="I31" s="11"/>
      <c r="J31" s="12"/>
      <c r="K31" s="213">
        <f>OP!N29</f>
        <v>450</v>
      </c>
      <c r="L31" s="5"/>
      <c r="M31" s="49" t="str">
        <f>OP!J29</f>
        <v>YT-20250504</v>
      </c>
      <c r="N31" s="5"/>
      <c r="O31" s="49"/>
      <c r="P31" s="66"/>
      <c r="Q31" s="207"/>
      <c r="R31" s="161"/>
      <c r="S31" s="161"/>
      <c r="T31" s="161"/>
      <c r="U31" s="161"/>
    </row>
    <row r="32" ht="20.25" customHeight="1">
      <c r="A32" s="210" t="str">
        <f>OP!G30</f>
        <v>MPGRANLI01</v>
      </c>
      <c r="B32" s="5"/>
      <c r="C32" s="211" t="str">
        <f>OP!B30</f>
        <v>GRANSIL VX419</v>
      </c>
      <c r="D32" s="11"/>
      <c r="E32" s="11"/>
      <c r="F32" s="11"/>
      <c r="G32" s="12"/>
      <c r="H32" s="212">
        <f>OP!M30</f>
        <v>0.3</v>
      </c>
      <c r="I32" s="11"/>
      <c r="J32" s="12"/>
      <c r="K32" s="213">
        <f>OP!N30</f>
        <v>270</v>
      </c>
      <c r="L32" s="5"/>
      <c r="M32" s="49" t="str">
        <f>OP!J30</f>
        <v>980305S1125</v>
      </c>
      <c r="N32" s="5"/>
      <c r="O32" s="49"/>
      <c r="P32" s="66"/>
      <c r="Q32" s="207"/>
      <c r="R32" s="161"/>
      <c r="S32" s="161"/>
      <c r="T32" s="161"/>
      <c r="U32" s="161"/>
    </row>
    <row r="33" ht="20.25" customHeight="1">
      <c r="A33" s="210" t="str">
        <f>OP!G31</f>
        <v>MPEDDISO01</v>
      </c>
      <c r="B33" s="5"/>
      <c r="C33" s="211" t="str">
        <f>OP!B31</f>
        <v>EDTA DISODICO</v>
      </c>
      <c r="D33" s="11"/>
      <c r="E33" s="11"/>
      <c r="F33" s="11"/>
      <c r="G33" s="12"/>
      <c r="H33" s="212">
        <f>OP!M31</f>
        <v>0.05</v>
      </c>
      <c r="I33" s="11"/>
      <c r="J33" s="12"/>
      <c r="K33" s="213">
        <f>OP!N31</f>
        <v>45</v>
      </c>
      <c r="L33" s="5"/>
      <c r="M33" s="49">
        <f>OP!J31</f>
        <v>20240815</v>
      </c>
      <c r="N33" s="5"/>
      <c r="O33" s="49"/>
      <c r="P33" s="66"/>
      <c r="Q33" s="207"/>
      <c r="R33" s="161"/>
      <c r="S33" s="161"/>
      <c r="T33" s="161"/>
      <c r="U33" s="161"/>
    </row>
    <row r="34" ht="20.25" customHeight="1">
      <c r="A34" s="210" t="str">
        <f>OP!G32</f>
        <v>MPGLICLI01</v>
      </c>
      <c r="B34" s="5"/>
      <c r="C34" s="211" t="str">
        <f>OP!B32</f>
        <v>GLICERINA</v>
      </c>
      <c r="D34" s="11"/>
      <c r="E34" s="11"/>
      <c r="F34" s="11"/>
      <c r="G34" s="12"/>
      <c r="H34" s="212">
        <f>OP!M32</f>
        <v>0.1</v>
      </c>
      <c r="I34" s="11"/>
      <c r="J34" s="12"/>
      <c r="K34" s="213">
        <f>OP!N32</f>
        <v>90</v>
      </c>
      <c r="L34" s="5"/>
      <c r="M34" s="49" t="str">
        <f>OP!J32</f>
        <v>021067-25</v>
      </c>
      <c r="N34" s="5"/>
      <c r="O34" s="49"/>
      <c r="P34" s="66"/>
      <c r="Q34" s="207"/>
      <c r="R34" s="161"/>
      <c r="S34" s="161"/>
      <c r="T34" s="161"/>
      <c r="U34" s="161"/>
    </row>
    <row r="35" ht="42.75" customHeight="1">
      <c r="A35" s="215" t="s">
        <v>180</v>
      </c>
      <c r="P35" s="69"/>
      <c r="Q35" s="216"/>
      <c r="R35" s="161"/>
      <c r="S35" s="161"/>
      <c r="T35" s="161"/>
      <c r="U35" s="161"/>
    </row>
    <row r="36" ht="38.25" customHeight="1">
      <c r="A36" s="121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4"/>
      <c r="Q36" s="55"/>
      <c r="R36" s="55"/>
      <c r="S36" s="55"/>
      <c r="T36" s="55"/>
      <c r="U36" s="55"/>
    </row>
    <row r="37" ht="12.0" customHeight="1">
      <c r="A37" s="195"/>
      <c r="P37" s="69"/>
      <c r="Q37" s="55"/>
      <c r="R37" s="55"/>
      <c r="S37" s="55"/>
      <c r="T37" s="55"/>
      <c r="U37" s="55"/>
    </row>
    <row r="38" ht="36.0" customHeight="1">
      <c r="A38" s="217" t="s">
        <v>181</v>
      </c>
      <c r="B38" s="40"/>
      <c r="C38" s="41"/>
      <c r="D38" s="218"/>
      <c r="E38" s="40"/>
      <c r="F38" s="40"/>
      <c r="G38" s="219"/>
      <c r="H38" s="220"/>
      <c r="I38" s="220"/>
      <c r="J38" s="220"/>
      <c r="K38" s="221" t="s">
        <v>182</v>
      </c>
      <c r="L38" s="41"/>
      <c r="M38" s="222"/>
      <c r="N38" s="40"/>
      <c r="O38" s="40"/>
      <c r="P38" s="63"/>
      <c r="Q38" s="55"/>
      <c r="R38" s="55"/>
      <c r="S38" s="55"/>
      <c r="T38" s="55"/>
      <c r="U38" s="55"/>
    </row>
    <row r="39" ht="36.0" customHeight="1">
      <c r="A39" s="223" t="s">
        <v>183</v>
      </c>
      <c r="B39" s="24"/>
      <c r="C39" s="5"/>
      <c r="D39" s="224"/>
      <c r="E39" s="224"/>
      <c r="F39" s="224"/>
      <c r="G39" s="224"/>
      <c r="H39" s="202"/>
      <c r="I39" s="202"/>
      <c r="J39" s="202"/>
      <c r="K39" s="225" t="s">
        <v>183</v>
      </c>
      <c r="L39" s="5"/>
      <c r="M39" s="199"/>
      <c r="N39" s="24"/>
      <c r="O39" s="24"/>
      <c r="P39" s="66"/>
      <c r="Q39" s="55"/>
      <c r="R39" s="55"/>
      <c r="S39" s="55"/>
      <c r="T39" s="55"/>
      <c r="U39" s="55"/>
    </row>
    <row r="40" ht="36.0" customHeight="1">
      <c r="A40" s="226" t="s">
        <v>184</v>
      </c>
      <c r="B40" s="30"/>
      <c r="C40" s="31"/>
      <c r="D40" s="227"/>
      <c r="E40" s="30"/>
      <c r="F40" s="30"/>
      <c r="G40" s="30"/>
      <c r="H40" s="30"/>
      <c r="I40" s="30"/>
      <c r="J40" s="31"/>
      <c r="K40" s="228" t="s">
        <v>184</v>
      </c>
      <c r="L40" s="31"/>
      <c r="M40" s="229"/>
      <c r="N40" s="30"/>
      <c r="O40" s="30"/>
      <c r="P40" s="160"/>
      <c r="Q40" s="55"/>
      <c r="R40" s="55"/>
      <c r="S40" s="55"/>
      <c r="T40" s="55"/>
      <c r="U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230"/>
      <c r="L41" s="230"/>
      <c r="M41" s="115"/>
      <c r="N41" s="116"/>
      <c r="O41" s="116"/>
      <c r="P41" s="55"/>
      <c r="Q41" s="55"/>
      <c r="R41" s="55"/>
      <c r="S41" s="55"/>
      <c r="T41" s="55"/>
      <c r="U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115"/>
      <c r="N42" s="116"/>
      <c r="O42" s="116"/>
      <c r="P42" s="55"/>
      <c r="Q42" s="55"/>
      <c r="R42" s="55"/>
      <c r="S42" s="55"/>
      <c r="T42" s="55"/>
      <c r="U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115"/>
      <c r="N43" s="116"/>
      <c r="O43" s="116"/>
      <c r="P43" s="55"/>
      <c r="Q43" s="55"/>
      <c r="R43" s="55"/>
      <c r="S43" s="55"/>
      <c r="T43" s="55"/>
      <c r="U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115"/>
      <c r="N44" s="116"/>
      <c r="O44" s="116"/>
      <c r="P44" s="55"/>
      <c r="Q44" s="55"/>
      <c r="R44" s="55"/>
      <c r="S44" s="55"/>
      <c r="T44" s="55"/>
      <c r="U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115"/>
      <c r="N45" s="116"/>
      <c r="O45" s="116"/>
      <c r="P45" s="55"/>
      <c r="Q45" s="55"/>
      <c r="R45" s="55"/>
      <c r="S45" s="55"/>
      <c r="T45" s="55"/>
      <c r="U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115"/>
      <c r="N46" s="116"/>
      <c r="O46" s="116"/>
      <c r="P46" s="55"/>
      <c r="Q46" s="55"/>
      <c r="R46" s="55"/>
      <c r="S46" s="55"/>
      <c r="T46" s="55"/>
      <c r="U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115"/>
      <c r="N47" s="116"/>
      <c r="O47" s="116"/>
      <c r="P47" s="55"/>
      <c r="Q47" s="55"/>
      <c r="R47" s="55"/>
      <c r="S47" s="55"/>
      <c r="T47" s="55"/>
      <c r="U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115"/>
      <c r="N48" s="116"/>
      <c r="O48" s="116"/>
      <c r="P48" s="55"/>
      <c r="Q48" s="55"/>
      <c r="R48" s="55"/>
      <c r="S48" s="55"/>
      <c r="T48" s="55"/>
      <c r="U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115"/>
      <c r="N49" s="116"/>
      <c r="O49" s="116"/>
      <c r="P49" s="55"/>
      <c r="Q49" s="55"/>
      <c r="R49" s="55"/>
      <c r="S49" s="55"/>
      <c r="T49" s="55"/>
      <c r="U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115"/>
      <c r="N50" s="116"/>
      <c r="O50" s="116"/>
      <c r="P50" s="55"/>
      <c r="Q50" s="55"/>
      <c r="R50" s="55"/>
      <c r="S50" s="55"/>
      <c r="T50" s="55"/>
      <c r="U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115"/>
      <c r="N51" s="116"/>
      <c r="O51" s="116"/>
      <c r="P51" s="55"/>
      <c r="Q51" s="55"/>
      <c r="R51" s="55"/>
      <c r="S51" s="55"/>
      <c r="T51" s="55"/>
      <c r="U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115"/>
      <c r="N52" s="116"/>
      <c r="O52" s="116"/>
      <c r="P52" s="55"/>
      <c r="Q52" s="55"/>
      <c r="R52" s="55"/>
      <c r="S52" s="55"/>
      <c r="T52" s="55"/>
      <c r="U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115"/>
      <c r="N53" s="116"/>
      <c r="O53" s="116"/>
      <c r="P53" s="55"/>
      <c r="Q53" s="55"/>
      <c r="R53" s="55"/>
      <c r="S53" s="55"/>
      <c r="T53" s="55"/>
      <c r="U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115"/>
      <c r="N54" s="116"/>
      <c r="O54" s="116"/>
      <c r="P54" s="55"/>
      <c r="Q54" s="55"/>
      <c r="R54" s="55"/>
      <c r="S54" s="55"/>
      <c r="T54" s="55"/>
      <c r="U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115"/>
      <c r="N55" s="116"/>
      <c r="O55" s="116"/>
      <c r="P55" s="55"/>
      <c r="Q55" s="55"/>
      <c r="R55" s="55"/>
      <c r="S55" s="55"/>
      <c r="T55" s="55"/>
      <c r="U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115"/>
      <c r="N56" s="116"/>
      <c r="O56" s="116"/>
      <c r="P56" s="55"/>
      <c r="Q56" s="55"/>
      <c r="R56" s="55"/>
      <c r="S56" s="55"/>
      <c r="T56" s="55"/>
      <c r="U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115"/>
      <c r="N57" s="116"/>
      <c r="O57" s="116"/>
      <c r="P57" s="55"/>
      <c r="Q57" s="55"/>
      <c r="R57" s="55"/>
      <c r="S57" s="55"/>
      <c r="T57" s="55"/>
      <c r="U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115"/>
      <c r="N58" s="116"/>
      <c r="O58" s="116"/>
      <c r="P58" s="55"/>
      <c r="Q58" s="55"/>
      <c r="R58" s="55"/>
      <c r="S58" s="55"/>
      <c r="T58" s="55"/>
      <c r="U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115"/>
      <c r="N59" s="116"/>
      <c r="O59" s="116"/>
      <c r="P59" s="55"/>
      <c r="Q59" s="55"/>
      <c r="R59" s="55"/>
      <c r="S59" s="55"/>
      <c r="T59" s="55"/>
      <c r="U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115"/>
      <c r="N60" s="116"/>
      <c r="O60" s="116"/>
      <c r="P60" s="55"/>
      <c r="Q60" s="55"/>
      <c r="R60" s="55"/>
      <c r="S60" s="55"/>
      <c r="T60" s="55"/>
      <c r="U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115"/>
      <c r="N61" s="116"/>
      <c r="O61" s="116"/>
      <c r="P61" s="55"/>
      <c r="Q61" s="55"/>
      <c r="R61" s="55"/>
      <c r="S61" s="55"/>
      <c r="T61" s="55"/>
      <c r="U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115"/>
      <c r="N62" s="116"/>
      <c r="O62" s="116"/>
      <c r="P62" s="55"/>
      <c r="Q62" s="55"/>
      <c r="R62" s="55"/>
      <c r="S62" s="55"/>
      <c r="T62" s="55"/>
      <c r="U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115"/>
      <c r="N63" s="116"/>
      <c r="O63" s="116"/>
      <c r="P63" s="55"/>
      <c r="Q63" s="55"/>
      <c r="R63" s="55"/>
      <c r="S63" s="55"/>
      <c r="T63" s="55"/>
      <c r="U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115"/>
      <c r="N64" s="116"/>
      <c r="O64" s="116"/>
      <c r="P64" s="55"/>
      <c r="Q64" s="55"/>
      <c r="R64" s="55"/>
      <c r="S64" s="55"/>
      <c r="T64" s="55"/>
      <c r="U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115"/>
      <c r="N65" s="116"/>
      <c r="O65" s="116"/>
      <c r="P65" s="55"/>
      <c r="Q65" s="55"/>
      <c r="R65" s="55"/>
      <c r="S65" s="55"/>
      <c r="T65" s="55"/>
      <c r="U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115"/>
      <c r="N66" s="116"/>
      <c r="O66" s="116"/>
      <c r="P66" s="55"/>
      <c r="Q66" s="55"/>
      <c r="R66" s="55"/>
      <c r="S66" s="55"/>
      <c r="T66" s="55"/>
      <c r="U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115"/>
      <c r="N67" s="116"/>
      <c r="O67" s="116"/>
      <c r="P67" s="55"/>
      <c r="Q67" s="55"/>
      <c r="R67" s="55"/>
      <c r="S67" s="55"/>
      <c r="T67" s="55"/>
      <c r="U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115"/>
      <c r="N68" s="116"/>
      <c r="O68" s="116"/>
      <c r="P68" s="55"/>
      <c r="Q68" s="55"/>
      <c r="R68" s="55"/>
      <c r="S68" s="55"/>
      <c r="T68" s="55"/>
      <c r="U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115"/>
      <c r="N69" s="116"/>
      <c r="O69" s="116"/>
      <c r="P69" s="55"/>
      <c r="Q69" s="55"/>
      <c r="R69" s="55"/>
      <c r="S69" s="55"/>
      <c r="T69" s="55"/>
      <c r="U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115"/>
      <c r="N70" s="116"/>
      <c r="O70" s="116"/>
      <c r="P70" s="55"/>
      <c r="Q70" s="55"/>
      <c r="R70" s="55"/>
      <c r="S70" s="55"/>
      <c r="T70" s="55"/>
      <c r="U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115"/>
      <c r="N71" s="116"/>
      <c r="O71" s="116"/>
      <c r="P71" s="55"/>
      <c r="Q71" s="55"/>
      <c r="R71" s="55"/>
      <c r="S71" s="55"/>
      <c r="T71" s="55"/>
      <c r="U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115"/>
      <c r="N72" s="116"/>
      <c r="O72" s="116"/>
      <c r="P72" s="55"/>
      <c r="Q72" s="55"/>
      <c r="R72" s="55"/>
      <c r="S72" s="55"/>
      <c r="T72" s="55"/>
      <c r="U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115"/>
      <c r="N73" s="116"/>
      <c r="O73" s="116"/>
      <c r="P73" s="55"/>
      <c r="Q73" s="55"/>
      <c r="R73" s="55"/>
      <c r="S73" s="55"/>
      <c r="T73" s="55"/>
      <c r="U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115"/>
      <c r="N74" s="116"/>
      <c r="O74" s="116"/>
      <c r="P74" s="55"/>
      <c r="Q74" s="55"/>
      <c r="R74" s="55"/>
      <c r="S74" s="55"/>
      <c r="T74" s="55"/>
      <c r="U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115"/>
      <c r="N75" s="116"/>
      <c r="O75" s="116"/>
      <c r="P75" s="55"/>
      <c r="Q75" s="55"/>
      <c r="R75" s="55"/>
      <c r="S75" s="55"/>
      <c r="T75" s="55"/>
      <c r="U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115"/>
      <c r="N76" s="116"/>
      <c r="O76" s="116"/>
      <c r="P76" s="55"/>
      <c r="Q76" s="55"/>
      <c r="R76" s="55"/>
      <c r="S76" s="55"/>
      <c r="T76" s="55"/>
      <c r="U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115"/>
      <c r="N77" s="116"/>
      <c r="O77" s="116"/>
      <c r="P77" s="55"/>
      <c r="Q77" s="55"/>
      <c r="R77" s="55"/>
      <c r="S77" s="55"/>
      <c r="T77" s="55"/>
      <c r="U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115"/>
      <c r="N78" s="116"/>
      <c r="O78" s="116"/>
      <c r="P78" s="55"/>
      <c r="Q78" s="55"/>
      <c r="R78" s="55"/>
      <c r="S78" s="55"/>
      <c r="T78" s="55"/>
      <c r="U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115"/>
      <c r="N79" s="116"/>
      <c r="O79" s="116"/>
      <c r="P79" s="55"/>
      <c r="Q79" s="55"/>
      <c r="R79" s="55"/>
      <c r="S79" s="55"/>
      <c r="T79" s="55"/>
      <c r="U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115"/>
      <c r="N80" s="116"/>
      <c r="O80" s="116"/>
      <c r="P80" s="55"/>
      <c r="Q80" s="55"/>
      <c r="R80" s="55"/>
      <c r="S80" s="55"/>
      <c r="T80" s="55"/>
      <c r="U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115"/>
      <c r="N81" s="116"/>
      <c r="O81" s="116"/>
      <c r="P81" s="55"/>
      <c r="Q81" s="55"/>
      <c r="R81" s="55"/>
      <c r="S81" s="55"/>
      <c r="T81" s="55"/>
      <c r="U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115"/>
      <c r="N82" s="116"/>
      <c r="O82" s="116"/>
      <c r="P82" s="55"/>
      <c r="Q82" s="55"/>
      <c r="R82" s="55"/>
      <c r="S82" s="55"/>
      <c r="T82" s="55"/>
      <c r="U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115"/>
      <c r="N83" s="116"/>
      <c r="O83" s="116"/>
      <c r="P83" s="55"/>
      <c r="Q83" s="55"/>
      <c r="R83" s="55"/>
      <c r="S83" s="55"/>
      <c r="T83" s="55"/>
      <c r="U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115"/>
      <c r="N84" s="116"/>
      <c r="O84" s="116"/>
      <c r="P84" s="55"/>
      <c r="Q84" s="55"/>
      <c r="R84" s="55"/>
      <c r="S84" s="55"/>
      <c r="T84" s="55"/>
      <c r="U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115"/>
      <c r="N85" s="116"/>
      <c r="O85" s="116"/>
      <c r="P85" s="55"/>
      <c r="Q85" s="55"/>
      <c r="R85" s="55"/>
      <c r="S85" s="55"/>
      <c r="T85" s="55"/>
      <c r="U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115"/>
      <c r="N86" s="116"/>
      <c r="O86" s="116"/>
      <c r="P86" s="55"/>
      <c r="Q86" s="55"/>
      <c r="R86" s="55"/>
      <c r="S86" s="55"/>
      <c r="T86" s="55"/>
      <c r="U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115"/>
      <c r="N87" s="116"/>
      <c r="O87" s="116"/>
      <c r="P87" s="55"/>
      <c r="Q87" s="55"/>
      <c r="R87" s="55"/>
      <c r="S87" s="55"/>
      <c r="T87" s="55"/>
      <c r="U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115"/>
      <c r="N88" s="116"/>
      <c r="O88" s="116"/>
      <c r="P88" s="55"/>
      <c r="Q88" s="55"/>
      <c r="R88" s="55"/>
      <c r="S88" s="55"/>
      <c r="T88" s="55"/>
      <c r="U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115"/>
      <c r="N89" s="116"/>
      <c r="O89" s="116"/>
      <c r="P89" s="55"/>
      <c r="Q89" s="55"/>
      <c r="R89" s="55"/>
      <c r="S89" s="55"/>
      <c r="T89" s="55"/>
      <c r="U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115"/>
      <c r="N90" s="116"/>
      <c r="O90" s="116"/>
      <c r="P90" s="55"/>
      <c r="Q90" s="55"/>
      <c r="R90" s="55"/>
      <c r="S90" s="55"/>
      <c r="T90" s="55"/>
      <c r="U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115"/>
      <c r="N91" s="116"/>
      <c r="O91" s="116"/>
      <c r="P91" s="55"/>
      <c r="Q91" s="55"/>
      <c r="R91" s="55"/>
      <c r="S91" s="55"/>
      <c r="T91" s="55"/>
      <c r="U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115"/>
      <c r="N92" s="116"/>
      <c r="O92" s="116"/>
      <c r="P92" s="55"/>
      <c r="Q92" s="55"/>
      <c r="R92" s="55"/>
      <c r="S92" s="55"/>
      <c r="T92" s="55"/>
      <c r="U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115"/>
      <c r="N93" s="116"/>
      <c r="O93" s="116"/>
      <c r="P93" s="55"/>
      <c r="Q93" s="55"/>
      <c r="R93" s="55"/>
      <c r="S93" s="55"/>
      <c r="T93" s="55"/>
      <c r="U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115"/>
      <c r="N94" s="116"/>
      <c r="O94" s="116"/>
      <c r="P94" s="55"/>
      <c r="Q94" s="55"/>
      <c r="R94" s="55"/>
      <c r="S94" s="55"/>
      <c r="T94" s="55"/>
      <c r="U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115"/>
      <c r="N95" s="116"/>
      <c r="O95" s="116"/>
      <c r="P95" s="55"/>
      <c r="Q95" s="55"/>
      <c r="R95" s="55"/>
      <c r="S95" s="55"/>
      <c r="T95" s="55"/>
      <c r="U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115"/>
      <c r="N96" s="116"/>
      <c r="O96" s="116"/>
      <c r="P96" s="55"/>
      <c r="Q96" s="55"/>
      <c r="R96" s="55"/>
      <c r="S96" s="55"/>
      <c r="T96" s="55"/>
      <c r="U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115"/>
      <c r="N97" s="116"/>
      <c r="O97" s="116"/>
      <c r="P97" s="55"/>
      <c r="Q97" s="55"/>
      <c r="R97" s="55"/>
      <c r="S97" s="55"/>
      <c r="T97" s="55"/>
      <c r="U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115"/>
      <c r="N98" s="116"/>
      <c r="O98" s="116"/>
      <c r="P98" s="55"/>
      <c r="Q98" s="55"/>
      <c r="R98" s="55"/>
      <c r="S98" s="55"/>
      <c r="T98" s="55"/>
      <c r="U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115"/>
      <c r="N99" s="116"/>
      <c r="O99" s="116"/>
      <c r="P99" s="55"/>
      <c r="Q99" s="55"/>
      <c r="R99" s="55"/>
      <c r="S99" s="55"/>
      <c r="T99" s="55"/>
      <c r="U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115"/>
      <c r="N100" s="116"/>
      <c r="O100" s="116"/>
      <c r="P100" s="55"/>
      <c r="Q100" s="55"/>
      <c r="R100" s="55"/>
      <c r="S100" s="55"/>
      <c r="T100" s="55"/>
      <c r="U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115"/>
      <c r="N101" s="116"/>
      <c r="O101" s="116"/>
      <c r="P101" s="55"/>
      <c r="Q101" s="55"/>
      <c r="R101" s="55"/>
      <c r="S101" s="55"/>
      <c r="T101" s="55"/>
      <c r="U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115"/>
      <c r="N102" s="116"/>
      <c r="O102" s="116"/>
      <c r="P102" s="55"/>
      <c r="Q102" s="55"/>
      <c r="R102" s="55"/>
      <c r="S102" s="55"/>
      <c r="T102" s="55"/>
      <c r="U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115"/>
      <c r="N103" s="116"/>
      <c r="O103" s="116"/>
      <c r="P103" s="55"/>
      <c r="Q103" s="55"/>
      <c r="R103" s="55"/>
      <c r="S103" s="55"/>
      <c r="T103" s="55"/>
      <c r="U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115"/>
      <c r="N104" s="116"/>
      <c r="O104" s="116"/>
      <c r="P104" s="55"/>
      <c r="Q104" s="55"/>
      <c r="R104" s="55"/>
      <c r="S104" s="55"/>
      <c r="T104" s="55"/>
      <c r="U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115"/>
      <c r="N105" s="116"/>
      <c r="O105" s="116"/>
      <c r="P105" s="55"/>
      <c r="Q105" s="55"/>
      <c r="R105" s="55"/>
      <c r="S105" s="55"/>
      <c r="T105" s="55"/>
      <c r="U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115"/>
      <c r="N106" s="116"/>
      <c r="O106" s="116"/>
      <c r="P106" s="55"/>
      <c r="Q106" s="55"/>
      <c r="R106" s="55"/>
      <c r="S106" s="55"/>
      <c r="T106" s="55"/>
      <c r="U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115"/>
      <c r="N107" s="116"/>
      <c r="O107" s="116"/>
      <c r="P107" s="55"/>
      <c r="Q107" s="55"/>
      <c r="R107" s="55"/>
      <c r="S107" s="55"/>
      <c r="T107" s="55"/>
      <c r="U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115"/>
      <c r="N108" s="116"/>
      <c r="O108" s="116"/>
      <c r="P108" s="55"/>
      <c r="Q108" s="55"/>
      <c r="R108" s="55"/>
      <c r="S108" s="55"/>
      <c r="T108" s="55"/>
      <c r="U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115"/>
      <c r="N109" s="116"/>
      <c r="O109" s="116"/>
      <c r="P109" s="55"/>
      <c r="Q109" s="55"/>
      <c r="R109" s="55"/>
      <c r="S109" s="55"/>
      <c r="T109" s="55"/>
      <c r="U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115"/>
      <c r="N110" s="116"/>
      <c r="O110" s="116"/>
      <c r="P110" s="55"/>
      <c r="Q110" s="55"/>
      <c r="R110" s="55"/>
      <c r="S110" s="55"/>
      <c r="T110" s="55"/>
      <c r="U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115"/>
      <c r="N111" s="116"/>
      <c r="O111" s="116"/>
      <c r="P111" s="55"/>
      <c r="Q111" s="55"/>
      <c r="R111" s="55"/>
      <c r="S111" s="55"/>
      <c r="T111" s="55"/>
      <c r="U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115"/>
      <c r="N112" s="116"/>
      <c r="O112" s="116"/>
      <c r="P112" s="55"/>
      <c r="Q112" s="55"/>
      <c r="R112" s="55"/>
      <c r="S112" s="55"/>
      <c r="T112" s="55"/>
      <c r="U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115"/>
      <c r="N113" s="116"/>
      <c r="O113" s="116"/>
      <c r="P113" s="55"/>
      <c r="Q113" s="55"/>
      <c r="R113" s="55"/>
      <c r="S113" s="55"/>
      <c r="T113" s="55"/>
      <c r="U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115"/>
      <c r="N114" s="116"/>
      <c r="O114" s="116"/>
      <c r="P114" s="55"/>
      <c r="Q114" s="55"/>
      <c r="R114" s="55"/>
      <c r="S114" s="55"/>
      <c r="T114" s="55"/>
      <c r="U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115"/>
      <c r="N115" s="116"/>
      <c r="O115" s="116"/>
      <c r="P115" s="55"/>
      <c r="Q115" s="55"/>
      <c r="R115" s="55"/>
      <c r="S115" s="55"/>
      <c r="T115" s="55"/>
      <c r="U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115"/>
      <c r="N116" s="116"/>
      <c r="O116" s="116"/>
      <c r="P116" s="55"/>
      <c r="Q116" s="55"/>
      <c r="R116" s="55"/>
      <c r="S116" s="55"/>
      <c r="T116" s="55"/>
      <c r="U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115"/>
      <c r="N117" s="116"/>
      <c r="O117" s="116"/>
      <c r="P117" s="55"/>
      <c r="Q117" s="55"/>
      <c r="R117" s="55"/>
      <c r="S117" s="55"/>
      <c r="T117" s="55"/>
      <c r="U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115"/>
      <c r="N118" s="116"/>
      <c r="O118" s="116"/>
      <c r="P118" s="55"/>
      <c r="Q118" s="55"/>
      <c r="R118" s="55"/>
      <c r="S118" s="55"/>
      <c r="T118" s="55"/>
      <c r="U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115"/>
      <c r="N119" s="116"/>
      <c r="O119" s="116"/>
      <c r="P119" s="55"/>
      <c r="Q119" s="55"/>
      <c r="R119" s="55"/>
      <c r="S119" s="55"/>
      <c r="T119" s="55"/>
      <c r="U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115"/>
      <c r="N120" s="116"/>
      <c r="O120" s="116"/>
      <c r="P120" s="55"/>
      <c r="Q120" s="55"/>
      <c r="R120" s="55"/>
      <c r="S120" s="55"/>
      <c r="T120" s="55"/>
      <c r="U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115"/>
      <c r="N121" s="116"/>
      <c r="O121" s="116"/>
      <c r="P121" s="55"/>
      <c r="Q121" s="55"/>
      <c r="R121" s="55"/>
      <c r="S121" s="55"/>
      <c r="T121" s="55"/>
      <c r="U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115"/>
      <c r="N122" s="116"/>
      <c r="O122" s="116"/>
      <c r="P122" s="55"/>
      <c r="Q122" s="55"/>
      <c r="R122" s="55"/>
      <c r="S122" s="55"/>
      <c r="T122" s="55"/>
      <c r="U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115"/>
      <c r="N123" s="116"/>
      <c r="O123" s="116"/>
      <c r="P123" s="55"/>
      <c r="Q123" s="55"/>
      <c r="R123" s="55"/>
      <c r="S123" s="55"/>
      <c r="T123" s="55"/>
      <c r="U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115"/>
      <c r="N124" s="116"/>
      <c r="O124" s="116"/>
      <c r="P124" s="55"/>
      <c r="Q124" s="55"/>
      <c r="R124" s="55"/>
      <c r="S124" s="55"/>
      <c r="T124" s="55"/>
      <c r="U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115"/>
      <c r="N125" s="116"/>
      <c r="O125" s="116"/>
      <c r="P125" s="55"/>
      <c r="Q125" s="55"/>
      <c r="R125" s="55"/>
      <c r="S125" s="55"/>
      <c r="T125" s="55"/>
      <c r="U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115"/>
      <c r="N126" s="116"/>
      <c r="O126" s="116"/>
      <c r="P126" s="55"/>
      <c r="Q126" s="55"/>
      <c r="R126" s="55"/>
      <c r="S126" s="55"/>
      <c r="T126" s="55"/>
      <c r="U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115"/>
      <c r="N127" s="116"/>
      <c r="O127" s="116"/>
      <c r="P127" s="55"/>
      <c r="Q127" s="55"/>
      <c r="R127" s="55"/>
      <c r="S127" s="55"/>
      <c r="T127" s="55"/>
      <c r="U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115"/>
      <c r="N128" s="116"/>
      <c r="O128" s="116"/>
      <c r="P128" s="55"/>
      <c r="Q128" s="55"/>
      <c r="R128" s="55"/>
      <c r="S128" s="55"/>
      <c r="T128" s="55"/>
      <c r="U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115"/>
      <c r="N129" s="116"/>
      <c r="O129" s="116"/>
      <c r="P129" s="55"/>
      <c r="Q129" s="55"/>
      <c r="R129" s="55"/>
      <c r="S129" s="55"/>
      <c r="T129" s="55"/>
      <c r="U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115"/>
      <c r="N130" s="116"/>
      <c r="O130" s="116"/>
      <c r="P130" s="55"/>
      <c r="Q130" s="55"/>
      <c r="R130" s="55"/>
      <c r="S130" s="55"/>
      <c r="T130" s="55"/>
      <c r="U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115"/>
      <c r="N131" s="116"/>
      <c r="O131" s="116"/>
      <c r="P131" s="55"/>
      <c r="Q131" s="55"/>
      <c r="R131" s="55"/>
      <c r="S131" s="55"/>
      <c r="T131" s="55"/>
      <c r="U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115"/>
      <c r="N132" s="116"/>
      <c r="O132" s="116"/>
      <c r="P132" s="55"/>
      <c r="Q132" s="55"/>
      <c r="R132" s="55"/>
      <c r="S132" s="55"/>
      <c r="T132" s="55"/>
      <c r="U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115"/>
      <c r="N133" s="116"/>
      <c r="O133" s="116"/>
      <c r="P133" s="55"/>
      <c r="Q133" s="55"/>
      <c r="R133" s="55"/>
      <c r="S133" s="55"/>
      <c r="T133" s="55"/>
      <c r="U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115"/>
      <c r="N134" s="116"/>
      <c r="O134" s="116"/>
      <c r="P134" s="55"/>
      <c r="Q134" s="55"/>
      <c r="R134" s="55"/>
      <c r="S134" s="55"/>
      <c r="T134" s="55"/>
      <c r="U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115"/>
      <c r="N135" s="116"/>
      <c r="O135" s="116"/>
      <c r="P135" s="55"/>
      <c r="Q135" s="55"/>
      <c r="R135" s="55"/>
      <c r="S135" s="55"/>
      <c r="T135" s="55"/>
      <c r="U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115"/>
      <c r="N136" s="116"/>
      <c r="O136" s="116"/>
      <c r="P136" s="55"/>
      <c r="Q136" s="55"/>
      <c r="R136" s="55"/>
      <c r="S136" s="55"/>
      <c r="T136" s="55"/>
      <c r="U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115"/>
      <c r="N137" s="116"/>
      <c r="O137" s="116"/>
      <c r="P137" s="55"/>
      <c r="Q137" s="55"/>
      <c r="R137" s="55"/>
      <c r="S137" s="55"/>
      <c r="T137" s="55"/>
      <c r="U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115"/>
      <c r="N138" s="116"/>
      <c r="O138" s="116"/>
      <c r="P138" s="55"/>
      <c r="Q138" s="55"/>
      <c r="R138" s="55"/>
      <c r="S138" s="55"/>
      <c r="T138" s="55"/>
      <c r="U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115"/>
      <c r="N139" s="116"/>
      <c r="O139" s="116"/>
      <c r="P139" s="55"/>
      <c r="Q139" s="55"/>
      <c r="R139" s="55"/>
      <c r="S139" s="55"/>
      <c r="T139" s="55"/>
      <c r="U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115"/>
      <c r="N140" s="116"/>
      <c r="O140" s="116"/>
      <c r="P140" s="55"/>
      <c r="Q140" s="55"/>
      <c r="R140" s="55"/>
      <c r="S140" s="55"/>
      <c r="T140" s="55"/>
      <c r="U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115"/>
      <c r="N141" s="116"/>
      <c r="O141" s="116"/>
      <c r="P141" s="55"/>
      <c r="Q141" s="55"/>
      <c r="R141" s="55"/>
      <c r="S141" s="55"/>
      <c r="T141" s="55"/>
      <c r="U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115"/>
      <c r="N142" s="116"/>
      <c r="O142" s="116"/>
      <c r="P142" s="55"/>
      <c r="Q142" s="55"/>
      <c r="R142" s="55"/>
      <c r="S142" s="55"/>
      <c r="T142" s="55"/>
      <c r="U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115"/>
      <c r="N143" s="116"/>
      <c r="O143" s="116"/>
      <c r="P143" s="55"/>
      <c r="Q143" s="55"/>
      <c r="R143" s="55"/>
      <c r="S143" s="55"/>
      <c r="T143" s="55"/>
      <c r="U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115"/>
      <c r="N144" s="116"/>
      <c r="O144" s="116"/>
      <c r="P144" s="55"/>
      <c r="Q144" s="55"/>
      <c r="R144" s="55"/>
      <c r="S144" s="55"/>
      <c r="T144" s="55"/>
      <c r="U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115"/>
      <c r="N145" s="116"/>
      <c r="O145" s="116"/>
      <c r="P145" s="55"/>
      <c r="Q145" s="55"/>
      <c r="R145" s="55"/>
      <c r="S145" s="55"/>
      <c r="T145" s="55"/>
      <c r="U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115"/>
      <c r="N146" s="116"/>
      <c r="O146" s="116"/>
      <c r="P146" s="55"/>
      <c r="Q146" s="55"/>
      <c r="R146" s="55"/>
      <c r="S146" s="55"/>
      <c r="T146" s="55"/>
      <c r="U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115"/>
      <c r="N147" s="116"/>
      <c r="O147" s="116"/>
      <c r="P147" s="55"/>
      <c r="Q147" s="55"/>
      <c r="R147" s="55"/>
      <c r="S147" s="55"/>
      <c r="T147" s="55"/>
      <c r="U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115"/>
      <c r="N148" s="116"/>
      <c r="O148" s="116"/>
      <c r="P148" s="55"/>
      <c r="Q148" s="55"/>
      <c r="R148" s="55"/>
      <c r="S148" s="55"/>
      <c r="T148" s="55"/>
      <c r="U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115"/>
      <c r="N149" s="116"/>
      <c r="O149" s="116"/>
      <c r="P149" s="55"/>
      <c r="Q149" s="55"/>
      <c r="R149" s="55"/>
      <c r="S149" s="55"/>
      <c r="T149" s="55"/>
      <c r="U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115"/>
      <c r="N150" s="116"/>
      <c r="O150" s="116"/>
      <c r="P150" s="55"/>
      <c r="Q150" s="55"/>
      <c r="R150" s="55"/>
      <c r="S150" s="55"/>
      <c r="T150" s="55"/>
      <c r="U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115"/>
      <c r="N151" s="116"/>
      <c r="O151" s="116"/>
      <c r="P151" s="55"/>
      <c r="Q151" s="55"/>
      <c r="R151" s="55"/>
      <c r="S151" s="55"/>
      <c r="T151" s="55"/>
      <c r="U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115"/>
      <c r="N152" s="116"/>
      <c r="O152" s="116"/>
      <c r="P152" s="55"/>
      <c r="Q152" s="55"/>
      <c r="R152" s="55"/>
      <c r="S152" s="55"/>
      <c r="T152" s="55"/>
      <c r="U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115"/>
      <c r="N153" s="116"/>
      <c r="O153" s="116"/>
      <c r="P153" s="55"/>
      <c r="Q153" s="55"/>
      <c r="R153" s="55"/>
      <c r="S153" s="55"/>
      <c r="T153" s="55"/>
      <c r="U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115"/>
      <c r="N154" s="116"/>
      <c r="O154" s="116"/>
      <c r="P154" s="55"/>
      <c r="Q154" s="55"/>
      <c r="R154" s="55"/>
      <c r="S154" s="55"/>
      <c r="T154" s="55"/>
      <c r="U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115"/>
      <c r="N155" s="116"/>
      <c r="O155" s="116"/>
      <c r="P155" s="55"/>
      <c r="Q155" s="55"/>
      <c r="R155" s="55"/>
      <c r="S155" s="55"/>
      <c r="T155" s="55"/>
      <c r="U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115"/>
      <c r="N156" s="116"/>
      <c r="O156" s="116"/>
      <c r="P156" s="55"/>
      <c r="Q156" s="55"/>
      <c r="R156" s="55"/>
      <c r="S156" s="55"/>
      <c r="T156" s="55"/>
      <c r="U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115"/>
      <c r="N157" s="116"/>
      <c r="O157" s="116"/>
      <c r="P157" s="55"/>
      <c r="Q157" s="55"/>
      <c r="R157" s="55"/>
      <c r="S157" s="55"/>
      <c r="T157" s="55"/>
      <c r="U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115"/>
      <c r="N158" s="116"/>
      <c r="O158" s="116"/>
      <c r="P158" s="55"/>
      <c r="Q158" s="55"/>
      <c r="R158" s="55"/>
      <c r="S158" s="55"/>
      <c r="T158" s="55"/>
      <c r="U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115"/>
      <c r="N159" s="116"/>
      <c r="O159" s="116"/>
      <c r="P159" s="55"/>
      <c r="Q159" s="55"/>
      <c r="R159" s="55"/>
      <c r="S159" s="55"/>
      <c r="T159" s="55"/>
      <c r="U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115"/>
      <c r="N160" s="116"/>
      <c r="O160" s="116"/>
      <c r="P160" s="55"/>
      <c r="Q160" s="55"/>
      <c r="R160" s="55"/>
      <c r="S160" s="55"/>
      <c r="T160" s="55"/>
      <c r="U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115"/>
      <c r="N161" s="116"/>
      <c r="O161" s="116"/>
      <c r="P161" s="55"/>
      <c r="Q161" s="55"/>
      <c r="R161" s="55"/>
      <c r="S161" s="55"/>
      <c r="T161" s="55"/>
      <c r="U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115"/>
      <c r="N162" s="116"/>
      <c r="O162" s="116"/>
      <c r="P162" s="55"/>
      <c r="Q162" s="55"/>
      <c r="R162" s="55"/>
      <c r="S162" s="55"/>
      <c r="T162" s="55"/>
      <c r="U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115"/>
      <c r="N163" s="116"/>
      <c r="O163" s="116"/>
      <c r="P163" s="55"/>
      <c r="Q163" s="55"/>
      <c r="R163" s="55"/>
      <c r="S163" s="55"/>
      <c r="T163" s="55"/>
      <c r="U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115"/>
      <c r="N164" s="116"/>
      <c r="O164" s="116"/>
      <c r="P164" s="55"/>
      <c r="Q164" s="55"/>
      <c r="R164" s="55"/>
      <c r="S164" s="55"/>
      <c r="T164" s="55"/>
      <c r="U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115"/>
      <c r="N165" s="116"/>
      <c r="O165" s="116"/>
      <c r="P165" s="55"/>
      <c r="Q165" s="55"/>
      <c r="R165" s="55"/>
      <c r="S165" s="55"/>
      <c r="T165" s="55"/>
      <c r="U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115"/>
      <c r="N166" s="116"/>
      <c r="O166" s="116"/>
      <c r="P166" s="55"/>
      <c r="Q166" s="55"/>
      <c r="R166" s="55"/>
      <c r="S166" s="55"/>
      <c r="T166" s="55"/>
      <c r="U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115"/>
      <c r="N167" s="116"/>
      <c r="O167" s="116"/>
      <c r="P167" s="55"/>
      <c r="Q167" s="55"/>
      <c r="R167" s="55"/>
      <c r="S167" s="55"/>
      <c r="T167" s="55"/>
      <c r="U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115"/>
      <c r="N168" s="116"/>
      <c r="O168" s="116"/>
      <c r="P168" s="55"/>
      <c r="Q168" s="55"/>
      <c r="R168" s="55"/>
      <c r="S168" s="55"/>
      <c r="T168" s="55"/>
      <c r="U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115"/>
      <c r="N169" s="116"/>
      <c r="O169" s="116"/>
      <c r="P169" s="55"/>
      <c r="Q169" s="55"/>
      <c r="R169" s="55"/>
      <c r="S169" s="55"/>
      <c r="T169" s="55"/>
      <c r="U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115"/>
      <c r="N170" s="116"/>
      <c r="O170" s="116"/>
      <c r="P170" s="55"/>
      <c r="Q170" s="55"/>
      <c r="R170" s="55"/>
      <c r="S170" s="55"/>
      <c r="T170" s="55"/>
      <c r="U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115"/>
      <c r="N171" s="116"/>
      <c r="O171" s="116"/>
      <c r="P171" s="55"/>
      <c r="Q171" s="55"/>
      <c r="R171" s="55"/>
      <c r="S171" s="55"/>
      <c r="T171" s="55"/>
      <c r="U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115"/>
      <c r="N172" s="116"/>
      <c r="O172" s="116"/>
      <c r="P172" s="55"/>
      <c r="Q172" s="55"/>
      <c r="R172" s="55"/>
      <c r="S172" s="55"/>
      <c r="T172" s="55"/>
      <c r="U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115"/>
      <c r="N173" s="116"/>
      <c r="O173" s="116"/>
      <c r="P173" s="55"/>
      <c r="Q173" s="55"/>
      <c r="R173" s="55"/>
      <c r="S173" s="55"/>
      <c r="T173" s="55"/>
      <c r="U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115"/>
      <c r="N174" s="116"/>
      <c r="O174" s="116"/>
      <c r="P174" s="55"/>
      <c r="Q174" s="55"/>
      <c r="R174" s="55"/>
      <c r="S174" s="55"/>
      <c r="T174" s="55"/>
      <c r="U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115"/>
      <c r="N175" s="116"/>
      <c r="O175" s="116"/>
      <c r="P175" s="55"/>
      <c r="Q175" s="55"/>
      <c r="R175" s="55"/>
      <c r="S175" s="55"/>
      <c r="T175" s="55"/>
      <c r="U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115"/>
      <c r="N176" s="116"/>
      <c r="O176" s="116"/>
      <c r="P176" s="55"/>
      <c r="Q176" s="55"/>
      <c r="R176" s="55"/>
      <c r="S176" s="55"/>
      <c r="T176" s="55"/>
      <c r="U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115"/>
      <c r="N177" s="116"/>
      <c r="O177" s="116"/>
      <c r="P177" s="55"/>
      <c r="Q177" s="55"/>
      <c r="R177" s="55"/>
      <c r="S177" s="55"/>
      <c r="T177" s="55"/>
      <c r="U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115"/>
      <c r="N178" s="116"/>
      <c r="O178" s="116"/>
      <c r="P178" s="55"/>
      <c r="Q178" s="55"/>
      <c r="R178" s="55"/>
      <c r="S178" s="55"/>
      <c r="T178" s="55"/>
      <c r="U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115"/>
      <c r="N179" s="116"/>
      <c r="O179" s="116"/>
      <c r="P179" s="55"/>
      <c r="Q179" s="55"/>
      <c r="R179" s="55"/>
      <c r="S179" s="55"/>
      <c r="T179" s="55"/>
      <c r="U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115"/>
      <c r="N180" s="116"/>
      <c r="O180" s="116"/>
      <c r="P180" s="55"/>
      <c r="Q180" s="55"/>
      <c r="R180" s="55"/>
      <c r="S180" s="55"/>
      <c r="T180" s="55"/>
      <c r="U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115"/>
      <c r="N181" s="116"/>
      <c r="O181" s="116"/>
      <c r="P181" s="55"/>
      <c r="Q181" s="55"/>
      <c r="R181" s="55"/>
      <c r="S181" s="55"/>
      <c r="T181" s="55"/>
      <c r="U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115"/>
      <c r="N182" s="116"/>
      <c r="O182" s="116"/>
      <c r="P182" s="55"/>
      <c r="Q182" s="55"/>
      <c r="R182" s="55"/>
      <c r="S182" s="55"/>
      <c r="T182" s="55"/>
      <c r="U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115"/>
      <c r="N183" s="116"/>
      <c r="O183" s="116"/>
      <c r="P183" s="55"/>
      <c r="Q183" s="55"/>
      <c r="R183" s="55"/>
      <c r="S183" s="55"/>
      <c r="T183" s="55"/>
      <c r="U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115"/>
      <c r="N184" s="116"/>
      <c r="O184" s="116"/>
      <c r="P184" s="55"/>
      <c r="Q184" s="55"/>
      <c r="R184" s="55"/>
      <c r="S184" s="55"/>
      <c r="T184" s="55"/>
      <c r="U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115"/>
      <c r="N185" s="116"/>
      <c r="O185" s="116"/>
      <c r="P185" s="55"/>
      <c r="Q185" s="55"/>
      <c r="R185" s="55"/>
      <c r="S185" s="55"/>
      <c r="T185" s="55"/>
      <c r="U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115"/>
      <c r="N186" s="116"/>
      <c r="O186" s="116"/>
      <c r="P186" s="55"/>
      <c r="Q186" s="55"/>
      <c r="R186" s="55"/>
      <c r="S186" s="55"/>
      <c r="T186" s="55"/>
      <c r="U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115"/>
      <c r="N187" s="116"/>
      <c r="O187" s="116"/>
      <c r="P187" s="55"/>
      <c r="Q187" s="55"/>
      <c r="R187" s="55"/>
      <c r="S187" s="55"/>
      <c r="T187" s="55"/>
      <c r="U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115"/>
      <c r="N188" s="116"/>
      <c r="O188" s="116"/>
      <c r="P188" s="55"/>
      <c r="Q188" s="55"/>
      <c r="R188" s="55"/>
      <c r="S188" s="55"/>
      <c r="T188" s="55"/>
      <c r="U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115"/>
      <c r="N189" s="116"/>
      <c r="O189" s="116"/>
      <c r="P189" s="55"/>
      <c r="Q189" s="55"/>
      <c r="R189" s="55"/>
      <c r="S189" s="55"/>
      <c r="T189" s="55"/>
      <c r="U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115"/>
      <c r="N190" s="116"/>
      <c r="O190" s="116"/>
      <c r="P190" s="55"/>
      <c r="Q190" s="55"/>
      <c r="R190" s="55"/>
      <c r="S190" s="55"/>
      <c r="T190" s="55"/>
      <c r="U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115"/>
      <c r="N191" s="116"/>
      <c r="O191" s="116"/>
      <c r="P191" s="55"/>
      <c r="Q191" s="55"/>
      <c r="R191" s="55"/>
      <c r="S191" s="55"/>
      <c r="T191" s="55"/>
      <c r="U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115"/>
      <c r="N192" s="116"/>
      <c r="O192" s="116"/>
      <c r="P192" s="55"/>
      <c r="Q192" s="55"/>
      <c r="R192" s="55"/>
      <c r="S192" s="55"/>
      <c r="T192" s="55"/>
      <c r="U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115"/>
      <c r="N193" s="116"/>
      <c r="O193" s="116"/>
      <c r="P193" s="55"/>
      <c r="Q193" s="55"/>
      <c r="R193" s="55"/>
      <c r="S193" s="55"/>
      <c r="T193" s="55"/>
      <c r="U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115"/>
      <c r="N194" s="116"/>
      <c r="O194" s="116"/>
      <c r="P194" s="55"/>
      <c r="Q194" s="55"/>
      <c r="R194" s="55"/>
      <c r="S194" s="55"/>
      <c r="T194" s="55"/>
      <c r="U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115"/>
      <c r="N195" s="116"/>
      <c r="O195" s="116"/>
      <c r="P195" s="55"/>
      <c r="Q195" s="55"/>
      <c r="R195" s="55"/>
      <c r="S195" s="55"/>
      <c r="T195" s="55"/>
      <c r="U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115"/>
      <c r="N196" s="116"/>
      <c r="O196" s="116"/>
      <c r="P196" s="55"/>
      <c r="Q196" s="55"/>
      <c r="R196" s="55"/>
      <c r="S196" s="55"/>
      <c r="T196" s="55"/>
      <c r="U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115"/>
      <c r="N197" s="116"/>
      <c r="O197" s="116"/>
      <c r="P197" s="55"/>
      <c r="Q197" s="55"/>
      <c r="R197" s="55"/>
      <c r="S197" s="55"/>
      <c r="T197" s="55"/>
      <c r="U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115"/>
      <c r="N198" s="116"/>
      <c r="O198" s="116"/>
      <c r="P198" s="55"/>
      <c r="Q198" s="55"/>
      <c r="R198" s="55"/>
      <c r="S198" s="55"/>
      <c r="T198" s="55"/>
      <c r="U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115"/>
      <c r="N199" s="116"/>
      <c r="O199" s="116"/>
      <c r="P199" s="55"/>
      <c r="Q199" s="55"/>
      <c r="R199" s="55"/>
      <c r="S199" s="55"/>
      <c r="T199" s="55"/>
      <c r="U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115"/>
      <c r="N200" s="116"/>
      <c r="O200" s="116"/>
      <c r="P200" s="55"/>
      <c r="Q200" s="55"/>
      <c r="R200" s="55"/>
      <c r="S200" s="55"/>
      <c r="T200" s="55"/>
      <c r="U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115"/>
      <c r="N201" s="116"/>
      <c r="O201" s="116"/>
      <c r="P201" s="55"/>
      <c r="Q201" s="55"/>
      <c r="R201" s="55"/>
      <c r="S201" s="55"/>
      <c r="T201" s="55"/>
      <c r="U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115"/>
      <c r="N202" s="116"/>
      <c r="O202" s="116"/>
      <c r="P202" s="55"/>
      <c r="Q202" s="55"/>
      <c r="R202" s="55"/>
      <c r="S202" s="55"/>
      <c r="T202" s="55"/>
      <c r="U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115"/>
      <c r="N203" s="116"/>
      <c r="O203" s="116"/>
      <c r="P203" s="55"/>
      <c r="Q203" s="55"/>
      <c r="R203" s="55"/>
      <c r="S203" s="55"/>
      <c r="T203" s="55"/>
      <c r="U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115"/>
      <c r="N204" s="116"/>
      <c r="O204" s="116"/>
      <c r="P204" s="55"/>
      <c r="Q204" s="55"/>
      <c r="R204" s="55"/>
      <c r="S204" s="55"/>
      <c r="T204" s="55"/>
      <c r="U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115"/>
      <c r="N205" s="116"/>
      <c r="O205" s="116"/>
      <c r="P205" s="55"/>
      <c r="Q205" s="55"/>
      <c r="R205" s="55"/>
      <c r="S205" s="55"/>
      <c r="T205" s="55"/>
      <c r="U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115"/>
      <c r="N206" s="116"/>
      <c r="O206" s="116"/>
      <c r="P206" s="55"/>
      <c r="Q206" s="55"/>
      <c r="R206" s="55"/>
      <c r="S206" s="55"/>
      <c r="T206" s="55"/>
      <c r="U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115"/>
      <c r="N207" s="116"/>
      <c r="O207" s="116"/>
      <c r="P207" s="55"/>
      <c r="Q207" s="55"/>
      <c r="R207" s="55"/>
      <c r="S207" s="55"/>
      <c r="T207" s="55"/>
      <c r="U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115"/>
      <c r="N208" s="116"/>
      <c r="O208" s="116"/>
      <c r="P208" s="55"/>
      <c r="Q208" s="55"/>
      <c r="R208" s="55"/>
      <c r="S208" s="55"/>
      <c r="T208" s="55"/>
      <c r="U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115"/>
      <c r="N209" s="116"/>
      <c r="O209" s="116"/>
      <c r="P209" s="55"/>
      <c r="Q209" s="55"/>
      <c r="R209" s="55"/>
      <c r="S209" s="55"/>
      <c r="T209" s="55"/>
      <c r="U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115"/>
      <c r="N210" s="116"/>
      <c r="O210" s="116"/>
      <c r="P210" s="55"/>
      <c r="Q210" s="55"/>
      <c r="R210" s="55"/>
      <c r="S210" s="55"/>
      <c r="T210" s="55"/>
      <c r="U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115"/>
      <c r="N211" s="116"/>
      <c r="O211" s="116"/>
      <c r="P211" s="55"/>
      <c r="Q211" s="55"/>
      <c r="R211" s="55"/>
      <c r="S211" s="55"/>
      <c r="T211" s="55"/>
      <c r="U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115"/>
      <c r="N212" s="116"/>
      <c r="O212" s="116"/>
      <c r="P212" s="55"/>
      <c r="Q212" s="55"/>
      <c r="R212" s="55"/>
      <c r="S212" s="55"/>
      <c r="T212" s="55"/>
      <c r="U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115"/>
      <c r="N213" s="116"/>
      <c r="O213" s="116"/>
      <c r="P213" s="55"/>
      <c r="Q213" s="55"/>
      <c r="R213" s="55"/>
      <c r="S213" s="55"/>
      <c r="T213" s="55"/>
      <c r="U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115"/>
      <c r="N214" s="116"/>
      <c r="O214" s="116"/>
      <c r="P214" s="55"/>
      <c r="Q214" s="55"/>
      <c r="R214" s="55"/>
      <c r="S214" s="55"/>
      <c r="T214" s="55"/>
      <c r="U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115"/>
      <c r="N215" s="116"/>
      <c r="O215" s="116"/>
      <c r="P215" s="55"/>
      <c r="Q215" s="55"/>
      <c r="R215" s="55"/>
      <c r="S215" s="55"/>
      <c r="T215" s="55"/>
      <c r="U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115"/>
      <c r="N216" s="116"/>
      <c r="O216" s="116"/>
      <c r="P216" s="55"/>
      <c r="Q216" s="55"/>
      <c r="R216" s="55"/>
      <c r="S216" s="55"/>
      <c r="T216" s="55"/>
      <c r="U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115"/>
      <c r="N217" s="116"/>
      <c r="O217" s="116"/>
      <c r="P217" s="55"/>
      <c r="Q217" s="55"/>
      <c r="R217" s="55"/>
      <c r="S217" s="55"/>
      <c r="T217" s="55"/>
      <c r="U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115"/>
      <c r="N218" s="116"/>
      <c r="O218" s="116"/>
      <c r="P218" s="55"/>
      <c r="Q218" s="55"/>
      <c r="R218" s="55"/>
      <c r="S218" s="55"/>
      <c r="T218" s="55"/>
      <c r="U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115"/>
      <c r="N219" s="116"/>
      <c r="O219" s="116"/>
      <c r="P219" s="55"/>
      <c r="Q219" s="55"/>
      <c r="R219" s="55"/>
      <c r="S219" s="55"/>
      <c r="T219" s="55"/>
      <c r="U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115"/>
      <c r="N220" s="116"/>
      <c r="O220" s="116"/>
      <c r="P220" s="55"/>
      <c r="Q220" s="55"/>
      <c r="R220" s="55"/>
      <c r="S220" s="55"/>
      <c r="T220" s="55"/>
      <c r="U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115"/>
      <c r="N221" s="116"/>
      <c r="O221" s="116"/>
      <c r="P221" s="55"/>
      <c r="Q221" s="55"/>
      <c r="R221" s="55"/>
      <c r="S221" s="55"/>
      <c r="T221" s="55"/>
      <c r="U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115"/>
      <c r="N222" s="116"/>
      <c r="O222" s="116"/>
      <c r="P222" s="55"/>
      <c r="Q222" s="55"/>
      <c r="R222" s="55"/>
      <c r="S222" s="55"/>
      <c r="T222" s="55"/>
      <c r="U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115"/>
      <c r="N223" s="116"/>
      <c r="O223" s="116"/>
      <c r="P223" s="55"/>
      <c r="Q223" s="55"/>
      <c r="R223" s="55"/>
      <c r="S223" s="55"/>
      <c r="T223" s="55"/>
      <c r="U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115"/>
      <c r="N224" s="116"/>
      <c r="O224" s="116"/>
      <c r="P224" s="55"/>
      <c r="Q224" s="55"/>
      <c r="R224" s="55"/>
      <c r="S224" s="55"/>
      <c r="T224" s="55"/>
      <c r="U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115"/>
      <c r="N225" s="116"/>
      <c r="O225" s="116"/>
      <c r="P225" s="55"/>
      <c r="Q225" s="55"/>
      <c r="R225" s="55"/>
      <c r="S225" s="55"/>
      <c r="T225" s="55"/>
      <c r="U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115"/>
      <c r="N226" s="116"/>
      <c r="O226" s="116"/>
      <c r="P226" s="55"/>
      <c r="Q226" s="55"/>
      <c r="R226" s="55"/>
      <c r="S226" s="55"/>
      <c r="T226" s="55"/>
      <c r="U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115"/>
      <c r="N227" s="116"/>
      <c r="O227" s="116"/>
      <c r="P227" s="55"/>
      <c r="Q227" s="55"/>
      <c r="R227" s="55"/>
      <c r="S227" s="55"/>
      <c r="T227" s="55"/>
      <c r="U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115"/>
      <c r="N228" s="116"/>
      <c r="O228" s="116"/>
      <c r="P228" s="55"/>
      <c r="Q228" s="55"/>
      <c r="R228" s="55"/>
      <c r="S228" s="55"/>
      <c r="T228" s="55"/>
      <c r="U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115"/>
      <c r="N229" s="116"/>
      <c r="O229" s="116"/>
      <c r="P229" s="55"/>
      <c r="Q229" s="55"/>
      <c r="R229" s="55"/>
      <c r="S229" s="55"/>
      <c r="T229" s="55"/>
      <c r="U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115"/>
      <c r="N230" s="116"/>
      <c r="O230" s="116"/>
      <c r="P230" s="55"/>
      <c r="Q230" s="55"/>
      <c r="R230" s="55"/>
      <c r="S230" s="55"/>
      <c r="T230" s="55"/>
      <c r="U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115"/>
      <c r="N231" s="116"/>
      <c r="O231" s="116"/>
      <c r="P231" s="55"/>
      <c r="Q231" s="55"/>
      <c r="R231" s="55"/>
      <c r="S231" s="55"/>
      <c r="T231" s="55"/>
      <c r="U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115"/>
      <c r="N232" s="116"/>
      <c r="O232" s="116"/>
      <c r="P232" s="55"/>
      <c r="Q232" s="55"/>
      <c r="R232" s="55"/>
      <c r="S232" s="55"/>
      <c r="T232" s="55"/>
      <c r="U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115"/>
      <c r="N233" s="116"/>
      <c r="O233" s="116"/>
      <c r="P233" s="55"/>
      <c r="Q233" s="55"/>
      <c r="R233" s="55"/>
      <c r="S233" s="55"/>
      <c r="T233" s="55"/>
      <c r="U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115"/>
      <c r="N234" s="116"/>
      <c r="O234" s="116"/>
      <c r="P234" s="55"/>
      <c r="Q234" s="55"/>
      <c r="R234" s="55"/>
      <c r="S234" s="55"/>
      <c r="T234" s="55"/>
      <c r="U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115"/>
      <c r="N235" s="116"/>
      <c r="O235" s="116"/>
      <c r="P235" s="55"/>
      <c r="Q235" s="55"/>
      <c r="R235" s="55"/>
      <c r="S235" s="55"/>
      <c r="T235" s="55"/>
      <c r="U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115"/>
      <c r="N236" s="116"/>
      <c r="O236" s="116"/>
      <c r="P236" s="55"/>
      <c r="Q236" s="55"/>
      <c r="R236" s="55"/>
      <c r="S236" s="55"/>
      <c r="T236" s="55"/>
      <c r="U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115"/>
      <c r="N237" s="116"/>
      <c r="O237" s="116"/>
      <c r="P237" s="55"/>
      <c r="Q237" s="55"/>
      <c r="R237" s="55"/>
      <c r="S237" s="55"/>
      <c r="T237" s="55"/>
      <c r="U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115"/>
      <c r="N238" s="116"/>
      <c r="O238" s="116"/>
      <c r="P238" s="55"/>
      <c r="Q238" s="55"/>
      <c r="R238" s="55"/>
      <c r="S238" s="55"/>
      <c r="T238" s="55"/>
      <c r="U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115"/>
      <c r="N239" s="116"/>
      <c r="O239" s="116"/>
      <c r="P239" s="55"/>
      <c r="Q239" s="55"/>
      <c r="R239" s="55"/>
      <c r="S239" s="55"/>
      <c r="T239" s="55"/>
      <c r="U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115"/>
      <c r="N240" s="116"/>
      <c r="O240" s="116"/>
      <c r="P240" s="55"/>
      <c r="Q240" s="55"/>
      <c r="R240" s="55"/>
      <c r="S240" s="55"/>
      <c r="T240" s="55"/>
      <c r="U240" s="55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59">
    <mergeCell ref="K16:L16"/>
    <mergeCell ref="M16:N16"/>
    <mergeCell ref="K17:L17"/>
    <mergeCell ref="M17:N17"/>
    <mergeCell ref="O17:P17"/>
    <mergeCell ref="K18:L18"/>
    <mergeCell ref="M18:N18"/>
    <mergeCell ref="O18:P18"/>
    <mergeCell ref="C16:G16"/>
    <mergeCell ref="H16:J16"/>
    <mergeCell ref="A17:B17"/>
    <mergeCell ref="C17:G17"/>
    <mergeCell ref="H17:J17"/>
    <mergeCell ref="C18:G18"/>
    <mergeCell ref="H18:J1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A11:M11"/>
    <mergeCell ref="N11:O11"/>
    <mergeCell ref="A12:M12"/>
    <mergeCell ref="N12:O12"/>
    <mergeCell ref="A14:P14"/>
    <mergeCell ref="A15:P15"/>
    <mergeCell ref="A16:B16"/>
    <mergeCell ref="O16:P16"/>
    <mergeCell ref="A18:B18"/>
    <mergeCell ref="A19:B19"/>
    <mergeCell ref="C19:G19"/>
    <mergeCell ref="H19:J19"/>
    <mergeCell ref="K19:L19"/>
    <mergeCell ref="M19:N19"/>
    <mergeCell ref="O19:P19"/>
    <mergeCell ref="C24:G24"/>
    <mergeCell ref="H24:J24"/>
    <mergeCell ref="K24:L24"/>
    <mergeCell ref="M24:N24"/>
    <mergeCell ref="O24:P24"/>
    <mergeCell ref="H25:J25"/>
    <mergeCell ref="O25:P25"/>
    <mergeCell ref="C25:G25"/>
    <mergeCell ref="C26:G26"/>
    <mergeCell ref="H26:J26"/>
    <mergeCell ref="K26:L26"/>
    <mergeCell ref="M26:N26"/>
    <mergeCell ref="O26:P26"/>
    <mergeCell ref="C27:G27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29:B29"/>
    <mergeCell ref="H31:J31"/>
    <mergeCell ref="K31:L31"/>
    <mergeCell ref="C29:G29"/>
    <mergeCell ref="C30:G30"/>
    <mergeCell ref="H30:J30"/>
    <mergeCell ref="K30:L30"/>
    <mergeCell ref="M30:N30"/>
    <mergeCell ref="O30:P30"/>
    <mergeCell ref="C31:G31"/>
    <mergeCell ref="K33:L33"/>
    <mergeCell ref="M33:N33"/>
    <mergeCell ref="C32:G32"/>
    <mergeCell ref="H32:J32"/>
    <mergeCell ref="K32:L32"/>
    <mergeCell ref="M32:N32"/>
    <mergeCell ref="O32:P32"/>
    <mergeCell ref="H33:J33"/>
    <mergeCell ref="O33:P33"/>
    <mergeCell ref="C33:G33"/>
    <mergeCell ref="C34:G34"/>
    <mergeCell ref="H34:J34"/>
    <mergeCell ref="K34:L34"/>
    <mergeCell ref="M34:N34"/>
    <mergeCell ref="O34:P34"/>
    <mergeCell ref="A35:P36"/>
    <mergeCell ref="A39:C39"/>
    <mergeCell ref="A40:C40"/>
    <mergeCell ref="D40:J40"/>
    <mergeCell ref="K40:L40"/>
    <mergeCell ref="M40:P40"/>
    <mergeCell ref="A37:P37"/>
    <mergeCell ref="A38:C38"/>
    <mergeCell ref="D38:G38"/>
    <mergeCell ref="K38:L38"/>
    <mergeCell ref="M38:P38"/>
    <mergeCell ref="K39:L39"/>
    <mergeCell ref="M39:P39"/>
    <mergeCell ref="K21:L21"/>
    <mergeCell ref="M21:N21"/>
    <mergeCell ref="K22:L22"/>
    <mergeCell ref="M22:N22"/>
    <mergeCell ref="O22:P22"/>
    <mergeCell ref="K23:L23"/>
    <mergeCell ref="M23:N23"/>
    <mergeCell ref="O23:P23"/>
    <mergeCell ref="A20:B20"/>
    <mergeCell ref="C20:G20"/>
    <mergeCell ref="H20:J20"/>
    <mergeCell ref="K20:L20"/>
    <mergeCell ref="M20:N20"/>
    <mergeCell ref="O20:P20"/>
    <mergeCell ref="A21:B21"/>
    <mergeCell ref="O21:P21"/>
    <mergeCell ref="C21:G21"/>
    <mergeCell ref="H21:J21"/>
    <mergeCell ref="A22:B22"/>
    <mergeCell ref="C22:G22"/>
    <mergeCell ref="H22:J22"/>
    <mergeCell ref="C23:G23"/>
    <mergeCell ref="H23:J23"/>
    <mergeCell ref="K25:L25"/>
    <mergeCell ref="M25:N25"/>
    <mergeCell ref="M27:N27"/>
    <mergeCell ref="O27:P27"/>
    <mergeCell ref="M28:N28"/>
    <mergeCell ref="O28:P28"/>
    <mergeCell ref="M29:N29"/>
    <mergeCell ref="O29:P29"/>
    <mergeCell ref="H27:J27"/>
    <mergeCell ref="K27:L27"/>
    <mergeCell ref="C28:G28"/>
    <mergeCell ref="H28:J28"/>
    <mergeCell ref="K28:L28"/>
    <mergeCell ref="H29:J29"/>
    <mergeCell ref="K29:L29"/>
    <mergeCell ref="M31:N31"/>
    <mergeCell ref="O31:P31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5.0" customHeight="1">
      <c r="A1" s="60"/>
      <c r="B1" s="46"/>
      <c r="C1" s="47"/>
      <c r="D1" s="61" t="s">
        <v>0</v>
      </c>
      <c r="E1" s="46"/>
      <c r="F1" s="46"/>
      <c r="G1" s="46"/>
      <c r="H1" s="46"/>
      <c r="I1" s="46"/>
      <c r="J1" s="46"/>
      <c r="K1" s="46"/>
      <c r="L1" s="47"/>
      <c r="M1" s="62" t="s">
        <v>1</v>
      </c>
      <c r="N1" s="41"/>
      <c r="O1" s="62" t="s">
        <v>185</v>
      </c>
      <c r="P1" s="63"/>
    </row>
    <row r="2" ht="15.0" customHeight="1">
      <c r="A2" s="64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111"/>
    </row>
    <row r="3" ht="15.0" customHeight="1">
      <c r="A3" s="64"/>
      <c r="C3" s="9"/>
      <c r="D3" s="231" t="s">
        <v>186</v>
      </c>
      <c r="E3" s="2"/>
      <c r="F3" s="2"/>
      <c r="G3" s="2"/>
      <c r="H3" s="2"/>
      <c r="I3" s="2"/>
      <c r="J3" s="2"/>
      <c r="K3" s="2"/>
      <c r="L3" s="111"/>
      <c r="M3" s="13" t="s">
        <v>5</v>
      </c>
      <c r="N3" s="12"/>
      <c r="O3" s="4" t="s">
        <v>6</v>
      </c>
      <c r="P3" s="66"/>
    </row>
    <row r="4" ht="15.0" customHeight="1">
      <c r="A4" s="64"/>
      <c r="C4" s="9"/>
      <c r="D4" s="8"/>
      <c r="L4" s="69"/>
      <c r="M4" s="1" t="s">
        <v>7</v>
      </c>
      <c r="N4" s="3"/>
      <c r="O4" s="17" t="s">
        <v>8</v>
      </c>
      <c r="P4" s="66"/>
    </row>
    <row r="5" ht="15.75" customHeight="1">
      <c r="A5" s="67"/>
      <c r="B5" s="11"/>
      <c r="C5" s="12"/>
      <c r="D5" s="10"/>
      <c r="E5" s="11"/>
      <c r="F5" s="11"/>
      <c r="G5" s="11"/>
      <c r="H5" s="11"/>
      <c r="I5" s="11"/>
      <c r="J5" s="11"/>
      <c r="K5" s="11"/>
      <c r="L5" s="88"/>
      <c r="M5" s="10"/>
      <c r="N5" s="12"/>
      <c r="O5" s="18" t="s">
        <v>9</v>
      </c>
      <c r="P5" s="66"/>
      <c r="Q5" s="55"/>
      <c r="R5" s="55"/>
      <c r="S5" s="55"/>
    </row>
    <row r="6" ht="12.0" customHeight="1">
      <c r="A6" s="232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87"/>
      <c r="R6" s="187"/>
      <c r="S6" s="187"/>
    </row>
    <row r="7" ht="36.0" customHeight="1">
      <c r="A7" s="233" t="s">
        <v>10</v>
      </c>
      <c r="B7" s="40"/>
      <c r="C7" s="40"/>
      <c r="D7" s="40"/>
      <c r="E7" s="41"/>
      <c r="F7" s="25" t="str">
        <f>'DISPENSACIÓN'!F7</f>
        <v>SUERO DE NIACINAMIDA 5%</v>
      </c>
      <c r="G7" s="24"/>
      <c r="H7" s="24"/>
      <c r="I7" s="24"/>
      <c r="J7" s="24"/>
      <c r="K7" s="24"/>
      <c r="L7" s="24"/>
      <c r="M7" s="24"/>
      <c r="N7" s="24"/>
      <c r="O7" s="24"/>
      <c r="P7" s="66"/>
      <c r="Q7" s="55"/>
      <c r="R7" s="55"/>
      <c r="S7" s="55"/>
    </row>
    <row r="8" ht="36.0" customHeight="1">
      <c r="A8" s="234" t="s">
        <v>187</v>
      </c>
      <c r="B8" s="79"/>
      <c r="C8" s="79"/>
      <c r="D8" s="79"/>
      <c r="E8" s="82"/>
      <c r="F8" s="235" t="str">
        <f>'DISPENSACIÓN'!F8</f>
        <v>252111</v>
      </c>
      <c r="G8" s="5"/>
      <c r="H8" s="236" t="s">
        <v>188</v>
      </c>
      <c r="I8" s="24"/>
      <c r="J8" s="24"/>
      <c r="K8" s="5"/>
      <c r="L8" s="237"/>
      <c r="M8" s="238" t="s">
        <v>189</v>
      </c>
      <c r="N8" s="5"/>
      <c r="O8" s="239"/>
      <c r="P8" s="5"/>
      <c r="Q8" s="55"/>
      <c r="R8" s="55"/>
      <c r="S8" s="55"/>
    </row>
    <row r="9" ht="36.0" customHeight="1">
      <c r="A9" s="240" t="s">
        <v>190</v>
      </c>
      <c r="B9" s="241"/>
      <c r="C9" s="241"/>
      <c r="D9" s="241"/>
      <c r="E9" s="242"/>
      <c r="F9" s="243" t="str">
        <f>'DISPENSACIÓN'!F9</f>
        <v>OP-L-099</v>
      </c>
      <c r="G9" s="3"/>
      <c r="H9" s="244" t="s">
        <v>191</v>
      </c>
      <c r="I9" s="30"/>
      <c r="J9" s="30"/>
      <c r="K9" s="31"/>
      <c r="L9" s="245"/>
      <c r="M9" s="246" t="s">
        <v>192</v>
      </c>
      <c r="N9" s="31"/>
      <c r="O9" s="247"/>
      <c r="P9" s="31"/>
      <c r="Q9" s="55"/>
      <c r="R9" s="55"/>
      <c r="S9" s="55"/>
    </row>
    <row r="10" ht="12.0" customHeight="1">
      <c r="A10" s="24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19"/>
      <c r="Q10" s="55"/>
      <c r="R10" s="55"/>
      <c r="S10" s="55"/>
    </row>
    <row r="11" ht="39.0" customHeight="1">
      <c r="A11" s="249" t="s">
        <v>193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6"/>
      <c r="N11" s="250" t="s">
        <v>172</v>
      </c>
      <c r="O11" s="76"/>
      <c r="P11" s="251" t="s">
        <v>173</v>
      </c>
      <c r="Q11" s="55"/>
      <c r="R11" s="55"/>
      <c r="S11" s="55"/>
    </row>
    <row r="12" ht="45.0" customHeight="1">
      <c r="A12" s="252" t="s">
        <v>194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5"/>
      <c r="N12" s="199"/>
      <c r="O12" s="5"/>
      <c r="P12" s="253"/>
      <c r="Q12" s="55"/>
      <c r="R12" s="55"/>
      <c r="S12" s="55"/>
    </row>
    <row r="13" ht="12.0" customHeight="1">
      <c r="A13" s="254"/>
      <c r="B13" s="241"/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2"/>
      <c r="Q13" s="55"/>
      <c r="R13" s="55"/>
      <c r="S13" s="55"/>
    </row>
    <row r="14" ht="36.0" customHeight="1">
      <c r="A14" s="255" t="s">
        <v>195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1"/>
      <c r="Q14" s="55"/>
      <c r="R14" s="55"/>
      <c r="S14" s="55"/>
    </row>
    <row r="15">
      <c r="A15" s="25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55"/>
      <c r="R15" s="55"/>
      <c r="S15" s="55"/>
    </row>
    <row r="16" ht="133.5" customHeight="1">
      <c r="A16" s="257" t="s">
        <v>196</v>
      </c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19"/>
      <c r="Q16" s="55"/>
      <c r="R16" s="55"/>
      <c r="S16" s="55"/>
    </row>
    <row r="17" ht="148.5" customHeight="1">
      <c r="A17" s="258" t="s">
        <v>197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19"/>
      <c r="Q17" s="55"/>
      <c r="R17" s="55"/>
      <c r="S17" s="55"/>
    </row>
    <row r="18" ht="203.25" customHeight="1">
      <c r="A18" s="258" t="s">
        <v>198</v>
      </c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19"/>
      <c r="Q18" s="55"/>
      <c r="R18" s="55"/>
      <c r="S18" s="55"/>
    </row>
    <row r="19" ht="45.75" customHeight="1">
      <c r="A19" s="257" t="s">
        <v>199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19"/>
      <c r="Q19" s="55"/>
      <c r="R19" s="55"/>
      <c r="S19" s="55"/>
    </row>
    <row r="20" ht="60.75" customHeight="1">
      <c r="A20" s="259" t="s">
        <v>200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260"/>
      <c r="Q20" s="55"/>
      <c r="R20" s="55"/>
      <c r="S20" s="55"/>
    </row>
    <row r="21" ht="30.75" customHeight="1">
      <c r="A21" s="261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19"/>
      <c r="Q21" s="55"/>
      <c r="R21" s="55"/>
      <c r="S21" s="55"/>
    </row>
    <row r="22" ht="27.75" customHeight="1">
      <c r="A22" s="262" t="s">
        <v>201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7"/>
      <c r="Q22" s="55"/>
      <c r="R22" s="55"/>
      <c r="S22" s="55"/>
    </row>
    <row r="23" ht="27.75" customHeight="1">
      <c r="A23" s="26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260"/>
      <c r="Q23" s="55"/>
      <c r="R23" s="55"/>
      <c r="S23" s="55"/>
    </row>
    <row r="24" ht="12.0" customHeight="1">
      <c r="A24" s="24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19"/>
      <c r="Q24" s="187"/>
      <c r="R24" s="187"/>
      <c r="S24" s="187"/>
    </row>
    <row r="25" ht="36.0" customHeight="1">
      <c r="A25" s="264" t="s">
        <v>202</v>
      </c>
      <c r="B25" s="40"/>
      <c r="C25" s="41"/>
      <c r="D25" s="265"/>
      <c r="E25" s="40"/>
      <c r="F25" s="40"/>
      <c r="G25" s="219"/>
      <c r="H25" s="266"/>
      <c r="I25" s="266"/>
      <c r="J25" s="266"/>
      <c r="K25" s="264" t="s">
        <v>182</v>
      </c>
      <c r="L25" s="41"/>
      <c r="M25" s="265"/>
      <c r="N25" s="40"/>
      <c r="O25" s="40"/>
      <c r="P25" s="41"/>
      <c r="Q25" s="55"/>
      <c r="R25" s="55"/>
      <c r="S25" s="55"/>
    </row>
    <row r="26" ht="36.0" customHeight="1">
      <c r="A26" s="267" t="s">
        <v>183</v>
      </c>
      <c r="B26" s="24"/>
      <c r="C26" s="5"/>
      <c r="D26" s="268"/>
      <c r="E26" s="268"/>
      <c r="F26" s="268"/>
      <c r="G26" s="268"/>
      <c r="H26" s="269"/>
      <c r="I26" s="269"/>
      <c r="J26" s="269"/>
      <c r="K26" s="267" t="s">
        <v>183</v>
      </c>
      <c r="L26" s="5"/>
      <c r="M26" s="270"/>
      <c r="N26" s="24"/>
      <c r="O26" s="24"/>
      <c r="P26" s="5"/>
      <c r="Q26" s="55"/>
      <c r="R26" s="55"/>
      <c r="S26" s="55"/>
    </row>
    <row r="27" ht="36.0" customHeight="1">
      <c r="A27" s="267" t="s">
        <v>184</v>
      </c>
      <c r="B27" s="24"/>
      <c r="C27" s="5"/>
      <c r="D27" s="270"/>
      <c r="E27" s="24"/>
      <c r="F27" s="24"/>
      <c r="G27" s="24"/>
      <c r="H27" s="24"/>
      <c r="I27" s="24"/>
      <c r="J27" s="5"/>
      <c r="K27" s="267" t="s">
        <v>184</v>
      </c>
      <c r="L27" s="5"/>
      <c r="M27" s="270"/>
      <c r="N27" s="24"/>
      <c r="O27" s="24"/>
      <c r="P27" s="5"/>
      <c r="Q27" s="55"/>
      <c r="R27" s="55"/>
      <c r="S27" s="55"/>
    </row>
    <row r="28" ht="18.75" customHeight="1">
      <c r="A28" s="271"/>
      <c r="B28" s="271"/>
      <c r="C28" s="271"/>
      <c r="D28" s="272"/>
      <c r="E28" s="272"/>
      <c r="F28" s="272"/>
      <c r="G28" s="272"/>
      <c r="H28" s="272"/>
      <c r="I28" s="272"/>
      <c r="J28" s="272"/>
      <c r="K28" s="271"/>
      <c r="L28" s="271"/>
      <c r="M28" s="272"/>
      <c r="N28" s="272"/>
      <c r="O28" s="272"/>
      <c r="P28" s="272"/>
      <c r="Q28" s="55"/>
      <c r="R28" s="55"/>
      <c r="S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115"/>
      <c r="N29" s="116"/>
      <c r="O29" s="116"/>
      <c r="P29" s="55"/>
      <c r="Q29" s="55"/>
      <c r="R29" s="55"/>
      <c r="S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115"/>
      <c r="N30" s="116"/>
      <c r="O30" s="116"/>
      <c r="P30" s="55"/>
      <c r="Q30" s="55"/>
      <c r="R30" s="55"/>
      <c r="S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115"/>
      <c r="N31" s="116"/>
      <c r="O31" s="116"/>
      <c r="P31" s="55"/>
      <c r="Q31" s="55"/>
      <c r="R31" s="55"/>
      <c r="S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115"/>
      <c r="N32" s="116"/>
      <c r="O32" s="116"/>
      <c r="P32" s="55"/>
      <c r="Q32" s="55"/>
      <c r="R32" s="55"/>
      <c r="S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115"/>
      <c r="N33" s="116"/>
      <c r="O33" s="116"/>
      <c r="P33" s="55"/>
      <c r="Q33" s="55"/>
      <c r="R33" s="55"/>
      <c r="S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115"/>
      <c r="N34" s="116"/>
      <c r="O34" s="116"/>
      <c r="P34" s="55"/>
      <c r="Q34" s="55"/>
      <c r="R34" s="55"/>
      <c r="S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115"/>
      <c r="N35" s="116"/>
      <c r="O35" s="116"/>
      <c r="P35" s="55"/>
      <c r="Q35" s="55"/>
      <c r="R35" s="55"/>
      <c r="S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115"/>
      <c r="N36" s="116"/>
      <c r="O36" s="116"/>
      <c r="P36" s="55"/>
      <c r="Q36" s="55"/>
      <c r="R36" s="55"/>
      <c r="S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115"/>
      <c r="N37" s="116"/>
      <c r="O37" s="116"/>
      <c r="P37" s="55"/>
      <c r="Q37" s="55"/>
      <c r="R37" s="55"/>
      <c r="S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115"/>
      <c r="N38" s="116"/>
      <c r="O38" s="116"/>
      <c r="P38" s="55"/>
      <c r="Q38" s="55"/>
      <c r="R38" s="55"/>
      <c r="S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115"/>
      <c r="N39" s="116"/>
      <c r="O39" s="116"/>
      <c r="P39" s="55"/>
      <c r="Q39" s="55"/>
      <c r="R39" s="55"/>
      <c r="S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115"/>
      <c r="N40" s="116"/>
      <c r="O40" s="116"/>
      <c r="P40" s="55"/>
      <c r="Q40" s="55"/>
      <c r="R40" s="55"/>
      <c r="S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115"/>
      <c r="N41" s="116"/>
      <c r="O41" s="116"/>
      <c r="P41" s="55"/>
      <c r="Q41" s="55"/>
      <c r="R41" s="55"/>
      <c r="S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115"/>
      <c r="N42" s="116"/>
      <c r="O42" s="116"/>
      <c r="P42" s="55"/>
      <c r="Q42" s="55"/>
      <c r="R42" s="55"/>
      <c r="S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115"/>
      <c r="N43" s="116"/>
      <c r="O43" s="116"/>
      <c r="P43" s="55"/>
      <c r="Q43" s="55"/>
      <c r="R43" s="55"/>
      <c r="S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115"/>
      <c r="N44" s="116"/>
      <c r="O44" s="116"/>
      <c r="P44" s="55"/>
      <c r="Q44" s="55"/>
      <c r="R44" s="55"/>
      <c r="S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115"/>
      <c r="N45" s="116"/>
      <c r="O45" s="116"/>
      <c r="P45" s="55"/>
      <c r="Q45" s="55"/>
      <c r="R45" s="55"/>
      <c r="S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115"/>
      <c r="N46" s="116"/>
      <c r="O46" s="116"/>
      <c r="P46" s="55"/>
      <c r="Q46" s="55"/>
      <c r="R46" s="55"/>
      <c r="S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115"/>
      <c r="N47" s="116"/>
      <c r="O47" s="116"/>
      <c r="P47" s="55"/>
      <c r="Q47" s="55"/>
      <c r="R47" s="55"/>
      <c r="S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115"/>
      <c r="N48" s="116"/>
      <c r="O48" s="116"/>
      <c r="P48" s="55"/>
      <c r="Q48" s="55"/>
      <c r="R48" s="55"/>
      <c r="S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115"/>
      <c r="N49" s="116"/>
      <c r="O49" s="116"/>
      <c r="P49" s="55"/>
      <c r="Q49" s="55"/>
      <c r="R49" s="55"/>
      <c r="S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115"/>
      <c r="N50" s="116"/>
      <c r="O50" s="116"/>
      <c r="P50" s="55"/>
      <c r="Q50" s="55"/>
      <c r="R50" s="55"/>
      <c r="S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115"/>
      <c r="N51" s="116"/>
      <c r="O51" s="116"/>
      <c r="P51" s="55"/>
      <c r="Q51" s="55"/>
      <c r="R51" s="55"/>
      <c r="S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115"/>
      <c r="N52" s="116"/>
      <c r="O52" s="116"/>
      <c r="P52" s="55"/>
      <c r="Q52" s="55"/>
      <c r="R52" s="55"/>
      <c r="S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115"/>
      <c r="N53" s="116"/>
      <c r="O53" s="116"/>
      <c r="P53" s="55"/>
      <c r="Q53" s="55"/>
      <c r="R53" s="55"/>
      <c r="S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115"/>
      <c r="N54" s="116"/>
      <c r="O54" s="116"/>
      <c r="P54" s="55"/>
      <c r="Q54" s="55"/>
      <c r="R54" s="55"/>
      <c r="S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115"/>
      <c r="N55" s="116"/>
      <c r="O55" s="116"/>
      <c r="P55" s="55"/>
      <c r="Q55" s="55"/>
      <c r="R55" s="55"/>
      <c r="S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115"/>
      <c r="N56" s="116"/>
      <c r="O56" s="116"/>
      <c r="P56" s="55"/>
      <c r="Q56" s="55"/>
      <c r="R56" s="55"/>
      <c r="S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115"/>
      <c r="N57" s="116"/>
      <c r="O57" s="116"/>
      <c r="P57" s="55"/>
      <c r="Q57" s="55"/>
      <c r="R57" s="55"/>
      <c r="S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115"/>
      <c r="N58" s="116"/>
      <c r="O58" s="116"/>
      <c r="P58" s="55"/>
      <c r="Q58" s="55"/>
      <c r="R58" s="55"/>
      <c r="S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115"/>
      <c r="N59" s="116"/>
      <c r="O59" s="116"/>
      <c r="P59" s="55"/>
      <c r="Q59" s="55"/>
      <c r="R59" s="55"/>
      <c r="S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115"/>
      <c r="N60" s="116"/>
      <c r="O60" s="116"/>
      <c r="P60" s="55"/>
      <c r="Q60" s="55"/>
      <c r="R60" s="55"/>
      <c r="S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115"/>
      <c r="N61" s="116"/>
      <c r="O61" s="116"/>
      <c r="P61" s="55"/>
      <c r="Q61" s="55"/>
      <c r="R61" s="55"/>
      <c r="S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115"/>
      <c r="N62" s="116"/>
      <c r="O62" s="116"/>
      <c r="P62" s="55"/>
      <c r="Q62" s="55"/>
      <c r="R62" s="55"/>
      <c r="S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115"/>
      <c r="N63" s="116"/>
      <c r="O63" s="116"/>
      <c r="P63" s="55"/>
      <c r="Q63" s="55"/>
      <c r="R63" s="55"/>
      <c r="S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115"/>
      <c r="N64" s="116"/>
      <c r="O64" s="116"/>
      <c r="P64" s="55"/>
      <c r="Q64" s="55"/>
      <c r="R64" s="55"/>
      <c r="S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115"/>
      <c r="N65" s="116"/>
      <c r="O65" s="116"/>
      <c r="P65" s="55"/>
      <c r="Q65" s="55"/>
      <c r="R65" s="55"/>
      <c r="S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115"/>
      <c r="N66" s="116"/>
      <c r="O66" s="116"/>
      <c r="P66" s="55"/>
      <c r="Q66" s="55"/>
      <c r="R66" s="55"/>
      <c r="S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115"/>
      <c r="N67" s="116"/>
      <c r="O67" s="116"/>
      <c r="P67" s="55"/>
      <c r="Q67" s="55"/>
      <c r="R67" s="55"/>
      <c r="S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115"/>
      <c r="N68" s="116"/>
      <c r="O68" s="116"/>
      <c r="P68" s="55"/>
      <c r="Q68" s="55"/>
      <c r="R68" s="55"/>
      <c r="S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115"/>
      <c r="N69" s="116"/>
      <c r="O69" s="116"/>
      <c r="P69" s="55"/>
      <c r="Q69" s="55"/>
      <c r="R69" s="55"/>
      <c r="S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115"/>
      <c r="N70" s="116"/>
      <c r="O70" s="116"/>
      <c r="P70" s="55"/>
      <c r="Q70" s="55"/>
      <c r="R70" s="55"/>
      <c r="S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115"/>
      <c r="N71" s="116"/>
      <c r="O71" s="116"/>
      <c r="P71" s="55"/>
      <c r="Q71" s="55"/>
      <c r="R71" s="55"/>
      <c r="S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115"/>
      <c r="N72" s="116"/>
      <c r="O72" s="116"/>
      <c r="P72" s="55"/>
      <c r="Q72" s="55"/>
      <c r="R72" s="55"/>
      <c r="S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115"/>
      <c r="N73" s="116"/>
      <c r="O73" s="116"/>
      <c r="P73" s="55"/>
      <c r="Q73" s="55"/>
      <c r="R73" s="55"/>
      <c r="S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115"/>
      <c r="N74" s="116"/>
      <c r="O74" s="116"/>
      <c r="P74" s="55"/>
      <c r="Q74" s="55"/>
      <c r="R74" s="55"/>
      <c r="S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115"/>
      <c r="N75" s="116"/>
      <c r="O75" s="116"/>
      <c r="P75" s="55"/>
      <c r="Q75" s="55"/>
      <c r="R75" s="55"/>
      <c r="S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115"/>
      <c r="N76" s="116"/>
      <c r="O76" s="116"/>
      <c r="P76" s="55"/>
      <c r="Q76" s="55"/>
      <c r="R76" s="55"/>
      <c r="S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115"/>
      <c r="N77" s="116"/>
      <c r="O77" s="116"/>
      <c r="P77" s="55"/>
      <c r="Q77" s="55"/>
      <c r="R77" s="55"/>
      <c r="S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115"/>
      <c r="N78" s="116"/>
      <c r="O78" s="116"/>
      <c r="P78" s="55"/>
      <c r="Q78" s="55"/>
      <c r="R78" s="55"/>
      <c r="S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115"/>
      <c r="N79" s="116"/>
      <c r="O79" s="116"/>
      <c r="P79" s="55"/>
      <c r="Q79" s="55"/>
      <c r="R79" s="55"/>
      <c r="S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115"/>
      <c r="N80" s="116"/>
      <c r="O80" s="116"/>
      <c r="P80" s="55"/>
      <c r="Q80" s="55"/>
      <c r="R80" s="55"/>
      <c r="S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115"/>
      <c r="N81" s="116"/>
      <c r="O81" s="116"/>
      <c r="P81" s="55"/>
      <c r="Q81" s="55"/>
      <c r="R81" s="55"/>
      <c r="S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115"/>
      <c r="N82" s="116"/>
      <c r="O82" s="116"/>
      <c r="P82" s="55"/>
      <c r="Q82" s="55"/>
      <c r="R82" s="55"/>
      <c r="S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115"/>
      <c r="N83" s="116"/>
      <c r="O83" s="116"/>
      <c r="P83" s="55"/>
      <c r="Q83" s="55"/>
      <c r="R83" s="55"/>
      <c r="S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115"/>
      <c r="N84" s="116"/>
      <c r="O84" s="116"/>
      <c r="P84" s="55"/>
      <c r="Q84" s="55"/>
      <c r="R84" s="55"/>
      <c r="S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115"/>
      <c r="N85" s="116"/>
      <c r="O85" s="116"/>
      <c r="P85" s="55"/>
      <c r="Q85" s="55"/>
      <c r="R85" s="55"/>
      <c r="S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115"/>
      <c r="N86" s="116"/>
      <c r="O86" s="116"/>
      <c r="P86" s="55"/>
      <c r="Q86" s="55"/>
      <c r="R86" s="55"/>
      <c r="S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115"/>
      <c r="N87" s="116"/>
      <c r="O87" s="116"/>
      <c r="P87" s="55"/>
      <c r="Q87" s="55"/>
      <c r="R87" s="55"/>
      <c r="S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115"/>
      <c r="N88" s="116"/>
      <c r="O88" s="116"/>
      <c r="P88" s="55"/>
      <c r="Q88" s="55"/>
      <c r="R88" s="55"/>
      <c r="S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115"/>
      <c r="N89" s="116"/>
      <c r="O89" s="116"/>
      <c r="P89" s="55"/>
      <c r="Q89" s="55"/>
      <c r="R89" s="55"/>
      <c r="S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115"/>
      <c r="N90" s="116"/>
      <c r="O90" s="116"/>
      <c r="P90" s="55"/>
      <c r="Q90" s="55"/>
      <c r="R90" s="55"/>
      <c r="S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115"/>
      <c r="N91" s="116"/>
      <c r="O91" s="116"/>
      <c r="P91" s="55"/>
      <c r="Q91" s="55"/>
      <c r="R91" s="55"/>
      <c r="S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115"/>
      <c r="N92" s="116"/>
      <c r="O92" s="116"/>
      <c r="P92" s="55"/>
      <c r="Q92" s="55"/>
      <c r="R92" s="55"/>
      <c r="S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115"/>
      <c r="N93" s="116"/>
      <c r="O93" s="116"/>
      <c r="P93" s="55"/>
      <c r="Q93" s="55"/>
      <c r="R93" s="55"/>
      <c r="S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115"/>
      <c r="N94" s="116"/>
      <c r="O94" s="116"/>
      <c r="P94" s="55"/>
      <c r="Q94" s="55"/>
      <c r="R94" s="55"/>
      <c r="S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115"/>
      <c r="N95" s="116"/>
      <c r="O95" s="116"/>
      <c r="P95" s="55"/>
      <c r="Q95" s="55"/>
      <c r="R95" s="55"/>
      <c r="S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115"/>
      <c r="N96" s="116"/>
      <c r="O96" s="116"/>
      <c r="P96" s="55"/>
      <c r="Q96" s="55"/>
      <c r="R96" s="55"/>
      <c r="S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115"/>
      <c r="N97" s="116"/>
      <c r="O97" s="116"/>
      <c r="P97" s="55"/>
      <c r="Q97" s="55"/>
      <c r="R97" s="55"/>
      <c r="S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115"/>
      <c r="N98" s="116"/>
      <c r="O98" s="116"/>
      <c r="P98" s="55"/>
      <c r="Q98" s="55"/>
      <c r="R98" s="55"/>
      <c r="S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115"/>
      <c r="N99" s="116"/>
      <c r="O99" s="116"/>
      <c r="P99" s="55"/>
      <c r="Q99" s="55"/>
      <c r="R99" s="55"/>
      <c r="S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115"/>
      <c r="N100" s="116"/>
      <c r="O100" s="116"/>
      <c r="P100" s="55"/>
      <c r="Q100" s="55"/>
      <c r="R100" s="55"/>
      <c r="S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115"/>
      <c r="N101" s="116"/>
      <c r="O101" s="116"/>
      <c r="P101" s="55"/>
      <c r="Q101" s="55"/>
      <c r="R101" s="55"/>
      <c r="S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115"/>
      <c r="N102" s="116"/>
      <c r="O102" s="116"/>
      <c r="P102" s="55"/>
      <c r="Q102" s="55"/>
      <c r="R102" s="55"/>
      <c r="S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115"/>
      <c r="N103" s="116"/>
      <c r="O103" s="116"/>
      <c r="P103" s="55"/>
      <c r="Q103" s="55"/>
      <c r="R103" s="55"/>
      <c r="S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115"/>
      <c r="N104" s="116"/>
      <c r="O104" s="116"/>
      <c r="P104" s="55"/>
      <c r="Q104" s="55"/>
      <c r="R104" s="55"/>
      <c r="S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115"/>
      <c r="N105" s="116"/>
      <c r="O105" s="116"/>
      <c r="P105" s="55"/>
      <c r="Q105" s="55"/>
      <c r="R105" s="55"/>
      <c r="S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115"/>
      <c r="N106" s="116"/>
      <c r="O106" s="116"/>
      <c r="P106" s="55"/>
      <c r="Q106" s="55"/>
      <c r="R106" s="55"/>
      <c r="S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115"/>
      <c r="N107" s="116"/>
      <c r="O107" s="116"/>
      <c r="P107" s="55"/>
      <c r="Q107" s="55"/>
      <c r="R107" s="55"/>
      <c r="S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115"/>
      <c r="N108" s="116"/>
      <c r="O108" s="116"/>
      <c r="P108" s="55"/>
      <c r="Q108" s="55"/>
      <c r="R108" s="55"/>
      <c r="S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115"/>
      <c r="N109" s="116"/>
      <c r="O109" s="116"/>
      <c r="P109" s="55"/>
      <c r="Q109" s="55"/>
      <c r="R109" s="55"/>
      <c r="S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115"/>
      <c r="N110" s="116"/>
      <c r="O110" s="116"/>
      <c r="P110" s="55"/>
      <c r="Q110" s="55"/>
      <c r="R110" s="55"/>
      <c r="S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115"/>
      <c r="N111" s="116"/>
      <c r="O111" s="116"/>
      <c r="P111" s="55"/>
      <c r="Q111" s="55"/>
      <c r="R111" s="55"/>
      <c r="S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115"/>
      <c r="N112" s="116"/>
      <c r="O112" s="116"/>
      <c r="P112" s="55"/>
      <c r="Q112" s="55"/>
      <c r="R112" s="55"/>
      <c r="S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115"/>
      <c r="N113" s="116"/>
      <c r="O113" s="116"/>
      <c r="P113" s="55"/>
      <c r="Q113" s="55"/>
      <c r="R113" s="55"/>
      <c r="S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115"/>
      <c r="N114" s="116"/>
      <c r="O114" s="116"/>
      <c r="P114" s="55"/>
      <c r="Q114" s="55"/>
      <c r="R114" s="55"/>
      <c r="S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115"/>
      <c r="N115" s="116"/>
      <c r="O115" s="116"/>
      <c r="P115" s="55"/>
      <c r="Q115" s="55"/>
      <c r="R115" s="55"/>
      <c r="S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115"/>
      <c r="N116" s="116"/>
      <c r="O116" s="116"/>
      <c r="P116" s="55"/>
      <c r="Q116" s="55"/>
      <c r="R116" s="55"/>
      <c r="S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115"/>
      <c r="N117" s="116"/>
      <c r="O117" s="116"/>
      <c r="P117" s="55"/>
      <c r="Q117" s="55"/>
      <c r="R117" s="55"/>
      <c r="S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115"/>
      <c r="N118" s="116"/>
      <c r="O118" s="116"/>
      <c r="P118" s="55"/>
      <c r="Q118" s="55"/>
      <c r="R118" s="55"/>
      <c r="S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115"/>
      <c r="N119" s="116"/>
      <c r="O119" s="116"/>
      <c r="P119" s="55"/>
      <c r="Q119" s="55"/>
      <c r="R119" s="55"/>
      <c r="S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115"/>
      <c r="N120" s="116"/>
      <c r="O120" s="116"/>
      <c r="P120" s="55"/>
      <c r="Q120" s="55"/>
      <c r="R120" s="55"/>
      <c r="S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115"/>
      <c r="N121" s="116"/>
      <c r="O121" s="116"/>
      <c r="P121" s="55"/>
      <c r="Q121" s="55"/>
      <c r="R121" s="55"/>
      <c r="S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115"/>
      <c r="N122" s="116"/>
      <c r="O122" s="116"/>
      <c r="P122" s="55"/>
      <c r="Q122" s="55"/>
      <c r="R122" s="55"/>
      <c r="S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115"/>
      <c r="N123" s="116"/>
      <c r="O123" s="116"/>
      <c r="P123" s="55"/>
      <c r="Q123" s="55"/>
      <c r="R123" s="55"/>
      <c r="S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115"/>
      <c r="N124" s="116"/>
      <c r="O124" s="116"/>
      <c r="P124" s="55"/>
      <c r="Q124" s="55"/>
      <c r="R124" s="55"/>
      <c r="S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115"/>
      <c r="N125" s="116"/>
      <c r="O125" s="116"/>
      <c r="P125" s="55"/>
      <c r="Q125" s="55"/>
      <c r="R125" s="55"/>
      <c r="S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115"/>
      <c r="N126" s="116"/>
      <c r="O126" s="116"/>
      <c r="P126" s="55"/>
      <c r="Q126" s="55"/>
      <c r="R126" s="55"/>
      <c r="S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115"/>
      <c r="N127" s="116"/>
      <c r="O127" s="116"/>
      <c r="P127" s="55"/>
      <c r="Q127" s="55"/>
      <c r="R127" s="55"/>
      <c r="S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115"/>
      <c r="N128" s="116"/>
      <c r="O128" s="116"/>
      <c r="P128" s="55"/>
      <c r="Q128" s="55"/>
      <c r="R128" s="55"/>
      <c r="S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115"/>
      <c r="N129" s="116"/>
      <c r="O129" s="116"/>
      <c r="P129" s="55"/>
      <c r="Q129" s="55"/>
      <c r="R129" s="55"/>
      <c r="S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115"/>
      <c r="N130" s="116"/>
      <c r="O130" s="116"/>
      <c r="P130" s="55"/>
      <c r="Q130" s="55"/>
      <c r="R130" s="55"/>
      <c r="S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115"/>
      <c r="N131" s="116"/>
      <c r="O131" s="116"/>
      <c r="P131" s="55"/>
      <c r="Q131" s="55"/>
      <c r="R131" s="55"/>
      <c r="S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115"/>
      <c r="N132" s="116"/>
      <c r="O132" s="116"/>
      <c r="P132" s="55"/>
      <c r="Q132" s="55"/>
      <c r="R132" s="55"/>
      <c r="S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115"/>
      <c r="N133" s="116"/>
      <c r="O133" s="116"/>
      <c r="P133" s="55"/>
      <c r="Q133" s="55"/>
      <c r="R133" s="55"/>
      <c r="S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115"/>
      <c r="N134" s="116"/>
      <c r="O134" s="116"/>
      <c r="P134" s="55"/>
      <c r="Q134" s="55"/>
      <c r="R134" s="55"/>
      <c r="S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115"/>
      <c r="N135" s="116"/>
      <c r="O135" s="116"/>
      <c r="P135" s="55"/>
      <c r="Q135" s="55"/>
      <c r="R135" s="55"/>
      <c r="S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115"/>
      <c r="N136" s="116"/>
      <c r="O136" s="116"/>
      <c r="P136" s="55"/>
      <c r="Q136" s="55"/>
      <c r="R136" s="55"/>
      <c r="S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115"/>
      <c r="N137" s="116"/>
      <c r="O137" s="116"/>
      <c r="P137" s="55"/>
      <c r="Q137" s="55"/>
      <c r="R137" s="55"/>
      <c r="S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115"/>
      <c r="N138" s="116"/>
      <c r="O138" s="116"/>
      <c r="P138" s="55"/>
      <c r="Q138" s="55"/>
      <c r="R138" s="55"/>
      <c r="S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115"/>
      <c r="N139" s="116"/>
      <c r="O139" s="116"/>
      <c r="P139" s="55"/>
      <c r="Q139" s="55"/>
      <c r="R139" s="55"/>
      <c r="S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115"/>
      <c r="N140" s="116"/>
      <c r="O140" s="116"/>
      <c r="P140" s="55"/>
      <c r="Q140" s="55"/>
      <c r="R140" s="55"/>
      <c r="S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115"/>
      <c r="N141" s="116"/>
      <c r="O141" s="116"/>
      <c r="P141" s="55"/>
      <c r="Q141" s="55"/>
      <c r="R141" s="55"/>
      <c r="S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115"/>
      <c r="N142" s="116"/>
      <c r="O142" s="116"/>
      <c r="P142" s="55"/>
      <c r="Q142" s="55"/>
      <c r="R142" s="55"/>
      <c r="S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115"/>
      <c r="N143" s="116"/>
      <c r="O143" s="116"/>
      <c r="P143" s="55"/>
      <c r="Q143" s="55"/>
      <c r="R143" s="55"/>
      <c r="S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115"/>
      <c r="N144" s="116"/>
      <c r="O144" s="116"/>
      <c r="P144" s="55"/>
      <c r="Q144" s="55"/>
      <c r="R144" s="55"/>
      <c r="S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115"/>
      <c r="N145" s="116"/>
      <c r="O145" s="116"/>
      <c r="P145" s="55"/>
      <c r="Q145" s="55"/>
      <c r="R145" s="55"/>
      <c r="S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115"/>
      <c r="N146" s="116"/>
      <c r="O146" s="116"/>
      <c r="P146" s="55"/>
      <c r="Q146" s="55"/>
      <c r="R146" s="55"/>
      <c r="S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115"/>
      <c r="N147" s="116"/>
      <c r="O147" s="116"/>
      <c r="P147" s="55"/>
      <c r="Q147" s="55"/>
      <c r="R147" s="55"/>
      <c r="S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115"/>
      <c r="N148" s="116"/>
      <c r="O148" s="116"/>
      <c r="P148" s="55"/>
      <c r="Q148" s="55"/>
      <c r="R148" s="55"/>
      <c r="S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115"/>
      <c r="N149" s="116"/>
      <c r="O149" s="116"/>
      <c r="P149" s="55"/>
      <c r="Q149" s="55"/>
      <c r="R149" s="55"/>
      <c r="S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115"/>
      <c r="N150" s="116"/>
      <c r="O150" s="116"/>
      <c r="P150" s="55"/>
      <c r="Q150" s="55"/>
      <c r="R150" s="55"/>
      <c r="S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115"/>
      <c r="N151" s="116"/>
      <c r="O151" s="116"/>
      <c r="P151" s="55"/>
      <c r="Q151" s="55"/>
      <c r="R151" s="55"/>
      <c r="S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115"/>
      <c r="N152" s="116"/>
      <c r="O152" s="116"/>
      <c r="P152" s="55"/>
      <c r="Q152" s="55"/>
      <c r="R152" s="55"/>
      <c r="S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115"/>
      <c r="N153" s="116"/>
      <c r="O153" s="116"/>
      <c r="P153" s="55"/>
      <c r="Q153" s="55"/>
      <c r="R153" s="55"/>
      <c r="S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115"/>
      <c r="N154" s="116"/>
      <c r="O154" s="116"/>
      <c r="P154" s="55"/>
      <c r="Q154" s="55"/>
      <c r="R154" s="55"/>
      <c r="S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115"/>
      <c r="N155" s="116"/>
      <c r="O155" s="116"/>
      <c r="P155" s="55"/>
      <c r="Q155" s="55"/>
      <c r="R155" s="55"/>
      <c r="S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115"/>
      <c r="N156" s="116"/>
      <c r="O156" s="116"/>
      <c r="P156" s="55"/>
      <c r="Q156" s="55"/>
      <c r="R156" s="55"/>
      <c r="S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115"/>
      <c r="N157" s="116"/>
      <c r="O157" s="116"/>
      <c r="P157" s="55"/>
      <c r="Q157" s="55"/>
      <c r="R157" s="55"/>
      <c r="S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115"/>
      <c r="N158" s="116"/>
      <c r="O158" s="116"/>
      <c r="P158" s="55"/>
      <c r="Q158" s="55"/>
      <c r="R158" s="55"/>
      <c r="S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115"/>
      <c r="N159" s="116"/>
      <c r="O159" s="116"/>
      <c r="P159" s="55"/>
      <c r="Q159" s="55"/>
      <c r="R159" s="55"/>
      <c r="S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115"/>
      <c r="N160" s="116"/>
      <c r="O160" s="116"/>
      <c r="P160" s="55"/>
      <c r="Q160" s="55"/>
      <c r="R160" s="55"/>
      <c r="S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115"/>
      <c r="N161" s="116"/>
      <c r="O161" s="116"/>
      <c r="P161" s="55"/>
      <c r="Q161" s="55"/>
      <c r="R161" s="55"/>
      <c r="S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115"/>
      <c r="N162" s="116"/>
      <c r="O162" s="116"/>
      <c r="P162" s="55"/>
      <c r="Q162" s="55"/>
      <c r="R162" s="55"/>
      <c r="S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115"/>
      <c r="N163" s="116"/>
      <c r="O163" s="116"/>
      <c r="P163" s="55"/>
      <c r="Q163" s="55"/>
      <c r="R163" s="55"/>
      <c r="S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115"/>
      <c r="N164" s="116"/>
      <c r="O164" s="116"/>
      <c r="P164" s="55"/>
      <c r="Q164" s="55"/>
      <c r="R164" s="55"/>
      <c r="S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115"/>
      <c r="N165" s="116"/>
      <c r="O165" s="116"/>
      <c r="P165" s="55"/>
      <c r="Q165" s="55"/>
      <c r="R165" s="55"/>
      <c r="S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115"/>
      <c r="N166" s="116"/>
      <c r="O166" s="116"/>
      <c r="P166" s="55"/>
      <c r="Q166" s="55"/>
      <c r="R166" s="55"/>
      <c r="S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115"/>
      <c r="N167" s="116"/>
      <c r="O167" s="116"/>
      <c r="P167" s="55"/>
      <c r="Q167" s="55"/>
      <c r="R167" s="55"/>
      <c r="S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115"/>
      <c r="N168" s="116"/>
      <c r="O168" s="116"/>
      <c r="P168" s="55"/>
      <c r="Q168" s="55"/>
      <c r="R168" s="55"/>
      <c r="S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115"/>
      <c r="N169" s="116"/>
      <c r="O169" s="116"/>
      <c r="P169" s="55"/>
      <c r="Q169" s="55"/>
      <c r="R169" s="55"/>
      <c r="S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115"/>
      <c r="N170" s="116"/>
      <c r="O170" s="116"/>
      <c r="P170" s="55"/>
      <c r="Q170" s="55"/>
      <c r="R170" s="55"/>
      <c r="S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115"/>
      <c r="N171" s="116"/>
      <c r="O171" s="116"/>
      <c r="P171" s="55"/>
      <c r="Q171" s="55"/>
      <c r="R171" s="55"/>
      <c r="S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115"/>
      <c r="N172" s="116"/>
      <c r="O172" s="116"/>
      <c r="P172" s="55"/>
      <c r="Q172" s="55"/>
      <c r="R172" s="55"/>
      <c r="S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115"/>
      <c r="N173" s="116"/>
      <c r="O173" s="116"/>
      <c r="P173" s="55"/>
      <c r="Q173" s="55"/>
      <c r="R173" s="55"/>
      <c r="S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115"/>
      <c r="N174" s="116"/>
      <c r="O174" s="116"/>
      <c r="P174" s="55"/>
      <c r="Q174" s="55"/>
      <c r="R174" s="55"/>
      <c r="S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115"/>
      <c r="N175" s="116"/>
      <c r="O175" s="116"/>
      <c r="P175" s="55"/>
      <c r="Q175" s="55"/>
      <c r="R175" s="55"/>
      <c r="S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115"/>
      <c r="N176" s="116"/>
      <c r="O176" s="116"/>
      <c r="P176" s="55"/>
      <c r="Q176" s="55"/>
      <c r="R176" s="55"/>
      <c r="S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115"/>
      <c r="N177" s="116"/>
      <c r="O177" s="116"/>
      <c r="P177" s="55"/>
      <c r="Q177" s="55"/>
      <c r="R177" s="55"/>
      <c r="S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115"/>
      <c r="N178" s="116"/>
      <c r="O178" s="116"/>
      <c r="P178" s="55"/>
      <c r="Q178" s="55"/>
      <c r="R178" s="55"/>
      <c r="S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115"/>
      <c r="N179" s="116"/>
      <c r="O179" s="116"/>
      <c r="P179" s="55"/>
      <c r="Q179" s="55"/>
      <c r="R179" s="55"/>
      <c r="S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115"/>
      <c r="N180" s="116"/>
      <c r="O180" s="116"/>
      <c r="P180" s="55"/>
      <c r="Q180" s="55"/>
      <c r="R180" s="55"/>
      <c r="S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115"/>
      <c r="N181" s="116"/>
      <c r="O181" s="116"/>
      <c r="P181" s="55"/>
      <c r="Q181" s="55"/>
      <c r="R181" s="55"/>
      <c r="S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115"/>
      <c r="N182" s="116"/>
      <c r="O182" s="116"/>
      <c r="P182" s="55"/>
      <c r="Q182" s="55"/>
      <c r="R182" s="55"/>
      <c r="S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115"/>
      <c r="N183" s="116"/>
      <c r="O183" s="116"/>
      <c r="P183" s="55"/>
      <c r="Q183" s="55"/>
      <c r="R183" s="55"/>
      <c r="S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115"/>
      <c r="N184" s="116"/>
      <c r="O184" s="116"/>
      <c r="P184" s="55"/>
      <c r="Q184" s="55"/>
      <c r="R184" s="55"/>
      <c r="S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115"/>
      <c r="N185" s="116"/>
      <c r="O185" s="116"/>
      <c r="P185" s="55"/>
      <c r="Q185" s="55"/>
      <c r="R185" s="55"/>
      <c r="S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115"/>
      <c r="N186" s="116"/>
      <c r="O186" s="116"/>
      <c r="P186" s="55"/>
      <c r="Q186" s="55"/>
      <c r="R186" s="55"/>
      <c r="S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115"/>
      <c r="N187" s="116"/>
      <c r="O187" s="116"/>
      <c r="P187" s="55"/>
      <c r="Q187" s="55"/>
      <c r="R187" s="55"/>
      <c r="S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115"/>
      <c r="N188" s="116"/>
      <c r="O188" s="116"/>
      <c r="P188" s="55"/>
      <c r="Q188" s="55"/>
      <c r="R188" s="55"/>
      <c r="S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115"/>
      <c r="N189" s="116"/>
      <c r="O189" s="116"/>
      <c r="P189" s="55"/>
      <c r="Q189" s="55"/>
      <c r="R189" s="55"/>
      <c r="S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115"/>
      <c r="N190" s="116"/>
      <c r="O190" s="116"/>
      <c r="P190" s="55"/>
      <c r="Q190" s="55"/>
      <c r="R190" s="55"/>
      <c r="S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115"/>
      <c r="N191" s="116"/>
      <c r="O191" s="116"/>
      <c r="P191" s="55"/>
      <c r="Q191" s="55"/>
      <c r="R191" s="55"/>
      <c r="S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115"/>
      <c r="N192" s="116"/>
      <c r="O192" s="116"/>
      <c r="P192" s="55"/>
      <c r="Q192" s="55"/>
      <c r="R192" s="55"/>
      <c r="S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115"/>
      <c r="N193" s="116"/>
      <c r="O193" s="116"/>
      <c r="P193" s="55"/>
      <c r="Q193" s="55"/>
      <c r="R193" s="55"/>
      <c r="S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115"/>
      <c r="N194" s="116"/>
      <c r="O194" s="116"/>
      <c r="P194" s="55"/>
      <c r="Q194" s="55"/>
      <c r="R194" s="55"/>
      <c r="S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115"/>
      <c r="N195" s="116"/>
      <c r="O195" s="116"/>
      <c r="P195" s="55"/>
      <c r="Q195" s="55"/>
      <c r="R195" s="55"/>
      <c r="S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115"/>
      <c r="N196" s="116"/>
      <c r="O196" s="116"/>
      <c r="P196" s="55"/>
      <c r="Q196" s="55"/>
      <c r="R196" s="55"/>
      <c r="S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115"/>
      <c r="N197" s="116"/>
      <c r="O197" s="116"/>
      <c r="P197" s="55"/>
      <c r="Q197" s="55"/>
      <c r="R197" s="55"/>
      <c r="S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115"/>
      <c r="N198" s="116"/>
      <c r="O198" s="116"/>
      <c r="P198" s="55"/>
      <c r="Q198" s="55"/>
      <c r="R198" s="55"/>
      <c r="S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115"/>
      <c r="N199" s="116"/>
      <c r="O199" s="116"/>
      <c r="P199" s="55"/>
      <c r="Q199" s="55"/>
      <c r="R199" s="55"/>
      <c r="S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115"/>
      <c r="N200" s="116"/>
      <c r="O200" s="116"/>
      <c r="P200" s="55"/>
      <c r="Q200" s="55"/>
      <c r="R200" s="55"/>
      <c r="S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115"/>
      <c r="N201" s="116"/>
      <c r="O201" s="116"/>
      <c r="P201" s="55"/>
      <c r="Q201" s="55"/>
      <c r="R201" s="55"/>
      <c r="S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115"/>
      <c r="N202" s="116"/>
      <c r="O202" s="116"/>
      <c r="P202" s="55"/>
      <c r="Q202" s="55"/>
      <c r="R202" s="55"/>
      <c r="S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115"/>
      <c r="N203" s="116"/>
      <c r="O203" s="116"/>
      <c r="P203" s="55"/>
      <c r="Q203" s="55"/>
      <c r="R203" s="55"/>
      <c r="S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115"/>
      <c r="N204" s="116"/>
      <c r="O204" s="116"/>
      <c r="P204" s="55"/>
      <c r="Q204" s="55"/>
      <c r="R204" s="55"/>
      <c r="S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115"/>
      <c r="N205" s="116"/>
      <c r="O205" s="116"/>
      <c r="P205" s="55"/>
      <c r="Q205" s="55"/>
      <c r="R205" s="55"/>
      <c r="S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115"/>
      <c r="N206" s="116"/>
      <c r="O206" s="116"/>
      <c r="P206" s="55"/>
      <c r="Q206" s="55"/>
      <c r="R206" s="55"/>
      <c r="S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115"/>
      <c r="N207" s="116"/>
      <c r="O207" s="116"/>
      <c r="P207" s="55"/>
      <c r="Q207" s="55"/>
      <c r="R207" s="55"/>
      <c r="S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115"/>
      <c r="N208" s="116"/>
      <c r="O208" s="116"/>
      <c r="P208" s="55"/>
      <c r="Q208" s="55"/>
      <c r="R208" s="55"/>
      <c r="S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115"/>
      <c r="N209" s="116"/>
      <c r="O209" s="116"/>
      <c r="P209" s="55"/>
      <c r="Q209" s="55"/>
      <c r="R209" s="55"/>
      <c r="S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115"/>
      <c r="N210" s="116"/>
      <c r="O210" s="116"/>
      <c r="P210" s="55"/>
      <c r="Q210" s="55"/>
      <c r="R210" s="55"/>
      <c r="S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115"/>
      <c r="N211" s="116"/>
      <c r="O211" s="116"/>
      <c r="P211" s="55"/>
      <c r="Q211" s="55"/>
      <c r="R211" s="55"/>
      <c r="S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115"/>
      <c r="N212" s="116"/>
      <c r="O212" s="116"/>
      <c r="P212" s="55"/>
      <c r="Q212" s="55"/>
      <c r="R212" s="55"/>
      <c r="S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115"/>
      <c r="N213" s="116"/>
      <c r="O213" s="116"/>
      <c r="P213" s="55"/>
      <c r="Q213" s="55"/>
      <c r="R213" s="55"/>
      <c r="S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115"/>
      <c r="N214" s="116"/>
      <c r="O214" s="116"/>
      <c r="P214" s="55"/>
      <c r="Q214" s="55"/>
      <c r="R214" s="55"/>
      <c r="S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115"/>
      <c r="N215" s="116"/>
      <c r="O215" s="116"/>
      <c r="P215" s="55"/>
      <c r="Q215" s="55"/>
      <c r="R215" s="55"/>
      <c r="S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115"/>
      <c r="N216" s="116"/>
      <c r="O216" s="116"/>
      <c r="P216" s="55"/>
      <c r="Q216" s="55"/>
      <c r="R216" s="55"/>
      <c r="S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115"/>
      <c r="N217" s="116"/>
      <c r="O217" s="116"/>
      <c r="P217" s="55"/>
      <c r="Q217" s="55"/>
      <c r="R217" s="55"/>
      <c r="S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115"/>
      <c r="N218" s="116"/>
      <c r="O218" s="116"/>
      <c r="P218" s="55"/>
      <c r="Q218" s="55"/>
      <c r="R218" s="55"/>
      <c r="S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115"/>
      <c r="N219" s="116"/>
      <c r="O219" s="116"/>
      <c r="P219" s="55"/>
      <c r="Q219" s="55"/>
      <c r="R219" s="55"/>
      <c r="S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115"/>
      <c r="N220" s="116"/>
      <c r="O220" s="116"/>
      <c r="P220" s="55"/>
      <c r="Q220" s="55"/>
      <c r="R220" s="55"/>
      <c r="S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115"/>
      <c r="N221" s="116"/>
      <c r="O221" s="116"/>
      <c r="P221" s="55"/>
      <c r="Q221" s="55"/>
      <c r="R221" s="55"/>
      <c r="S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115"/>
      <c r="N222" s="116"/>
      <c r="O222" s="116"/>
      <c r="P222" s="55"/>
      <c r="Q222" s="55"/>
      <c r="R222" s="55"/>
      <c r="S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115"/>
      <c r="N223" s="116"/>
      <c r="O223" s="116"/>
      <c r="P223" s="55"/>
      <c r="Q223" s="55"/>
      <c r="R223" s="55"/>
      <c r="S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115"/>
      <c r="N224" s="116"/>
      <c r="O224" s="116"/>
      <c r="P224" s="55"/>
      <c r="Q224" s="55"/>
      <c r="R224" s="55"/>
      <c r="S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115"/>
      <c r="N225" s="116"/>
      <c r="O225" s="116"/>
      <c r="P225" s="55"/>
      <c r="Q225" s="55"/>
      <c r="R225" s="55"/>
      <c r="S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115"/>
      <c r="N226" s="116"/>
      <c r="O226" s="116"/>
      <c r="P226" s="55"/>
      <c r="Q226" s="55"/>
      <c r="R226" s="55"/>
      <c r="S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115"/>
      <c r="N227" s="116"/>
      <c r="O227" s="116"/>
      <c r="P227" s="55"/>
      <c r="Q227" s="55"/>
      <c r="R227" s="55"/>
      <c r="S227" s="55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16:P16"/>
    <mergeCell ref="A17:P17"/>
    <mergeCell ref="A18:P18"/>
    <mergeCell ref="A19:P19"/>
    <mergeCell ref="A20:P20"/>
    <mergeCell ref="A21:P21"/>
    <mergeCell ref="A22:P23"/>
    <mergeCell ref="A24:P24"/>
    <mergeCell ref="A25:C25"/>
    <mergeCell ref="D25:G25"/>
    <mergeCell ref="K25:L25"/>
    <mergeCell ref="M25:P25"/>
    <mergeCell ref="K26:L26"/>
    <mergeCell ref="M26:P26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26:C26"/>
    <mergeCell ref="A27:C27"/>
    <mergeCell ref="D27:J27"/>
    <mergeCell ref="K27:L27"/>
    <mergeCell ref="M27:P27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2.14"/>
    <col customWidth="1" min="3" max="3" width="15.71"/>
    <col customWidth="1" min="4" max="4" width="9.71"/>
    <col customWidth="1" min="5" max="5" width="11.71"/>
    <col customWidth="1" min="6" max="6" width="10.86"/>
    <col customWidth="1" min="7" max="7" width="19.71"/>
    <col customWidth="1" min="8" max="8" width="11.71"/>
    <col customWidth="1" min="9" max="9" width="22.14"/>
    <col customWidth="1" min="10" max="10" width="11.57"/>
    <col customWidth="1" min="11" max="11" width="10.43"/>
    <col customWidth="1" min="12" max="26" width="11.43"/>
  </cols>
  <sheetData>
    <row r="1" ht="18.0" customHeight="1">
      <c r="A1" s="273"/>
      <c r="B1" s="274"/>
      <c r="C1" s="3"/>
      <c r="D1" s="1" t="s">
        <v>0</v>
      </c>
      <c r="E1" s="2"/>
      <c r="F1" s="2"/>
      <c r="G1" s="2"/>
      <c r="H1" s="3"/>
      <c r="I1" s="42" t="s">
        <v>1</v>
      </c>
      <c r="J1" s="4" t="s">
        <v>203</v>
      </c>
      <c r="K1" s="5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</row>
    <row r="2" ht="17.25" customHeight="1">
      <c r="A2" s="273"/>
      <c r="B2" s="8"/>
      <c r="C2" s="9"/>
      <c r="D2" s="8"/>
      <c r="H2" s="9"/>
      <c r="I2" s="42" t="s">
        <v>3</v>
      </c>
      <c r="J2" s="65">
        <v>1.0</v>
      </c>
      <c r="K2" s="5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</row>
    <row r="3" ht="18.0" customHeight="1">
      <c r="A3" s="273"/>
      <c r="B3" s="8"/>
      <c r="C3" s="9"/>
      <c r="D3" s="10"/>
      <c r="E3" s="11"/>
      <c r="F3" s="11"/>
      <c r="G3" s="11"/>
      <c r="H3" s="12"/>
      <c r="I3" s="42" t="s">
        <v>5</v>
      </c>
      <c r="J3" s="4" t="s">
        <v>6</v>
      </c>
      <c r="K3" s="5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</row>
    <row r="4" ht="18.75" customHeight="1">
      <c r="A4" s="275" t="s">
        <v>97</v>
      </c>
      <c r="B4" s="8"/>
      <c r="C4" s="9"/>
      <c r="D4" s="1" t="s">
        <v>204</v>
      </c>
      <c r="E4" s="2"/>
      <c r="F4" s="2"/>
      <c r="G4" s="2"/>
      <c r="H4" s="3"/>
      <c r="I4" s="276" t="s">
        <v>7</v>
      </c>
      <c r="J4" s="4" t="s">
        <v>205</v>
      </c>
      <c r="K4" s="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</row>
    <row r="5" ht="21.0" customHeight="1">
      <c r="A5" s="275"/>
      <c r="B5" s="10"/>
      <c r="C5" s="12"/>
      <c r="D5" s="10"/>
      <c r="E5" s="11"/>
      <c r="F5" s="11"/>
      <c r="G5" s="11"/>
      <c r="H5" s="12"/>
      <c r="I5" s="277"/>
      <c r="J5" s="18" t="s">
        <v>206</v>
      </c>
      <c r="K5" s="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</row>
    <row r="6" ht="45.75" customHeight="1">
      <c r="A6" s="273"/>
      <c r="B6" s="4" t="s">
        <v>207</v>
      </c>
      <c r="C6" s="5"/>
      <c r="D6" s="49" t="str">
        <f>'INSTRUCTIVO FAB'!F7</f>
        <v>SUERO DE NIACINAMIDA 5%</v>
      </c>
      <c r="E6" s="24"/>
      <c r="F6" s="66"/>
      <c r="G6" s="4" t="s">
        <v>208</v>
      </c>
      <c r="H6" s="5"/>
      <c r="I6" s="278"/>
      <c r="J6" s="24"/>
      <c r="K6" s="5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</row>
    <row r="7" ht="27.75" customHeight="1">
      <c r="A7" s="273"/>
      <c r="B7" s="4" t="s">
        <v>209</v>
      </c>
      <c r="C7" s="5"/>
      <c r="D7" s="25" t="str">
        <f>'INSTRUCTIVO FAB'!F9</f>
        <v>OP-L-099</v>
      </c>
      <c r="E7" s="24"/>
      <c r="F7" s="5"/>
      <c r="G7" s="4" t="s">
        <v>210</v>
      </c>
      <c r="H7" s="5"/>
      <c r="I7" s="25"/>
      <c r="J7" s="24"/>
      <c r="K7" s="5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</row>
    <row r="8" ht="27.75" customHeight="1">
      <c r="A8" s="273"/>
      <c r="B8" s="4" t="s">
        <v>211</v>
      </c>
      <c r="C8" s="5"/>
      <c r="D8" s="77" t="str">
        <f>'INSTRUCTIVO FAB'!F8</f>
        <v>252111</v>
      </c>
      <c r="E8" s="24"/>
      <c r="F8" s="5"/>
      <c r="G8" s="4" t="s">
        <v>212</v>
      </c>
      <c r="H8" s="5"/>
      <c r="I8" s="25" t="str">
        <f>OP!G11</f>
        <v>SOLUCION</v>
      </c>
      <c r="J8" s="24"/>
      <c r="K8" s="5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</row>
    <row r="9" ht="33.75" customHeight="1">
      <c r="A9" s="273"/>
      <c r="B9" s="4" t="s">
        <v>213</v>
      </c>
      <c r="C9" s="5"/>
      <c r="D9" s="33">
        <f>OP!P12</f>
        <v>90</v>
      </c>
      <c r="E9" s="24"/>
      <c r="F9" s="5"/>
      <c r="G9" s="4" t="s">
        <v>214</v>
      </c>
      <c r="H9" s="5"/>
      <c r="I9" s="279"/>
      <c r="J9" s="24"/>
      <c r="K9" s="5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</row>
    <row r="10" ht="27.75" customHeight="1">
      <c r="A10" s="273"/>
      <c r="B10" s="280" t="s">
        <v>215</v>
      </c>
      <c r="C10" s="24"/>
      <c r="D10" s="24"/>
      <c r="E10" s="24"/>
      <c r="F10" s="24"/>
      <c r="G10" s="24"/>
      <c r="H10" s="24"/>
      <c r="I10" s="24"/>
      <c r="J10" s="24"/>
      <c r="K10" s="5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</row>
    <row r="11" ht="29.25" customHeight="1">
      <c r="A11" s="273"/>
      <c r="B11" s="281" t="s">
        <v>216</v>
      </c>
      <c r="C11" s="3"/>
      <c r="D11" s="281" t="s">
        <v>217</v>
      </c>
      <c r="E11" s="2"/>
      <c r="F11" s="2"/>
      <c r="G11" s="2"/>
      <c r="H11" s="3"/>
      <c r="I11" s="280" t="s">
        <v>218</v>
      </c>
      <c r="J11" s="24"/>
      <c r="K11" s="5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</row>
    <row r="12" ht="24.75" customHeight="1">
      <c r="A12" s="273"/>
      <c r="B12" s="10"/>
      <c r="C12" s="12"/>
      <c r="D12" s="10"/>
      <c r="E12" s="11"/>
      <c r="F12" s="11"/>
      <c r="G12" s="11"/>
      <c r="H12" s="12"/>
      <c r="I12" s="282" t="s">
        <v>219</v>
      </c>
      <c r="J12" s="282" t="s">
        <v>72</v>
      </c>
      <c r="K12" s="282" t="s">
        <v>73</v>
      </c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</row>
    <row r="13" ht="95.25" customHeight="1">
      <c r="A13" s="273"/>
      <c r="B13" s="4" t="s">
        <v>220</v>
      </c>
      <c r="C13" s="5"/>
      <c r="D13" s="283" t="s">
        <v>221</v>
      </c>
      <c r="E13" s="24"/>
      <c r="F13" s="24"/>
      <c r="G13" s="24"/>
      <c r="H13" s="5"/>
      <c r="I13" s="43"/>
      <c r="J13" s="104"/>
      <c r="K13" s="104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</row>
    <row r="14" ht="80.25" customHeight="1">
      <c r="A14" s="273"/>
      <c r="B14" s="4" t="s">
        <v>222</v>
      </c>
      <c r="C14" s="5"/>
      <c r="D14" s="4" t="s">
        <v>223</v>
      </c>
      <c r="E14" s="24"/>
      <c r="F14" s="24"/>
      <c r="G14" s="24"/>
      <c r="H14" s="5"/>
      <c r="I14" s="43"/>
      <c r="J14" s="104"/>
      <c r="K14" s="104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</row>
    <row r="15" ht="75.75" customHeight="1">
      <c r="A15" s="273"/>
      <c r="B15" s="284" t="s">
        <v>224</v>
      </c>
      <c r="C15" s="5"/>
      <c r="D15" s="25" t="s">
        <v>225</v>
      </c>
      <c r="E15" s="24"/>
      <c r="F15" s="24"/>
      <c r="G15" s="24"/>
      <c r="H15" s="5"/>
      <c r="I15" s="43"/>
      <c r="J15" s="104"/>
      <c r="K15" s="104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</row>
    <row r="16" ht="84.0" customHeight="1">
      <c r="A16" s="273"/>
      <c r="B16" s="4" t="s">
        <v>226</v>
      </c>
      <c r="C16" s="5"/>
      <c r="D16" s="25" t="s">
        <v>227</v>
      </c>
      <c r="E16" s="24"/>
      <c r="F16" s="24"/>
      <c r="G16" s="24"/>
      <c r="H16" s="5"/>
      <c r="I16" s="43"/>
      <c r="J16" s="104"/>
      <c r="K16" s="104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</row>
    <row r="17" ht="26.25" customHeight="1">
      <c r="A17" s="273"/>
      <c r="B17" s="25" t="s">
        <v>228</v>
      </c>
      <c r="C17" s="24"/>
      <c r="D17" s="24"/>
      <c r="E17" s="24"/>
      <c r="F17" s="24"/>
      <c r="G17" s="24"/>
      <c r="H17" s="24"/>
      <c r="I17" s="24"/>
      <c r="J17" s="24"/>
      <c r="K17" s="5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</row>
    <row r="18" ht="22.5" customHeight="1">
      <c r="A18" s="273"/>
      <c r="B18" s="285" t="s">
        <v>31</v>
      </c>
      <c r="C18" s="286"/>
      <c r="D18" s="2"/>
      <c r="E18" s="2"/>
      <c r="F18" s="2"/>
      <c r="G18" s="2"/>
      <c r="H18" s="2"/>
      <c r="I18" s="2"/>
      <c r="J18" s="2"/>
      <c r="K18" s="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</row>
    <row r="19" ht="22.5" customHeight="1">
      <c r="A19" s="273"/>
      <c r="B19" s="287"/>
      <c r="C19" s="8"/>
      <c r="K19" s="9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</row>
    <row r="20" ht="60.0" customHeight="1">
      <c r="A20" s="273"/>
      <c r="B20" s="287"/>
      <c r="C20" s="8"/>
      <c r="K20" s="9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</row>
    <row r="21" ht="63.0" customHeight="1">
      <c r="A21" s="273"/>
      <c r="B21" s="287"/>
      <c r="C21" s="8"/>
      <c r="K21" s="9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273"/>
    </row>
    <row r="22" ht="33.0" customHeight="1">
      <c r="A22" s="273"/>
      <c r="B22" s="277"/>
      <c r="C22" s="10"/>
      <c r="D22" s="11"/>
      <c r="E22" s="11"/>
      <c r="F22" s="11"/>
      <c r="G22" s="11"/>
      <c r="H22" s="11"/>
      <c r="I22" s="11"/>
      <c r="J22" s="11"/>
      <c r="K22" s="12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</row>
    <row r="23" ht="30.0" customHeight="1">
      <c r="A23" s="273"/>
      <c r="B23" s="280" t="s">
        <v>229</v>
      </c>
      <c r="C23" s="24"/>
      <c r="D23" s="24"/>
      <c r="E23" s="24"/>
      <c r="F23" s="24"/>
      <c r="G23" s="24"/>
      <c r="H23" s="24"/>
      <c r="I23" s="24"/>
      <c r="J23" s="24"/>
      <c r="K23" s="5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</row>
    <row r="24" ht="30.0" customHeight="1">
      <c r="A24" s="273"/>
      <c r="B24" s="42"/>
      <c r="C24" s="280" t="s">
        <v>230</v>
      </c>
      <c r="D24" s="5"/>
      <c r="E24" s="42"/>
      <c r="F24" s="280" t="s">
        <v>231</v>
      </c>
      <c r="G24" s="5"/>
      <c r="H24" s="4"/>
      <c r="I24" s="5"/>
      <c r="J24" s="280" t="s">
        <v>232</v>
      </c>
      <c r="K24" s="5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</row>
    <row r="25" ht="33.0" customHeight="1">
      <c r="A25" s="273"/>
      <c r="B25" s="280"/>
      <c r="C25" s="24"/>
      <c r="D25" s="24"/>
      <c r="E25" s="24"/>
      <c r="F25" s="24"/>
      <c r="G25" s="24"/>
      <c r="H25" s="24"/>
      <c r="I25" s="24"/>
      <c r="J25" s="24"/>
      <c r="K25" s="5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</row>
    <row r="26" ht="30.75" customHeight="1">
      <c r="A26" s="273"/>
      <c r="B26" s="280" t="s">
        <v>86</v>
      </c>
      <c r="C26" s="5"/>
      <c r="D26" s="4"/>
      <c r="E26" s="24"/>
      <c r="F26" s="5"/>
      <c r="G26" s="288" t="s">
        <v>233</v>
      </c>
      <c r="H26" s="4"/>
      <c r="I26" s="24"/>
      <c r="J26" s="24"/>
      <c r="K26" s="5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</row>
    <row r="27" ht="30.0" customHeight="1">
      <c r="A27" s="273"/>
      <c r="B27" s="280" t="s">
        <v>234</v>
      </c>
      <c r="C27" s="5"/>
      <c r="D27" s="4"/>
      <c r="E27" s="24"/>
      <c r="F27" s="5"/>
      <c r="G27" s="282" t="s">
        <v>234</v>
      </c>
      <c r="H27" s="4"/>
      <c r="I27" s="24"/>
      <c r="J27" s="24"/>
      <c r="K27" s="5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</row>
    <row r="28" ht="24.75" customHeight="1">
      <c r="A28" s="273"/>
      <c r="B28" s="280" t="s">
        <v>67</v>
      </c>
      <c r="C28" s="5"/>
      <c r="D28" s="4"/>
      <c r="E28" s="24"/>
      <c r="F28" s="5"/>
      <c r="G28" s="282" t="s">
        <v>67</v>
      </c>
      <c r="H28" s="4"/>
      <c r="I28" s="24"/>
      <c r="J28" s="24"/>
      <c r="K28" s="5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</row>
    <row r="29" ht="15.75" customHeight="1">
      <c r="A29" s="273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</row>
    <row r="30" ht="15.75" customHeight="1">
      <c r="A30" s="273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</row>
    <row r="31" ht="15.75" customHeight="1">
      <c r="A31" s="273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</row>
    <row r="32" ht="15.75" customHeight="1">
      <c r="A32" s="273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</row>
    <row r="33" ht="15.75" customHeight="1">
      <c r="A33" s="273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  <c r="Z33" s="273"/>
    </row>
    <row r="34" ht="15.75" customHeight="1">
      <c r="A34" s="273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  <c r="Z34" s="273"/>
    </row>
    <row r="35" ht="15.75" customHeight="1">
      <c r="A35" s="273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  <c r="Z35" s="273"/>
    </row>
    <row r="36" ht="15.75" customHeight="1">
      <c r="A36" s="273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</row>
    <row r="37" ht="15.75" customHeight="1">
      <c r="A37" s="273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</row>
    <row r="38" ht="15.75" customHeight="1">
      <c r="A38" s="273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</row>
    <row r="39" ht="15.75" customHeight="1">
      <c r="A39" s="273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  <c r="Z39" s="273"/>
    </row>
    <row r="40" ht="15.75" customHeight="1">
      <c r="A40" s="273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</row>
    <row r="41" ht="15.75" customHeight="1">
      <c r="A41" s="273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</row>
    <row r="42" ht="15.75" customHeight="1">
      <c r="A42" s="273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</row>
    <row r="43" ht="15.75" customHeight="1">
      <c r="A43" s="273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</row>
    <row r="44" ht="15.75" customHeight="1">
      <c r="A44" s="273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</row>
    <row r="45" ht="15.75" customHeight="1">
      <c r="A45" s="273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</row>
    <row r="46" ht="15.75" customHeight="1">
      <c r="A46" s="273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</row>
    <row r="47" ht="15.75" customHeight="1">
      <c r="A47" s="273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</row>
    <row r="48" ht="15.75" customHeight="1">
      <c r="A48" s="273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</row>
    <row r="49" ht="15.75" customHeight="1">
      <c r="A49" s="273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</row>
    <row r="50" ht="15.75" customHeight="1">
      <c r="A50" s="273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</row>
    <row r="51" ht="15.75" customHeight="1">
      <c r="A51" s="273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</row>
    <row r="52" ht="15.75" customHeight="1">
      <c r="A52" s="273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</row>
    <row r="53" ht="15.75" customHeight="1">
      <c r="A53" s="273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</row>
    <row r="54" ht="15.75" customHeight="1">
      <c r="A54" s="273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</row>
    <row r="55" ht="15.75" customHeight="1">
      <c r="A55" s="273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</row>
    <row r="56" ht="15.75" customHeight="1">
      <c r="A56" s="273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</row>
    <row r="57" ht="15.75" customHeight="1">
      <c r="A57" s="273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</row>
    <row r="58" ht="15.75" customHeight="1">
      <c r="A58" s="273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</row>
    <row r="59" ht="15.75" customHeight="1">
      <c r="A59" s="273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</row>
    <row r="60" ht="15.75" customHeight="1">
      <c r="A60" s="273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</row>
    <row r="61" ht="15.75" customHeight="1">
      <c r="A61" s="273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</row>
    <row r="62" ht="15.75" customHeight="1">
      <c r="A62" s="273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</row>
    <row r="63" ht="15.75" customHeight="1">
      <c r="A63" s="273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</row>
    <row r="64" ht="15.75" customHeight="1">
      <c r="A64" s="273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</row>
    <row r="65" ht="15.75" customHeight="1">
      <c r="A65" s="273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273"/>
    </row>
    <row r="66" ht="15.75" customHeight="1">
      <c r="A66" s="273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</row>
    <row r="67" ht="15.75" customHeight="1">
      <c r="A67" s="273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  <c r="Z67" s="273"/>
    </row>
    <row r="68" ht="15.75" customHeight="1">
      <c r="A68" s="273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273"/>
    </row>
    <row r="69" ht="15.75" customHeight="1">
      <c r="A69" s="273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273"/>
    </row>
    <row r="70" ht="15.75" customHeight="1">
      <c r="A70" s="273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</row>
    <row r="71" ht="15.75" customHeight="1">
      <c r="A71" s="273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</row>
    <row r="72" ht="15.75" customHeight="1">
      <c r="A72" s="273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</row>
    <row r="73" ht="15.75" customHeight="1">
      <c r="A73" s="273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</row>
    <row r="74" ht="15.75" customHeight="1">
      <c r="A74" s="273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</row>
    <row r="75" ht="15.75" customHeight="1">
      <c r="A75" s="273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273"/>
    </row>
    <row r="76" ht="15.75" customHeight="1">
      <c r="A76" s="273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</row>
    <row r="77" ht="15.75" customHeight="1">
      <c r="A77" s="273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273"/>
    </row>
    <row r="78" ht="15.75" customHeight="1">
      <c r="A78" s="273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</row>
    <row r="79" ht="15.75" customHeight="1">
      <c r="A79" s="273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</row>
    <row r="80" ht="15.75" customHeight="1">
      <c r="A80" s="273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</row>
    <row r="81" ht="15.75" customHeight="1">
      <c r="A81" s="273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</row>
    <row r="82" ht="15.75" customHeight="1">
      <c r="A82" s="273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</row>
    <row r="83" ht="15.75" customHeight="1">
      <c r="A83" s="273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</row>
    <row r="84" ht="15.75" customHeight="1">
      <c r="A84" s="273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</row>
    <row r="85" ht="15.75" customHeight="1">
      <c r="A85" s="273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  <c r="Z85" s="273"/>
    </row>
    <row r="86" ht="15.75" customHeight="1">
      <c r="A86" s="273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</row>
    <row r="87" ht="15.75" customHeight="1">
      <c r="A87" s="273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  <c r="Z87" s="273"/>
    </row>
    <row r="88" ht="15.75" customHeight="1">
      <c r="A88" s="273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</row>
    <row r="89" ht="15.75" customHeight="1">
      <c r="A89" s="273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  <c r="Z89" s="273"/>
    </row>
    <row r="90" ht="15.75" customHeight="1">
      <c r="A90" s="273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</row>
    <row r="91" ht="15.75" customHeight="1">
      <c r="A91" s="273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  <c r="Z91" s="273"/>
    </row>
    <row r="92" ht="15.75" customHeight="1">
      <c r="A92" s="273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</row>
    <row r="93" ht="15.75" customHeight="1">
      <c r="A93" s="273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</row>
    <row r="94" ht="15.75" customHeight="1">
      <c r="A94" s="273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</row>
    <row r="95" ht="15.75" customHeight="1">
      <c r="A95" s="273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  <c r="Z95" s="273"/>
    </row>
    <row r="96" ht="15.75" customHeight="1">
      <c r="A96" s="273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</row>
    <row r="97" ht="15.75" customHeight="1">
      <c r="A97" s="273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  <c r="Z97" s="273"/>
    </row>
    <row r="98" ht="15.75" customHeight="1">
      <c r="A98" s="273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</row>
    <row r="99" ht="15.75" customHeight="1">
      <c r="A99" s="273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</row>
    <row r="100" ht="15.75" customHeight="1">
      <c r="A100" s="273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</row>
    <row r="101" ht="15.75" customHeight="1">
      <c r="A101" s="273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</row>
    <row r="102" ht="15.75" customHeight="1">
      <c r="A102" s="273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</row>
    <row r="103" ht="15.75" customHeight="1">
      <c r="A103" s="273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</row>
    <row r="104" ht="15.75" customHeight="1">
      <c r="A104" s="273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</row>
    <row r="105" ht="15.75" customHeight="1">
      <c r="A105" s="273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  <c r="Z105" s="273"/>
    </row>
    <row r="106" ht="15.75" customHeight="1">
      <c r="A106" s="273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</row>
    <row r="107" ht="15.75" customHeight="1">
      <c r="A107" s="273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</row>
    <row r="108" ht="15.75" customHeight="1">
      <c r="A108" s="273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</row>
    <row r="109" ht="15.75" customHeight="1">
      <c r="A109" s="273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  <c r="Z109" s="273"/>
    </row>
    <row r="110" ht="15.75" customHeight="1">
      <c r="A110" s="273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</row>
    <row r="111" ht="15.75" customHeight="1">
      <c r="A111" s="273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  <c r="Z111" s="273"/>
    </row>
    <row r="112" ht="15.75" customHeight="1">
      <c r="A112" s="273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</row>
    <row r="113" ht="15.75" customHeight="1">
      <c r="A113" s="273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  <c r="Z113" s="273"/>
    </row>
    <row r="114" ht="15.75" customHeight="1">
      <c r="A114" s="273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</row>
    <row r="115" ht="15.75" customHeight="1">
      <c r="A115" s="273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  <c r="Z115" s="273"/>
    </row>
    <row r="116" ht="15.75" customHeight="1">
      <c r="A116" s="273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</row>
    <row r="117" ht="15.75" customHeight="1">
      <c r="A117" s="273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</row>
    <row r="118" ht="15.75" customHeight="1">
      <c r="A118" s="273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</row>
    <row r="119" ht="15.75" customHeight="1">
      <c r="A119" s="273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</row>
    <row r="120" ht="15.75" customHeight="1">
      <c r="A120" s="273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</row>
    <row r="121" ht="15.75" customHeight="1">
      <c r="A121" s="273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  <c r="Z121" s="273"/>
    </row>
    <row r="122" ht="15.75" customHeight="1">
      <c r="A122" s="273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</row>
    <row r="123" ht="15.75" customHeight="1">
      <c r="A123" s="273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  <c r="Z123" s="273"/>
    </row>
    <row r="124" ht="15.75" customHeight="1">
      <c r="A124" s="273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</row>
    <row r="125" ht="15.75" customHeight="1">
      <c r="A125" s="273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</row>
    <row r="126" ht="15.75" customHeight="1">
      <c r="A126" s="273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</row>
    <row r="127" ht="15.75" customHeight="1">
      <c r="A127" s="273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</row>
    <row r="128" ht="15.75" customHeight="1">
      <c r="A128" s="273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  <c r="Z128" s="273"/>
    </row>
    <row r="129" ht="15.75" customHeight="1">
      <c r="A129" s="273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  <c r="Z129" s="273"/>
    </row>
    <row r="130" ht="15.75" customHeight="1">
      <c r="A130" s="273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</row>
    <row r="131" ht="15.75" customHeight="1">
      <c r="A131" s="273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  <c r="Z131" s="273"/>
    </row>
    <row r="132" ht="15.75" customHeight="1">
      <c r="A132" s="273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</row>
    <row r="133" ht="15.75" customHeight="1">
      <c r="A133" s="273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  <c r="Z133" s="273"/>
    </row>
    <row r="134" ht="15.75" customHeight="1">
      <c r="A134" s="273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</row>
    <row r="135" ht="15.75" customHeight="1">
      <c r="A135" s="273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</row>
    <row r="136" ht="15.75" customHeight="1">
      <c r="A136" s="273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</row>
    <row r="137" ht="15.75" customHeight="1">
      <c r="A137" s="273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</row>
    <row r="138" ht="15.75" customHeight="1">
      <c r="A138" s="273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</row>
    <row r="139" ht="15.75" customHeight="1">
      <c r="A139" s="273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  <c r="Z139" s="273"/>
    </row>
    <row r="140" ht="15.75" customHeight="1">
      <c r="A140" s="273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</row>
    <row r="141" ht="15.75" customHeight="1">
      <c r="A141" s="273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  <c r="Z141" s="273"/>
    </row>
    <row r="142" ht="15.75" customHeight="1">
      <c r="A142" s="273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</row>
    <row r="143" ht="15.75" customHeight="1">
      <c r="A143" s="273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</row>
    <row r="144" ht="15.75" customHeight="1">
      <c r="A144" s="273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</row>
    <row r="145" ht="15.75" customHeight="1">
      <c r="A145" s="273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</row>
    <row r="146" ht="15.75" customHeight="1">
      <c r="A146" s="273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</row>
    <row r="147" ht="15.75" customHeight="1">
      <c r="A147" s="273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  <c r="Z147" s="273"/>
    </row>
    <row r="148" ht="15.75" customHeight="1">
      <c r="A148" s="273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</row>
    <row r="149" ht="15.75" customHeight="1">
      <c r="A149" s="273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  <c r="Z149" s="273"/>
    </row>
    <row r="150" ht="15.75" customHeight="1">
      <c r="A150" s="273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</row>
    <row r="151" ht="15.75" customHeight="1">
      <c r="A151" s="273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</row>
    <row r="152" ht="15.75" customHeight="1">
      <c r="A152" s="273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</row>
    <row r="153" ht="15.75" customHeight="1">
      <c r="A153" s="273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  <c r="Z153" s="273"/>
    </row>
    <row r="154" ht="15.75" customHeight="1">
      <c r="A154" s="273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</row>
    <row r="155" ht="15.75" customHeight="1">
      <c r="A155" s="273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  <c r="Z155" s="273"/>
    </row>
    <row r="156" ht="15.75" customHeight="1">
      <c r="A156" s="273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</row>
    <row r="157" ht="15.75" customHeight="1">
      <c r="A157" s="273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  <c r="Z157" s="273"/>
    </row>
    <row r="158" ht="15.75" customHeight="1">
      <c r="A158" s="273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</row>
    <row r="159" ht="15.75" customHeight="1">
      <c r="A159" s="273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</row>
    <row r="160" ht="15.75" customHeight="1">
      <c r="A160" s="273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</row>
    <row r="161" ht="15.75" customHeight="1">
      <c r="A161" s="273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  <c r="Z161" s="273"/>
    </row>
    <row r="162" ht="15.75" customHeight="1">
      <c r="A162" s="273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</row>
    <row r="163" ht="15.75" customHeight="1">
      <c r="A163" s="273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  <c r="Z163" s="273"/>
    </row>
    <row r="164" ht="15.75" customHeight="1">
      <c r="A164" s="273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</row>
    <row r="165" ht="15.75" customHeight="1">
      <c r="A165" s="273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  <c r="Z165" s="273"/>
    </row>
    <row r="166" ht="15.75" customHeight="1">
      <c r="A166" s="273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</row>
    <row r="167" ht="15.75" customHeight="1">
      <c r="A167" s="273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  <c r="Z167" s="273"/>
    </row>
    <row r="168" ht="15.75" customHeight="1">
      <c r="A168" s="273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</row>
    <row r="169" ht="15.75" customHeight="1">
      <c r="A169" s="273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  <c r="Z169" s="273"/>
    </row>
    <row r="170" ht="15.75" customHeight="1">
      <c r="A170" s="273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</row>
    <row r="171" ht="15.75" customHeight="1">
      <c r="A171" s="273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</row>
    <row r="172" ht="15.75" customHeight="1">
      <c r="A172" s="273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</row>
    <row r="173" ht="15.75" customHeight="1">
      <c r="A173" s="273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  <c r="Z173" s="273"/>
    </row>
    <row r="174" ht="15.75" customHeight="1">
      <c r="A174" s="273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</row>
    <row r="175" ht="15.75" customHeight="1">
      <c r="A175" s="273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  <c r="Z175" s="273"/>
    </row>
    <row r="176" ht="15.75" customHeight="1">
      <c r="A176" s="273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</row>
    <row r="177" ht="15.75" customHeight="1">
      <c r="A177" s="273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</row>
    <row r="178" ht="15.75" customHeight="1">
      <c r="A178" s="273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</row>
    <row r="179" ht="15.75" customHeight="1">
      <c r="A179" s="273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  <c r="Z179" s="273"/>
    </row>
    <row r="180" ht="15.75" customHeight="1">
      <c r="A180" s="273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</row>
    <row r="181" ht="15.75" customHeight="1">
      <c r="A181" s="273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  <c r="Z181" s="273"/>
    </row>
    <row r="182" ht="15.75" customHeight="1">
      <c r="A182" s="273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</row>
    <row r="183" ht="15.75" customHeight="1">
      <c r="A183" s="273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  <c r="Z183" s="273"/>
    </row>
    <row r="184" ht="15.75" customHeight="1">
      <c r="A184" s="273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</row>
    <row r="185" ht="15.75" customHeight="1">
      <c r="A185" s="273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  <c r="Z185" s="273"/>
    </row>
    <row r="186" ht="15.75" customHeight="1">
      <c r="A186" s="273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</row>
    <row r="187" ht="15.75" customHeight="1">
      <c r="A187" s="273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  <c r="Z187" s="273"/>
    </row>
    <row r="188" ht="15.75" customHeight="1">
      <c r="A188" s="273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</row>
    <row r="189" ht="15.75" customHeight="1">
      <c r="A189" s="273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  <c r="Z189" s="273"/>
    </row>
    <row r="190" ht="15.75" customHeight="1">
      <c r="A190" s="273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</row>
    <row r="191" ht="15.75" customHeight="1">
      <c r="A191" s="273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  <c r="Z191" s="273"/>
    </row>
    <row r="192" ht="15.75" customHeight="1">
      <c r="A192" s="273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</row>
    <row r="193" ht="15.75" customHeight="1">
      <c r="A193" s="273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</row>
    <row r="194" ht="15.75" customHeight="1">
      <c r="A194" s="273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</row>
    <row r="195" ht="15.75" customHeight="1">
      <c r="A195" s="273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3"/>
    </row>
    <row r="196" ht="15.75" customHeight="1">
      <c r="A196" s="273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</row>
    <row r="197" ht="15.75" customHeight="1">
      <c r="A197" s="273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</row>
    <row r="198" ht="15.75" customHeight="1">
      <c r="A198" s="273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</row>
    <row r="199" ht="15.75" customHeight="1">
      <c r="A199" s="273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</row>
    <row r="200" ht="15.75" customHeight="1">
      <c r="A200" s="273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</row>
    <row r="201" ht="15.75" customHeight="1">
      <c r="A201" s="273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</row>
    <row r="202" ht="15.75" customHeight="1">
      <c r="A202" s="273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</row>
    <row r="203" ht="15.75" customHeight="1">
      <c r="A203" s="273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</row>
    <row r="204" ht="15.75" customHeight="1">
      <c r="A204" s="273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</row>
    <row r="205" ht="15.75" customHeight="1">
      <c r="A205" s="273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</row>
    <row r="206" ht="15.75" customHeight="1">
      <c r="A206" s="273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</row>
    <row r="207" ht="15.75" customHeight="1">
      <c r="A207" s="273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</row>
    <row r="208" ht="15.75" customHeight="1">
      <c r="A208" s="273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</row>
    <row r="209" ht="15.75" customHeight="1">
      <c r="A209" s="273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</row>
    <row r="210" ht="15.75" customHeight="1">
      <c r="A210" s="273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</row>
    <row r="211" ht="15.75" customHeight="1">
      <c r="A211" s="273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</row>
    <row r="212" ht="15.75" customHeight="1">
      <c r="A212" s="273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</row>
    <row r="213" ht="15.75" customHeight="1">
      <c r="A213" s="273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</row>
    <row r="214" ht="15.75" customHeight="1">
      <c r="A214" s="273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</row>
    <row r="215" ht="15.75" customHeight="1">
      <c r="A215" s="273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</row>
    <row r="216" ht="15.75" customHeight="1">
      <c r="A216" s="273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</row>
    <row r="217" ht="15.75" customHeight="1">
      <c r="A217" s="273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</row>
    <row r="218" ht="15.75" customHeight="1">
      <c r="A218" s="273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</row>
    <row r="219" ht="15.75" customHeight="1">
      <c r="A219" s="273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</row>
    <row r="220" ht="15.75" customHeight="1">
      <c r="A220" s="273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</row>
    <row r="221" ht="15.75" customHeight="1">
      <c r="A221" s="273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</row>
    <row r="222" ht="15.75" customHeight="1">
      <c r="A222" s="273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</row>
    <row r="223" ht="15.75" customHeight="1">
      <c r="A223" s="273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</row>
    <row r="224" ht="15.75" customHeight="1">
      <c r="A224" s="273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</row>
    <row r="225" ht="15.75" customHeight="1">
      <c r="A225" s="273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</row>
    <row r="226" ht="15.75" customHeight="1">
      <c r="A226" s="273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</row>
    <row r="227" ht="15.75" customHeight="1">
      <c r="A227" s="273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</row>
    <row r="228" ht="15.75" customHeight="1">
      <c r="A228" s="273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9:C9"/>
    <mergeCell ref="B11:C12"/>
    <mergeCell ref="B13:C13"/>
    <mergeCell ref="B14:C14"/>
    <mergeCell ref="B15:C15"/>
    <mergeCell ref="B16:C16"/>
    <mergeCell ref="B18:B2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43"/>
    <col customWidth="1" min="3" max="3" width="5.29"/>
    <col customWidth="1" min="4" max="4" width="9.14"/>
    <col customWidth="1" min="5" max="6" width="6.86"/>
    <col customWidth="1" min="7" max="7" width="15.57"/>
    <col customWidth="1" min="8" max="8" width="14.29"/>
    <col customWidth="1" min="9" max="9" width="7.14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9.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2" t="s">
        <v>235</v>
      </c>
      <c r="P1" s="63"/>
      <c r="Q1" s="55"/>
      <c r="R1" s="55"/>
      <c r="S1" s="55"/>
    </row>
    <row r="2" ht="18.75" customHeight="1">
      <c r="A2" s="8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111"/>
      <c r="Q2" s="55"/>
      <c r="R2" s="55"/>
      <c r="S2" s="55"/>
    </row>
    <row r="3" ht="17.25" customHeight="1">
      <c r="A3" s="8"/>
      <c r="C3" s="9"/>
      <c r="D3" s="16" t="s">
        <v>236</v>
      </c>
      <c r="E3" s="2"/>
      <c r="F3" s="2"/>
      <c r="G3" s="2"/>
      <c r="H3" s="2"/>
      <c r="I3" s="2"/>
      <c r="J3" s="2"/>
      <c r="K3" s="2"/>
      <c r="L3" s="2"/>
      <c r="M3" s="13" t="s">
        <v>5</v>
      </c>
      <c r="N3" s="12"/>
      <c r="O3" s="4" t="s">
        <v>6</v>
      </c>
      <c r="P3" s="66"/>
      <c r="Q3" s="55"/>
      <c r="R3" s="55"/>
      <c r="S3" s="55"/>
    </row>
    <row r="4" ht="17.25" customHeight="1">
      <c r="A4" s="8"/>
      <c r="C4" s="9"/>
      <c r="D4" s="8"/>
      <c r="M4" s="1" t="s">
        <v>7</v>
      </c>
      <c r="N4" s="3"/>
      <c r="O4" s="17" t="s">
        <v>8</v>
      </c>
      <c r="P4" s="66"/>
      <c r="Q4" s="55"/>
      <c r="R4" s="55"/>
      <c r="S4" s="55"/>
    </row>
    <row r="5" ht="17.25" customHeight="1">
      <c r="A5" s="8"/>
      <c r="C5" s="9"/>
      <c r="D5" s="8"/>
      <c r="M5" s="10"/>
      <c r="N5" s="12"/>
      <c r="O5" s="18" t="s">
        <v>9</v>
      </c>
      <c r="P5" s="66"/>
      <c r="Q5" s="55"/>
      <c r="R5" s="55"/>
      <c r="S5" s="55"/>
    </row>
    <row r="6" ht="27.75" customHeight="1">
      <c r="A6" s="290" t="s">
        <v>10</v>
      </c>
      <c r="B6" s="24"/>
      <c r="C6" s="24"/>
      <c r="D6" s="24"/>
      <c r="E6" s="5"/>
      <c r="F6" s="25" t="str">
        <f>'COC GRANEL'!D6</f>
        <v>SUERO DE NIACINAMIDA 5%</v>
      </c>
      <c r="G6" s="24"/>
      <c r="H6" s="24"/>
      <c r="I6" s="24"/>
      <c r="J6" s="24"/>
      <c r="K6" s="24"/>
      <c r="L6" s="24"/>
      <c r="M6" s="24"/>
      <c r="N6" s="24"/>
      <c r="O6" s="24"/>
      <c r="P6" s="66"/>
      <c r="Q6" s="55"/>
      <c r="R6" s="55"/>
      <c r="S6" s="55"/>
    </row>
    <row r="7" ht="24.0" customHeight="1">
      <c r="A7" s="291" t="s">
        <v>55</v>
      </c>
      <c r="B7" s="79"/>
      <c r="C7" s="79"/>
      <c r="D7" s="79"/>
      <c r="E7" s="82"/>
      <c r="F7" s="292" t="str">
        <f>'LISTA CHEQUEO'!F8</f>
        <v>252111</v>
      </c>
      <c r="G7" s="3"/>
      <c r="H7" s="293" t="s">
        <v>237</v>
      </c>
      <c r="I7" s="82"/>
      <c r="J7" s="231" t="str">
        <f>'COC GRANEL'!D7</f>
        <v>OP-L-099</v>
      </c>
      <c r="K7" s="2"/>
      <c r="L7" s="3"/>
      <c r="M7" s="294" t="s">
        <v>16</v>
      </c>
      <c r="N7" s="82"/>
      <c r="O7" s="295" t="s">
        <v>238</v>
      </c>
      <c r="P7" s="111"/>
      <c r="Q7" s="55"/>
      <c r="R7" s="55"/>
      <c r="S7" s="55"/>
    </row>
    <row r="8" ht="28.5" customHeight="1">
      <c r="A8" s="296" t="s">
        <v>239</v>
      </c>
      <c r="B8" s="24"/>
      <c r="C8" s="24"/>
      <c r="D8" s="24"/>
      <c r="E8" s="5"/>
      <c r="F8" s="297">
        <v>1200.0</v>
      </c>
      <c r="G8" s="5"/>
      <c r="H8" s="296" t="s">
        <v>240</v>
      </c>
      <c r="I8" s="298"/>
      <c r="J8" s="278"/>
      <c r="K8" s="24"/>
      <c r="L8" s="24"/>
      <c r="M8" s="296" t="s">
        <v>241</v>
      </c>
      <c r="N8" s="298"/>
      <c r="O8" s="52"/>
      <c r="P8" s="66"/>
      <c r="Q8" s="55"/>
      <c r="R8" s="55"/>
      <c r="S8" s="55"/>
    </row>
    <row r="9" ht="36.75" customHeight="1">
      <c r="A9" s="299" t="s">
        <v>242</v>
      </c>
      <c r="B9" s="24"/>
      <c r="C9" s="24"/>
      <c r="D9" s="24"/>
      <c r="E9" s="5"/>
      <c r="F9" s="300"/>
      <c r="G9" s="5"/>
      <c r="H9" s="296" t="s">
        <v>243</v>
      </c>
      <c r="I9" s="5"/>
      <c r="J9" s="4"/>
      <c r="K9" s="24"/>
      <c r="L9" s="5"/>
      <c r="M9" s="296" t="s">
        <v>170</v>
      </c>
      <c r="N9" s="5"/>
      <c r="O9" s="52"/>
      <c r="P9" s="66"/>
      <c r="Q9" s="55"/>
      <c r="R9" s="55"/>
      <c r="S9" s="55"/>
    </row>
    <row r="10" ht="19.5" customHeight="1">
      <c r="A10" s="196" t="s">
        <v>171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5"/>
      <c r="N10" s="48" t="s">
        <v>172</v>
      </c>
      <c r="O10" s="5"/>
      <c r="P10" s="197" t="s">
        <v>173</v>
      </c>
      <c r="Q10" s="55"/>
      <c r="R10" s="55"/>
      <c r="S10" s="55"/>
    </row>
    <row r="11" ht="29.25" customHeight="1">
      <c r="A11" s="198" t="s">
        <v>174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199"/>
      <c r="O11" s="5"/>
      <c r="P11" s="200"/>
      <c r="Q11" s="55"/>
      <c r="R11" s="55"/>
      <c r="S11" s="55"/>
    </row>
    <row r="12" ht="19.5" customHeight="1">
      <c r="A12" s="301" t="s">
        <v>244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302"/>
      <c r="Q12" s="303"/>
      <c r="R12" s="303"/>
      <c r="S12" s="303"/>
    </row>
    <row r="13" ht="29.25" customHeight="1">
      <c r="A13" s="301" t="s">
        <v>245</v>
      </c>
      <c r="B13" s="73"/>
      <c r="C13" s="304" t="s">
        <v>12</v>
      </c>
      <c r="D13" s="24"/>
      <c r="E13" s="5"/>
      <c r="F13" s="304" t="s">
        <v>246</v>
      </c>
      <c r="G13" s="24"/>
      <c r="H13" s="24"/>
      <c r="I13" s="24"/>
      <c r="J13" s="24"/>
      <c r="K13" s="24"/>
      <c r="L13" s="298"/>
      <c r="M13" s="304" t="s">
        <v>247</v>
      </c>
      <c r="N13" s="5"/>
      <c r="O13" s="305" t="s">
        <v>248</v>
      </c>
      <c r="P13" s="302"/>
      <c r="Q13" s="303"/>
      <c r="R13" s="303"/>
      <c r="S13" s="303"/>
    </row>
    <row r="14" ht="29.25" customHeight="1">
      <c r="A14" s="306" t="s">
        <v>249</v>
      </c>
      <c r="B14" s="24"/>
      <c r="C14" s="307" t="s">
        <v>250</v>
      </c>
      <c r="D14" s="24"/>
      <c r="E14" s="24"/>
      <c r="F14" s="307" t="s">
        <v>251</v>
      </c>
      <c r="G14" s="24"/>
      <c r="H14" s="24"/>
      <c r="I14" s="24"/>
      <c r="J14" s="24"/>
      <c r="K14" s="24"/>
      <c r="L14" s="5"/>
      <c r="M14" s="308">
        <f>F8</f>
        <v>1200</v>
      </c>
      <c r="N14" s="5"/>
      <c r="O14" s="309"/>
      <c r="P14" s="66"/>
      <c r="Q14" s="303"/>
      <c r="R14" s="303"/>
      <c r="S14" s="303"/>
    </row>
    <row r="15" ht="29.25" customHeight="1">
      <c r="A15" s="306" t="s">
        <v>252</v>
      </c>
      <c r="B15" s="24"/>
      <c r="C15" s="307" t="s">
        <v>250</v>
      </c>
      <c r="D15" s="24"/>
      <c r="E15" s="24"/>
      <c r="F15" s="307" t="s">
        <v>253</v>
      </c>
      <c r="G15" s="24"/>
      <c r="H15" s="24"/>
      <c r="I15" s="24"/>
      <c r="J15" s="24"/>
      <c r="K15" s="24"/>
      <c r="L15" s="5"/>
      <c r="M15" s="308">
        <f>F8</f>
        <v>1200</v>
      </c>
      <c r="N15" s="5"/>
      <c r="O15" s="309"/>
      <c r="P15" s="66"/>
      <c r="Q15" s="303"/>
      <c r="R15" s="303"/>
      <c r="S15" s="303"/>
    </row>
    <row r="16" ht="29.25" customHeight="1">
      <c r="A16" s="310" t="s">
        <v>254</v>
      </c>
      <c r="B16" s="24"/>
      <c r="C16" s="307" t="s">
        <v>250</v>
      </c>
      <c r="D16" s="24"/>
      <c r="E16" s="24"/>
      <c r="F16" s="307" t="s">
        <v>255</v>
      </c>
      <c r="G16" s="24"/>
      <c r="H16" s="24"/>
      <c r="I16" s="24"/>
      <c r="J16" s="24"/>
      <c r="K16" s="24"/>
      <c r="L16" s="5"/>
      <c r="M16" s="308">
        <f>F8</f>
        <v>1200</v>
      </c>
      <c r="N16" s="5"/>
      <c r="O16" s="309"/>
      <c r="P16" s="66"/>
      <c r="Q16" s="303"/>
      <c r="R16" s="303"/>
      <c r="S16" s="303"/>
    </row>
    <row r="17" ht="29.25" customHeight="1">
      <c r="A17" s="310" t="s">
        <v>250</v>
      </c>
      <c r="B17" s="24"/>
      <c r="C17" s="307" t="s">
        <v>250</v>
      </c>
      <c r="D17" s="24"/>
      <c r="E17" s="24"/>
      <c r="F17" s="307" t="s">
        <v>256</v>
      </c>
      <c r="G17" s="24"/>
      <c r="H17" s="24"/>
      <c r="I17" s="24"/>
      <c r="J17" s="24"/>
      <c r="K17" s="24"/>
      <c r="L17" s="5"/>
      <c r="M17" s="308">
        <f>F8</f>
        <v>1200</v>
      </c>
      <c r="N17" s="5"/>
      <c r="O17" s="309"/>
      <c r="P17" s="66"/>
      <c r="Q17" s="303"/>
      <c r="R17" s="303"/>
      <c r="S17" s="303"/>
    </row>
    <row r="18" ht="29.25" customHeight="1">
      <c r="A18" s="311"/>
      <c r="B18" s="5"/>
      <c r="C18" s="312"/>
      <c r="D18" s="11"/>
      <c r="E18" s="12"/>
      <c r="F18" s="313"/>
      <c r="G18" s="11"/>
      <c r="H18" s="11"/>
      <c r="I18" s="11"/>
      <c r="J18" s="11"/>
      <c r="K18" s="11"/>
      <c r="L18" s="12"/>
      <c r="M18" s="309"/>
      <c r="N18" s="5"/>
      <c r="O18" s="309"/>
      <c r="P18" s="66"/>
      <c r="Q18" s="303"/>
      <c r="R18" s="303"/>
      <c r="S18" s="303"/>
    </row>
    <row r="19" ht="21.0" customHeight="1">
      <c r="A19" s="309" t="s">
        <v>257</v>
      </c>
      <c r="B19" s="24"/>
      <c r="C19" s="24"/>
      <c r="D19" s="24"/>
      <c r="E19" s="24"/>
      <c r="F19" s="5"/>
      <c r="G19" s="314" t="s">
        <v>172</v>
      </c>
      <c r="H19" s="315"/>
      <c r="I19" s="24"/>
      <c r="J19" s="5"/>
      <c r="K19" s="316" t="s">
        <v>173</v>
      </c>
      <c r="L19" s="317"/>
      <c r="M19" s="317" t="s">
        <v>258</v>
      </c>
      <c r="N19" s="315"/>
      <c r="O19" s="24"/>
      <c r="P19" s="66"/>
      <c r="Q19" s="318"/>
      <c r="R19" s="303"/>
      <c r="S19" s="303"/>
    </row>
    <row r="20" ht="21.0" customHeight="1">
      <c r="A20" s="304" t="s">
        <v>259</v>
      </c>
      <c r="B20" s="5"/>
      <c r="C20" s="319"/>
      <c r="D20" s="24"/>
      <c r="E20" s="24"/>
      <c r="F20" s="24"/>
      <c r="G20" s="5"/>
      <c r="H20" s="320" t="s">
        <v>260</v>
      </c>
      <c r="I20" s="5"/>
      <c r="J20" s="319"/>
      <c r="K20" s="24"/>
      <c r="L20" s="24"/>
      <c r="M20" s="5"/>
      <c r="N20" s="321" t="s">
        <v>261</v>
      </c>
      <c r="O20" s="315"/>
      <c r="P20" s="66"/>
      <c r="Q20" s="303"/>
      <c r="R20" s="303"/>
      <c r="S20" s="303"/>
    </row>
    <row r="21" ht="16.5" customHeight="1">
      <c r="A21" s="304" t="s">
        <v>262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66"/>
      <c r="Q21" s="303"/>
      <c r="R21" s="303"/>
      <c r="S21" s="303"/>
    </row>
    <row r="22" ht="24.75" customHeight="1">
      <c r="A22" s="322" t="s">
        <v>263</v>
      </c>
      <c r="B22" s="72"/>
      <c r="C22" s="72"/>
      <c r="D22" s="72"/>
      <c r="E22" s="76"/>
      <c r="F22" s="323"/>
      <c r="G22" s="11"/>
      <c r="H22" s="11"/>
      <c r="I22" s="11"/>
      <c r="J22" s="11"/>
      <c r="K22" s="11"/>
      <c r="L22" s="322" t="s">
        <v>264</v>
      </c>
      <c r="M22" s="76"/>
      <c r="N22" s="324"/>
      <c r="O22" s="11"/>
      <c r="P22" s="88"/>
      <c r="Q22" s="303"/>
      <c r="R22" s="303"/>
      <c r="S22" s="303"/>
    </row>
    <row r="23" ht="24.75" customHeight="1">
      <c r="A23" s="32" t="s">
        <v>265</v>
      </c>
      <c r="B23" s="24"/>
      <c r="C23" s="24"/>
      <c r="D23" s="24"/>
      <c r="E23" s="5"/>
      <c r="F23" s="325"/>
      <c r="G23" s="24"/>
      <c r="H23" s="24"/>
      <c r="I23" s="24"/>
      <c r="J23" s="24"/>
      <c r="K23" s="24"/>
      <c r="L23" s="32" t="s">
        <v>266</v>
      </c>
      <c r="M23" s="5"/>
      <c r="N23" s="326"/>
      <c r="O23" s="24"/>
      <c r="P23" s="66"/>
      <c r="Q23" s="303"/>
      <c r="R23" s="303"/>
      <c r="S23" s="303"/>
    </row>
    <row r="24" ht="24.75" customHeight="1">
      <c r="A24" s="304" t="s">
        <v>267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5"/>
      <c r="Q24" s="303"/>
      <c r="R24" s="303"/>
      <c r="S24" s="303"/>
    </row>
    <row r="25" ht="24.75" customHeight="1">
      <c r="A25" s="327" t="s">
        <v>268</v>
      </c>
      <c r="B25" s="3"/>
      <c r="C25" s="328" t="s">
        <v>269</v>
      </c>
      <c r="D25" s="9"/>
      <c r="E25" s="329" t="s">
        <v>86</v>
      </c>
      <c r="G25" s="9"/>
      <c r="H25" s="329" t="s">
        <v>270</v>
      </c>
      <c r="J25" s="9"/>
      <c r="K25" s="330" t="s">
        <v>271</v>
      </c>
      <c r="L25" s="331" t="s">
        <v>272</v>
      </c>
      <c r="M25" s="331" t="s">
        <v>273</v>
      </c>
      <c r="N25" s="312" t="s">
        <v>274</v>
      </c>
      <c r="O25" s="12"/>
      <c r="P25" s="332" t="s">
        <v>275</v>
      </c>
      <c r="Q25" s="303"/>
      <c r="R25" s="303"/>
      <c r="S25" s="303"/>
    </row>
    <row r="26" ht="24.75" customHeight="1">
      <c r="A26" s="10"/>
      <c r="B26" s="12"/>
      <c r="C26" s="309"/>
      <c r="D26" s="5"/>
      <c r="E26" s="309"/>
      <c r="F26" s="24"/>
      <c r="G26" s="5"/>
      <c r="H26" s="309"/>
      <c r="I26" s="24"/>
      <c r="J26" s="5"/>
      <c r="K26" s="314"/>
      <c r="L26" s="333"/>
      <c r="M26" s="334"/>
      <c r="N26" s="335"/>
      <c r="O26" s="31"/>
      <c r="P26" s="336"/>
      <c r="Q26" s="303"/>
      <c r="R26" s="303"/>
      <c r="S26" s="303"/>
    </row>
    <row r="27" ht="24.75" customHeight="1">
      <c r="A27" s="337" t="s">
        <v>276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63"/>
      <c r="Q27" s="303"/>
      <c r="R27" s="303"/>
      <c r="S27" s="303"/>
    </row>
    <row r="28" ht="24.75" customHeight="1">
      <c r="A28" s="311" t="s">
        <v>67</v>
      </c>
      <c r="B28" s="5"/>
      <c r="C28" s="309" t="s">
        <v>269</v>
      </c>
      <c r="D28" s="5"/>
      <c r="E28" s="309" t="s">
        <v>86</v>
      </c>
      <c r="F28" s="24"/>
      <c r="G28" s="5"/>
      <c r="H28" s="309" t="s">
        <v>277</v>
      </c>
      <c r="I28" s="24"/>
      <c r="J28" s="5"/>
      <c r="K28" s="314" t="s">
        <v>278</v>
      </c>
      <c r="L28" s="314" t="s">
        <v>279</v>
      </c>
      <c r="M28" s="314" t="s">
        <v>280</v>
      </c>
      <c r="N28" s="309" t="s">
        <v>281</v>
      </c>
      <c r="O28" s="5"/>
      <c r="P28" s="338" t="s">
        <v>282</v>
      </c>
      <c r="Q28" s="303"/>
      <c r="R28" s="303"/>
      <c r="S28" s="303"/>
    </row>
    <row r="29" ht="24.75" customHeight="1">
      <c r="A29" s="339"/>
      <c r="B29" s="5"/>
      <c r="C29" s="309"/>
      <c r="D29" s="5"/>
      <c r="E29" s="309"/>
      <c r="F29" s="24"/>
      <c r="G29" s="5"/>
      <c r="H29" s="309"/>
      <c r="I29" s="24"/>
      <c r="J29" s="5"/>
      <c r="K29" s="314"/>
      <c r="L29" s="314"/>
      <c r="M29" s="314"/>
      <c r="N29" s="309"/>
      <c r="O29" s="5"/>
      <c r="P29" s="338"/>
      <c r="Q29" s="303"/>
      <c r="R29" s="303"/>
      <c r="S29" s="303"/>
    </row>
    <row r="30" ht="24.75" customHeight="1">
      <c r="A30" s="339"/>
      <c r="B30" s="5"/>
      <c r="C30" s="309"/>
      <c r="D30" s="5"/>
      <c r="E30" s="309"/>
      <c r="F30" s="24"/>
      <c r="G30" s="5"/>
      <c r="H30" s="309"/>
      <c r="I30" s="24"/>
      <c r="J30" s="5"/>
      <c r="K30" s="314"/>
      <c r="L30" s="314"/>
      <c r="M30" s="314"/>
      <c r="N30" s="309"/>
      <c r="O30" s="5"/>
      <c r="P30" s="338"/>
      <c r="Q30" s="303"/>
      <c r="R30" s="303"/>
      <c r="S30" s="303"/>
    </row>
    <row r="31" ht="24.75" customHeight="1">
      <c r="A31" s="339"/>
      <c r="B31" s="5"/>
      <c r="C31" s="309"/>
      <c r="D31" s="5"/>
      <c r="E31" s="309"/>
      <c r="F31" s="24"/>
      <c r="G31" s="5"/>
      <c r="H31" s="309"/>
      <c r="I31" s="24"/>
      <c r="J31" s="5"/>
      <c r="K31" s="314"/>
      <c r="L31" s="314"/>
      <c r="M31" s="314"/>
      <c r="N31" s="309"/>
      <c r="O31" s="5"/>
      <c r="P31" s="338"/>
      <c r="Q31" s="303"/>
      <c r="R31" s="303"/>
      <c r="S31" s="303"/>
    </row>
    <row r="32" ht="24.75" customHeight="1">
      <c r="A32" s="339"/>
      <c r="B32" s="5"/>
      <c r="C32" s="309"/>
      <c r="D32" s="5"/>
      <c r="E32" s="309"/>
      <c r="F32" s="24"/>
      <c r="G32" s="5"/>
      <c r="H32" s="309"/>
      <c r="I32" s="24"/>
      <c r="J32" s="5"/>
      <c r="K32" s="314"/>
      <c r="L32" s="314"/>
      <c r="M32" s="314"/>
      <c r="N32" s="309"/>
      <c r="O32" s="5"/>
      <c r="P32" s="338"/>
      <c r="Q32" s="303"/>
      <c r="R32" s="303"/>
      <c r="S32" s="303"/>
    </row>
    <row r="33" ht="24.75" customHeight="1">
      <c r="A33" s="339"/>
      <c r="B33" s="5"/>
      <c r="C33" s="309"/>
      <c r="D33" s="5"/>
      <c r="E33" s="309"/>
      <c r="F33" s="24"/>
      <c r="G33" s="5"/>
      <c r="H33" s="309"/>
      <c r="I33" s="24"/>
      <c r="J33" s="5"/>
      <c r="K33" s="314"/>
      <c r="L33" s="314"/>
      <c r="M33" s="314"/>
      <c r="N33" s="309"/>
      <c r="O33" s="5"/>
      <c r="P33" s="338"/>
      <c r="Q33" s="303"/>
      <c r="R33" s="303"/>
      <c r="S33" s="303"/>
    </row>
    <row r="34" ht="24.75" customHeight="1">
      <c r="A34" s="339"/>
      <c r="B34" s="5"/>
      <c r="C34" s="309"/>
      <c r="D34" s="5"/>
      <c r="E34" s="309"/>
      <c r="F34" s="24"/>
      <c r="G34" s="5"/>
      <c r="H34" s="309"/>
      <c r="I34" s="24"/>
      <c r="J34" s="5"/>
      <c r="K34" s="314"/>
      <c r="L34" s="314"/>
      <c r="M34" s="314"/>
      <c r="N34" s="309"/>
      <c r="O34" s="5"/>
      <c r="P34" s="338"/>
      <c r="Q34" s="303"/>
      <c r="R34" s="303"/>
      <c r="S34" s="303"/>
    </row>
    <row r="35" ht="24.75" customHeight="1">
      <c r="A35" s="311" t="s">
        <v>283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5"/>
      <c r="P35" s="338"/>
      <c r="Q35" s="303"/>
      <c r="R35" s="303"/>
      <c r="S35" s="303"/>
    </row>
    <row r="36" ht="24.75" customHeight="1">
      <c r="A36" s="311" t="s">
        <v>284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5"/>
      <c r="P36" s="338"/>
      <c r="Q36" s="303"/>
      <c r="R36" s="303"/>
      <c r="S36" s="303"/>
    </row>
    <row r="37" ht="24.75" customHeight="1">
      <c r="A37" s="340" t="s">
        <v>285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1"/>
      <c r="P37" s="336"/>
      <c r="Q37" s="303"/>
      <c r="R37" s="303"/>
      <c r="S37" s="303"/>
    </row>
    <row r="38" ht="24.75" customHeight="1">
      <c r="A38" s="341" t="s">
        <v>286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20"/>
      <c r="Q38" s="303"/>
      <c r="R38" s="303"/>
      <c r="S38" s="303"/>
    </row>
    <row r="39" ht="24.75" customHeight="1">
      <c r="A39" s="342" t="s">
        <v>287</v>
      </c>
      <c r="B39" s="46"/>
      <c r="C39" s="46"/>
      <c r="D39" s="46"/>
      <c r="E39" s="343"/>
      <c r="F39" s="46"/>
      <c r="G39" s="46"/>
      <c r="H39" s="46"/>
      <c r="I39" s="46"/>
      <c r="J39" s="46"/>
      <c r="K39" s="46"/>
      <c r="L39" s="344" t="s">
        <v>288</v>
      </c>
      <c r="M39" s="46"/>
      <c r="N39" s="345"/>
      <c r="O39" s="40"/>
      <c r="P39" s="63"/>
      <c r="Q39" s="303"/>
      <c r="R39" s="303"/>
      <c r="S39" s="303"/>
    </row>
    <row r="40" ht="24.75" customHeight="1">
      <c r="A40" s="346" t="s">
        <v>289</v>
      </c>
      <c r="E40" s="347"/>
      <c r="F40" s="24"/>
      <c r="G40" s="24"/>
      <c r="H40" s="24"/>
      <c r="I40" s="24"/>
      <c r="J40" s="24"/>
      <c r="K40" s="24"/>
      <c r="L40" s="348" t="s">
        <v>290</v>
      </c>
      <c r="N40" s="347"/>
      <c r="O40" s="24"/>
      <c r="P40" s="66"/>
      <c r="Q40" s="303"/>
      <c r="R40" s="303"/>
      <c r="S40" s="303"/>
    </row>
    <row r="41" ht="24.75" customHeight="1">
      <c r="A41" s="349" t="s">
        <v>291</v>
      </c>
      <c r="B41" s="113"/>
      <c r="C41" s="113"/>
      <c r="D41" s="113"/>
      <c r="E41" s="350"/>
      <c r="F41" s="113"/>
      <c r="G41" s="113"/>
      <c r="H41" s="113"/>
      <c r="I41" s="113"/>
      <c r="J41" s="113"/>
      <c r="K41" s="113"/>
      <c r="L41" s="351" t="s">
        <v>292</v>
      </c>
      <c r="M41" s="113"/>
      <c r="N41" s="350"/>
      <c r="O41" s="113"/>
      <c r="P41" s="114"/>
      <c r="Q41" s="303"/>
      <c r="R41" s="303"/>
      <c r="S41" s="303"/>
    </row>
    <row r="42" ht="24.75" customHeight="1">
      <c r="A42" s="352" t="s">
        <v>180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117"/>
      <c r="Q42" s="303"/>
      <c r="R42" s="303"/>
      <c r="S42" s="303"/>
    </row>
    <row r="43" ht="17.25" customHeight="1">
      <c r="A43" s="121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4"/>
      <c r="Q43" s="303"/>
      <c r="R43" s="303"/>
      <c r="S43" s="303"/>
    </row>
    <row r="44" ht="27.75" customHeight="1">
      <c r="A44" s="217" t="s">
        <v>293</v>
      </c>
      <c r="B44" s="40"/>
      <c r="C44" s="41"/>
      <c r="D44" s="218"/>
      <c r="E44" s="40"/>
      <c r="F44" s="40"/>
      <c r="G44" s="219"/>
      <c r="H44" s="220"/>
      <c r="I44" s="220"/>
      <c r="J44" s="220"/>
      <c r="K44" s="221" t="s">
        <v>294</v>
      </c>
      <c r="L44" s="41"/>
      <c r="M44" s="222"/>
      <c r="N44" s="40"/>
      <c r="O44" s="40"/>
      <c r="P44" s="63"/>
      <c r="Q44" s="303"/>
      <c r="R44" s="303"/>
      <c r="S44" s="303"/>
    </row>
    <row r="45" ht="24.75" customHeight="1">
      <c r="A45" s="223" t="s">
        <v>183</v>
      </c>
      <c r="B45" s="24"/>
      <c r="C45" s="5"/>
      <c r="D45" s="224"/>
      <c r="E45" s="224"/>
      <c r="F45" s="224"/>
      <c r="G45" s="224"/>
      <c r="H45" s="202"/>
      <c r="I45" s="202"/>
      <c r="J45" s="202"/>
      <c r="K45" s="225" t="s">
        <v>183</v>
      </c>
      <c r="L45" s="5"/>
      <c r="M45" s="199"/>
      <c r="N45" s="24"/>
      <c r="O45" s="24"/>
      <c r="P45" s="66"/>
      <c r="Q45" s="303"/>
      <c r="R45" s="303"/>
      <c r="S45" s="303"/>
    </row>
    <row r="46" ht="24.75" customHeight="1">
      <c r="A46" s="226" t="s">
        <v>184</v>
      </c>
      <c r="B46" s="30"/>
      <c r="C46" s="31"/>
      <c r="D46" s="227"/>
      <c r="E46" s="30"/>
      <c r="F46" s="30"/>
      <c r="G46" s="30"/>
      <c r="H46" s="30"/>
      <c r="I46" s="30"/>
      <c r="J46" s="31"/>
      <c r="K46" s="228" t="s">
        <v>184</v>
      </c>
      <c r="L46" s="31"/>
      <c r="M46" s="227"/>
      <c r="N46" s="30"/>
      <c r="O46" s="30"/>
      <c r="P46" s="160"/>
      <c r="Q46" s="303"/>
      <c r="R46" s="303"/>
      <c r="S46" s="303"/>
    </row>
    <row r="47" ht="24.75" customHeight="1">
      <c r="A47" s="271"/>
      <c r="B47" s="271"/>
      <c r="C47" s="271"/>
      <c r="D47" s="272"/>
      <c r="E47" s="272"/>
      <c r="F47" s="272"/>
      <c r="G47" s="272"/>
      <c r="H47" s="272"/>
      <c r="I47" s="272"/>
      <c r="J47" s="272"/>
      <c r="K47" s="271"/>
      <c r="L47" s="271"/>
      <c r="M47" s="272"/>
      <c r="N47" s="272"/>
      <c r="O47" s="272"/>
      <c r="P47" s="272"/>
      <c r="Q47" s="303"/>
      <c r="R47" s="303"/>
      <c r="S47" s="303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115"/>
      <c r="N48" s="116"/>
      <c r="O48" s="116"/>
      <c r="P48" s="55"/>
      <c r="Q48" s="55"/>
      <c r="R48" s="55"/>
      <c r="S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115"/>
      <c r="N49" s="116"/>
      <c r="O49" s="116"/>
      <c r="P49" s="55"/>
      <c r="Q49" s="55"/>
      <c r="R49" s="55"/>
      <c r="S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115"/>
      <c r="N50" s="116"/>
      <c r="O50" s="116"/>
      <c r="P50" s="55"/>
      <c r="Q50" s="55"/>
      <c r="R50" s="55"/>
      <c r="S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115"/>
      <c r="N51" s="116"/>
      <c r="O51" s="116"/>
      <c r="P51" s="55"/>
      <c r="Q51" s="55"/>
      <c r="R51" s="55"/>
      <c r="S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115"/>
      <c r="N52" s="116"/>
      <c r="O52" s="116"/>
      <c r="P52" s="55"/>
      <c r="Q52" s="55"/>
      <c r="R52" s="55"/>
      <c r="S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115"/>
      <c r="N53" s="116"/>
      <c r="O53" s="116"/>
      <c r="P53" s="55"/>
      <c r="Q53" s="55"/>
      <c r="R53" s="55"/>
      <c r="S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115"/>
      <c r="N54" s="116"/>
      <c r="O54" s="116"/>
      <c r="P54" s="55"/>
      <c r="Q54" s="55"/>
      <c r="R54" s="55"/>
      <c r="S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115"/>
      <c r="N55" s="116"/>
      <c r="O55" s="116"/>
      <c r="P55" s="55"/>
      <c r="Q55" s="55"/>
      <c r="R55" s="55"/>
      <c r="S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115"/>
      <c r="N56" s="116"/>
      <c r="O56" s="116"/>
      <c r="P56" s="55"/>
      <c r="Q56" s="55"/>
      <c r="R56" s="55"/>
      <c r="S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115"/>
      <c r="N57" s="116"/>
      <c r="O57" s="116"/>
      <c r="P57" s="55"/>
      <c r="Q57" s="55"/>
      <c r="R57" s="55"/>
      <c r="S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115"/>
      <c r="N58" s="116"/>
      <c r="O58" s="116"/>
      <c r="P58" s="55"/>
      <c r="Q58" s="55"/>
      <c r="R58" s="55"/>
      <c r="S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115"/>
      <c r="N59" s="116"/>
      <c r="O59" s="116"/>
      <c r="P59" s="55"/>
      <c r="Q59" s="55"/>
      <c r="R59" s="55"/>
      <c r="S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115"/>
      <c r="N60" s="116"/>
      <c r="O60" s="116"/>
      <c r="P60" s="55"/>
      <c r="Q60" s="55"/>
      <c r="R60" s="55"/>
      <c r="S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115"/>
      <c r="N61" s="116"/>
      <c r="O61" s="116"/>
      <c r="P61" s="55"/>
      <c r="Q61" s="55"/>
      <c r="R61" s="55"/>
      <c r="S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115"/>
      <c r="N62" s="116"/>
      <c r="O62" s="116"/>
      <c r="P62" s="55"/>
      <c r="Q62" s="55"/>
      <c r="R62" s="55"/>
      <c r="S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115"/>
      <c r="N63" s="116"/>
      <c r="O63" s="116"/>
      <c r="P63" s="55"/>
      <c r="Q63" s="55"/>
      <c r="R63" s="55"/>
      <c r="S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115"/>
      <c r="N64" s="116"/>
      <c r="O64" s="116"/>
      <c r="P64" s="55"/>
      <c r="Q64" s="55"/>
      <c r="R64" s="55"/>
      <c r="S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115"/>
      <c r="N65" s="116"/>
      <c r="O65" s="116"/>
      <c r="P65" s="55"/>
      <c r="Q65" s="55"/>
      <c r="R65" s="55"/>
      <c r="S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115"/>
      <c r="N66" s="116"/>
      <c r="O66" s="116"/>
      <c r="P66" s="55"/>
      <c r="Q66" s="55"/>
      <c r="R66" s="55"/>
      <c r="S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115"/>
      <c r="N67" s="116"/>
      <c r="O67" s="116"/>
      <c r="P67" s="55"/>
      <c r="Q67" s="55"/>
      <c r="R67" s="55"/>
      <c r="S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115"/>
      <c r="N68" s="116"/>
      <c r="O68" s="116"/>
      <c r="P68" s="55"/>
      <c r="Q68" s="55"/>
      <c r="R68" s="55"/>
      <c r="S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115"/>
      <c r="N69" s="116"/>
      <c r="O69" s="116"/>
      <c r="P69" s="55"/>
      <c r="Q69" s="55"/>
      <c r="R69" s="55"/>
      <c r="S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115"/>
      <c r="N70" s="116"/>
      <c r="O70" s="116"/>
      <c r="P70" s="55"/>
      <c r="Q70" s="55"/>
      <c r="R70" s="55"/>
      <c r="S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115"/>
      <c r="N71" s="116"/>
      <c r="O71" s="116"/>
      <c r="P71" s="55"/>
      <c r="Q71" s="55"/>
      <c r="R71" s="55"/>
      <c r="S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115"/>
      <c r="N72" s="116"/>
      <c r="O72" s="116"/>
      <c r="P72" s="55"/>
      <c r="Q72" s="55"/>
      <c r="R72" s="55"/>
      <c r="S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115"/>
      <c r="N73" s="116"/>
      <c r="O73" s="116"/>
      <c r="P73" s="55"/>
      <c r="Q73" s="55"/>
      <c r="R73" s="55"/>
      <c r="S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115"/>
      <c r="N74" s="116"/>
      <c r="O74" s="116"/>
      <c r="P74" s="55"/>
      <c r="Q74" s="55"/>
      <c r="R74" s="55"/>
      <c r="S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115"/>
      <c r="N75" s="116"/>
      <c r="O75" s="116"/>
      <c r="P75" s="55"/>
      <c r="Q75" s="55"/>
      <c r="R75" s="55"/>
      <c r="S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115"/>
      <c r="N76" s="116"/>
      <c r="O76" s="116"/>
      <c r="P76" s="55"/>
      <c r="Q76" s="55"/>
      <c r="R76" s="55"/>
      <c r="S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115"/>
      <c r="N77" s="116"/>
      <c r="O77" s="116"/>
      <c r="P77" s="55"/>
      <c r="Q77" s="55"/>
      <c r="R77" s="55"/>
      <c r="S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115"/>
      <c r="N78" s="116"/>
      <c r="O78" s="116"/>
      <c r="P78" s="55"/>
      <c r="Q78" s="55"/>
      <c r="R78" s="55"/>
      <c r="S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115"/>
      <c r="N79" s="116"/>
      <c r="O79" s="116"/>
      <c r="P79" s="55"/>
      <c r="Q79" s="55"/>
      <c r="R79" s="55"/>
      <c r="S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115"/>
      <c r="N80" s="116"/>
      <c r="O80" s="116"/>
      <c r="P80" s="55"/>
      <c r="Q80" s="55"/>
      <c r="R80" s="55"/>
      <c r="S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115"/>
      <c r="N81" s="116"/>
      <c r="O81" s="116"/>
      <c r="P81" s="55"/>
      <c r="Q81" s="55"/>
      <c r="R81" s="55"/>
      <c r="S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115"/>
      <c r="N82" s="116"/>
      <c r="O82" s="116"/>
      <c r="P82" s="55"/>
      <c r="Q82" s="55"/>
      <c r="R82" s="55"/>
      <c r="S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115"/>
      <c r="N83" s="116"/>
      <c r="O83" s="116"/>
      <c r="P83" s="55"/>
      <c r="Q83" s="55"/>
      <c r="R83" s="55"/>
      <c r="S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115"/>
      <c r="N84" s="116"/>
      <c r="O84" s="116"/>
      <c r="P84" s="55"/>
      <c r="Q84" s="55"/>
      <c r="R84" s="55"/>
      <c r="S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115"/>
      <c r="N85" s="116"/>
      <c r="O85" s="116"/>
      <c r="P85" s="55"/>
      <c r="Q85" s="55"/>
      <c r="R85" s="55"/>
      <c r="S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115"/>
      <c r="N86" s="116"/>
      <c r="O86" s="116"/>
      <c r="P86" s="55"/>
      <c r="Q86" s="55"/>
      <c r="R86" s="55"/>
      <c r="S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115"/>
      <c r="N87" s="116"/>
      <c r="O87" s="116"/>
      <c r="P87" s="55"/>
      <c r="Q87" s="55"/>
      <c r="R87" s="55"/>
      <c r="S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115"/>
      <c r="N88" s="116"/>
      <c r="O88" s="116"/>
      <c r="P88" s="55"/>
      <c r="Q88" s="55"/>
      <c r="R88" s="55"/>
      <c r="S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115"/>
      <c r="N89" s="116"/>
      <c r="O89" s="116"/>
      <c r="P89" s="55"/>
      <c r="Q89" s="55"/>
      <c r="R89" s="55"/>
      <c r="S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115"/>
      <c r="N90" s="116"/>
      <c r="O90" s="116"/>
      <c r="P90" s="55"/>
      <c r="Q90" s="55"/>
      <c r="R90" s="55"/>
      <c r="S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115"/>
      <c r="N91" s="116"/>
      <c r="O91" s="116"/>
      <c r="P91" s="55"/>
      <c r="Q91" s="55"/>
      <c r="R91" s="55"/>
      <c r="S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115"/>
      <c r="N92" s="116"/>
      <c r="O92" s="116"/>
      <c r="P92" s="55"/>
      <c r="Q92" s="55"/>
      <c r="R92" s="55"/>
      <c r="S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115"/>
      <c r="N93" s="116"/>
      <c r="O93" s="116"/>
      <c r="P93" s="55"/>
      <c r="Q93" s="55"/>
      <c r="R93" s="55"/>
      <c r="S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115"/>
      <c r="N94" s="116"/>
      <c r="O94" s="116"/>
      <c r="P94" s="55"/>
      <c r="Q94" s="55"/>
      <c r="R94" s="55"/>
      <c r="S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115"/>
      <c r="N95" s="116"/>
      <c r="O95" s="116"/>
      <c r="P95" s="55"/>
      <c r="Q95" s="55"/>
      <c r="R95" s="55"/>
      <c r="S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115"/>
      <c r="N96" s="116"/>
      <c r="O96" s="116"/>
      <c r="P96" s="55"/>
      <c r="Q96" s="55"/>
      <c r="R96" s="55"/>
      <c r="S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115"/>
      <c r="N97" s="116"/>
      <c r="O97" s="116"/>
      <c r="P97" s="55"/>
      <c r="Q97" s="55"/>
      <c r="R97" s="55"/>
      <c r="S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115"/>
      <c r="N98" s="116"/>
      <c r="O98" s="116"/>
      <c r="P98" s="55"/>
      <c r="Q98" s="55"/>
      <c r="R98" s="55"/>
      <c r="S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115"/>
      <c r="N99" s="116"/>
      <c r="O99" s="116"/>
      <c r="P99" s="55"/>
      <c r="Q99" s="55"/>
      <c r="R99" s="55"/>
      <c r="S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115"/>
      <c r="N100" s="116"/>
      <c r="O100" s="116"/>
      <c r="P100" s="55"/>
      <c r="Q100" s="55"/>
      <c r="R100" s="55"/>
      <c r="S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115"/>
      <c r="N101" s="116"/>
      <c r="O101" s="116"/>
      <c r="P101" s="55"/>
      <c r="Q101" s="55"/>
      <c r="R101" s="55"/>
      <c r="S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115"/>
      <c r="N102" s="116"/>
      <c r="O102" s="116"/>
      <c r="P102" s="55"/>
      <c r="Q102" s="55"/>
      <c r="R102" s="55"/>
      <c r="S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115"/>
      <c r="N103" s="116"/>
      <c r="O103" s="116"/>
      <c r="P103" s="55"/>
      <c r="Q103" s="55"/>
      <c r="R103" s="55"/>
      <c r="S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115"/>
      <c r="N104" s="116"/>
      <c r="O104" s="116"/>
      <c r="P104" s="55"/>
      <c r="Q104" s="55"/>
      <c r="R104" s="55"/>
      <c r="S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115"/>
      <c r="N105" s="116"/>
      <c r="O105" s="116"/>
      <c r="P105" s="55"/>
      <c r="Q105" s="55"/>
      <c r="R105" s="55"/>
      <c r="S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115"/>
      <c r="N106" s="116"/>
      <c r="O106" s="116"/>
      <c r="P106" s="55"/>
      <c r="Q106" s="55"/>
      <c r="R106" s="55"/>
      <c r="S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115"/>
      <c r="N107" s="116"/>
      <c r="O107" s="116"/>
      <c r="P107" s="55"/>
      <c r="Q107" s="55"/>
      <c r="R107" s="55"/>
      <c r="S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115"/>
      <c r="N108" s="116"/>
      <c r="O108" s="116"/>
      <c r="P108" s="55"/>
      <c r="Q108" s="55"/>
      <c r="R108" s="55"/>
      <c r="S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115"/>
      <c r="N109" s="116"/>
      <c r="O109" s="116"/>
      <c r="P109" s="55"/>
      <c r="Q109" s="55"/>
      <c r="R109" s="55"/>
      <c r="S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115"/>
      <c r="N110" s="116"/>
      <c r="O110" s="116"/>
      <c r="P110" s="55"/>
      <c r="Q110" s="55"/>
      <c r="R110" s="55"/>
      <c r="S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115"/>
      <c r="N111" s="116"/>
      <c r="O111" s="116"/>
      <c r="P111" s="55"/>
      <c r="Q111" s="55"/>
      <c r="R111" s="55"/>
      <c r="S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115"/>
      <c r="N112" s="116"/>
      <c r="O112" s="116"/>
      <c r="P112" s="55"/>
      <c r="Q112" s="55"/>
      <c r="R112" s="55"/>
      <c r="S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115"/>
      <c r="N113" s="116"/>
      <c r="O113" s="116"/>
      <c r="P113" s="55"/>
      <c r="Q113" s="55"/>
      <c r="R113" s="55"/>
      <c r="S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115"/>
      <c r="N114" s="116"/>
      <c r="O114" s="116"/>
      <c r="P114" s="55"/>
      <c r="Q114" s="55"/>
      <c r="R114" s="55"/>
      <c r="S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115"/>
      <c r="N115" s="116"/>
      <c r="O115" s="116"/>
      <c r="P115" s="55"/>
      <c r="Q115" s="55"/>
      <c r="R115" s="55"/>
      <c r="S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115"/>
      <c r="N116" s="116"/>
      <c r="O116" s="116"/>
      <c r="P116" s="55"/>
      <c r="Q116" s="55"/>
      <c r="R116" s="55"/>
      <c r="S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115"/>
      <c r="N117" s="116"/>
      <c r="O117" s="116"/>
      <c r="P117" s="55"/>
      <c r="Q117" s="55"/>
      <c r="R117" s="55"/>
      <c r="S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115"/>
      <c r="N118" s="116"/>
      <c r="O118" s="116"/>
      <c r="P118" s="55"/>
      <c r="Q118" s="55"/>
      <c r="R118" s="55"/>
      <c r="S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115"/>
      <c r="N119" s="116"/>
      <c r="O119" s="116"/>
      <c r="P119" s="55"/>
      <c r="Q119" s="55"/>
      <c r="R119" s="55"/>
      <c r="S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115"/>
      <c r="N120" s="116"/>
      <c r="O120" s="116"/>
      <c r="P120" s="55"/>
      <c r="Q120" s="55"/>
      <c r="R120" s="55"/>
      <c r="S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115"/>
      <c r="N121" s="116"/>
      <c r="O121" s="116"/>
      <c r="P121" s="55"/>
      <c r="Q121" s="55"/>
      <c r="R121" s="55"/>
      <c r="S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115"/>
      <c r="N122" s="116"/>
      <c r="O122" s="116"/>
      <c r="P122" s="55"/>
      <c r="Q122" s="55"/>
      <c r="R122" s="55"/>
      <c r="S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115"/>
      <c r="N123" s="116"/>
      <c r="O123" s="116"/>
      <c r="P123" s="55"/>
      <c r="Q123" s="55"/>
      <c r="R123" s="55"/>
      <c r="S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115"/>
      <c r="N124" s="116"/>
      <c r="O124" s="116"/>
      <c r="P124" s="55"/>
      <c r="Q124" s="55"/>
      <c r="R124" s="55"/>
      <c r="S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115"/>
      <c r="N125" s="116"/>
      <c r="O125" s="116"/>
      <c r="P125" s="55"/>
      <c r="Q125" s="55"/>
      <c r="R125" s="55"/>
      <c r="S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115"/>
      <c r="N126" s="116"/>
      <c r="O126" s="116"/>
      <c r="P126" s="55"/>
      <c r="Q126" s="55"/>
      <c r="R126" s="55"/>
      <c r="S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115"/>
      <c r="N127" s="116"/>
      <c r="O127" s="116"/>
      <c r="P127" s="55"/>
      <c r="Q127" s="55"/>
      <c r="R127" s="55"/>
      <c r="S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115"/>
      <c r="N128" s="116"/>
      <c r="O128" s="116"/>
      <c r="P128" s="55"/>
      <c r="Q128" s="55"/>
      <c r="R128" s="55"/>
      <c r="S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115"/>
      <c r="N129" s="116"/>
      <c r="O129" s="116"/>
      <c r="P129" s="55"/>
      <c r="Q129" s="55"/>
      <c r="R129" s="55"/>
      <c r="S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115"/>
      <c r="N130" s="116"/>
      <c r="O130" s="116"/>
      <c r="P130" s="55"/>
      <c r="Q130" s="55"/>
      <c r="R130" s="55"/>
      <c r="S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115"/>
      <c r="N131" s="116"/>
      <c r="O131" s="116"/>
      <c r="P131" s="55"/>
      <c r="Q131" s="55"/>
      <c r="R131" s="55"/>
      <c r="S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115"/>
      <c r="N132" s="116"/>
      <c r="O132" s="116"/>
      <c r="P132" s="55"/>
      <c r="Q132" s="55"/>
      <c r="R132" s="55"/>
      <c r="S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115"/>
      <c r="N133" s="116"/>
      <c r="O133" s="116"/>
      <c r="P133" s="55"/>
      <c r="Q133" s="55"/>
      <c r="R133" s="55"/>
      <c r="S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115"/>
      <c r="N134" s="116"/>
      <c r="O134" s="116"/>
      <c r="P134" s="55"/>
      <c r="Q134" s="55"/>
      <c r="R134" s="55"/>
      <c r="S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115"/>
      <c r="N135" s="116"/>
      <c r="O135" s="116"/>
      <c r="P135" s="55"/>
      <c r="Q135" s="55"/>
      <c r="R135" s="55"/>
      <c r="S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115"/>
      <c r="N136" s="116"/>
      <c r="O136" s="116"/>
      <c r="P136" s="55"/>
      <c r="Q136" s="55"/>
      <c r="R136" s="55"/>
      <c r="S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115"/>
      <c r="N137" s="116"/>
      <c r="O137" s="116"/>
      <c r="P137" s="55"/>
      <c r="Q137" s="55"/>
      <c r="R137" s="55"/>
      <c r="S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115"/>
      <c r="N138" s="116"/>
      <c r="O138" s="116"/>
      <c r="P138" s="55"/>
      <c r="Q138" s="55"/>
      <c r="R138" s="55"/>
      <c r="S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115"/>
      <c r="N139" s="116"/>
      <c r="O139" s="116"/>
      <c r="P139" s="55"/>
      <c r="Q139" s="55"/>
      <c r="R139" s="55"/>
      <c r="S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115"/>
      <c r="N140" s="116"/>
      <c r="O140" s="116"/>
      <c r="P140" s="55"/>
      <c r="Q140" s="55"/>
      <c r="R140" s="55"/>
      <c r="S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115"/>
      <c r="N141" s="116"/>
      <c r="O141" s="116"/>
      <c r="P141" s="55"/>
      <c r="Q141" s="55"/>
      <c r="R141" s="55"/>
      <c r="S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115"/>
      <c r="N142" s="116"/>
      <c r="O142" s="116"/>
      <c r="P142" s="55"/>
      <c r="Q142" s="55"/>
      <c r="R142" s="55"/>
      <c r="S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115"/>
      <c r="N143" s="116"/>
      <c r="O143" s="116"/>
      <c r="P143" s="55"/>
      <c r="Q143" s="55"/>
      <c r="R143" s="55"/>
      <c r="S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115"/>
      <c r="N144" s="116"/>
      <c r="O144" s="116"/>
      <c r="P144" s="55"/>
      <c r="Q144" s="55"/>
      <c r="R144" s="55"/>
      <c r="S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115"/>
      <c r="N145" s="116"/>
      <c r="O145" s="116"/>
      <c r="P145" s="55"/>
      <c r="Q145" s="55"/>
      <c r="R145" s="55"/>
      <c r="S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115"/>
      <c r="N146" s="116"/>
      <c r="O146" s="116"/>
      <c r="P146" s="55"/>
      <c r="Q146" s="55"/>
      <c r="R146" s="55"/>
      <c r="S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115"/>
      <c r="N147" s="116"/>
      <c r="O147" s="116"/>
      <c r="P147" s="55"/>
      <c r="Q147" s="55"/>
      <c r="R147" s="55"/>
      <c r="S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115"/>
      <c r="N148" s="116"/>
      <c r="O148" s="116"/>
      <c r="P148" s="55"/>
      <c r="Q148" s="55"/>
      <c r="R148" s="55"/>
      <c r="S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115"/>
      <c r="N149" s="116"/>
      <c r="O149" s="116"/>
      <c r="P149" s="55"/>
      <c r="Q149" s="55"/>
      <c r="R149" s="55"/>
      <c r="S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115"/>
      <c r="N150" s="116"/>
      <c r="O150" s="116"/>
      <c r="P150" s="55"/>
      <c r="Q150" s="55"/>
      <c r="R150" s="55"/>
      <c r="S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115"/>
      <c r="N151" s="116"/>
      <c r="O151" s="116"/>
      <c r="P151" s="55"/>
      <c r="Q151" s="55"/>
      <c r="R151" s="55"/>
      <c r="S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115"/>
      <c r="N152" s="116"/>
      <c r="O152" s="116"/>
      <c r="P152" s="55"/>
      <c r="Q152" s="55"/>
      <c r="R152" s="55"/>
      <c r="S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115"/>
      <c r="N153" s="116"/>
      <c r="O153" s="116"/>
      <c r="P153" s="55"/>
      <c r="Q153" s="55"/>
      <c r="R153" s="55"/>
      <c r="S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115"/>
      <c r="N154" s="116"/>
      <c r="O154" s="116"/>
      <c r="P154" s="55"/>
      <c r="Q154" s="55"/>
      <c r="R154" s="55"/>
      <c r="S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115"/>
      <c r="N155" s="116"/>
      <c r="O155" s="116"/>
      <c r="P155" s="55"/>
      <c r="Q155" s="55"/>
      <c r="R155" s="55"/>
      <c r="S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115"/>
      <c r="N156" s="116"/>
      <c r="O156" s="116"/>
      <c r="P156" s="55"/>
      <c r="Q156" s="55"/>
      <c r="R156" s="55"/>
      <c r="S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115"/>
      <c r="N157" s="116"/>
      <c r="O157" s="116"/>
      <c r="P157" s="55"/>
      <c r="Q157" s="55"/>
      <c r="R157" s="55"/>
      <c r="S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115"/>
      <c r="N158" s="116"/>
      <c r="O158" s="116"/>
      <c r="P158" s="55"/>
      <c r="Q158" s="55"/>
      <c r="R158" s="55"/>
      <c r="S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115"/>
      <c r="N159" s="116"/>
      <c r="O159" s="116"/>
      <c r="P159" s="55"/>
      <c r="Q159" s="55"/>
      <c r="R159" s="55"/>
      <c r="S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115"/>
      <c r="N160" s="116"/>
      <c r="O160" s="116"/>
      <c r="P160" s="55"/>
      <c r="Q160" s="55"/>
      <c r="R160" s="55"/>
      <c r="S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115"/>
      <c r="N161" s="116"/>
      <c r="O161" s="116"/>
      <c r="P161" s="55"/>
      <c r="Q161" s="55"/>
      <c r="R161" s="55"/>
      <c r="S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115"/>
      <c r="N162" s="116"/>
      <c r="O162" s="116"/>
      <c r="P162" s="55"/>
      <c r="Q162" s="55"/>
      <c r="R162" s="55"/>
      <c r="S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115"/>
      <c r="N163" s="116"/>
      <c r="O163" s="116"/>
      <c r="P163" s="55"/>
      <c r="Q163" s="55"/>
      <c r="R163" s="55"/>
      <c r="S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115"/>
      <c r="N164" s="116"/>
      <c r="O164" s="116"/>
      <c r="P164" s="55"/>
      <c r="Q164" s="55"/>
      <c r="R164" s="55"/>
      <c r="S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115"/>
      <c r="N165" s="116"/>
      <c r="O165" s="116"/>
      <c r="P165" s="55"/>
      <c r="Q165" s="55"/>
      <c r="R165" s="55"/>
      <c r="S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115"/>
      <c r="N166" s="116"/>
      <c r="O166" s="116"/>
      <c r="P166" s="55"/>
      <c r="Q166" s="55"/>
      <c r="R166" s="55"/>
      <c r="S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115"/>
      <c r="N167" s="116"/>
      <c r="O167" s="116"/>
      <c r="P167" s="55"/>
      <c r="Q167" s="55"/>
      <c r="R167" s="55"/>
      <c r="S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115"/>
      <c r="N168" s="116"/>
      <c r="O168" s="116"/>
      <c r="P168" s="55"/>
      <c r="Q168" s="55"/>
      <c r="R168" s="55"/>
      <c r="S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115"/>
      <c r="N169" s="116"/>
      <c r="O169" s="116"/>
      <c r="P169" s="55"/>
      <c r="Q169" s="55"/>
      <c r="R169" s="55"/>
      <c r="S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115"/>
      <c r="N170" s="116"/>
      <c r="O170" s="116"/>
      <c r="P170" s="55"/>
      <c r="Q170" s="55"/>
      <c r="R170" s="55"/>
      <c r="S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115"/>
      <c r="N171" s="116"/>
      <c r="O171" s="116"/>
      <c r="P171" s="55"/>
      <c r="Q171" s="55"/>
      <c r="R171" s="55"/>
      <c r="S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115"/>
      <c r="N172" s="116"/>
      <c r="O172" s="116"/>
      <c r="P172" s="55"/>
      <c r="Q172" s="55"/>
      <c r="R172" s="55"/>
      <c r="S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115"/>
      <c r="N173" s="116"/>
      <c r="O173" s="116"/>
      <c r="P173" s="55"/>
      <c r="Q173" s="55"/>
      <c r="R173" s="55"/>
      <c r="S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115"/>
      <c r="N174" s="116"/>
      <c r="O174" s="116"/>
      <c r="P174" s="55"/>
      <c r="Q174" s="55"/>
      <c r="R174" s="55"/>
      <c r="S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115"/>
      <c r="N175" s="116"/>
      <c r="O175" s="116"/>
      <c r="P175" s="55"/>
      <c r="Q175" s="55"/>
      <c r="R175" s="55"/>
      <c r="S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115"/>
      <c r="N176" s="116"/>
      <c r="O176" s="116"/>
      <c r="P176" s="55"/>
      <c r="Q176" s="55"/>
      <c r="R176" s="55"/>
      <c r="S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115"/>
      <c r="N177" s="116"/>
      <c r="O177" s="116"/>
      <c r="P177" s="55"/>
      <c r="Q177" s="55"/>
      <c r="R177" s="55"/>
      <c r="S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115"/>
      <c r="N178" s="116"/>
      <c r="O178" s="116"/>
      <c r="P178" s="55"/>
      <c r="Q178" s="55"/>
      <c r="R178" s="55"/>
      <c r="S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115"/>
      <c r="N179" s="116"/>
      <c r="O179" s="116"/>
      <c r="P179" s="55"/>
      <c r="Q179" s="55"/>
      <c r="R179" s="55"/>
      <c r="S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115"/>
      <c r="N180" s="116"/>
      <c r="O180" s="116"/>
      <c r="P180" s="55"/>
      <c r="Q180" s="55"/>
      <c r="R180" s="55"/>
      <c r="S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115"/>
      <c r="N181" s="116"/>
      <c r="O181" s="116"/>
      <c r="P181" s="55"/>
      <c r="Q181" s="55"/>
      <c r="R181" s="55"/>
      <c r="S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115"/>
      <c r="N182" s="116"/>
      <c r="O182" s="116"/>
      <c r="P182" s="55"/>
      <c r="Q182" s="55"/>
      <c r="R182" s="55"/>
      <c r="S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115"/>
      <c r="N183" s="116"/>
      <c r="O183" s="116"/>
      <c r="P183" s="55"/>
      <c r="Q183" s="55"/>
      <c r="R183" s="55"/>
      <c r="S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115"/>
      <c r="N184" s="116"/>
      <c r="O184" s="116"/>
      <c r="P184" s="55"/>
      <c r="Q184" s="55"/>
      <c r="R184" s="55"/>
      <c r="S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115"/>
      <c r="N185" s="116"/>
      <c r="O185" s="116"/>
      <c r="P185" s="55"/>
      <c r="Q185" s="55"/>
      <c r="R185" s="55"/>
      <c r="S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115"/>
      <c r="N186" s="116"/>
      <c r="O186" s="116"/>
      <c r="P186" s="55"/>
      <c r="Q186" s="55"/>
      <c r="R186" s="55"/>
      <c r="S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115"/>
      <c r="N187" s="116"/>
      <c r="O187" s="116"/>
      <c r="P187" s="55"/>
      <c r="Q187" s="55"/>
      <c r="R187" s="55"/>
      <c r="S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115"/>
      <c r="N188" s="116"/>
      <c r="O188" s="116"/>
      <c r="P188" s="55"/>
      <c r="Q188" s="55"/>
      <c r="R188" s="55"/>
      <c r="S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115"/>
      <c r="N189" s="116"/>
      <c r="O189" s="116"/>
      <c r="P189" s="55"/>
      <c r="Q189" s="55"/>
      <c r="R189" s="55"/>
      <c r="S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115"/>
      <c r="N190" s="116"/>
      <c r="O190" s="116"/>
      <c r="P190" s="55"/>
      <c r="Q190" s="55"/>
      <c r="R190" s="55"/>
      <c r="S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115"/>
      <c r="N191" s="116"/>
      <c r="O191" s="116"/>
      <c r="P191" s="55"/>
      <c r="Q191" s="55"/>
      <c r="R191" s="55"/>
      <c r="S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115"/>
      <c r="N192" s="116"/>
      <c r="O192" s="116"/>
      <c r="P192" s="55"/>
      <c r="Q192" s="55"/>
      <c r="R192" s="55"/>
      <c r="S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115"/>
      <c r="N193" s="116"/>
      <c r="O193" s="116"/>
      <c r="P193" s="55"/>
      <c r="Q193" s="55"/>
      <c r="R193" s="55"/>
      <c r="S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115"/>
      <c r="N194" s="116"/>
      <c r="O194" s="116"/>
      <c r="P194" s="55"/>
      <c r="Q194" s="55"/>
      <c r="R194" s="55"/>
      <c r="S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115"/>
      <c r="N195" s="116"/>
      <c r="O195" s="116"/>
      <c r="P195" s="55"/>
      <c r="Q195" s="55"/>
      <c r="R195" s="55"/>
      <c r="S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115"/>
      <c r="N196" s="116"/>
      <c r="O196" s="116"/>
      <c r="P196" s="55"/>
      <c r="Q196" s="55"/>
      <c r="R196" s="55"/>
      <c r="S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115"/>
      <c r="N197" s="116"/>
      <c r="O197" s="116"/>
      <c r="P197" s="55"/>
      <c r="Q197" s="55"/>
      <c r="R197" s="55"/>
      <c r="S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115"/>
      <c r="N198" s="116"/>
      <c r="O198" s="116"/>
      <c r="P198" s="55"/>
      <c r="Q198" s="55"/>
      <c r="R198" s="55"/>
      <c r="S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115"/>
      <c r="N199" s="116"/>
      <c r="O199" s="116"/>
      <c r="P199" s="55"/>
      <c r="Q199" s="55"/>
      <c r="R199" s="55"/>
      <c r="S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115"/>
      <c r="N200" s="116"/>
      <c r="O200" s="116"/>
      <c r="P200" s="55"/>
      <c r="Q200" s="55"/>
      <c r="R200" s="55"/>
      <c r="S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115"/>
      <c r="N201" s="116"/>
      <c r="O201" s="116"/>
      <c r="P201" s="55"/>
      <c r="Q201" s="55"/>
      <c r="R201" s="55"/>
      <c r="S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115"/>
      <c r="N202" s="116"/>
      <c r="O202" s="116"/>
      <c r="P202" s="55"/>
      <c r="Q202" s="55"/>
      <c r="R202" s="55"/>
      <c r="S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115"/>
      <c r="N203" s="116"/>
      <c r="O203" s="116"/>
      <c r="P203" s="55"/>
      <c r="Q203" s="55"/>
      <c r="R203" s="55"/>
      <c r="S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115"/>
      <c r="N204" s="116"/>
      <c r="O204" s="116"/>
      <c r="P204" s="55"/>
      <c r="Q204" s="55"/>
      <c r="R204" s="55"/>
      <c r="S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115"/>
      <c r="N205" s="116"/>
      <c r="O205" s="116"/>
      <c r="P205" s="55"/>
      <c r="Q205" s="55"/>
      <c r="R205" s="55"/>
      <c r="S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115"/>
      <c r="N206" s="116"/>
      <c r="O206" s="116"/>
      <c r="P206" s="55"/>
      <c r="Q206" s="55"/>
      <c r="R206" s="55"/>
      <c r="S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115"/>
      <c r="N207" s="116"/>
      <c r="O207" s="116"/>
      <c r="P207" s="55"/>
      <c r="Q207" s="55"/>
      <c r="R207" s="55"/>
      <c r="S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115"/>
      <c r="N208" s="116"/>
      <c r="O208" s="116"/>
      <c r="P208" s="55"/>
      <c r="Q208" s="55"/>
      <c r="R208" s="55"/>
      <c r="S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115"/>
      <c r="N209" s="116"/>
      <c r="O209" s="116"/>
      <c r="P209" s="55"/>
      <c r="Q209" s="55"/>
      <c r="R209" s="55"/>
      <c r="S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115"/>
      <c r="N210" s="116"/>
      <c r="O210" s="116"/>
      <c r="P210" s="55"/>
      <c r="Q210" s="55"/>
      <c r="R210" s="55"/>
      <c r="S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115"/>
      <c r="N211" s="116"/>
      <c r="O211" s="116"/>
      <c r="P211" s="55"/>
      <c r="Q211" s="55"/>
      <c r="R211" s="55"/>
      <c r="S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115"/>
      <c r="N212" s="116"/>
      <c r="O212" s="116"/>
      <c r="P212" s="55"/>
      <c r="Q212" s="55"/>
      <c r="R212" s="55"/>
      <c r="S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115"/>
      <c r="N213" s="116"/>
      <c r="O213" s="116"/>
      <c r="P213" s="55"/>
      <c r="Q213" s="55"/>
      <c r="R213" s="55"/>
      <c r="S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115"/>
      <c r="N214" s="116"/>
      <c r="O214" s="116"/>
      <c r="P214" s="55"/>
      <c r="Q214" s="55"/>
      <c r="R214" s="55"/>
      <c r="S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115"/>
      <c r="N215" s="116"/>
      <c r="O215" s="116"/>
      <c r="P215" s="55"/>
      <c r="Q215" s="55"/>
      <c r="R215" s="55"/>
      <c r="S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115"/>
      <c r="N216" s="116"/>
      <c r="O216" s="116"/>
      <c r="P216" s="55"/>
      <c r="Q216" s="55"/>
      <c r="R216" s="55"/>
      <c r="S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115"/>
      <c r="N217" s="116"/>
      <c r="O217" s="116"/>
      <c r="P217" s="55"/>
      <c r="Q217" s="55"/>
      <c r="R217" s="55"/>
      <c r="S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115"/>
      <c r="N218" s="116"/>
      <c r="O218" s="116"/>
      <c r="P218" s="55"/>
      <c r="Q218" s="55"/>
      <c r="R218" s="55"/>
      <c r="S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115"/>
      <c r="N219" s="116"/>
      <c r="O219" s="116"/>
      <c r="P219" s="55"/>
      <c r="Q219" s="55"/>
      <c r="R219" s="55"/>
      <c r="S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115"/>
      <c r="N220" s="116"/>
      <c r="O220" s="116"/>
      <c r="P220" s="55"/>
      <c r="Q220" s="55"/>
      <c r="R220" s="55"/>
      <c r="S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115"/>
      <c r="N221" s="116"/>
      <c r="O221" s="116"/>
      <c r="P221" s="55"/>
      <c r="Q221" s="55"/>
      <c r="R221" s="55"/>
      <c r="S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115"/>
      <c r="N222" s="116"/>
      <c r="O222" s="116"/>
      <c r="P222" s="55"/>
      <c r="Q222" s="55"/>
      <c r="R222" s="55"/>
      <c r="S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115"/>
      <c r="N223" s="116"/>
      <c r="O223" s="116"/>
      <c r="P223" s="55"/>
      <c r="Q223" s="55"/>
      <c r="R223" s="55"/>
      <c r="S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115"/>
      <c r="N224" s="116"/>
      <c r="O224" s="116"/>
      <c r="P224" s="55"/>
      <c r="Q224" s="55"/>
      <c r="R224" s="55"/>
      <c r="S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115"/>
      <c r="N225" s="116"/>
      <c r="O225" s="116"/>
      <c r="P225" s="55"/>
      <c r="Q225" s="55"/>
      <c r="R225" s="55"/>
      <c r="S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115"/>
      <c r="N226" s="116"/>
      <c r="O226" s="116"/>
      <c r="P226" s="55"/>
      <c r="Q226" s="55"/>
      <c r="R226" s="55"/>
      <c r="S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115"/>
      <c r="N227" s="116"/>
      <c r="O227" s="116"/>
      <c r="P227" s="55"/>
      <c r="Q227" s="55"/>
      <c r="R227" s="55"/>
      <c r="S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115"/>
      <c r="N228" s="116"/>
      <c r="O228" s="116"/>
      <c r="P228" s="55"/>
      <c r="Q228" s="55"/>
      <c r="R228" s="55"/>
      <c r="S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115"/>
      <c r="N229" s="116"/>
      <c r="O229" s="116"/>
      <c r="P229" s="55"/>
      <c r="Q229" s="55"/>
      <c r="R229" s="55"/>
      <c r="S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115"/>
      <c r="N230" s="116"/>
      <c r="O230" s="116"/>
      <c r="P230" s="55"/>
      <c r="Q230" s="55"/>
      <c r="R230" s="55"/>
      <c r="S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115"/>
      <c r="N231" s="116"/>
      <c r="O231" s="116"/>
      <c r="P231" s="55"/>
      <c r="Q231" s="55"/>
      <c r="R231" s="55"/>
      <c r="S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115"/>
      <c r="N232" s="116"/>
      <c r="O232" s="116"/>
      <c r="P232" s="55"/>
      <c r="Q232" s="55"/>
      <c r="R232" s="55"/>
      <c r="S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115"/>
      <c r="N233" s="116"/>
      <c r="O233" s="116"/>
      <c r="P233" s="55"/>
      <c r="Q233" s="55"/>
      <c r="R233" s="55"/>
      <c r="S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115"/>
      <c r="N234" s="116"/>
      <c r="O234" s="116"/>
      <c r="P234" s="55"/>
      <c r="Q234" s="55"/>
      <c r="R234" s="55"/>
      <c r="S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115"/>
      <c r="N235" s="116"/>
      <c r="O235" s="116"/>
      <c r="P235" s="55"/>
      <c r="Q235" s="55"/>
      <c r="R235" s="55"/>
      <c r="S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115"/>
      <c r="N236" s="116"/>
      <c r="O236" s="116"/>
      <c r="P236" s="55"/>
      <c r="Q236" s="55"/>
      <c r="R236" s="55"/>
      <c r="S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115"/>
      <c r="N237" s="116"/>
      <c r="O237" s="116"/>
      <c r="P237" s="55"/>
      <c r="Q237" s="55"/>
      <c r="R237" s="55"/>
      <c r="S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115"/>
      <c r="N238" s="116"/>
      <c r="O238" s="116"/>
      <c r="P238" s="55"/>
      <c r="Q238" s="55"/>
      <c r="R238" s="55"/>
      <c r="S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115"/>
      <c r="N239" s="116"/>
      <c r="O239" s="116"/>
      <c r="P239" s="55"/>
      <c r="Q239" s="55"/>
      <c r="R239" s="55"/>
      <c r="S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115"/>
      <c r="N240" s="116"/>
      <c r="O240" s="116"/>
      <c r="P240" s="55"/>
      <c r="Q240" s="55"/>
      <c r="R240" s="55"/>
      <c r="S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115"/>
      <c r="N241" s="116"/>
      <c r="O241" s="116"/>
      <c r="P241" s="55"/>
      <c r="Q241" s="55"/>
      <c r="R241" s="55"/>
      <c r="S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115"/>
      <c r="N242" s="116"/>
      <c r="O242" s="116"/>
      <c r="P242" s="55"/>
      <c r="Q242" s="55"/>
      <c r="R242" s="55"/>
      <c r="S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115"/>
      <c r="N243" s="116"/>
      <c r="O243" s="116"/>
      <c r="P243" s="55"/>
      <c r="Q243" s="55"/>
      <c r="R243" s="55"/>
      <c r="S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115"/>
      <c r="N244" s="116"/>
      <c r="O244" s="116"/>
      <c r="P244" s="55"/>
      <c r="Q244" s="55"/>
      <c r="R244" s="55"/>
      <c r="S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115"/>
      <c r="N245" s="116"/>
      <c r="O245" s="116"/>
      <c r="P245" s="55"/>
      <c r="Q245" s="55"/>
      <c r="R245" s="55"/>
      <c r="S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115"/>
      <c r="N246" s="116"/>
      <c r="O246" s="116"/>
      <c r="P246" s="55"/>
      <c r="Q246" s="55"/>
      <c r="R246" s="55"/>
      <c r="S246" s="55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13:N13"/>
    <mergeCell ref="O13:P13"/>
    <mergeCell ref="M17:N17"/>
    <mergeCell ref="O17:P17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40:D40"/>
    <mergeCell ref="A41:D41"/>
    <mergeCell ref="A44:C44"/>
    <mergeCell ref="D44:G44"/>
    <mergeCell ref="A45:C45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C25:D25"/>
    <mergeCell ref="E25:G25"/>
    <mergeCell ref="H25:J25"/>
    <mergeCell ref="H26:J26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E34:G34"/>
    <mergeCell ref="H34:J34"/>
    <mergeCell ref="A35:O35"/>
    <mergeCell ref="A36:O3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43"/>
    <col customWidth="1" min="3" max="3" width="5.29"/>
    <col customWidth="1" min="4" max="4" width="9.14"/>
    <col customWidth="1" min="5" max="6" width="6.86"/>
    <col customWidth="1" min="7" max="7" width="15.57"/>
    <col customWidth="1" min="8" max="8" width="14.29"/>
    <col customWidth="1" min="9" max="9" width="7.14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9.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2" t="s">
        <v>235</v>
      </c>
      <c r="P1" s="63"/>
      <c r="Q1" s="55"/>
      <c r="R1" s="55"/>
      <c r="S1" s="55"/>
    </row>
    <row r="2" ht="18.75" customHeight="1">
      <c r="A2" s="8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111"/>
      <c r="Q2" s="55"/>
      <c r="R2" s="55"/>
      <c r="S2" s="55"/>
    </row>
    <row r="3" ht="17.25" customHeight="1">
      <c r="A3" s="8"/>
      <c r="C3" s="9"/>
      <c r="D3" s="16" t="s">
        <v>236</v>
      </c>
      <c r="E3" s="2"/>
      <c r="F3" s="2"/>
      <c r="G3" s="2"/>
      <c r="H3" s="2"/>
      <c r="I3" s="2"/>
      <c r="J3" s="2"/>
      <c r="K3" s="2"/>
      <c r="L3" s="2"/>
      <c r="M3" s="13" t="s">
        <v>5</v>
      </c>
      <c r="N3" s="12"/>
      <c r="O3" s="4" t="s">
        <v>6</v>
      </c>
      <c r="P3" s="66"/>
      <c r="Q3" s="55"/>
      <c r="R3" s="55"/>
      <c r="S3" s="55"/>
    </row>
    <row r="4" ht="17.25" customHeight="1">
      <c r="A4" s="8"/>
      <c r="C4" s="9"/>
      <c r="D4" s="8"/>
      <c r="M4" s="1" t="s">
        <v>7</v>
      </c>
      <c r="N4" s="3"/>
      <c r="O4" s="17" t="s">
        <v>8</v>
      </c>
      <c r="P4" s="66"/>
      <c r="Q4" s="55"/>
      <c r="R4" s="55"/>
      <c r="S4" s="55"/>
    </row>
    <row r="5" ht="17.25" customHeight="1">
      <c r="A5" s="8"/>
      <c r="C5" s="9"/>
      <c r="D5" s="8"/>
      <c r="M5" s="10"/>
      <c r="N5" s="12"/>
      <c r="O5" s="18" t="s">
        <v>9</v>
      </c>
      <c r="P5" s="66"/>
      <c r="Q5" s="55"/>
      <c r="R5" s="55"/>
      <c r="S5" s="55"/>
    </row>
    <row r="6" ht="27.75" customHeight="1">
      <c r="A6" s="290" t="s">
        <v>10</v>
      </c>
      <c r="B6" s="24"/>
      <c r="C6" s="24"/>
      <c r="D6" s="24"/>
      <c r="E6" s="5"/>
      <c r="F6" s="25" t="str">
        <f>'COC GRANEL'!D6</f>
        <v>SUERO DE NIACINAMIDA 5%</v>
      </c>
      <c r="G6" s="24"/>
      <c r="H6" s="24"/>
      <c r="I6" s="24"/>
      <c r="J6" s="24"/>
      <c r="K6" s="24"/>
      <c r="L6" s="24"/>
      <c r="M6" s="24"/>
      <c r="N6" s="24"/>
      <c r="O6" s="24"/>
      <c r="P6" s="66"/>
      <c r="Q6" s="55"/>
      <c r="R6" s="55"/>
      <c r="S6" s="55"/>
    </row>
    <row r="7" ht="24.0" customHeight="1">
      <c r="A7" s="291" t="s">
        <v>55</v>
      </c>
      <c r="B7" s="79"/>
      <c r="C7" s="79"/>
      <c r="D7" s="79"/>
      <c r="E7" s="82"/>
      <c r="F7" s="292" t="str">
        <f>'LISTA CHEQUEO'!F8</f>
        <v>252111</v>
      </c>
      <c r="G7" s="3"/>
      <c r="H7" s="293" t="s">
        <v>237</v>
      </c>
      <c r="I7" s="82"/>
      <c r="J7" s="231" t="str">
        <f>'COC GRANEL'!D7</f>
        <v>OP-L-099</v>
      </c>
      <c r="K7" s="2"/>
      <c r="L7" s="3"/>
      <c r="M7" s="294" t="s">
        <v>16</v>
      </c>
      <c r="N7" s="82"/>
      <c r="O7" s="295" t="s">
        <v>295</v>
      </c>
      <c r="P7" s="111"/>
      <c r="Q7" s="55"/>
      <c r="R7" s="55"/>
      <c r="S7" s="55"/>
    </row>
    <row r="8" ht="28.5" customHeight="1">
      <c r="A8" s="296" t="s">
        <v>239</v>
      </c>
      <c r="B8" s="24"/>
      <c r="C8" s="24"/>
      <c r="D8" s="24"/>
      <c r="E8" s="5"/>
      <c r="F8" s="297">
        <v>600.0</v>
      </c>
      <c r="G8" s="5"/>
      <c r="H8" s="296" t="s">
        <v>240</v>
      </c>
      <c r="I8" s="298"/>
      <c r="J8" s="278"/>
      <c r="K8" s="24"/>
      <c r="L8" s="24"/>
      <c r="M8" s="296" t="s">
        <v>241</v>
      </c>
      <c r="N8" s="298"/>
      <c r="O8" s="52"/>
      <c r="P8" s="66"/>
      <c r="Q8" s="55"/>
      <c r="R8" s="55"/>
      <c r="S8" s="55"/>
    </row>
    <row r="9" ht="36.75" customHeight="1">
      <c r="A9" s="299" t="s">
        <v>242</v>
      </c>
      <c r="B9" s="24"/>
      <c r="C9" s="24"/>
      <c r="D9" s="24"/>
      <c r="E9" s="5"/>
      <c r="F9" s="300"/>
      <c r="G9" s="5"/>
      <c r="H9" s="296" t="s">
        <v>243</v>
      </c>
      <c r="I9" s="5"/>
      <c r="J9" s="4"/>
      <c r="K9" s="24"/>
      <c r="L9" s="5"/>
      <c r="M9" s="296" t="s">
        <v>170</v>
      </c>
      <c r="N9" s="5"/>
      <c r="O9" s="52"/>
      <c r="P9" s="66"/>
      <c r="Q9" s="55"/>
      <c r="R9" s="55"/>
      <c r="S9" s="55"/>
    </row>
    <row r="10" ht="19.5" customHeight="1">
      <c r="A10" s="196" t="s">
        <v>171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5"/>
      <c r="N10" s="48" t="s">
        <v>172</v>
      </c>
      <c r="O10" s="5"/>
      <c r="P10" s="197" t="s">
        <v>173</v>
      </c>
      <c r="Q10" s="55"/>
      <c r="R10" s="55"/>
      <c r="S10" s="55"/>
    </row>
    <row r="11" ht="29.25" customHeight="1">
      <c r="A11" s="198" t="s">
        <v>174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199"/>
      <c r="O11" s="5"/>
      <c r="P11" s="200"/>
      <c r="Q11" s="55"/>
      <c r="R11" s="55"/>
      <c r="S11" s="55"/>
    </row>
    <row r="12" ht="19.5" customHeight="1">
      <c r="A12" s="301" t="s">
        <v>244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302"/>
      <c r="Q12" s="303"/>
      <c r="R12" s="303"/>
      <c r="S12" s="303"/>
    </row>
    <row r="13" ht="29.25" customHeight="1">
      <c r="A13" s="301" t="s">
        <v>245</v>
      </c>
      <c r="B13" s="73"/>
      <c r="C13" s="304" t="s">
        <v>12</v>
      </c>
      <c r="D13" s="24"/>
      <c r="E13" s="5"/>
      <c r="F13" s="304" t="s">
        <v>246</v>
      </c>
      <c r="G13" s="24"/>
      <c r="H13" s="24"/>
      <c r="I13" s="24"/>
      <c r="J13" s="24"/>
      <c r="K13" s="24"/>
      <c r="L13" s="298"/>
      <c r="M13" s="304" t="s">
        <v>247</v>
      </c>
      <c r="N13" s="5"/>
      <c r="O13" s="305" t="s">
        <v>248</v>
      </c>
      <c r="P13" s="302"/>
      <c r="Q13" s="303"/>
      <c r="R13" s="303"/>
      <c r="S13" s="303"/>
    </row>
    <row r="14" ht="29.25" customHeight="1">
      <c r="A14" s="306" t="s">
        <v>296</v>
      </c>
      <c r="B14" s="24"/>
      <c r="C14" s="307" t="s">
        <v>250</v>
      </c>
      <c r="D14" s="24"/>
      <c r="E14" s="24"/>
      <c r="F14" s="353" t="s">
        <v>297</v>
      </c>
      <c r="G14" s="24"/>
      <c r="H14" s="24"/>
      <c r="I14" s="24"/>
      <c r="J14" s="24"/>
      <c r="K14" s="24"/>
      <c r="L14" s="5"/>
      <c r="M14" s="308">
        <f>F8</f>
        <v>600</v>
      </c>
      <c r="N14" s="5"/>
      <c r="O14" s="309"/>
      <c r="P14" s="66"/>
      <c r="Q14" s="303"/>
      <c r="R14" s="303"/>
      <c r="S14" s="303"/>
    </row>
    <row r="15" ht="29.25" customHeight="1">
      <c r="A15" s="310" t="s">
        <v>298</v>
      </c>
      <c r="B15" s="24"/>
      <c r="C15" s="307" t="s">
        <v>250</v>
      </c>
      <c r="D15" s="24"/>
      <c r="E15" s="24"/>
      <c r="F15" s="353" t="s">
        <v>299</v>
      </c>
      <c r="G15" s="24"/>
      <c r="H15" s="24"/>
      <c r="I15" s="24"/>
      <c r="J15" s="24"/>
      <c r="K15" s="24"/>
      <c r="L15" s="5"/>
      <c r="M15" s="308">
        <f>F8</f>
        <v>600</v>
      </c>
      <c r="N15" s="5"/>
      <c r="O15" s="309"/>
      <c r="P15" s="66"/>
      <c r="Q15" s="303"/>
      <c r="R15" s="303"/>
      <c r="S15" s="303"/>
    </row>
    <row r="16" ht="29.25" customHeight="1">
      <c r="A16" s="310" t="s">
        <v>250</v>
      </c>
      <c r="B16" s="24"/>
      <c r="C16" s="307" t="s">
        <v>250</v>
      </c>
      <c r="D16" s="24"/>
      <c r="E16" s="24"/>
      <c r="F16" s="353" t="s">
        <v>300</v>
      </c>
      <c r="G16" s="24"/>
      <c r="H16" s="24"/>
      <c r="I16" s="24"/>
      <c r="J16" s="24"/>
      <c r="K16" s="24"/>
      <c r="L16" s="5"/>
      <c r="M16" s="308">
        <f>F8</f>
        <v>600</v>
      </c>
      <c r="N16" s="5"/>
      <c r="O16" s="309"/>
      <c r="P16" s="66"/>
      <c r="Q16" s="303"/>
      <c r="R16" s="303"/>
      <c r="S16" s="303"/>
    </row>
    <row r="17" ht="29.25" customHeight="1">
      <c r="A17" s="311"/>
      <c r="B17" s="5"/>
      <c r="C17" s="312"/>
      <c r="D17" s="11"/>
      <c r="E17" s="12"/>
      <c r="F17" s="313"/>
      <c r="G17" s="11"/>
      <c r="H17" s="11"/>
      <c r="I17" s="11"/>
      <c r="J17" s="11"/>
      <c r="K17" s="11"/>
      <c r="L17" s="12"/>
      <c r="M17" s="309"/>
      <c r="N17" s="5"/>
      <c r="O17" s="309"/>
      <c r="P17" s="66"/>
      <c r="Q17" s="303"/>
      <c r="R17" s="303"/>
      <c r="S17" s="303"/>
    </row>
    <row r="18" ht="21.0" customHeight="1">
      <c r="A18" s="309" t="s">
        <v>257</v>
      </c>
      <c r="B18" s="24"/>
      <c r="C18" s="24"/>
      <c r="D18" s="24"/>
      <c r="E18" s="24"/>
      <c r="F18" s="5"/>
      <c r="G18" s="314" t="s">
        <v>172</v>
      </c>
      <c r="H18" s="315"/>
      <c r="I18" s="24"/>
      <c r="J18" s="5"/>
      <c r="K18" s="316" t="s">
        <v>173</v>
      </c>
      <c r="L18" s="317"/>
      <c r="M18" s="317" t="s">
        <v>258</v>
      </c>
      <c r="N18" s="315"/>
      <c r="O18" s="24"/>
      <c r="P18" s="66"/>
      <c r="Q18" s="318"/>
      <c r="R18" s="303"/>
      <c r="S18" s="303"/>
    </row>
    <row r="19" ht="21.0" customHeight="1">
      <c r="A19" s="304" t="s">
        <v>259</v>
      </c>
      <c r="B19" s="5"/>
      <c r="C19" s="319"/>
      <c r="D19" s="24"/>
      <c r="E19" s="24"/>
      <c r="F19" s="24"/>
      <c r="G19" s="5"/>
      <c r="H19" s="320" t="s">
        <v>260</v>
      </c>
      <c r="I19" s="5"/>
      <c r="J19" s="319"/>
      <c r="K19" s="24"/>
      <c r="L19" s="24"/>
      <c r="M19" s="5"/>
      <c r="N19" s="321" t="s">
        <v>261</v>
      </c>
      <c r="O19" s="315"/>
      <c r="P19" s="66"/>
      <c r="Q19" s="303"/>
      <c r="R19" s="303"/>
      <c r="S19" s="303"/>
    </row>
    <row r="20" ht="16.5" customHeight="1">
      <c r="A20" s="304" t="s">
        <v>262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66"/>
      <c r="Q20" s="303"/>
      <c r="R20" s="303"/>
      <c r="S20" s="303"/>
    </row>
    <row r="21" ht="24.75" customHeight="1">
      <c r="A21" s="322" t="s">
        <v>263</v>
      </c>
      <c r="B21" s="72"/>
      <c r="C21" s="72"/>
      <c r="D21" s="72"/>
      <c r="E21" s="76"/>
      <c r="F21" s="323"/>
      <c r="G21" s="11"/>
      <c r="H21" s="11"/>
      <c r="I21" s="11"/>
      <c r="J21" s="11"/>
      <c r="K21" s="11"/>
      <c r="L21" s="322" t="s">
        <v>264</v>
      </c>
      <c r="M21" s="76"/>
      <c r="N21" s="324"/>
      <c r="O21" s="11"/>
      <c r="P21" s="88"/>
      <c r="Q21" s="303"/>
      <c r="R21" s="303"/>
      <c r="S21" s="303"/>
    </row>
    <row r="22" ht="24.75" customHeight="1">
      <c r="A22" s="32" t="s">
        <v>265</v>
      </c>
      <c r="B22" s="24"/>
      <c r="C22" s="24"/>
      <c r="D22" s="24"/>
      <c r="E22" s="5"/>
      <c r="F22" s="325"/>
      <c r="G22" s="24"/>
      <c r="H22" s="24"/>
      <c r="I22" s="24"/>
      <c r="J22" s="24"/>
      <c r="K22" s="24"/>
      <c r="L22" s="32" t="s">
        <v>266</v>
      </c>
      <c r="M22" s="5"/>
      <c r="N22" s="326"/>
      <c r="O22" s="24"/>
      <c r="P22" s="66"/>
      <c r="Q22" s="303"/>
      <c r="R22" s="303"/>
      <c r="S22" s="303"/>
    </row>
    <row r="23" ht="24.75" customHeight="1">
      <c r="A23" s="304" t="s">
        <v>267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5"/>
      <c r="Q23" s="303"/>
      <c r="R23" s="303"/>
      <c r="S23" s="303"/>
    </row>
    <row r="24" ht="24.75" customHeight="1">
      <c r="A24" s="327" t="s">
        <v>268</v>
      </c>
      <c r="B24" s="3"/>
      <c r="C24" s="328" t="s">
        <v>269</v>
      </c>
      <c r="D24" s="9"/>
      <c r="E24" s="329" t="s">
        <v>86</v>
      </c>
      <c r="G24" s="9"/>
      <c r="H24" s="329" t="s">
        <v>270</v>
      </c>
      <c r="J24" s="9"/>
      <c r="K24" s="330" t="s">
        <v>271</v>
      </c>
      <c r="L24" s="331" t="s">
        <v>272</v>
      </c>
      <c r="M24" s="331" t="s">
        <v>273</v>
      </c>
      <c r="N24" s="312" t="s">
        <v>274</v>
      </c>
      <c r="O24" s="12"/>
      <c r="P24" s="332" t="s">
        <v>275</v>
      </c>
      <c r="Q24" s="303"/>
      <c r="R24" s="303"/>
      <c r="S24" s="303"/>
    </row>
    <row r="25" ht="24.75" customHeight="1">
      <c r="A25" s="10"/>
      <c r="B25" s="12"/>
      <c r="C25" s="309"/>
      <c r="D25" s="5"/>
      <c r="E25" s="309"/>
      <c r="F25" s="24"/>
      <c r="G25" s="5"/>
      <c r="H25" s="309"/>
      <c r="I25" s="24"/>
      <c r="J25" s="5"/>
      <c r="K25" s="314"/>
      <c r="L25" s="333"/>
      <c r="M25" s="334"/>
      <c r="N25" s="335"/>
      <c r="O25" s="31"/>
      <c r="P25" s="336"/>
      <c r="Q25" s="303"/>
      <c r="R25" s="303"/>
      <c r="S25" s="303"/>
    </row>
    <row r="26" ht="24.75" customHeight="1">
      <c r="A26" s="337" t="s">
        <v>276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63"/>
      <c r="Q26" s="303"/>
      <c r="R26" s="303"/>
      <c r="S26" s="303"/>
    </row>
    <row r="27" ht="24.75" customHeight="1">
      <c r="A27" s="311" t="s">
        <v>67</v>
      </c>
      <c r="B27" s="5"/>
      <c r="C27" s="309" t="s">
        <v>269</v>
      </c>
      <c r="D27" s="5"/>
      <c r="E27" s="309" t="s">
        <v>86</v>
      </c>
      <c r="F27" s="24"/>
      <c r="G27" s="5"/>
      <c r="H27" s="309" t="s">
        <v>277</v>
      </c>
      <c r="I27" s="24"/>
      <c r="J27" s="5"/>
      <c r="K27" s="314" t="s">
        <v>278</v>
      </c>
      <c r="L27" s="314" t="s">
        <v>279</v>
      </c>
      <c r="M27" s="314" t="s">
        <v>280</v>
      </c>
      <c r="N27" s="309" t="s">
        <v>281</v>
      </c>
      <c r="O27" s="5"/>
      <c r="P27" s="338" t="s">
        <v>282</v>
      </c>
      <c r="Q27" s="303"/>
      <c r="R27" s="303"/>
      <c r="S27" s="303"/>
    </row>
    <row r="28" ht="24.75" customHeight="1">
      <c r="A28" s="339"/>
      <c r="B28" s="5"/>
      <c r="C28" s="309"/>
      <c r="D28" s="5"/>
      <c r="E28" s="309"/>
      <c r="F28" s="24"/>
      <c r="G28" s="5"/>
      <c r="H28" s="309"/>
      <c r="I28" s="24"/>
      <c r="J28" s="5"/>
      <c r="K28" s="314"/>
      <c r="L28" s="314"/>
      <c r="M28" s="314"/>
      <c r="N28" s="309"/>
      <c r="O28" s="5"/>
      <c r="P28" s="338"/>
      <c r="Q28" s="303"/>
      <c r="R28" s="303"/>
      <c r="S28" s="303"/>
    </row>
    <row r="29" ht="24.75" customHeight="1">
      <c r="A29" s="339"/>
      <c r="B29" s="5"/>
      <c r="C29" s="309"/>
      <c r="D29" s="5"/>
      <c r="E29" s="309"/>
      <c r="F29" s="24"/>
      <c r="G29" s="5"/>
      <c r="H29" s="309"/>
      <c r="I29" s="24"/>
      <c r="J29" s="5"/>
      <c r="K29" s="314"/>
      <c r="L29" s="314"/>
      <c r="M29" s="314"/>
      <c r="N29" s="309"/>
      <c r="O29" s="5"/>
      <c r="P29" s="338"/>
      <c r="Q29" s="303"/>
      <c r="R29" s="303"/>
      <c r="S29" s="303"/>
    </row>
    <row r="30" ht="24.75" customHeight="1">
      <c r="A30" s="339"/>
      <c r="B30" s="5"/>
      <c r="C30" s="309"/>
      <c r="D30" s="5"/>
      <c r="E30" s="309"/>
      <c r="F30" s="24"/>
      <c r="G30" s="5"/>
      <c r="H30" s="309"/>
      <c r="I30" s="24"/>
      <c r="J30" s="5"/>
      <c r="K30" s="314"/>
      <c r="L30" s="314"/>
      <c r="M30" s="314"/>
      <c r="N30" s="309"/>
      <c r="O30" s="5"/>
      <c r="P30" s="338"/>
      <c r="Q30" s="303"/>
      <c r="R30" s="303"/>
      <c r="S30" s="303"/>
    </row>
    <row r="31" ht="24.75" customHeight="1">
      <c r="A31" s="339"/>
      <c r="B31" s="5"/>
      <c r="C31" s="309"/>
      <c r="D31" s="5"/>
      <c r="E31" s="309"/>
      <c r="F31" s="24"/>
      <c r="G31" s="5"/>
      <c r="H31" s="309"/>
      <c r="I31" s="24"/>
      <c r="J31" s="5"/>
      <c r="K31" s="314"/>
      <c r="L31" s="314"/>
      <c r="M31" s="314"/>
      <c r="N31" s="309"/>
      <c r="O31" s="5"/>
      <c r="P31" s="338"/>
      <c r="Q31" s="303"/>
      <c r="R31" s="303"/>
      <c r="S31" s="303"/>
    </row>
    <row r="32" ht="24.75" customHeight="1">
      <c r="A32" s="339"/>
      <c r="B32" s="5"/>
      <c r="C32" s="309"/>
      <c r="D32" s="5"/>
      <c r="E32" s="309"/>
      <c r="F32" s="24"/>
      <c r="G32" s="5"/>
      <c r="H32" s="309"/>
      <c r="I32" s="24"/>
      <c r="J32" s="5"/>
      <c r="K32" s="314"/>
      <c r="L32" s="314"/>
      <c r="M32" s="314"/>
      <c r="N32" s="309"/>
      <c r="O32" s="5"/>
      <c r="P32" s="338"/>
      <c r="Q32" s="303"/>
      <c r="R32" s="303"/>
      <c r="S32" s="303"/>
    </row>
    <row r="33" ht="24.75" customHeight="1">
      <c r="A33" s="339"/>
      <c r="B33" s="5"/>
      <c r="C33" s="309"/>
      <c r="D33" s="5"/>
      <c r="E33" s="309"/>
      <c r="F33" s="24"/>
      <c r="G33" s="5"/>
      <c r="H33" s="309"/>
      <c r="I33" s="24"/>
      <c r="J33" s="5"/>
      <c r="K33" s="314"/>
      <c r="L33" s="314"/>
      <c r="M33" s="314"/>
      <c r="N33" s="309"/>
      <c r="O33" s="5"/>
      <c r="P33" s="338"/>
      <c r="Q33" s="303"/>
      <c r="R33" s="303"/>
      <c r="S33" s="303"/>
    </row>
    <row r="34" ht="24.75" customHeight="1">
      <c r="A34" s="311" t="s">
        <v>283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5"/>
      <c r="P34" s="338"/>
      <c r="Q34" s="303"/>
      <c r="R34" s="303"/>
      <c r="S34" s="303"/>
    </row>
    <row r="35" ht="24.75" customHeight="1">
      <c r="A35" s="311" t="s">
        <v>284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5"/>
      <c r="P35" s="338"/>
      <c r="Q35" s="303"/>
      <c r="R35" s="303"/>
      <c r="S35" s="303"/>
    </row>
    <row r="36" ht="24.75" customHeight="1">
      <c r="A36" s="340" t="s">
        <v>285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1"/>
      <c r="P36" s="336"/>
      <c r="Q36" s="303"/>
      <c r="R36" s="303"/>
      <c r="S36" s="303"/>
    </row>
    <row r="37" ht="24.75" customHeight="1">
      <c r="A37" s="341" t="s">
        <v>286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20"/>
      <c r="Q37" s="303"/>
      <c r="R37" s="303"/>
      <c r="S37" s="303"/>
    </row>
    <row r="38" ht="24.75" customHeight="1">
      <c r="A38" s="342" t="s">
        <v>287</v>
      </c>
      <c r="B38" s="46"/>
      <c r="C38" s="46"/>
      <c r="D38" s="46"/>
      <c r="E38" s="343"/>
      <c r="F38" s="46"/>
      <c r="G38" s="46"/>
      <c r="H38" s="46"/>
      <c r="I38" s="46"/>
      <c r="J38" s="46"/>
      <c r="K38" s="46"/>
      <c r="L38" s="344" t="s">
        <v>288</v>
      </c>
      <c r="M38" s="46"/>
      <c r="N38" s="345"/>
      <c r="O38" s="40"/>
      <c r="P38" s="63"/>
      <c r="Q38" s="303"/>
      <c r="R38" s="303"/>
      <c r="S38" s="303"/>
    </row>
    <row r="39" ht="24.75" customHeight="1">
      <c r="A39" s="346" t="s">
        <v>289</v>
      </c>
      <c r="E39" s="347"/>
      <c r="F39" s="24"/>
      <c r="G39" s="24"/>
      <c r="H39" s="24"/>
      <c r="I39" s="24"/>
      <c r="J39" s="24"/>
      <c r="K39" s="24"/>
      <c r="L39" s="348" t="s">
        <v>290</v>
      </c>
      <c r="N39" s="347"/>
      <c r="O39" s="24"/>
      <c r="P39" s="66"/>
      <c r="Q39" s="303"/>
      <c r="R39" s="303"/>
      <c r="S39" s="303"/>
    </row>
    <row r="40" ht="24.75" customHeight="1">
      <c r="A40" s="349" t="s">
        <v>291</v>
      </c>
      <c r="B40" s="113"/>
      <c r="C40" s="113"/>
      <c r="D40" s="113"/>
      <c r="E40" s="350"/>
      <c r="F40" s="113"/>
      <c r="G40" s="113"/>
      <c r="H40" s="113"/>
      <c r="I40" s="113"/>
      <c r="J40" s="113"/>
      <c r="K40" s="113"/>
      <c r="L40" s="351" t="s">
        <v>292</v>
      </c>
      <c r="M40" s="113"/>
      <c r="N40" s="350"/>
      <c r="O40" s="113"/>
      <c r="P40" s="114"/>
      <c r="Q40" s="303"/>
      <c r="R40" s="303"/>
      <c r="S40" s="303"/>
    </row>
    <row r="41" ht="24.75" customHeight="1">
      <c r="A41" s="352" t="s">
        <v>180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117"/>
      <c r="Q41" s="303"/>
      <c r="R41" s="303"/>
      <c r="S41" s="303"/>
    </row>
    <row r="42" ht="17.25" customHeight="1">
      <c r="A42" s="121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4"/>
      <c r="Q42" s="303"/>
      <c r="R42" s="303"/>
      <c r="S42" s="303"/>
    </row>
    <row r="43" ht="27.75" customHeight="1">
      <c r="A43" s="217" t="s">
        <v>293</v>
      </c>
      <c r="B43" s="40"/>
      <c r="C43" s="41"/>
      <c r="D43" s="218"/>
      <c r="E43" s="40"/>
      <c r="F43" s="40"/>
      <c r="G43" s="219"/>
      <c r="H43" s="220"/>
      <c r="I43" s="220"/>
      <c r="J43" s="220"/>
      <c r="K43" s="221" t="s">
        <v>294</v>
      </c>
      <c r="L43" s="41"/>
      <c r="M43" s="222"/>
      <c r="N43" s="40"/>
      <c r="O43" s="40"/>
      <c r="P43" s="63"/>
      <c r="Q43" s="303"/>
      <c r="R43" s="303"/>
      <c r="S43" s="303"/>
    </row>
    <row r="44" ht="24.75" customHeight="1">
      <c r="A44" s="223" t="s">
        <v>183</v>
      </c>
      <c r="B44" s="24"/>
      <c r="C44" s="5"/>
      <c r="D44" s="224"/>
      <c r="E44" s="224"/>
      <c r="F44" s="224"/>
      <c r="G44" s="224"/>
      <c r="H44" s="202"/>
      <c r="I44" s="202"/>
      <c r="J44" s="202"/>
      <c r="K44" s="225" t="s">
        <v>183</v>
      </c>
      <c r="L44" s="5"/>
      <c r="M44" s="199"/>
      <c r="N44" s="24"/>
      <c r="O44" s="24"/>
      <c r="P44" s="66"/>
      <c r="Q44" s="303"/>
      <c r="R44" s="303"/>
      <c r="S44" s="303"/>
    </row>
    <row r="45" ht="24.75" customHeight="1">
      <c r="A45" s="226" t="s">
        <v>184</v>
      </c>
      <c r="B45" s="30"/>
      <c r="C45" s="31"/>
      <c r="D45" s="227"/>
      <c r="E45" s="30"/>
      <c r="F45" s="30"/>
      <c r="G45" s="30"/>
      <c r="H45" s="30"/>
      <c r="I45" s="30"/>
      <c r="J45" s="31"/>
      <c r="K45" s="228" t="s">
        <v>184</v>
      </c>
      <c r="L45" s="31"/>
      <c r="M45" s="227"/>
      <c r="N45" s="30"/>
      <c r="O45" s="30"/>
      <c r="P45" s="160"/>
      <c r="Q45" s="303"/>
      <c r="R45" s="303"/>
      <c r="S45" s="303"/>
    </row>
    <row r="46" ht="24.75" customHeight="1">
      <c r="A46" s="271"/>
      <c r="B46" s="271"/>
      <c r="C46" s="271"/>
      <c r="D46" s="272"/>
      <c r="E46" s="272"/>
      <c r="F46" s="272"/>
      <c r="G46" s="272"/>
      <c r="H46" s="272"/>
      <c r="I46" s="272"/>
      <c r="J46" s="272"/>
      <c r="K46" s="271"/>
      <c r="L46" s="271"/>
      <c r="M46" s="272"/>
      <c r="N46" s="272"/>
      <c r="O46" s="272"/>
      <c r="P46" s="272"/>
      <c r="Q46" s="303"/>
      <c r="R46" s="303"/>
      <c r="S46" s="303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115"/>
      <c r="N47" s="116"/>
      <c r="O47" s="116"/>
      <c r="P47" s="55"/>
      <c r="Q47" s="55"/>
      <c r="R47" s="55"/>
      <c r="S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115"/>
      <c r="N48" s="116"/>
      <c r="O48" s="116"/>
      <c r="P48" s="55"/>
      <c r="Q48" s="55"/>
      <c r="R48" s="55"/>
      <c r="S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115"/>
      <c r="N49" s="116"/>
      <c r="O49" s="116"/>
      <c r="P49" s="55"/>
      <c r="Q49" s="55"/>
      <c r="R49" s="55"/>
      <c r="S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115"/>
      <c r="N50" s="116"/>
      <c r="O50" s="116"/>
      <c r="P50" s="55"/>
      <c r="Q50" s="55"/>
      <c r="R50" s="55"/>
      <c r="S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115"/>
      <c r="N51" s="116"/>
      <c r="O51" s="116"/>
      <c r="P51" s="55"/>
      <c r="Q51" s="55"/>
      <c r="R51" s="55"/>
      <c r="S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115"/>
      <c r="N52" s="116"/>
      <c r="O52" s="116"/>
      <c r="P52" s="55"/>
      <c r="Q52" s="55"/>
      <c r="R52" s="55"/>
      <c r="S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115"/>
      <c r="N53" s="116"/>
      <c r="O53" s="116"/>
      <c r="P53" s="55"/>
      <c r="Q53" s="55"/>
      <c r="R53" s="55"/>
      <c r="S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115"/>
      <c r="N54" s="116"/>
      <c r="O54" s="116"/>
      <c r="P54" s="55"/>
      <c r="Q54" s="55"/>
      <c r="R54" s="55"/>
      <c r="S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115"/>
      <c r="N55" s="116"/>
      <c r="O55" s="116"/>
      <c r="P55" s="55"/>
      <c r="Q55" s="55"/>
      <c r="R55" s="55"/>
      <c r="S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115"/>
      <c r="N56" s="116"/>
      <c r="O56" s="116"/>
      <c r="P56" s="55"/>
      <c r="Q56" s="55"/>
      <c r="R56" s="55"/>
      <c r="S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115"/>
      <c r="N57" s="116"/>
      <c r="O57" s="116"/>
      <c r="P57" s="55"/>
      <c r="Q57" s="55"/>
      <c r="R57" s="55"/>
      <c r="S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115"/>
      <c r="N58" s="116"/>
      <c r="O58" s="116"/>
      <c r="P58" s="55"/>
      <c r="Q58" s="55"/>
      <c r="R58" s="55"/>
      <c r="S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115"/>
      <c r="N59" s="116"/>
      <c r="O59" s="116"/>
      <c r="P59" s="55"/>
      <c r="Q59" s="55"/>
      <c r="R59" s="55"/>
      <c r="S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115"/>
      <c r="N60" s="116"/>
      <c r="O60" s="116"/>
      <c r="P60" s="55"/>
      <c r="Q60" s="55"/>
      <c r="R60" s="55"/>
      <c r="S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115"/>
      <c r="N61" s="116"/>
      <c r="O61" s="116"/>
      <c r="P61" s="55"/>
      <c r="Q61" s="55"/>
      <c r="R61" s="55"/>
      <c r="S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115"/>
      <c r="N62" s="116"/>
      <c r="O62" s="116"/>
      <c r="P62" s="55"/>
      <c r="Q62" s="55"/>
      <c r="R62" s="55"/>
      <c r="S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115"/>
      <c r="N63" s="116"/>
      <c r="O63" s="116"/>
      <c r="P63" s="55"/>
      <c r="Q63" s="55"/>
      <c r="R63" s="55"/>
      <c r="S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115"/>
      <c r="N64" s="116"/>
      <c r="O64" s="116"/>
      <c r="P64" s="55"/>
      <c r="Q64" s="55"/>
      <c r="R64" s="55"/>
      <c r="S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115"/>
      <c r="N65" s="116"/>
      <c r="O65" s="116"/>
      <c r="P65" s="55"/>
      <c r="Q65" s="55"/>
      <c r="R65" s="55"/>
      <c r="S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115"/>
      <c r="N66" s="116"/>
      <c r="O66" s="116"/>
      <c r="P66" s="55"/>
      <c r="Q66" s="55"/>
      <c r="R66" s="55"/>
      <c r="S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115"/>
      <c r="N67" s="116"/>
      <c r="O67" s="116"/>
      <c r="P67" s="55"/>
      <c r="Q67" s="55"/>
      <c r="R67" s="55"/>
      <c r="S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115"/>
      <c r="N68" s="116"/>
      <c r="O68" s="116"/>
      <c r="P68" s="55"/>
      <c r="Q68" s="55"/>
      <c r="R68" s="55"/>
      <c r="S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115"/>
      <c r="N69" s="116"/>
      <c r="O69" s="116"/>
      <c r="P69" s="55"/>
      <c r="Q69" s="55"/>
      <c r="R69" s="55"/>
      <c r="S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115"/>
      <c r="N70" s="116"/>
      <c r="O70" s="116"/>
      <c r="P70" s="55"/>
      <c r="Q70" s="55"/>
      <c r="R70" s="55"/>
      <c r="S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115"/>
      <c r="N71" s="116"/>
      <c r="O71" s="116"/>
      <c r="P71" s="55"/>
      <c r="Q71" s="55"/>
      <c r="R71" s="55"/>
      <c r="S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115"/>
      <c r="N72" s="116"/>
      <c r="O72" s="116"/>
      <c r="P72" s="55"/>
      <c r="Q72" s="55"/>
      <c r="R72" s="55"/>
      <c r="S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115"/>
      <c r="N73" s="116"/>
      <c r="O73" s="116"/>
      <c r="P73" s="55"/>
      <c r="Q73" s="55"/>
      <c r="R73" s="55"/>
      <c r="S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115"/>
      <c r="N74" s="116"/>
      <c r="O74" s="116"/>
      <c r="P74" s="55"/>
      <c r="Q74" s="55"/>
      <c r="R74" s="55"/>
      <c r="S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115"/>
      <c r="N75" s="116"/>
      <c r="O75" s="116"/>
      <c r="P75" s="55"/>
      <c r="Q75" s="55"/>
      <c r="R75" s="55"/>
      <c r="S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115"/>
      <c r="N76" s="116"/>
      <c r="O76" s="116"/>
      <c r="P76" s="55"/>
      <c r="Q76" s="55"/>
      <c r="R76" s="55"/>
      <c r="S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115"/>
      <c r="N77" s="116"/>
      <c r="O77" s="116"/>
      <c r="P77" s="55"/>
      <c r="Q77" s="55"/>
      <c r="R77" s="55"/>
      <c r="S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115"/>
      <c r="N78" s="116"/>
      <c r="O78" s="116"/>
      <c r="P78" s="55"/>
      <c r="Q78" s="55"/>
      <c r="R78" s="55"/>
      <c r="S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115"/>
      <c r="N79" s="116"/>
      <c r="O79" s="116"/>
      <c r="P79" s="55"/>
      <c r="Q79" s="55"/>
      <c r="R79" s="55"/>
      <c r="S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115"/>
      <c r="N80" s="116"/>
      <c r="O80" s="116"/>
      <c r="P80" s="55"/>
      <c r="Q80" s="55"/>
      <c r="R80" s="55"/>
      <c r="S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115"/>
      <c r="N81" s="116"/>
      <c r="O81" s="116"/>
      <c r="P81" s="55"/>
      <c r="Q81" s="55"/>
      <c r="R81" s="55"/>
      <c r="S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115"/>
      <c r="N82" s="116"/>
      <c r="O82" s="116"/>
      <c r="P82" s="55"/>
      <c r="Q82" s="55"/>
      <c r="R82" s="55"/>
      <c r="S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115"/>
      <c r="N83" s="116"/>
      <c r="O83" s="116"/>
      <c r="P83" s="55"/>
      <c r="Q83" s="55"/>
      <c r="R83" s="55"/>
      <c r="S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115"/>
      <c r="N84" s="116"/>
      <c r="O84" s="116"/>
      <c r="P84" s="55"/>
      <c r="Q84" s="55"/>
      <c r="R84" s="55"/>
      <c r="S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115"/>
      <c r="N85" s="116"/>
      <c r="O85" s="116"/>
      <c r="P85" s="55"/>
      <c r="Q85" s="55"/>
      <c r="R85" s="55"/>
      <c r="S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115"/>
      <c r="N86" s="116"/>
      <c r="O86" s="116"/>
      <c r="P86" s="55"/>
      <c r="Q86" s="55"/>
      <c r="R86" s="55"/>
      <c r="S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115"/>
      <c r="N87" s="116"/>
      <c r="O87" s="116"/>
      <c r="P87" s="55"/>
      <c r="Q87" s="55"/>
      <c r="R87" s="55"/>
      <c r="S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115"/>
      <c r="N88" s="116"/>
      <c r="O88" s="116"/>
      <c r="P88" s="55"/>
      <c r="Q88" s="55"/>
      <c r="R88" s="55"/>
      <c r="S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115"/>
      <c r="N89" s="116"/>
      <c r="O89" s="116"/>
      <c r="P89" s="55"/>
      <c r="Q89" s="55"/>
      <c r="R89" s="55"/>
      <c r="S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115"/>
      <c r="N90" s="116"/>
      <c r="O90" s="116"/>
      <c r="P90" s="55"/>
      <c r="Q90" s="55"/>
      <c r="R90" s="55"/>
      <c r="S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115"/>
      <c r="N91" s="116"/>
      <c r="O91" s="116"/>
      <c r="P91" s="55"/>
      <c r="Q91" s="55"/>
      <c r="R91" s="55"/>
      <c r="S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115"/>
      <c r="N92" s="116"/>
      <c r="O92" s="116"/>
      <c r="P92" s="55"/>
      <c r="Q92" s="55"/>
      <c r="R92" s="55"/>
      <c r="S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115"/>
      <c r="N93" s="116"/>
      <c r="O93" s="116"/>
      <c r="P93" s="55"/>
      <c r="Q93" s="55"/>
      <c r="R93" s="55"/>
      <c r="S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115"/>
      <c r="N94" s="116"/>
      <c r="O94" s="116"/>
      <c r="P94" s="55"/>
      <c r="Q94" s="55"/>
      <c r="R94" s="55"/>
      <c r="S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115"/>
      <c r="N95" s="116"/>
      <c r="O95" s="116"/>
      <c r="P95" s="55"/>
      <c r="Q95" s="55"/>
      <c r="R95" s="55"/>
      <c r="S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115"/>
      <c r="N96" s="116"/>
      <c r="O96" s="116"/>
      <c r="P96" s="55"/>
      <c r="Q96" s="55"/>
      <c r="R96" s="55"/>
      <c r="S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115"/>
      <c r="N97" s="116"/>
      <c r="O97" s="116"/>
      <c r="P97" s="55"/>
      <c r="Q97" s="55"/>
      <c r="R97" s="55"/>
      <c r="S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115"/>
      <c r="N98" s="116"/>
      <c r="O98" s="116"/>
      <c r="P98" s="55"/>
      <c r="Q98" s="55"/>
      <c r="R98" s="55"/>
      <c r="S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115"/>
      <c r="N99" s="116"/>
      <c r="O99" s="116"/>
      <c r="P99" s="55"/>
      <c r="Q99" s="55"/>
      <c r="R99" s="55"/>
      <c r="S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115"/>
      <c r="N100" s="116"/>
      <c r="O100" s="116"/>
      <c r="P100" s="55"/>
      <c r="Q100" s="55"/>
      <c r="R100" s="55"/>
      <c r="S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115"/>
      <c r="N101" s="116"/>
      <c r="O101" s="116"/>
      <c r="P101" s="55"/>
      <c r="Q101" s="55"/>
      <c r="R101" s="55"/>
      <c r="S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115"/>
      <c r="N102" s="116"/>
      <c r="O102" s="116"/>
      <c r="P102" s="55"/>
      <c r="Q102" s="55"/>
      <c r="R102" s="55"/>
      <c r="S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115"/>
      <c r="N103" s="116"/>
      <c r="O103" s="116"/>
      <c r="P103" s="55"/>
      <c r="Q103" s="55"/>
      <c r="R103" s="55"/>
      <c r="S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115"/>
      <c r="N104" s="116"/>
      <c r="O104" s="116"/>
      <c r="P104" s="55"/>
      <c r="Q104" s="55"/>
      <c r="R104" s="55"/>
      <c r="S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115"/>
      <c r="N105" s="116"/>
      <c r="O105" s="116"/>
      <c r="P105" s="55"/>
      <c r="Q105" s="55"/>
      <c r="R105" s="55"/>
      <c r="S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115"/>
      <c r="N106" s="116"/>
      <c r="O106" s="116"/>
      <c r="P106" s="55"/>
      <c r="Q106" s="55"/>
      <c r="R106" s="55"/>
      <c r="S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115"/>
      <c r="N107" s="116"/>
      <c r="O107" s="116"/>
      <c r="P107" s="55"/>
      <c r="Q107" s="55"/>
      <c r="R107" s="55"/>
      <c r="S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115"/>
      <c r="N108" s="116"/>
      <c r="O108" s="116"/>
      <c r="P108" s="55"/>
      <c r="Q108" s="55"/>
      <c r="R108" s="55"/>
      <c r="S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115"/>
      <c r="N109" s="116"/>
      <c r="O109" s="116"/>
      <c r="P109" s="55"/>
      <c r="Q109" s="55"/>
      <c r="R109" s="55"/>
      <c r="S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115"/>
      <c r="N110" s="116"/>
      <c r="O110" s="116"/>
      <c r="P110" s="55"/>
      <c r="Q110" s="55"/>
      <c r="R110" s="55"/>
      <c r="S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115"/>
      <c r="N111" s="116"/>
      <c r="O111" s="116"/>
      <c r="P111" s="55"/>
      <c r="Q111" s="55"/>
      <c r="R111" s="55"/>
      <c r="S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115"/>
      <c r="N112" s="116"/>
      <c r="O112" s="116"/>
      <c r="P112" s="55"/>
      <c r="Q112" s="55"/>
      <c r="R112" s="55"/>
      <c r="S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115"/>
      <c r="N113" s="116"/>
      <c r="O113" s="116"/>
      <c r="P113" s="55"/>
      <c r="Q113" s="55"/>
      <c r="R113" s="55"/>
      <c r="S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115"/>
      <c r="N114" s="116"/>
      <c r="O114" s="116"/>
      <c r="P114" s="55"/>
      <c r="Q114" s="55"/>
      <c r="R114" s="55"/>
      <c r="S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115"/>
      <c r="N115" s="116"/>
      <c r="O115" s="116"/>
      <c r="P115" s="55"/>
      <c r="Q115" s="55"/>
      <c r="R115" s="55"/>
      <c r="S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115"/>
      <c r="N116" s="116"/>
      <c r="O116" s="116"/>
      <c r="P116" s="55"/>
      <c r="Q116" s="55"/>
      <c r="R116" s="55"/>
      <c r="S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115"/>
      <c r="N117" s="116"/>
      <c r="O117" s="116"/>
      <c r="P117" s="55"/>
      <c r="Q117" s="55"/>
      <c r="R117" s="55"/>
      <c r="S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115"/>
      <c r="N118" s="116"/>
      <c r="O118" s="116"/>
      <c r="P118" s="55"/>
      <c r="Q118" s="55"/>
      <c r="R118" s="55"/>
      <c r="S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115"/>
      <c r="N119" s="116"/>
      <c r="O119" s="116"/>
      <c r="P119" s="55"/>
      <c r="Q119" s="55"/>
      <c r="R119" s="55"/>
      <c r="S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115"/>
      <c r="N120" s="116"/>
      <c r="O120" s="116"/>
      <c r="P120" s="55"/>
      <c r="Q120" s="55"/>
      <c r="R120" s="55"/>
      <c r="S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115"/>
      <c r="N121" s="116"/>
      <c r="O121" s="116"/>
      <c r="P121" s="55"/>
      <c r="Q121" s="55"/>
      <c r="R121" s="55"/>
      <c r="S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115"/>
      <c r="N122" s="116"/>
      <c r="O122" s="116"/>
      <c r="P122" s="55"/>
      <c r="Q122" s="55"/>
      <c r="R122" s="55"/>
      <c r="S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115"/>
      <c r="N123" s="116"/>
      <c r="O123" s="116"/>
      <c r="P123" s="55"/>
      <c r="Q123" s="55"/>
      <c r="R123" s="55"/>
      <c r="S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115"/>
      <c r="N124" s="116"/>
      <c r="O124" s="116"/>
      <c r="P124" s="55"/>
      <c r="Q124" s="55"/>
      <c r="R124" s="55"/>
      <c r="S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115"/>
      <c r="N125" s="116"/>
      <c r="O125" s="116"/>
      <c r="P125" s="55"/>
      <c r="Q125" s="55"/>
      <c r="R125" s="55"/>
      <c r="S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115"/>
      <c r="N126" s="116"/>
      <c r="O126" s="116"/>
      <c r="P126" s="55"/>
      <c r="Q126" s="55"/>
      <c r="R126" s="55"/>
      <c r="S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115"/>
      <c r="N127" s="116"/>
      <c r="O127" s="116"/>
      <c r="P127" s="55"/>
      <c r="Q127" s="55"/>
      <c r="R127" s="55"/>
      <c r="S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115"/>
      <c r="N128" s="116"/>
      <c r="O128" s="116"/>
      <c r="P128" s="55"/>
      <c r="Q128" s="55"/>
      <c r="R128" s="55"/>
      <c r="S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115"/>
      <c r="N129" s="116"/>
      <c r="O129" s="116"/>
      <c r="P129" s="55"/>
      <c r="Q129" s="55"/>
      <c r="R129" s="55"/>
      <c r="S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115"/>
      <c r="N130" s="116"/>
      <c r="O130" s="116"/>
      <c r="P130" s="55"/>
      <c r="Q130" s="55"/>
      <c r="R130" s="55"/>
      <c r="S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115"/>
      <c r="N131" s="116"/>
      <c r="O131" s="116"/>
      <c r="P131" s="55"/>
      <c r="Q131" s="55"/>
      <c r="R131" s="55"/>
      <c r="S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115"/>
      <c r="N132" s="116"/>
      <c r="O132" s="116"/>
      <c r="P132" s="55"/>
      <c r="Q132" s="55"/>
      <c r="R132" s="55"/>
      <c r="S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115"/>
      <c r="N133" s="116"/>
      <c r="O133" s="116"/>
      <c r="P133" s="55"/>
      <c r="Q133" s="55"/>
      <c r="R133" s="55"/>
      <c r="S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115"/>
      <c r="N134" s="116"/>
      <c r="O134" s="116"/>
      <c r="P134" s="55"/>
      <c r="Q134" s="55"/>
      <c r="R134" s="55"/>
      <c r="S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115"/>
      <c r="N135" s="116"/>
      <c r="O135" s="116"/>
      <c r="P135" s="55"/>
      <c r="Q135" s="55"/>
      <c r="R135" s="55"/>
      <c r="S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115"/>
      <c r="N136" s="116"/>
      <c r="O136" s="116"/>
      <c r="P136" s="55"/>
      <c r="Q136" s="55"/>
      <c r="R136" s="55"/>
      <c r="S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115"/>
      <c r="N137" s="116"/>
      <c r="O137" s="116"/>
      <c r="P137" s="55"/>
      <c r="Q137" s="55"/>
      <c r="R137" s="55"/>
      <c r="S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115"/>
      <c r="N138" s="116"/>
      <c r="O138" s="116"/>
      <c r="P138" s="55"/>
      <c r="Q138" s="55"/>
      <c r="R138" s="55"/>
      <c r="S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115"/>
      <c r="N139" s="116"/>
      <c r="O139" s="116"/>
      <c r="P139" s="55"/>
      <c r="Q139" s="55"/>
      <c r="R139" s="55"/>
      <c r="S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115"/>
      <c r="N140" s="116"/>
      <c r="O140" s="116"/>
      <c r="P140" s="55"/>
      <c r="Q140" s="55"/>
      <c r="R140" s="55"/>
      <c r="S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115"/>
      <c r="N141" s="116"/>
      <c r="O141" s="116"/>
      <c r="P141" s="55"/>
      <c r="Q141" s="55"/>
      <c r="R141" s="55"/>
      <c r="S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115"/>
      <c r="N142" s="116"/>
      <c r="O142" s="116"/>
      <c r="P142" s="55"/>
      <c r="Q142" s="55"/>
      <c r="R142" s="55"/>
      <c r="S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115"/>
      <c r="N143" s="116"/>
      <c r="O143" s="116"/>
      <c r="P143" s="55"/>
      <c r="Q143" s="55"/>
      <c r="R143" s="55"/>
      <c r="S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115"/>
      <c r="N144" s="116"/>
      <c r="O144" s="116"/>
      <c r="P144" s="55"/>
      <c r="Q144" s="55"/>
      <c r="R144" s="55"/>
      <c r="S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115"/>
      <c r="N145" s="116"/>
      <c r="O145" s="116"/>
      <c r="P145" s="55"/>
      <c r="Q145" s="55"/>
      <c r="R145" s="55"/>
      <c r="S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115"/>
      <c r="N146" s="116"/>
      <c r="O146" s="116"/>
      <c r="P146" s="55"/>
      <c r="Q146" s="55"/>
      <c r="R146" s="55"/>
      <c r="S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115"/>
      <c r="N147" s="116"/>
      <c r="O147" s="116"/>
      <c r="P147" s="55"/>
      <c r="Q147" s="55"/>
      <c r="R147" s="55"/>
      <c r="S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115"/>
      <c r="N148" s="116"/>
      <c r="O148" s="116"/>
      <c r="P148" s="55"/>
      <c r="Q148" s="55"/>
      <c r="R148" s="55"/>
      <c r="S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115"/>
      <c r="N149" s="116"/>
      <c r="O149" s="116"/>
      <c r="P149" s="55"/>
      <c r="Q149" s="55"/>
      <c r="R149" s="55"/>
      <c r="S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115"/>
      <c r="N150" s="116"/>
      <c r="O150" s="116"/>
      <c r="P150" s="55"/>
      <c r="Q150" s="55"/>
      <c r="R150" s="55"/>
      <c r="S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115"/>
      <c r="N151" s="116"/>
      <c r="O151" s="116"/>
      <c r="P151" s="55"/>
      <c r="Q151" s="55"/>
      <c r="R151" s="55"/>
      <c r="S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115"/>
      <c r="N152" s="116"/>
      <c r="O152" s="116"/>
      <c r="P152" s="55"/>
      <c r="Q152" s="55"/>
      <c r="R152" s="55"/>
      <c r="S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115"/>
      <c r="N153" s="116"/>
      <c r="O153" s="116"/>
      <c r="P153" s="55"/>
      <c r="Q153" s="55"/>
      <c r="R153" s="55"/>
      <c r="S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115"/>
      <c r="N154" s="116"/>
      <c r="O154" s="116"/>
      <c r="P154" s="55"/>
      <c r="Q154" s="55"/>
      <c r="R154" s="55"/>
      <c r="S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115"/>
      <c r="N155" s="116"/>
      <c r="O155" s="116"/>
      <c r="P155" s="55"/>
      <c r="Q155" s="55"/>
      <c r="R155" s="55"/>
      <c r="S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115"/>
      <c r="N156" s="116"/>
      <c r="O156" s="116"/>
      <c r="P156" s="55"/>
      <c r="Q156" s="55"/>
      <c r="R156" s="55"/>
      <c r="S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115"/>
      <c r="N157" s="116"/>
      <c r="O157" s="116"/>
      <c r="P157" s="55"/>
      <c r="Q157" s="55"/>
      <c r="R157" s="55"/>
      <c r="S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115"/>
      <c r="N158" s="116"/>
      <c r="O158" s="116"/>
      <c r="P158" s="55"/>
      <c r="Q158" s="55"/>
      <c r="R158" s="55"/>
      <c r="S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115"/>
      <c r="N159" s="116"/>
      <c r="O159" s="116"/>
      <c r="P159" s="55"/>
      <c r="Q159" s="55"/>
      <c r="R159" s="55"/>
      <c r="S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115"/>
      <c r="N160" s="116"/>
      <c r="O160" s="116"/>
      <c r="P160" s="55"/>
      <c r="Q160" s="55"/>
      <c r="R160" s="55"/>
      <c r="S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115"/>
      <c r="N161" s="116"/>
      <c r="O161" s="116"/>
      <c r="P161" s="55"/>
      <c r="Q161" s="55"/>
      <c r="R161" s="55"/>
      <c r="S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115"/>
      <c r="N162" s="116"/>
      <c r="O162" s="116"/>
      <c r="P162" s="55"/>
      <c r="Q162" s="55"/>
      <c r="R162" s="55"/>
      <c r="S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115"/>
      <c r="N163" s="116"/>
      <c r="O163" s="116"/>
      <c r="P163" s="55"/>
      <c r="Q163" s="55"/>
      <c r="R163" s="55"/>
      <c r="S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115"/>
      <c r="N164" s="116"/>
      <c r="O164" s="116"/>
      <c r="P164" s="55"/>
      <c r="Q164" s="55"/>
      <c r="R164" s="55"/>
      <c r="S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115"/>
      <c r="N165" s="116"/>
      <c r="O165" s="116"/>
      <c r="P165" s="55"/>
      <c r="Q165" s="55"/>
      <c r="R165" s="55"/>
      <c r="S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115"/>
      <c r="N166" s="116"/>
      <c r="O166" s="116"/>
      <c r="P166" s="55"/>
      <c r="Q166" s="55"/>
      <c r="R166" s="55"/>
      <c r="S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115"/>
      <c r="N167" s="116"/>
      <c r="O167" s="116"/>
      <c r="P167" s="55"/>
      <c r="Q167" s="55"/>
      <c r="R167" s="55"/>
      <c r="S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115"/>
      <c r="N168" s="116"/>
      <c r="O168" s="116"/>
      <c r="P168" s="55"/>
      <c r="Q168" s="55"/>
      <c r="R168" s="55"/>
      <c r="S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115"/>
      <c r="N169" s="116"/>
      <c r="O169" s="116"/>
      <c r="P169" s="55"/>
      <c r="Q169" s="55"/>
      <c r="R169" s="55"/>
      <c r="S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115"/>
      <c r="N170" s="116"/>
      <c r="O170" s="116"/>
      <c r="P170" s="55"/>
      <c r="Q170" s="55"/>
      <c r="R170" s="55"/>
      <c r="S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115"/>
      <c r="N171" s="116"/>
      <c r="O171" s="116"/>
      <c r="P171" s="55"/>
      <c r="Q171" s="55"/>
      <c r="R171" s="55"/>
      <c r="S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115"/>
      <c r="N172" s="116"/>
      <c r="O172" s="116"/>
      <c r="P172" s="55"/>
      <c r="Q172" s="55"/>
      <c r="R172" s="55"/>
      <c r="S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115"/>
      <c r="N173" s="116"/>
      <c r="O173" s="116"/>
      <c r="P173" s="55"/>
      <c r="Q173" s="55"/>
      <c r="R173" s="55"/>
      <c r="S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115"/>
      <c r="N174" s="116"/>
      <c r="O174" s="116"/>
      <c r="P174" s="55"/>
      <c r="Q174" s="55"/>
      <c r="R174" s="55"/>
      <c r="S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115"/>
      <c r="N175" s="116"/>
      <c r="O175" s="116"/>
      <c r="P175" s="55"/>
      <c r="Q175" s="55"/>
      <c r="R175" s="55"/>
      <c r="S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115"/>
      <c r="N176" s="116"/>
      <c r="O176" s="116"/>
      <c r="P176" s="55"/>
      <c r="Q176" s="55"/>
      <c r="R176" s="55"/>
      <c r="S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115"/>
      <c r="N177" s="116"/>
      <c r="O177" s="116"/>
      <c r="P177" s="55"/>
      <c r="Q177" s="55"/>
      <c r="R177" s="55"/>
      <c r="S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115"/>
      <c r="N178" s="116"/>
      <c r="O178" s="116"/>
      <c r="P178" s="55"/>
      <c r="Q178" s="55"/>
      <c r="R178" s="55"/>
      <c r="S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115"/>
      <c r="N179" s="116"/>
      <c r="O179" s="116"/>
      <c r="P179" s="55"/>
      <c r="Q179" s="55"/>
      <c r="R179" s="55"/>
      <c r="S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115"/>
      <c r="N180" s="116"/>
      <c r="O180" s="116"/>
      <c r="P180" s="55"/>
      <c r="Q180" s="55"/>
      <c r="R180" s="55"/>
      <c r="S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115"/>
      <c r="N181" s="116"/>
      <c r="O181" s="116"/>
      <c r="P181" s="55"/>
      <c r="Q181" s="55"/>
      <c r="R181" s="55"/>
      <c r="S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115"/>
      <c r="N182" s="116"/>
      <c r="O182" s="116"/>
      <c r="P182" s="55"/>
      <c r="Q182" s="55"/>
      <c r="R182" s="55"/>
      <c r="S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115"/>
      <c r="N183" s="116"/>
      <c r="O183" s="116"/>
      <c r="P183" s="55"/>
      <c r="Q183" s="55"/>
      <c r="R183" s="55"/>
      <c r="S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115"/>
      <c r="N184" s="116"/>
      <c r="O184" s="116"/>
      <c r="P184" s="55"/>
      <c r="Q184" s="55"/>
      <c r="R184" s="55"/>
      <c r="S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115"/>
      <c r="N185" s="116"/>
      <c r="O185" s="116"/>
      <c r="P185" s="55"/>
      <c r="Q185" s="55"/>
      <c r="R185" s="55"/>
      <c r="S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115"/>
      <c r="N186" s="116"/>
      <c r="O186" s="116"/>
      <c r="P186" s="55"/>
      <c r="Q186" s="55"/>
      <c r="R186" s="55"/>
      <c r="S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115"/>
      <c r="N187" s="116"/>
      <c r="O187" s="116"/>
      <c r="P187" s="55"/>
      <c r="Q187" s="55"/>
      <c r="R187" s="55"/>
      <c r="S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115"/>
      <c r="N188" s="116"/>
      <c r="O188" s="116"/>
      <c r="P188" s="55"/>
      <c r="Q188" s="55"/>
      <c r="R188" s="55"/>
      <c r="S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115"/>
      <c r="N189" s="116"/>
      <c r="O189" s="116"/>
      <c r="P189" s="55"/>
      <c r="Q189" s="55"/>
      <c r="R189" s="55"/>
      <c r="S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115"/>
      <c r="N190" s="116"/>
      <c r="O190" s="116"/>
      <c r="P190" s="55"/>
      <c r="Q190" s="55"/>
      <c r="R190" s="55"/>
      <c r="S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115"/>
      <c r="N191" s="116"/>
      <c r="O191" s="116"/>
      <c r="P191" s="55"/>
      <c r="Q191" s="55"/>
      <c r="R191" s="55"/>
      <c r="S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115"/>
      <c r="N192" s="116"/>
      <c r="O192" s="116"/>
      <c r="P192" s="55"/>
      <c r="Q192" s="55"/>
      <c r="R192" s="55"/>
      <c r="S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115"/>
      <c r="N193" s="116"/>
      <c r="O193" s="116"/>
      <c r="P193" s="55"/>
      <c r="Q193" s="55"/>
      <c r="R193" s="55"/>
      <c r="S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115"/>
      <c r="N194" s="116"/>
      <c r="O194" s="116"/>
      <c r="P194" s="55"/>
      <c r="Q194" s="55"/>
      <c r="R194" s="55"/>
      <c r="S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115"/>
      <c r="N195" s="116"/>
      <c r="O195" s="116"/>
      <c r="P195" s="55"/>
      <c r="Q195" s="55"/>
      <c r="R195" s="55"/>
      <c r="S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115"/>
      <c r="N196" s="116"/>
      <c r="O196" s="116"/>
      <c r="P196" s="55"/>
      <c r="Q196" s="55"/>
      <c r="R196" s="55"/>
      <c r="S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115"/>
      <c r="N197" s="116"/>
      <c r="O197" s="116"/>
      <c r="P197" s="55"/>
      <c r="Q197" s="55"/>
      <c r="R197" s="55"/>
      <c r="S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115"/>
      <c r="N198" s="116"/>
      <c r="O198" s="116"/>
      <c r="P198" s="55"/>
      <c r="Q198" s="55"/>
      <c r="R198" s="55"/>
      <c r="S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115"/>
      <c r="N199" s="116"/>
      <c r="O199" s="116"/>
      <c r="P199" s="55"/>
      <c r="Q199" s="55"/>
      <c r="R199" s="55"/>
      <c r="S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115"/>
      <c r="N200" s="116"/>
      <c r="O200" s="116"/>
      <c r="P200" s="55"/>
      <c r="Q200" s="55"/>
      <c r="R200" s="55"/>
      <c r="S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115"/>
      <c r="N201" s="116"/>
      <c r="O201" s="116"/>
      <c r="P201" s="55"/>
      <c r="Q201" s="55"/>
      <c r="R201" s="55"/>
      <c r="S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115"/>
      <c r="N202" s="116"/>
      <c r="O202" s="116"/>
      <c r="P202" s="55"/>
      <c r="Q202" s="55"/>
      <c r="R202" s="55"/>
      <c r="S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115"/>
      <c r="N203" s="116"/>
      <c r="O203" s="116"/>
      <c r="P203" s="55"/>
      <c r="Q203" s="55"/>
      <c r="R203" s="55"/>
      <c r="S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115"/>
      <c r="N204" s="116"/>
      <c r="O204" s="116"/>
      <c r="P204" s="55"/>
      <c r="Q204" s="55"/>
      <c r="R204" s="55"/>
      <c r="S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115"/>
      <c r="N205" s="116"/>
      <c r="O205" s="116"/>
      <c r="P205" s="55"/>
      <c r="Q205" s="55"/>
      <c r="R205" s="55"/>
      <c r="S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115"/>
      <c r="N206" s="116"/>
      <c r="O206" s="116"/>
      <c r="P206" s="55"/>
      <c r="Q206" s="55"/>
      <c r="R206" s="55"/>
      <c r="S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115"/>
      <c r="N207" s="116"/>
      <c r="O207" s="116"/>
      <c r="P207" s="55"/>
      <c r="Q207" s="55"/>
      <c r="R207" s="55"/>
      <c r="S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115"/>
      <c r="N208" s="116"/>
      <c r="O208" s="116"/>
      <c r="P208" s="55"/>
      <c r="Q208" s="55"/>
      <c r="R208" s="55"/>
      <c r="S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115"/>
      <c r="N209" s="116"/>
      <c r="O209" s="116"/>
      <c r="P209" s="55"/>
      <c r="Q209" s="55"/>
      <c r="R209" s="55"/>
      <c r="S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115"/>
      <c r="N210" s="116"/>
      <c r="O210" s="116"/>
      <c r="P210" s="55"/>
      <c r="Q210" s="55"/>
      <c r="R210" s="55"/>
      <c r="S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115"/>
      <c r="N211" s="116"/>
      <c r="O211" s="116"/>
      <c r="P211" s="55"/>
      <c r="Q211" s="55"/>
      <c r="R211" s="55"/>
      <c r="S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115"/>
      <c r="N212" s="116"/>
      <c r="O212" s="116"/>
      <c r="P212" s="55"/>
      <c r="Q212" s="55"/>
      <c r="R212" s="55"/>
      <c r="S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115"/>
      <c r="N213" s="116"/>
      <c r="O213" s="116"/>
      <c r="P213" s="55"/>
      <c r="Q213" s="55"/>
      <c r="R213" s="55"/>
      <c r="S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115"/>
      <c r="N214" s="116"/>
      <c r="O214" s="116"/>
      <c r="P214" s="55"/>
      <c r="Q214" s="55"/>
      <c r="R214" s="55"/>
      <c r="S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115"/>
      <c r="N215" s="116"/>
      <c r="O215" s="116"/>
      <c r="P215" s="55"/>
      <c r="Q215" s="55"/>
      <c r="R215" s="55"/>
      <c r="S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115"/>
      <c r="N216" s="116"/>
      <c r="O216" s="116"/>
      <c r="P216" s="55"/>
      <c r="Q216" s="55"/>
      <c r="R216" s="55"/>
      <c r="S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115"/>
      <c r="N217" s="116"/>
      <c r="O217" s="116"/>
      <c r="P217" s="55"/>
      <c r="Q217" s="55"/>
      <c r="R217" s="55"/>
      <c r="S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115"/>
      <c r="N218" s="116"/>
      <c r="O218" s="116"/>
      <c r="P218" s="55"/>
      <c r="Q218" s="55"/>
      <c r="R218" s="55"/>
      <c r="S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115"/>
      <c r="N219" s="116"/>
      <c r="O219" s="116"/>
      <c r="P219" s="55"/>
      <c r="Q219" s="55"/>
      <c r="R219" s="55"/>
      <c r="S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115"/>
      <c r="N220" s="116"/>
      <c r="O220" s="116"/>
      <c r="P220" s="55"/>
      <c r="Q220" s="55"/>
      <c r="R220" s="55"/>
      <c r="S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115"/>
      <c r="N221" s="116"/>
      <c r="O221" s="116"/>
      <c r="P221" s="55"/>
      <c r="Q221" s="55"/>
      <c r="R221" s="55"/>
      <c r="S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115"/>
      <c r="N222" s="116"/>
      <c r="O222" s="116"/>
      <c r="P222" s="55"/>
      <c r="Q222" s="55"/>
      <c r="R222" s="55"/>
      <c r="S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115"/>
      <c r="N223" s="116"/>
      <c r="O223" s="116"/>
      <c r="P223" s="55"/>
      <c r="Q223" s="55"/>
      <c r="R223" s="55"/>
      <c r="S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115"/>
      <c r="N224" s="116"/>
      <c r="O224" s="116"/>
      <c r="P224" s="55"/>
      <c r="Q224" s="55"/>
      <c r="R224" s="55"/>
      <c r="S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115"/>
      <c r="N225" s="116"/>
      <c r="O225" s="116"/>
      <c r="P225" s="55"/>
      <c r="Q225" s="55"/>
      <c r="R225" s="55"/>
      <c r="S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115"/>
      <c r="N226" s="116"/>
      <c r="O226" s="116"/>
      <c r="P226" s="55"/>
      <c r="Q226" s="55"/>
      <c r="R226" s="55"/>
      <c r="S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115"/>
      <c r="N227" s="116"/>
      <c r="O227" s="116"/>
      <c r="P227" s="55"/>
      <c r="Q227" s="55"/>
      <c r="R227" s="55"/>
      <c r="S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115"/>
      <c r="N228" s="116"/>
      <c r="O228" s="116"/>
      <c r="P228" s="55"/>
      <c r="Q228" s="55"/>
      <c r="R228" s="55"/>
      <c r="S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115"/>
      <c r="N229" s="116"/>
      <c r="O229" s="116"/>
      <c r="P229" s="55"/>
      <c r="Q229" s="55"/>
      <c r="R229" s="55"/>
      <c r="S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115"/>
      <c r="N230" s="116"/>
      <c r="O230" s="116"/>
      <c r="P230" s="55"/>
      <c r="Q230" s="55"/>
      <c r="R230" s="55"/>
      <c r="S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115"/>
      <c r="N231" s="116"/>
      <c r="O231" s="116"/>
      <c r="P231" s="55"/>
      <c r="Q231" s="55"/>
      <c r="R231" s="55"/>
      <c r="S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115"/>
      <c r="N232" s="116"/>
      <c r="O232" s="116"/>
      <c r="P232" s="55"/>
      <c r="Q232" s="55"/>
      <c r="R232" s="55"/>
      <c r="S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115"/>
      <c r="N233" s="116"/>
      <c r="O233" s="116"/>
      <c r="P233" s="55"/>
      <c r="Q233" s="55"/>
      <c r="R233" s="55"/>
      <c r="S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115"/>
      <c r="N234" s="116"/>
      <c r="O234" s="116"/>
      <c r="P234" s="55"/>
      <c r="Q234" s="55"/>
      <c r="R234" s="55"/>
      <c r="S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115"/>
      <c r="N235" s="116"/>
      <c r="O235" s="116"/>
      <c r="P235" s="55"/>
      <c r="Q235" s="55"/>
      <c r="R235" s="55"/>
      <c r="S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115"/>
      <c r="N236" s="116"/>
      <c r="O236" s="116"/>
      <c r="P236" s="55"/>
      <c r="Q236" s="55"/>
      <c r="R236" s="55"/>
      <c r="S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115"/>
      <c r="N237" s="116"/>
      <c r="O237" s="116"/>
      <c r="P237" s="55"/>
      <c r="Q237" s="55"/>
      <c r="R237" s="55"/>
      <c r="S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115"/>
      <c r="N238" s="116"/>
      <c r="O238" s="116"/>
      <c r="P238" s="55"/>
      <c r="Q238" s="55"/>
      <c r="R238" s="55"/>
      <c r="S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115"/>
      <c r="N239" s="116"/>
      <c r="O239" s="116"/>
      <c r="P239" s="55"/>
      <c r="Q239" s="55"/>
      <c r="R239" s="55"/>
      <c r="S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115"/>
      <c r="N240" s="116"/>
      <c r="O240" s="116"/>
      <c r="P240" s="55"/>
      <c r="Q240" s="55"/>
      <c r="R240" s="55"/>
      <c r="S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115"/>
      <c r="N241" s="116"/>
      <c r="O241" s="116"/>
      <c r="P241" s="55"/>
      <c r="Q241" s="55"/>
      <c r="R241" s="55"/>
      <c r="S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115"/>
      <c r="N242" s="116"/>
      <c r="O242" s="116"/>
      <c r="P242" s="55"/>
      <c r="Q242" s="55"/>
      <c r="R242" s="55"/>
      <c r="S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115"/>
      <c r="N243" s="116"/>
      <c r="O243" s="116"/>
      <c r="P243" s="55"/>
      <c r="Q243" s="55"/>
      <c r="R243" s="55"/>
      <c r="S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115"/>
      <c r="N244" s="116"/>
      <c r="O244" s="116"/>
      <c r="P244" s="55"/>
      <c r="Q244" s="55"/>
      <c r="R244" s="55"/>
      <c r="S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115"/>
      <c r="N245" s="116"/>
      <c r="O245" s="116"/>
      <c r="P245" s="55"/>
      <c r="Q245" s="55"/>
      <c r="R245" s="55"/>
      <c r="S245" s="55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3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13:N13"/>
    <mergeCell ref="O13:P13"/>
    <mergeCell ref="H19:I19"/>
    <mergeCell ref="J19:M19"/>
    <mergeCell ref="C25:D25"/>
    <mergeCell ref="E25:G25"/>
    <mergeCell ref="E27:G27"/>
    <mergeCell ref="H27:J27"/>
    <mergeCell ref="E28:G28"/>
    <mergeCell ref="H28:J28"/>
    <mergeCell ref="E29:G29"/>
    <mergeCell ref="H29:J29"/>
    <mergeCell ref="A24:B25"/>
    <mergeCell ref="A27:B27"/>
    <mergeCell ref="C27:D27"/>
    <mergeCell ref="A28:B28"/>
    <mergeCell ref="C28:D28"/>
    <mergeCell ref="A29:B29"/>
    <mergeCell ref="C29:D29"/>
    <mergeCell ref="N32:O32"/>
    <mergeCell ref="N33:O33"/>
    <mergeCell ref="N24:O24"/>
    <mergeCell ref="N25:O25"/>
    <mergeCell ref="N27:O27"/>
    <mergeCell ref="N28:O28"/>
    <mergeCell ref="N29:O29"/>
    <mergeCell ref="N30:O30"/>
    <mergeCell ref="N31:O31"/>
    <mergeCell ref="A39:D39"/>
    <mergeCell ref="A40:D40"/>
    <mergeCell ref="A43:C43"/>
    <mergeCell ref="D43:G43"/>
    <mergeCell ref="A44:C44"/>
    <mergeCell ref="A45:C45"/>
    <mergeCell ref="D45:J45"/>
    <mergeCell ref="A36:O36"/>
    <mergeCell ref="A37:P37"/>
    <mergeCell ref="A38:D38"/>
    <mergeCell ref="E38:K38"/>
    <mergeCell ref="L38:M38"/>
    <mergeCell ref="N38:P38"/>
    <mergeCell ref="N39:P39"/>
    <mergeCell ref="K43:L43"/>
    <mergeCell ref="K44:L44"/>
    <mergeCell ref="M44:P44"/>
    <mergeCell ref="K45:L45"/>
    <mergeCell ref="M45:P45"/>
    <mergeCell ref="E39:K39"/>
    <mergeCell ref="L39:M39"/>
    <mergeCell ref="E40:K40"/>
    <mergeCell ref="L40:M40"/>
    <mergeCell ref="N40:P40"/>
    <mergeCell ref="A41:P42"/>
    <mergeCell ref="M43:P43"/>
    <mergeCell ref="M17:N17"/>
    <mergeCell ref="O17:P17"/>
    <mergeCell ref="A18:F18"/>
    <mergeCell ref="H18:J18"/>
    <mergeCell ref="N18:P18"/>
    <mergeCell ref="A19:B19"/>
    <mergeCell ref="O19:P19"/>
    <mergeCell ref="F22:K22"/>
    <mergeCell ref="L22:M22"/>
    <mergeCell ref="C19:G19"/>
    <mergeCell ref="A20:P20"/>
    <mergeCell ref="A21:E21"/>
    <mergeCell ref="F21:K21"/>
    <mergeCell ref="L21:M21"/>
    <mergeCell ref="N21:P21"/>
    <mergeCell ref="N22:P22"/>
    <mergeCell ref="A22:E22"/>
    <mergeCell ref="A23:P23"/>
    <mergeCell ref="C24:D24"/>
    <mergeCell ref="E24:G24"/>
    <mergeCell ref="H24:J24"/>
    <mergeCell ref="H25:J25"/>
    <mergeCell ref="A26:P26"/>
    <mergeCell ref="A30:B30"/>
    <mergeCell ref="C30:D30"/>
    <mergeCell ref="E30:G30"/>
    <mergeCell ref="H30:J30"/>
    <mergeCell ref="A31:B31"/>
    <mergeCell ref="C31:D31"/>
    <mergeCell ref="E31:G31"/>
    <mergeCell ref="H31:J31"/>
    <mergeCell ref="C32:D32"/>
    <mergeCell ref="E32:G32"/>
    <mergeCell ref="H32:J32"/>
    <mergeCell ref="A32:B32"/>
    <mergeCell ref="A33:B33"/>
    <mergeCell ref="C33:D33"/>
    <mergeCell ref="E33:G33"/>
    <mergeCell ref="H33:J33"/>
    <mergeCell ref="A34:O34"/>
    <mergeCell ref="A35:O35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71"/>
    <col customWidth="1" min="3" max="3" width="5.29"/>
    <col customWidth="1" min="4" max="4" width="5.71"/>
    <col customWidth="1" min="5" max="5" width="9.86"/>
    <col customWidth="1" min="6" max="6" width="11.0"/>
    <col customWidth="1" min="7" max="7" width="11.57"/>
    <col customWidth="1" min="8" max="8" width="13.0"/>
    <col customWidth="1" min="9" max="9" width="13.86"/>
    <col customWidth="1" min="10" max="10" width="2.57"/>
    <col customWidth="1" min="11" max="11" width="8.71"/>
    <col customWidth="1" min="12" max="12" width="7.29"/>
    <col customWidth="1" min="13" max="13" width="14.71"/>
    <col customWidth="1" min="14" max="14" width="9.29"/>
    <col customWidth="1" min="15" max="15" width="8.14"/>
    <col customWidth="1" min="16" max="16" width="19.86"/>
    <col customWidth="1" min="17" max="19" width="19.0"/>
  </cols>
  <sheetData>
    <row r="1" ht="21.0" customHeight="1">
      <c r="A1" s="60"/>
      <c r="B1" s="46"/>
      <c r="C1" s="47"/>
      <c r="D1" s="61" t="s">
        <v>0</v>
      </c>
      <c r="E1" s="46"/>
      <c r="F1" s="46"/>
      <c r="G1" s="46"/>
      <c r="H1" s="46"/>
      <c r="I1" s="46"/>
      <c r="J1" s="46"/>
      <c r="K1" s="46"/>
      <c r="L1" s="47"/>
      <c r="M1" s="62" t="s">
        <v>1</v>
      </c>
      <c r="N1" s="41"/>
      <c r="O1" s="62" t="s">
        <v>301</v>
      </c>
      <c r="P1" s="63"/>
      <c r="Q1" s="6"/>
      <c r="R1" s="6"/>
      <c r="S1" s="6"/>
      <c r="T1" s="7"/>
      <c r="U1" s="7"/>
      <c r="V1" s="7"/>
      <c r="W1" s="7"/>
      <c r="X1" s="7"/>
      <c r="Y1" s="7"/>
      <c r="Z1" s="7"/>
    </row>
    <row r="2" ht="19.5" customHeight="1">
      <c r="A2" s="64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111"/>
      <c r="Q2" s="6"/>
      <c r="R2" s="6"/>
      <c r="S2" s="6"/>
      <c r="T2" s="7"/>
      <c r="U2" s="7"/>
      <c r="V2" s="7"/>
      <c r="W2" s="7"/>
      <c r="X2" s="7"/>
      <c r="Y2" s="7"/>
      <c r="Z2" s="7"/>
    </row>
    <row r="3" ht="19.5" customHeight="1">
      <c r="A3" s="64"/>
      <c r="C3" s="9"/>
      <c r="D3" s="16" t="s">
        <v>302</v>
      </c>
      <c r="E3" s="2"/>
      <c r="F3" s="2"/>
      <c r="G3" s="2"/>
      <c r="H3" s="2"/>
      <c r="I3" s="2"/>
      <c r="J3" s="2"/>
      <c r="K3" s="2"/>
      <c r="L3" s="3"/>
      <c r="M3" s="13" t="s">
        <v>5</v>
      </c>
      <c r="N3" s="12"/>
      <c r="O3" s="4" t="s">
        <v>6</v>
      </c>
      <c r="P3" s="66"/>
      <c r="Q3" s="6"/>
      <c r="R3" s="6"/>
      <c r="S3" s="6"/>
      <c r="T3" s="7"/>
      <c r="U3" s="7"/>
      <c r="V3" s="7"/>
      <c r="W3" s="7"/>
      <c r="X3" s="7"/>
      <c r="Y3" s="7"/>
      <c r="Z3" s="7"/>
    </row>
    <row r="4" ht="19.5" customHeight="1">
      <c r="A4" s="64"/>
      <c r="C4" s="9"/>
      <c r="D4" s="8"/>
      <c r="L4" s="9"/>
      <c r="M4" s="1" t="s">
        <v>7</v>
      </c>
      <c r="N4" s="3"/>
      <c r="O4" s="17" t="s">
        <v>8</v>
      </c>
      <c r="P4" s="66"/>
      <c r="Q4" s="6"/>
      <c r="R4" s="6"/>
      <c r="S4" s="6"/>
      <c r="T4" s="7"/>
      <c r="U4" s="7"/>
      <c r="V4" s="7"/>
      <c r="W4" s="7"/>
      <c r="X4" s="7"/>
      <c r="Y4" s="7"/>
      <c r="Z4" s="7"/>
    </row>
    <row r="5" ht="19.5" customHeight="1">
      <c r="A5" s="67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66"/>
      <c r="Q5" s="6"/>
      <c r="R5" s="6"/>
      <c r="S5" s="6"/>
      <c r="T5" s="7"/>
      <c r="U5" s="7"/>
      <c r="V5" s="7"/>
      <c r="W5" s="7"/>
      <c r="X5" s="7"/>
      <c r="Y5" s="7"/>
      <c r="Z5" s="7"/>
    </row>
    <row r="6" ht="13.5" customHeight="1">
      <c r="A6" s="123"/>
      <c r="B6" s="354"/>
      <c r="C6" s="354"/>
      <c r="D6" s="21"/>
      <c r="E6" s="21"/>
      <c r="F6" s="21"/>
      <c r="G6" s="21"/>
      <c r="H6" s="21"/>
      <c r="I6" s="21"/>
      <c r="J6" s="21"/>
      <c r="K6" s="21"/>
      <c r="L6" s="21"/>
      <c r="M6" s="172"/>
      <c r="N6" s="172"/>
      <c r="O6" s="355"/>
      <c r="P6" s="356"/>
      <c r="Q6" s="6"/>
      <c r="R6" s="6"/>
      <c r="S6" s="6"/>
      <c r="T6" s="7"/>
      <c r="U6" s="7"/>
      <c r="V6" s="7"/>
      <c r="W6" s="7"/>
      <c r="X6" s="7"/>
      <c r="Y6" s="7"/>
      <c r="Z6" s="7"/>
    </row>
    <row r="7" ht="30.75" customHeight="1">
      <c r="A7" s="70" t="s">
        <v>10</v>
      </c>
      <c r="B7" s="24"/>
      <c r="C7" s="24"/>
      <c r="D7" s="24"/>
      <c r="E7" s="5"/>
      <c r="F7" s="25" t="str">
        <f>'ORDEN ENVASADO'!F6</f>
        <v>SUERO DE NIACINAMIDA 5%</v>
      </c>
      <c r="G7" s="24"/>
      <c r="H7" s="24"/>
      <c r="I7" s="24"/>
      <c r="J7" s="24"/>
      <c r="K7" s="24"/>
      <c r="L7" s="24"/>
      <c r="M7" s="24"/>
      <c r="N7" s="24"/>
      <c r="O7" s="24"/>
      <c r="P7" s="66"/>
      <c r="Q7" s="6"/>
      <c r="R7" s="6"/>
      <c r="S7" s="6"/>
      <c r="T7" s="7"/>
      <c r="U7" s="7"/>
      <c r="V7" s="7"/>
      <c r="W7" s="7"/>
      <c r="X7" s="7"/>
      <c r="Y7" s="7"/>
      <c r="Z7" s="7"/>
    </row>
    <row r="8" ht="30.0" customHeight="1">
      <c r="A8" s="357" t="s">
        <v>55</v>
      </c>
      <c r="B8" s="79"/>
      <c r="C8" s="79"/>
      <c r="D8" s="79"/>
      <c r="E8" s="82"/>
      <c r="F8" s="292" t="str">
        <f>'ORDEN ENVASADO'!F7</f>
        <v>252111</v>
      </c>
      <c r="G8" s="3"/>
      <c r="H8" s="130" t="s">
        <v>237</v>
      </c>
      <c r="I8" s="82"/>
      <c r="J8" s="231" t="str">
        <f>'ORDEN ENVASADO'!J7</f>
        <v>OP-L-099</v>
      </c>
      <c r="K8" s="2"/>
      <c r="L8" s="3"/>
      <c r="M8" s="358" t="s">
        <v>16</v>
      </c>
      <c r="N8" s="82"/>
      <c r="O8" s="295" t="s">
        <v>295</v>
      </c>
      <c r="P8" s="111"/>
      <c r="Q8" s="6"/>
      <c r="R8" s="6"/>
      <c r="S8" s="6"/>
      <c r="T8" s="7"/>
      <c r="U8" s="7"/>
      <c r="V8" s="7"/>
      <c r="W8" s="7"/>
      <c r="X8" s="7"/>
      <c r="Y8" s="7"/>
      <c r="Z8" s="7"/>
    </row>
    <row r="9" ht="30.75" customHeight="1">
      <c r="A9" s="89" t="s">
        <v>242</v>
      </c>
      <c r="B9" s="24"/>
      <c r="C9" s="24"/>
      <c r="D9" s="24"/>
      <c r="E9" s="5"/>
      <c r="F9" s="300"/>
      <c r="G9" s="5"/>
      <c r="H9" s="32" t="s">
        <v>240</v>
      </c>
      <c r="I9" s="298"/>
      <c r="J9" s="278"/>
      <c r="K9" s="24"/>
      <c r="L9" s="24"/>
      <c r="M9" s="32" t="s">
        <v>241</v>
      </c>
      <c r="N9" s="298"/>
      <c r="O9" s="52"/>
      <c r="P9" s="66"/>
      <c r="Q9" s="6"/>
      <c r="R9" s="6"/>
      <c r="S9" s="6"/>
      <c r="T9" s="7"/>
      <c r="U9" s="7"/>
      <c r="V9" s="7"/>
      <c r="W9" s="7"/>
      <c r="X9" s="7"/>
      <c r="Y9" s="7"/>
      <c r="Z9" s="7"/>
    </row>
    <row r="10" ht="37.5" customHeight="1">
      <c r="A10" s="89" t="s">
        <v>303</v>
      </c>
      <c r="B10" s="24"/>
      <c r="C10" s="24"/>
      <c r="D10" s="24"/>
      <c r="E10" s="5"/>
      <c r="F10" s="300"/>
      <c r="G10" s="5"/>
      <c r="H10" s="32" t="s">
        <v>304</v>
      </c>
      <c r="I10" s="5"/>
      <c r="J10" s="4"/>
      <c r="K10" s="24"/>
      <c r="L10" s="5"/>
      <c r="M10" s="32" t="s">
        <v>170</v>
      </c>
      <c r="N10" s="5"/>
      <c r="O10" s="52"/>
      <c r="P10" s="66"/>
      <c r="Q10" s="6"/>
      <c r="R10" s="6"/>
      <c r="S10" s="6"/>
      <c r="T10" s="7"/>
      <c r="U10" s="7"/>
      <c r="V10" s="7"/>
      <c r="W10" s="7"/>
      <c r="X10" s="7"/>
      <c r="Y10" s="7"/>
      <c r="Z10" s="7"/>
    </row>
    <row r="11" ht="24.75" customHeight="1">
      <c r="A11" s="196" t="s">
        <v>171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48" t="s">
        <v>172</v>
      </c>
      <c r="O11" s="5"/>
      <c r="P11" s="197" t="s">
        <v>173</v>
      </c>
      <c r="Q11" s="6"/>
      <c r="R11" s="6"/>
      <c r="S11" s="6"/>
      <c r="T11" s="7"/>
      <c r="U11" s="7"/>
      <c r="V11" s="7"/>
      <c r="W11" s="7"/>
      <c r="X11" s="7"/>
      <c r="Y11" s="7"/>
      <c r="Z11" s="7"/>
    </row>
    <row r="12" ht="27.75" customHeight="1">
      <c r="A12" s="359" t="s">
        <v>174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82"/>
      <c r="N12" s="360"/>
      <c r="O12" s="82"/>
      <c r="P12" s="361"/>
      <c r="Q12" s="6"/>
      <c r="R12" s="6"/>
      <c r="S12" s="6"/>
      <c r="T12" s="7"/>
      <c r="U12" s="7"/>
      <c r="V12" s="7"/>
      <c r="W12" s="7"/>
      <c r="X12" s="7"/>
      <c r="Y12" s="7"/>
      <c r="Z12" s="7"/>
    </row>
    <row r="13" ht="23.25" customHeight="1">
      <c r="A13" s="362" t="s">
        <v>305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6"/>
      <c r="Q13" s="6"/>
      <c r="R13" s="6"/>
      <c r="S13" s="6"/>
      <c r="T13" s="7"/>
      <c r="U13" s="7"/>
      <c r="V13" s="7"/>
      <c r="W13" s="7"/>
      <c r="X13" s="7"/>
      <c r="Y13" s="7"/>
      <c r="Z13" s="7"/>
    </row>
    <row r="14" ht="24.75" customHeight="1">
      <c r="A14" s="223" t="s">
        <v>306</v>
      </c>
      <c r="B14" s="24"/>
      <c r="C14" s="5"/>
      <c r="D14" s="225" t="s">
        <v>307</v>
      </c>
      <c r="E14" s="24"/>
      <c r="F14" s="5"/>
      <c r="G14" s="225" t="s">
        <v>308</v>
      </c>
      <c r="H14" s="5"/>
      <c r="I14" s="225" t="s">
        <v>309</v>
      </c>
      <c r="J14" s="24"/>
      <c r="K14" s="24"/>
      <c r="L14" s="5"/>
      <c r="M14" s="225" t="s">
        <v>310</v>
      </c>
      <c r="N14" s="5"/>
      <c r="O14" s="225" t="s">
        <v>311</v>
      </c>
      <c r="P14" s="66"/>
      <c r="Q14" s="6"/>
      <c r="R14" s="6"/>
      <c r="S14" s="6"/>
      <c r="T14" s="7"/>
      <c r="U14" s="7"/>
      <c r="V14" s="7"/>
      <c r="W14" s="7"/>
      <c r="X14" s="7"/>
      <c r="Y14" s="7"/>
      <c r="Z14" s="7"/>
    </row>
    <row r="15" ht="24.75" customHeight="1">
      <c r="A15" s="363" t="s">
        <v>312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6"/>
      <c r="Q15" s="6"/>
      <c r="R15" s="6"/>
      <c r="S15" s="6"/>
      <c r="T15" s="7"/>
      <c r="U15" s="7"/>
      <c r="V15" s="7"/>
      <c r="W15" s="7"/>
      <c r="X15" s="7"/>
      <c r="Y15" s="7"/>
      <c r="Z15" s="7"/>
    </row>
    <row r="16" ht="24.75" customHeight="1">
      <c r="A16" s="364" t="s">
        <v>313</v>
      </c>
      <c r="B16" s="72"/>
      <c r="C16" s="76"/>
      <c r="D16" s="91" t="s">
        <v>314</v>
      </c>
      <c r="E16" s="24"/>
      <c r="F16" s="24"/>
      <c r="G16" s="24"/>
      <c r="H16" s="24"/>
      <c r="I16" s="24"/>
      <c r="J16" s="24"/>
      <c r="K16" s="24"/>
      <c r="L16" s="5"/>
      <c r="M16" s="365" t="s">
        <v>86</v>
      </c>
      <c r="N16" s="76"/>
      <c r="O16" s="366" t="s">
        <v>87</v>
      </c>
      <c r="P16" s="302"/>
      <c r="Q16" s="6"/>
      <c r="R16" s="6"/>
      <c r="S16" s="6"/>
      <c r="T16" s="7"/>
      <c r="U16" s="7"/>
      <c r="V16" s="7"/>
      <c r="W16" s="7"/>
      <c r="X16" s="7"/>
      <c r="Y16" s="7"/>
      <c r="Z16" s="7"/>
    </row>
    <row r="17" ht="21.75" customHeight="1">
      <c r="A17" s="367" t="s">
        <v>315</v>
      </c>
      <c r="B17" s="79"/>
      <c r="C17" s="82"/>
      <c r="D17" s="91"/>
      <c r="E17" s="24"/>
      <c r="F17" s="24"/>
      <c r="G17" s="24"/>
      <c r="H17" s="24"/>
      <c r="I17" s="24"/>
      <c r="J17" s="24"/>
      <c r="K17" s="24"/>
      <c r="L17" s="5"/>
      <c r="M17" s="368"/>
      <c r="N17" s="82"/>
      <c r="O17" s="252"/>
      <c r="P17" s="66"/>
      <c r="Q17" s="6"/>
      <c r="R17" s="6"/>
      <c r="S17" s="6"/>
      <c r="T17" s="7"/>
      <c r="U17" s="7"/>
      <c r="V17" s="7"/>
      <c r="W17" s="7"/>
      <c r="X17" s="7"/>
      <c r="Y17" s="7"/>
      <c r="Z17" s="7"/>
    </row>
    <row r="18" ht="21.75" customHeight="1">
      <c r="A18" s="367" t="s">
        <v>316</v>
      </c>
      <c r="B18" s="79"/>
      <c r="C18" s="82"/>
      <c r="D18" s="91"/>
      <c r="E18" s="24"/>
      <c r="F18" s="24"/>
      <c r="G18" s="24"/>
      <c r="H18" s="24"/>
      <c r="I18" s="24"/>
      <c r="J18" s="24"/>
      <c r="K18" s="24"/>
      <c r="L18" s="5"/>
      <c r="M18" s="369"/>
      <c r="N18" s="82"/>
      <c r="O18" s="368"/>
      <c r="P18" s="370"/>
      <c r="Q18" s="6"/>
      <c r="R18" s="6"/>
      <c r="S18" s="6"/>
      <c r="T18" s="7"/>
      <c r="U18" s="7"/>
      <c r="V18" s="7"/>
      <c r="W18" s="7"/>
      <c r="X18" s="7"/>
      <c r="Y18" s="7"/>
      <c r="Z18" s="7"/>
    </row>
    <row r="19" ht="30.0" customHeight="1">
      <c r="A19" s="363" t="s">
        <v>317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6"/>
      <c r="Q19" s="6"/>
      <c r="R19" s="6"/>
      <c r="S19" s="6"/>
      <c r="T19" s="7"/>
      <c r="U19" s="7"/>
      <c r="V19" s="7"/>
      <c r="W19" s="7"/>
      <c r="X19" s="7"/>
      <c r="Y19" s="7"/>
      <c r="Z19" s="7"/>
    </row>
    <row r="20" ht="27.75" customHeight="1">
      <c r="A20" s="363" t="s">
        <v>318</v>
      </c>
      <c r="B20" s="5"/>
      <c r="C20" s="48" t="s">
        <v>67</v>
      </c>
      <c r="D20" s="24"/>
      <c r="E20" s="5"/>
      <c r="F20" s="48" t="s">
        <v>303</v>
      </c>
      <c r="G20" s="5"/>
      <c r="H20" s="48" t="s">
        <v>304</v>
      </c>
      <c r="I20" s="5"/>
      <c r="J20" s="48" t="s">
        <v>319</v>
      </c>
      <c r="K20" s="24"/>
      <c r="L20" s="5"/>
      <c r="M20" s="48" t="s">
        <v>320</v>
      </c>
      <c r="N20" s="5"/>
      <c r="O20" s="48" t="s">
        <v>321</v>
      </c>
      <c r="P20" s="66"/>
      <c r="Q20" s="6"/>
      <c r="R20" s="6"/>
      <c r="S20" s="6"/>
      <c r="T20" s="7"/>
      <c r="U20" s="7"/>
      <c r="V20" s="7"/>
      <c r="W20" s="7"/>
      <c r="X20" s="7"/>
      <c r="Y20" s="7"/>
      <c r="Z20" s="7"/>
    </row>
    <row r="21" ht="24.75" customHeight="1">
      <c r="A21" s="371" t="s">
        <v>322</v>
      </c>
      <c r="B21" s="5"/>
      <c r="C21" s="91"/>
      <c r="D21" s="24"/>
      <c r="E21" s="5"/>
      <c r="F21" s="372" t="s">
        <v>323</v>
      </c>
      <c r="G21" s="5"/>
      <c r="H21" s="372" t="s">
        <v>323</v>
      </c>
      <c r="I21" s="5"/>
      <c r="J21" s="91"/>
      <c r="K21" s="24"/>
      <c r="L21" s="5"/>
      <c r="M21" s="91"/>
      <c r="N21" s="5"/>
      <c r="O21" s="91"/>
      <c r="P21" s="66"/>
      <c r="Q21" s="6"/>
      <c r="R21" s="6"/>
      <c r="S21" s="6"/>
      <c r="T21" s="7"/>
      <c r="U21" s="7"/>
      <c r="V21" s="7"/>
      <c r="W21" s="7"/>
      <c r="X21" s="7"/>
      <c r="Y21" s="7"/>
      <c r="Z21" s="7"/>
    </row>
    <row r="22" ht="24.75" customHeight="1">
      <c r="A22" s="371" t="s">
        <v>324</v>
      </c>
      <c r="B22" s="5"/>
      <c r="C22" s="91"/>
      <c r="D22" s="24"/>
      <c r="E22" s="5"/>
      <c r="F22" s="372" t="s">
        <v>323</v>
      </c>
      <c r="G22" s="5"/>
      <c r="H22" s="372" t="s">
        <v>323</v>
      </c>
      <c r="I22" s="5"/>
      <c r="J22" s="91"/>
      <c r="K22" s="24"/>
      <c r="L22" s="5"/>
      <c r="M22" s="91"/>
      <c r="N22" s="5"/>
      <c r="O22" s="91"/>
      <c r="P22" s="66"/>
      <c r="Q22" s="6"/>
      <c r="R22" s="6"/>
      <c r="S22" s="6"/>
      <c r="T22" s="7"/>
      <c r="U22" s="7"/>
      <c r="V22" s="7"/>
      <c r="W22" s="7"/>
      <c r="X22" s="7"/>
      <c r="Y22" s="7"/>
      <c r="Z22" s="7"/>
    </row>
    <row r="23" ht="24.75" customHeight="1">
      <c r="A23" s="371" t="s">
        <v>325</v>
      </c>
      <c r="B23" s="5"/>
      <c r="C23" s="91"/>
      <c r="D23" s="24"/>
      <c r="E23" s="5"/>
      <c r="F23" s="372" t="s">
        <v>323</v>
      </c>
      <c r="G23" s="5"/>
      <c r="H23" s="372" t="s">
        <v>323</v>
      </c>
      <c r="I23" s="5"/>
      <c r="J23" s="91"/>
      <c r="K23" s="24"/>
      <c r="L23" s="5"/>
      <c r="M23" s="91"/>
      <c r="N23" s="5"/>
      <c r="O23" s="91"/>
      <c r="P23" s="66"/>
      <c r="Q23" s="6"/>
      <c r="R23" s="6"/>
      <c r="S23" s="6"/>
      <c r="T23" s="7"/>
      <c r="U23" s="7"/>
      <c r="V23" s="7"/>
      <c r="W23" s="7"/>
      <c r="X23" s="7"/>
      <c r="Y23" s="7"/>
      <c r="Z23" s="7"/>
    </row>
    <row r="24" ht="24.75" customHeight="1">
      <c r="A24" s="371" t="s">
        <v>326</v>
      </c>
      <c r="B24" s="5"/>
      <c r="C24" s="91"/>
      <c r="D24" s="24"/>
      <c r="E24" s="5"/>
      <c r="F24" s="372" t="s">
        <v>323</v>
      </c>
      <c r="G24" s="5"/>
      <c r="H24" s="372" t="s">
        <v>323</v>
      </c>
      <c r="I24" s="5"/>
      <c r="J24" s="91"/>
      <c r="K24" s="24"/>
      <c r="L24" s="5"/>
      <c r="M24" s="91"/>
      <c r="N24" s="5"/>
      <c r="O24" s="91"/>
      <c r="P24" s="66"/>
      <c r="Q24" s="6"/>
      <c r="R24" s="6"/>
      <c r="S24" s="6"/>
      <c r="T24" s="7"/>
      <c r="U24" s="7"/>
      <c r="V24" s="7"/>
      <c r="W24" s="7"/>
      <c r="X24" s="7"/>
      <c r="Y24" s="7"/>
      <c r="Z24" s="7"/>
    </row>
    <row r="25" ht="24.75" customHeight="1">
      <c r="A25" s="371" t="s">
        <v>327</v>
      </c>
      <c r="B25" s="5"/>
      <c r="C25" s="91"/>
      <c r="D25" s="24"/>
      <c r="E25" s="5"/>
      <c r="F25" s="372" t="s">
        <v>323</v>
      </c>
      <c r="G25" s="5"/>
      <c r="H25" s="372" t="s">
        <v>323</v>
      </c>
      <c r="I25" s="5"/>
      <c r="J25" s="91"/>
      <c r="K25" s="24"/>
      <c r="L25" s="5"/>
      <c r="M25" s="91"/>
      <c r="N25" s="5"/>
      <c r="O25" s="91"/>
      <c r="P25" s="66"/>
      <c r="Q25" s="6"/>
      <c r="R25" s="6"/>
      <c r="S25" s="6"/>
      <c r="T25" s="7"/>
      <c r="U25" s="7"/>
      <c r="V25" s="7"/>
      <c r="W25" s="7"/>
      <c r="X25" s="7"/>
      <c r="Y25" s="7"/>
      <c r="Z25" s="7"/>
    </row>
    <row r="26" ht="28.5" customHeight="1">
      <c r="A26" s="363" t="s">
        <v>328</v>
      </c>
      <c r="B26" s="5"/>
      <c r="C26" s="50"/>
      <c r="D26" s="24"/>
      <c r="E26" s="5"/>
      <c r="F26" s="373" t="s">
        <v>261</v>
      </c>
      <c r="G26" s="5"/>
      <c r="H26" s="91"/>
      <c r="I26" s="5"/>
      <c r="J26" s="48" t="s">
        <v>329</v>
      </c>
      <c r="K26" s="24"/>
      <c r="L26" s="5"/>
      <c r="M26" s="199"/>
      <c r="N26" s="5"/>
      <c r="O26" s="374" t="s">
        <v>261</v>
      </c>
      <c r="P26" s="66"/>
      <c r="Q26" s="6"/>
      <c r="R26" s="6"/>
      <c r="S26" s="6"/>
      <c r="T26" s="7"/>
      <c r="U26" s="7"/>
      <c r="V26" s="7"/>
      <c r="W26" s="7"/>
      <c r="X26" s="7"/>
      <c r="Y26" s="7"/>
      <c r="Z26" s="7"/>
    </row>
    <row r="27" ht="25.5" customHeight="1">
      <c r="A27" s="375" t="s">
        <v>330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370"/>
      <c r="Q27" s="6"/>
      <c r="R27" s="6"/>
      <c r="S27" s="6"/>
      <c r="T27" s="7"/>
      <c r="U27" s="7"/>
      <c r="V27" s="7"/>
      <c r="W27" s="7"/>
      <c r="X27" s="7"/>
      <c r="Y27" s="7"/>
      <c r="Z27" s="7"/>
    </row>
    <row r="28" ht="25.5" customHeight="1">
      <c r="A28" s="371" t="s">
        <v>331</v>
      </c>
      <c r="B28" s="24"/>
      <c r="C28" s="24"/>
      <c r="D28" s="24"/>
      <c r="E28" s="24"/>
      <c r="F28" s="24"/>
      <c r="G28" s="5"/>
      <c r="H28" s="91"/>
      <c r="I28" s="24"/>
      <c r="J28" s="24"/>
      <c r="K28" s="24"/>
      <c r="L28" s="24"/>
      <c r="M28" s="24"/>
      <c r="N28" s="24"/>
      <c r="O28" s="24"/>
      <c r="P28" s="66"/>
      <c r="Q28" s="6"/>
      <c r="R28" s="6"/>
      <c r="S28" s="6"/>
      <c r="T28" s="7"/>
      <c r="U28" s="7"/>
      <c r="V28" s="7"/>
      <c r="W28" s="7"/>
      <c r="X28" s="7"/>
      <c r="Y28" s="7"/>
      <c r="Z28" s="7"/>
    </row>
    <row r="29" ht="25.5" customHeight="1">
      <c r="A29" s="371" t="s">
        <v>332</v>
      </c>
      <c r="B29" s="24"/>
      <c r="C29" s="24"/>
      <c r="D29" s="24"/>
      <c r="E29" s="24"/>
      <c r="F29" s="24"/>
      <c r="G29" s="5"/>
      <c r="H29" s="91"/>
      <c r="I29" s="24"/>
      <c r="J29" s="24"/>
      <c r="K29" s="24"/>
      <c r="L29" s="24"/>
      <c r="M29" s="24"/>
      <c r="N29" s="24"/>
      <c r="O29" s="24"/>
      <c r="P29" s="66"/>
      <c r="Q29" s="6"/>
      <c r="R29" s="6"/>
      <c r="S29" s="6"/>
      <c r="T29" s="7"/>
      <c r="U29" s="7"/>
      <c r="V29" s="7"/>
      <c r="W29" s="7"/>
      <c r="X29" s="7"/>
      <c r="Y29" s="7"/>
      <c r="Z29" s="7"/>
    </row>
    <row r="30" ht="25.5" customHeight="1">
      <c r="A30" s="371" t="s">
        <v>333</v>
      </c>
      <c r="B30" s="24"/>
      <c r="C30" s="24"/>
      <c r="D30" s="24"/>
      <c r="E30" s="24"/>
      <c r="F30" s="24"/>
      <c r="G30" s="5"/>
      <c r="H30" s="91"/>
      <c r="I30" s="24"/>
      <c r="J30" s="24"/>
      <c r="K30" s="24"/>
      <c r="L30" s="24"/>
      <c r="M30" s="24"/>
      <c r="N30" s="24"/>
      <c r="O30" s="24"/>
      <c r="P30" s="66"/>
      <c r="Q30" s="6"/>
      <c r="R30" s="6"/>
      <c r="S30" s="6"/>
      <c r="T30" s="7"/>
      <c r="U30" s="7"/>
      <c r="V30" s="7"/>
      <c r="W30" s="7"/>
      <c r="X30" s="7"/>
      <c r="Y30" s="7"/>
      <c r="Z30" s="7"/>
    </row>
    <row r="31" ht="25.5" customHeight="1">
      <c r="A31" s="364" t="s">
        <v>241</v>
      </c>
      <c r="B31" s="72"/>
      <c r="C31" s="72"/>
      <c r="D31" s="72"/>
      <c r="E31" s="72"/>
      <c r="F31" s="72"/>
      <c r="G31" s="76"/>
      <c r="H31" s="91"/>
      <c r="I31" s="24"/>
      <c r="J31" s="24"/>
      <c r="K31" s="24"/>
      <c r="L31" s="24"/>
      <c r="M31" s="24"/>
      <c r="N31" s="24"/>
      <c r="O31" s="24"/>
      <c r="P31" s="66"/>
      <c r="Q31" s="6"/>
      <c r="R31" s="6"/>
      <c r="S31" s="6"/>
      <c r="T31" s="7"/>
      <c r="U31" s="7"/>
      <c r="V31" s="7"/>
      <c r="W31" s="7"/>
      <c r="X31" s="7"/>
      <c r="Y31" s="7"/>
      <c r="Z31" s="7"/>
    </row>
    <row r="32" ht="24.75" customHeight="1">
      <c r="A32" s="371" t="s">
        <v>303</v>
      </c>
      <c r="B32" s="24"/>
      <c r="C32" s="24"/>
      <c r="D32" s="24"/>
      <c r="E32" s="24"/>
      <c r="F32" s="24"/>
      <c r="G32" s="5"/>
      <c r="H32" s="91"/>
      <c r="I32" s="24"/>
      <c r="J32" s="24"/>
      <c r="K32" s="24"/>
      <c r="L32" s="24"/>
      <c r="M32" s="24"/>
      <c r="N32" s="24"/>
      <c r="O32" s="24"/>
      <c r="P32" s="66"/>
      <c r="Q32" s="6"/>
      <c r="R32" s="6"/>
      <c r="S32" s="6"/>
      <c r="T32" s="7"/>
      <c r="U32" s="7"/>
      <c r="V32" s="7"/>
      <c r="W32" s="7"/>
      <c r="X32" s="7"/>
      <c r="Y32" s="7"/>
      <c r="Z32" s="7"/>
    </row>
    <row r="33" ht="24.75" customHeight="1">
      <c r="A33" s="371" t="s">
        <v>304</v>
      </c>
      <c r="B33" s="24"/>
      <c r="C33" s="24"/>
      <c r="D33" s="24"/>
      <c r="E33" s="24"/>
      <c r="F33" s="24"/>
      <c r="G33" s="5"/>
      <c r="H33" s="91"/>
      <c r="I33" s="24"/>
      <c r="J33" s="24"/>
      <c r="K33" s="24"/>
      <c r="L33" s="24"/>
      <c r="M33" s="24"/>
      <c r="N33" s="24"/>
      <c r="O33" s="24"/>
      <c r="P33" s="66"/>
      <c r="Q33" s="6"/>
      <c r="R33" s="6"/>
      <c r="S33" s="6"/>
      <c r="T33" s="7"/>
      <c r="U33" s="7"/>
      <c r="V33" s="7"/>
      <c r="W33" s="7"/>
      <c r="X33" s="7"/>
      <c r="Y33" s="7"/>
      <c r="Z33" s="7"/>
    </row>
    <row r="34" ht="24.75" customHeight="1">
      <c r="A34" s="371" t="s">
        <v>259</v>
      </c>
      <c r="B34" s="24"/>
      <c r="C34" s="24"/>
      <c r="D34" s="24"/>
      <c r="E34" s="24"/>
      <c r="F34" s="24"/>
      <c r="G34" s="5"/>
      <c r="H34" s="91"/>
      <c r="I34" s="24"/>
      <c r="J34" s="24"/>
      <c r="K34" s="24"/>
      <c r="L34" s="24"/>
      <c r="M34" s="24"/>
      <c r="N34" s="24"/>
      <c r="O34" s="24"/>
      <c r="P34" s="66"/>
      <c r="Q34" s="6"/>
      <c r="R34" s="6"/>
      <c r="S34" s="6"/>
      <c r="T34" s="7"/>
      <c r="U34" s="7"/>
      <c r="V34" s="7"/>
      <c r="W34" s="7"/>
      <c r="X34" s="7"/>
      <c r="Y34" s="7"/>
      <c r="Z34" s="7"/>
    </row>
    <row r="35" ht="24.75" customHeight="1">
      <c r="A35" s="371" t="s">
        <v>260</v>
      </c>
      <c r="B35" s="24"/>
      <c r="C35" s="24"/>
      <c r="D35" s="24"/>
      <c r="E35" s="24"/>
      <c r="F35" s="24"/>
      <c r="G35" s="298"/>
      <c r="H35" s="91"/>
      <c r="I35" s="24"/>
      <c r="J35" s="24"/>
      <c r="K35" s="24"/>
      <c r="L35" s="5"/>
      <c r="M35" s="91" t="s">
        <v>67</v>
      </c>
      <c r="N35" s="5"/>
      <c r="O35" s="91"/>
      <c r="P35" s="66"/>
      <c r="Q35" s="6"/>
      <c r="R35" s="6"/>
      <c r="S35" s="6"/>
      <c r="T35" s="7"/>
      <c r="U35" s="7"/>
      <c r="V35" s="7"/>
      <c r="W35" s="7"/>
      <c r="X35" s="7"/>
      <c r="Y35" s="7"/>
      <c r="Z35" s="7"/>
    </row>
    <row r="36" ht="36.0" customHeight="1">
      <c r="A36" s="376" t="s">
        <v>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111"/>
      <c r="Q36" s="6"/>
      <c r="R36" s="6"/>
      <c r="S36" s="6"/>
      <c r="T36" s="7"/>
      <c r="U36" s="7"/>
      <c r="V36" s="7"/>
      <c r="W36" s="7"/>
      <c r="X36" s="7"/>
      <c r="Y36" s="7"/>
      <c r="Z36" s="7"/>
    </row>
    <row r="37" ht="55.5" customHeight="1">
      <c r="A37" s="64"/>
      <c r="P37" s="69"/>
      <c r="Q37" s="6"/>
      <c r="R37" s="6"/>
      <c r="S37" s="6"/>
      <c r="T37" s="7"/>
      <c r="U37" s="7"/>
      <c r="V37" s="7"/>
      <c r="W37" s="7"/>
      <c r="X37" s="7"/>
      <c r="Y37" s="7"/>
      <c r="Z37" s="7"/>
    </row>
    <row r="38" ht="57.75" customHeight="1">
      <c r="A38" s="67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88"/>
      <c r="Q38" s="6"/>
      <c r="R38" s="6"/>
      <c r="S38" s="6"/>
      <c r="T38" s="7"/>
      <c r="U38" s="7"/>
      <c r="V38" s="7"/>
      <c r="W38" s="7"/>
      <c r="X38" s="7"/>
      <c r="Y38" s="7"/>
      <c r="Z38" s="7"/>
    </row>
    <row r="39" ht="30.75" customHeight="1">
      <c r="A39" s="223" t="s">
        <v>334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5"/>
      <c r="M39" s="97" t="s">
        <v>261</v>
      </c>
      <c r="N39" s="199"/>
      <c r="O39" s="24"/>
      <c r="P39" s="66"/>
      <c r="Q39" s="6"/>
      <c r="R39" s="6"/>
      <c r="S39" s="6"/>
      <c r="T39" s="7"/>
      <c r="U39" s="7"/>
      <c r="V39" s="7"/>
      <c r="W39" s="7"/>
      <c r="X39" s="7"/>
      <c r="Y39" s="7"/>
      <c r="Z39" s="7"/>
    </row>
    <row r="40" ht="24.75" customHeight="1">
      <c r="A40" s="377" t="s">
        <v>335</v>
      </c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193"/>
      <c r="P40" s="378"/>
      <c r="Q40" s="6"/>
      <c r="R40" s="6"/>
      <c r="S40" s="6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56"/>
      <c r="N41" s="57"/>
      <c r="O41" s="5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56"/>
      <c r="N42" s="57"/>
      <c r="O42" s="5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56"/>
      <c r="N43" s="57"/>
      <c r="O43" s="5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56"/>
      <c r="N44" s="57"/>
      <c r="O44" s="5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56"/>
      <c r="N45" s="57"/>
      <c r="O45" s="5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56"/>
      <c r="N46" s="57"/>
      <c r="O46" s="5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56"/>
      <c r="N47" s="57"/>
      <c r="O47" s="5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6"/>
      <c r="N48" s="57"/>
      <c r="O48" s="5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56"/>
      <c r="N49" s="57"/>
      <c r="O49" s="5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56"/>
      <c r="N50" s="57"/>
      <c r="O50" s="5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56"/>
      <c r="N51" s="57"/>
      <c r="O51" s="5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56"/>
      <c r="N52" s="57"/>
      <c r="O52" s="5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56"/>
      <c r="N53" s="57"/>
      <c r="O53" s="5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56"/>
      <c r="N54" s="57"/>
      <c r="O54" s="5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56"/>
      <c r="N55" s="57"/>
      <c r="O55" s="5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56"/>
      <c r="N56" s="57"/>
      <c r="O56" s="5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56"/>
      <c r="N57" s="57"/>
      <c r="O57" s="5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56"/>
      <c r="N58" s="57"/>
      <c r="O58" s="5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6"/>
      <c r="N59" s="57"/>
      <c r="O59" s="5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6"/>
      <c r="N60" s="57"/>
      <c r="O60" s="5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6"/>
      <c r="N61" s="57"/>
      <c r="O61" s="5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56"/>
      <c r="N62" s="57"/>
      <c r="O62" s="5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56"/>
      <c r="N63" s="57"/>
      <c r="O63" s="5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56"/>
      <c r="N64" s="57"/>
      <c r="O64" s="5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56"/>
      <c r="N65" s="57"/>
      <c r="O65" s="5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56"/>
      <c r="N66" s="57"/>
      <c r="O66" s="5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56"/>
      <c r="N67" s="57"/>
      <c r="O67" s="5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56"/>
      <c r="N68" s="57"/>
      <c r="O68" s="5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6"/>
      <c r="N69" s="57"/>
      <c r="O69" s="5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6"/>
      <c r="N70" s="57"/>
      <c r="O70" s="5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56"/>
      <c r="N71" s="57"/>
      <c r="O71" s="5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56"/>
      <c r="N72" s="57"/>
      <c r="O72" s="5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56"/>
      <c r="N73" s="57"/>
      <c r="O73" s="5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56"/>
      <c r="N74" s="57"/>
      <c r="O74" s="5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6"/>
      <c r="N75" s="57"/>
      <c r="O75" s="5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6"/>
      <c r="N76" s="57"/>
      <c r="O76" s="5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56"/>
      <c r="N77" s="57"/>
      <c r="O77" s="5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56"/>
      <c r="N78" s="57"/>
      <c r="O78" s="5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56"/>
      <c r="N79" s="57"/>
      <c r="O79" s="5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56"/>
      <c r="N80" s="57"/>
      <c r="O80" s="5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6"/>
      <c r="N81" s="57"/>
      <c r="O81" s="5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6"/>
      <c r="N82" s="57"/>
      <c r="O82" s="5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56"/>
      <c r="N83" s="57"/>
      <c r="O83" s="5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56"/>
      <c r="N84" s="57"/>
      <c r="O84" s="5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56"/>
      <c r="N85" s="57"/>
      <c r="O85" s="5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56"/>
      <c r="N86" s="57"/>
      <c r="O86" s="5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56"/>
      <c r="N87" s="57"/>
      <c r="O87" s="5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56"/>
      <c r="N88" s="57"/>
      <c r="O88" s="5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56"/>
      <c r="N89" s="57"/>
      <c r="O89" s="5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56"/>
      <c r="N90" s="57"/>
      <c r="O90" s="5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56"/>
      <c r="N91" s="57"/>
      <c r="O91" s="5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56"/>
      <c r="N92" s="57"/>
      <c r="O92" s="5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56"/>
      <c r="N93" s="57"/>
      <c r="O93" s="5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56"/>
      <c r="N94" s="57"/>
      <c r="O94" s="5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56"/>
      <c r="N95" s="57"/>
      <c r="O95" s="5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56"/>
      <c r="N96" s="57"/>
      <c r="O96" s="5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56"/>
      <c r="N97" s="57"/>
      <c r="O97" s="5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56"/>
      <c r="N98" s="57"/>
      <c r="O98" s="5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56"/>
      <c r="N99" s="57"/>
      <c r="O99" s="5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56"/>
      <c r="N100" s="57"/>
      <c r="O100" s="5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56"/>
      <c r="N101" s="57"/>
      <c r="O101" s="5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56"/>
      <c r="N102" s="57"/>
      <c r="O102" s="5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56"/>
      <c r="N103" s="57"/>
      <c r="O103" s="5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56"/>
      <c r="N104" s="57"/>
      <c r="O104" s="5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56"/>
      <c r="N105" s="57"/>
      <c r="O105" s="5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56"/>
      <c r="N106" s="57"/>
      <c r="O106" s="5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56"/>
      <c r="N107" s="57"/>
      <c r="O107" s="5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56"/>
      <c r="N108" s="57"/>
      <c r="O108" s="5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56"/>
      <c r="N109" s="57"/>
      <c r="O109" s="5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56"/>
      <c r="N110" s="57"/>
      <c r="O110" s="5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56"/>
      <c r="N111" s="57"/>
      <c r="O111" s="5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56"/>
      <c r="N112" s="57"/>
      <c r="O112" s="5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56"/>
      <c r="N113" s="57"/>
      <c r="O113" s="5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56"/>
      <c r="N114" s="57"/>
      <c r="O114" s="5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56"/>
      <c r="N115" s="57"/>
      <c r="O115" s="5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56"/>
      <c r="N116" s="57"/>
      <c r="O116" s="5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56"/>
      <c r="N117" s="57"/>
      <c r="O117" s="5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56"/>
      <c r="N118" s="57"/>
      <c r="O118" s="5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56"/>
      <c r="N119" s="57"/>
      <c r="O119" s="5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56"/>
      <c r="N120" s="57"/>
      <c r="O120" s="5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56"/>
      <c r="N121" s="57"/>
      <c r="O121" s="5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56"/>
      <c r="N122" s="57"/>
      <c r="O122" s="5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56"/>
      <c r="N123" s="57"/>
      <c r="O123" s="5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56"/>
      <c r="N124" s="57"/>
      <c r="O124" s="5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56"/>
      <c r="N125" s="57"/>
      <c r="O125" s="5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56"/>
      <c r="N126" s="57"/>
      <c r="O126" s="5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56"/>
      <c r="N127" s="57"/>
      <c r="O127" s="5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56"/>
      <c r="N128" s="57"/>
      <c r="O128" s="5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56"/>
      <c r="N129" s="57"/>
      <c r="O129" s="5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56"/>
      <c r="N130" s="57"/>
      <c r="O130" s="5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56"/>
      <c r="N131" s="57"/>
      <c r="O131" s="5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56"/>
      <c r="N132" s="57"/>
      <c r="O132" s="5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56"/>
      <c r="N133" s="57"/>
      <c r="O133" s="5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56"/>
      <c r="N134" s="57"/>
      <c r="O134" s="5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56"/>
      <c r="N135" s="57"/>
      <c r="O135" s="5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56"/>
      <c r="N136" s="57"/>
      <c r="O136" s="5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56"/>
      <c r="N137" s="57"/>
      <c r="O137" s="5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56"/>
      <c r="N138" s="57"/>
      <c r="O138" s="5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56"/>
      <c r="N139" s="57"/>
      <c r="O139" s="5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56"/>
      <c r="N140" s="57"/>
      <c r="O140" s="5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56"/>
      <c r="N141" s="57"/>
      <c r="O141" s="5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56"/>
      <c r="N142" s="57"/>
      <c r="O142" s="5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56"/>
      <c r="N143" s="57"/>
      <c r="O143" s="5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56"/>
      <c r="N144" s="57"/>
      <c r="O144" s="5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56"/>
      <c r="N145" s="57"/>
      <c r="O145" s="5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56"/>
      <c r="N146" s="57"/>
      <c r="O146" s="5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56"/>
      <c r="N147" s="57"/>
      <c r="O147" s="5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56"/>
      <c r="N148" s="57"/>
      <c r="O148" s="5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56"/>
      <c r="N149" s="57"/>
      <c r="O149" s="5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56"/>
      <c r="N150" s="57"/>
      <c r="O150" s="5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56"/>
      <c r="N151" s="57"/>
      <c r="O151" s="5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56"/>
      <c r="N152" s="57"/>
      <c r="O152" s="5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56"/>
      <c r="N153" s="57"/>
      <c r="O153" s="5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56"/>
      <c r="N154" s="57"/>
      <c r="O154" s="5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56"/>
      <c r="N155" s="57"/>
      <c r="O155" s="5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56"/>
      <c r="N156" s="57"/>
      <c r="O156" s="5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56"/>
      <c r="N157" s="57"/>
      <c r="O157" s="5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56"/>
      <c r="N158" s="57"/>
      <c r="O158" s="5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56"/>
      <c r="N159" s="57"/>
      <c r="O159" s="5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56"/>
      <c r="N160" s="57"/>
      <c r="O160" s="5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56"/>
      <c r="N161" s="57"/>
      <c r="O161" s="5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56"/>
      <c r="N162" s="57"/>
      <c r="O162" s="5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56"/>
      <c r="N163" s="57"/>
      <c r="O163" s="5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56"/>
      <c r="N164" s="57"/>
      <c r="O164" s="5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56"/>
      <c r="N165" s="57"/>
      <c r="O165" s="5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56"/>
      <c r="N166" s="57"/>
      <c r="O166" s="5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56"/>
      <c r="N167" s="57"/>
      <c r="O167" s="5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56"/>
      <c r="N168" s="57"/>
      <c r="O168" s="5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56"/>
      <c r="N169" s="57"/>
      <c r="O169" s="5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56"/>
      <c r="N170" s="57"/>
      <c r="O170" s="5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56"/>
      <c r="N171" s="57"/>
      <c r="O171" s="5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56"/>
      <c r="N172" s="57"/>
      <c r="O172" s="5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56"/>
      <c r="N173" s="57"/>
      <c r="O173" s="5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56"/>
      <c r="N174" s="57"/>
      <c r="O174" s="5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56"/>
      <c r="N175" s="57"/>
      <c r="O175" s="5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56"/>
      <c r="N176" s="57"/>
      <c r="O176" s="5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56"/>
      <c r="N177" s="57"/>
      <c r="O177" s="5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56"/>
      <c r="N178" s="57"/>
      <c r="O178" s="5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56"/>
      <c r="N179" s="57"/>
      <c r="O179" s="5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56"/>
      <c r="N180" s="57"/>
      <c r="O180" s="5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56"/>
      <c r="N181" s="57"/>
      <c r="O181" s="5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56"/>
      <c r="N182" s="57"/>
      <c r="O182" s="5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56"/>
      <c r="N183" s="57"/>
      <c r="O183" s="5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56"/>
      <c r="N184" s="57"/>
      <c r="O184" s="5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56"/>
      <c r="N185" s="57"/>
      <c r="O185" s="5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56"/>
      <c r="N186" s="57"/>
      <c r="O186" s="5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56"/>
      <c r="N187" s="57"/>
      <c r="O187" s="5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56"/>
      <c r="N188" s="57"/>
      <c r="O188" s="5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56"/>
      <c r="N189" s="57"/>
      <c r="O189" s="5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56"/>
      <c r="N190" s="57"/>
      <c r="O190" s="5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56"/>
      <c r="N191" s="57"/>
      <c r="O191" s="5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56"/>
      <c r="N192" s="57"/>
      <c r="O192" s="5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56"/>
      <c r="N193" s="57"/>
      <c r="O193" s="5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56"/>
      <c r="N194" s="57"/>
      <c r="O194" s="5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56"/>
      <c r="N195" s="57"/>
      <c r="O195" s="5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56"/>
      <c r="N196" s="57"/>
      <c r="O196" s="5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56"/>
      <c r="N197" s="57"/>
      <c r="O197" s="5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56"/>
      <c r="N198" s="57"/>
      <c r="O198" s="5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56"/>
      <c r="N199" s="57"/>
      <c r="O199" s="5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56"/>
      <c r="N200" s="57"/>
      <c r="O200" s="5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56"/>
      <c r="N201" s="57"/>
      <c r="O201" s="5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56"/>
      <c r="N202" s="57"/>
      <c r="O202" s="5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56"/>
      <c r="N203" s="57"/>
      <c r="O203" s="5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56"/>
      <c r="N204" s="57"/>
      <c r="O204" s="5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56"/>
      <c r="N205" s="57"/>
      <c r="O205" s="5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56"/>
      <c r="N206" s="57"/>
      <c r="O206" s="5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56"/>
      <c r="N207" s="57"/>
      <c r="O207" s="5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56"/>
      <c r="N208" s="57"/>
      <c r="O208" s="5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56"/>
      <c r="N209" s="57"/>
      <c r="O209" s="5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56"/>
      <c r="N210" s="57"/>
      <c r="O210" s="5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56"/>
      <c r="N211" s="57"/>
      <c r="O211" s="5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56"/>
      <c r="N212" s="57"/>
      <c r="O212" s="5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56"/>
      <c r="N213" s="57"/>
      <c r="O213" s="5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56"/>
      <c r="N214" s="57"/>
      <c r="O214" s="5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56"/>
      <c r="N215" s="57"/>
      <c r="O215" s="5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56"/>
      <c r="N216" s="57"/>
      <c r="O216" s="5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56"/>
      <c r="N217" s="57"/>
      <c r="O217" s="5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56"/>
      <c r="N218" s="57"/>
      <c r="O218" s="5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56"/>
      <c r="N219" s="57"/>
      <c r="O219" s="5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56"/>
      <c r="N220" s="57"/>
      <c r="O220" s="5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56"/>
      <c r="N221" s="57"/>
      <c r="O221" s="5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56"/>
      <c r="N222" s="57"/>
      <c r="O222" s="5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56"/>
      <c r="N223" s="57"/>
      <c r="O223" s="5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56"/>
      <c r="N224" s="57"/>
      <c r="O224" s="5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56"/>
      <c r="N225" s="57"/>
      <c r="O225" s="5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56"/>
      <c r="N226" s="57"/>
      <c r="O226" s="5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56"/>
      <c r="N227" s="57"/>
      <c r="O227" s="5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56"/>
      <c r="N228" s="57"/>
      <c r="O228" s="5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56"/>
      <c r="N229" s="57"/>
      <c r="O229" s="5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56"/>
      <c r="N230" s="57"/>
      <c r="O230" s="5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56"/>
      <c r="N231" s="57"/>
      <c r="O231" s="5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56"/>
      <c r="N232" s="57"/>
      <c r="O232" s="5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56"/>
      <c r="N233" s="57"/>
      <c r="O233" s="5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56"/>
      <c r="N234" s="57"/>
      <c r="O234" s="5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56"/>
      <c r="N235" s="57"/>
      <c r="O235" s="5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56"/>
      <c r="N236" s="57"/>
      <c r="O236" s="5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56"/>
      <c r="N237" s="57"/>
      <c r="O237" s="5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56"/>
      <c r="N238" s="57"/>
      <c r="O238" s="5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56"/>
      <c r="N239" s="57"/>
      <c r="O239" s="5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56"/>
      <c r="N240" s="57"/>
      <c r="O240" s="5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22:B22"/>
    <mergeCell ref="C22:E22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24:B24"/>
    <mergeCell ref="C24:E24"/>
    <mergeCell ref="F24:G24"/>
    <mergeCell ref="H24:I24"/>
    <mergeCell ref="J24:L24"/>
    <mergeCell ref="M24:N24"/>
    <mergeCell ref="O24:P24"/>
    <mergeCell ref="A25:B25"/>
    <mergeCell ref="C25:E25"/>
    <mergeCell ref="F25:G25"/>
    <mergeCell ref="H25:I25"/>
    <mergeCell ref="J25:L25"/>
    <mergeCell ref="M25:N25"/>
    <mergeCell ref="O25:P25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32:G32"/>
    <mergeCell ref="H32:P32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1:M11"/>
    <mergeCell ref="A12:M12"/>
    <mergeCell ref="N12:O12"/>
    <mergeCell ref="A13:P13"/>
    <mergeCell ref="A14:C14"/>
    <mergeCell ref="G14:H14"/>
    <mergeCell ref="O14:P14"/>
    <mergeCell ref="D17:L17"/>
    <mergeCell ref="M17:N17"/>
    <mergeCell ref="D18:L18"/>
    <mergeCell ref="M18:N18"/>
    <mergeCell ref="O18:P18"/>
    <mergeCell ref="A19:P19"/>
    <mergeCell ref="D14:F14"/>
    <mergeCell ref="A15:P15"/>
    <mergeCell ref="A16:C16"/>
    <mergeCell ref="D16:L16"/>
    <mergeCell ref="M16:N16"/>
    <mergeCell ref="O16:P16"/>
    <mergeCell ref="O17:P17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71"/>
    <col customWidth="1" min="3" max="3" width="5.29"/>
    <col customWidth="1" min="4" max="4" width="5.71"/>
    <col customWidth="1" min="5" max="5" width="9.86"/>
    <col customWidth="1" min="6" max="6" width="11.0"/>
    <col customWidth="1" min="7" max="7" width="11.57"/>
    <col customWidth="1" min="8" max="8" width="13.0"/>
    <col customWidth="1" min="9" max="9" width="13.86"/>
    <col customWidth="1" min="10" max="10" width="2.57"/>
    <col customWidth="1" min="11" max="11" width="8.71"/>
    <col customWidth="1" min="12" max="12" width="7.29"/>
    <col customWidth="1" min="13" max="13" width="14.71"/>
    <col customWidth="1" min="14" max="14" width="9.29"/>
    <col customWidth="1" min="15" max="15" width="8.14"/>
    <col customWidth="1" min="16" max="16" width="19.86"/>
    <col customWidth="1" min="17" max="19" width="19.0"/>
  </cols>
  <sheetData>
    <row r="1" ht="21.0" customHeight="1">
      <c r="A1" s="60"/>
      <c r="B1" s="46"/>
      <c r="C1" s="47"/>
      <c r="D1" s="61" t="s">
        <v>0</v>
      </c>
      <c r="E1" s="46"/>
      <c r="F1" s="46"/>
      <c r="G1" s="46"/>
      <c r="H1" s="46"/>
      <c r="I1" s="46"/>
      <c r="J1" s="46"/>
      <c r="K1" s="46"/>
      <c r="L1" s="47"/>
      <c r="M1" s="62" t="s">
        <v>1</v>
      </c>
      <c r="N1" s="41"/>
      <c r="O1" s="62" t="s">
        <v>301</v>
      </c>
      <c r="P1" s="63"/>
      <c r="Q1" s="6"/>
      <c r="R1" s="6"/>
      <c r="S1" s="6"/>
      <c r="T1" s="7"/>
      <c r="U1" s="7"/>
      <c r="V1" s="7"/>
      <c r="W1" s="7"/>
      <c r="X1" s="7"/>
      <c r="Y1" s="7"/>
      <c r="Z1" s="7"/>
    </row>
    <row r="2" ht="19.5" customHeight="1">
      <c r="A2" s="64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111"/>
      <c r="Q2" s="6"/>
      <c r="R2" s="6"/>
      <c r="S2" s="6"/>
      <c r="T2" s="7"/>
      <c r="U2" s="7"/>
      <c r="V2" s="7"/>
      <c r="W2" s="7"/>
      <c r="X2" s="7"/>
      <c r="Y2" s="7"/>
      <c r="Z2" s="7"/>
    </row>
    <row r="3" ht="19.5" customHeight="1">
      <c r="A3" s="64"/>
      <c r="C3" s="9"/>
      <c r="D3" s="16" t="s">
        <v>302</v>
      </c>
      <c r="E3" s="2"/>
      <c r="F3" s="2"/>
      <c r="G3" s="2"/>
      <c r="H3" s="2"/>
      <c r="I3" s="2"/>
      <c r="J3" s="2"/>
      <c r="K3" s="2"/>
      <c r="L3" s="3"/>
      <c r="M3" s="13" t="s">
        <v>5</v>
      </c>
      <c r="N3" s="12"/>
      <c r="O3" s="4" t="s">
        <v>6</v>
      </c>
      <c r="P3" s="66"/>
      <c r="Q3" s="6"/>
      <c r="R3" s="6"/>
      <c r="S3" s="6"/>
      <c r="T3" s="7"/>
      <c r="U3" s="7"/>
      <c r="V3" s="7"/>
      <c r="W3" s="7"/>
      <c r="X3" s="7"/>
      <c r="Y3" s="7"/>
      <c r="Z3" s="7"/>
    </row>
    <row r="4" ht="19.5" customHeight="1">
      <c r="A4" s="64"/>
      <c r="C4" s="9"/>
      <c r="D4" s="8"/>
      <c r="L4" s="9"/>
      <c r="M4" s="1" t="s">
        <v>7</v>
      </c>
      <c r="N4" s="3"/>
      <c r="O4" s="17" t="s">
        <v>8</v>
      </c>
      <c r="P4" s="66"/>
      <c r="Q4" s="6"/>
      <c r="R4" s="6"/>
      <c r="S4" s="6"/>
      <c r="T4" s="7"/>
      <c r="U4" s="7"/>
      <c r="V4" s="7"/>
      <c r="W4" s="7"/>
      <c r="X4" s="7"/>
      <c r="Y4" s="7"/>
      <c r="Z4" s="7"/>
    </row>
    <row r="5" ht="19.5" customHeight="1">
      <c r="A5" s="67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66"/>
      <c r="Q5" s="6"/>
      <c r="R5" s="6"/>
      <c r="S5" s="6"/>
      <c r="T5" s="7"/>
      <c r="U5" s="7"/>
      <c r="V5" s="7"/>
      <c r="W5" s="7"/>
      <c r="X5" s="7"/>
      <c r="Y5" s="7"/>
      <c r="Z5" s="7"/>
    </row>
    <row r="6" ht="13.5" customHeight="1">
      <c r="A6" s="123"/>
      <c r="B6" s="354"/>
      <c r="C6" s="354"/>
      <c r="D6" s="21"/>
      <c r="E6" s="21"/>
      <c r="F6" s="21"/>
      <c r="G6" s="21"/>
      <c r="H6" s="21"/>
      <c r="I6" s="21"/>
      <c r="J6" s="21"/>
      <c r="K6" s="21"/>
      <c r="L6" s="21"/>
      <c r="M6" s="172"/>
      <c r="N6" s="172"/>
      <c r="O6" s="355"/>
      <c r="P6" s="356"/>
      <c r="Q6" s="6"/>
      <c r="R6" s="6"/>
      <c r="S6" s="6"/>
      <c r="T6" s="7"/>
      <c r="U6" s="7"/>
      <c r="V6" s="7"/>
      <c r="W6" s="7"/>
      <c r="X6" s="7"/>
      <c r="Y6" s="7"/>
      <c r="Z6" s="7"/>
    </row>
    <row r="7" ht="30.75" customHeight="1">
      <c r="A7" s="70" t="s">
        <v>10</v>
      </c>
      <c r="B7" s="24"/>
      <c r="C7" s="24"/>
      <c r="D7" s="24"/>
      <c r="E7" s="5"/>
      <c r="F7" s="25" t="str">
        <f>'ORDEN ENVASADO'!F6</f>
        <v>SUERO DE NIACINAMIDA 5%</v>
      </c>
      <c r="G7" s="24"/>
      <c r="H7" s="24"/>
      <c r="I7" s="24"/>
      <c r="J7" s="24"/>
      <c r="K7" s="24"/>
      <c r="L7" s="24"/>
      <c r="M7" s="24"/>
      <c r="N7" s="24"/>
      <c r="O7" s="24"/>
      <c r="P7" s="66"/>
      <c r="Q7" s="6"/>
      <c r="R7" s="6"/>
      <c r="S7" s="6"/>
      <c r="T7" s="7"/>
      <c r="U7" s="7"/>
      <c r="V7" s="7"/>
      <c r="W7" s="7"/>
      <c r="X7" s="7"/>
      <c r="Y7" s="7"/>
      <c r="Z7" s="7"/>
    </row>
    <row r="8" ht="30.0" customHeight="1">
      <c r="A8" s="357" t="s">
        <v>55</v>
      </c>
      <c r="B8" s="79"/>
      <c r="C8" s="79"/>
      <c r="D8" s="79"/>
      <c r="E8" s="82"/>
      <c r="F8" s="292" t="str">
        <f>'ORDEN ENVASADO'!F7</f>
        <v>252111</v>
      </c>
      <c r="G8" s="3"/>
      <c r="H8" s="130" t="s">
        <v>237</v>
      </c>
      <c r="I8" s="82"/>
      <c r="J8" s="231" t="str">
        <f>'ORDEN ENVASADO'!J7</f>
        <v>OP-L-099</v>
      </c>
      <c r="K8" s="2"/>
      <c r="L8" s="3"/>
      <c r="M8" s="358" t="s">
        <v>16</v>
      </c>
      <c r="N8" s="82"/>
      <c r="O8" s="379" t="str">
        <f>'ORDEN ENVASADO'!O7</f>
        <v>30 mL</v>
      </c>
      <c r="P8" s="111"/>
      <c r="Q8" s="6"/>
      <c r="R8" s="6"/>
      <c r="S8" s="6"/>
      <c r="T8" s="7"/>
      <c r="U8" s="7"/>
      <c r="V8" s="7"/>
      <c r="W8" s="7"/>
      <c r="X8" s="7"/>
      <c r="Y8" s="7"/>
      <c r="Z8" s="7"/>
    </row>
    <row r="9" ht="30.75" customHeight="1">
      <c r="A9" s="89" t="s">
        <v>242</v>
      </c>
      <c r="B9" s="24"/>
      <c r="C9" s="24"/>
      <c r="D9" s="24"/>
      <c r="E9" s="5"/>
      <c r="F9" s="300"/>
      <c r="G9" s="5"/>
      <c r="H9" s="32" t="s">
        <v>240</v>
      </c>
      <c r="I9" s="298"/>
      <c r="J9" s="278"/>
      <c r="K9" s="24"/>
      <c r="L9" s="24"/>
      <c r="M9" s="32" t="s">
        <v>241</v>
      </c>
      <c r="N9" s="298"/>
      <c r="O9" s="52"/>
      <c r="P9" s="66"/>
      <c r="Q9" s="6"/>
      <c r="R9" s="6"/>
      <c r="S9" s="6"/>
      <c r="T9" s="7"/>
      <c r="U9" s="7"/>
      <c r="V9" s="7"/>
      <c r="W9" s="7"/>
      <c r="X9" s="7"/>
      <c r="Y9" s="7"/>
      <c r="Z9" s="7"/>
    </row>
    <row r="10" ht="37.5" customHeight="1">
      <c r="A10" s="89" t="s">
        <v>303</v>
      </c>
      <c r="B10" s="24"/>
      <c r="C10" s="24"/>
      <c r="D10" s="24"/>
      <c r="E10" s="5"/>
      <c r="F10" s="300"/>
      <c r="G10" s="5"/>
      <c r="H10" s="32" t="s">
        <v>304</v>
      </c>
      <c r="I10" s="5"/>
      <c r="J10" s="4"/>
      <c r="K10" s="24"/>
      <c r="L10" s="5"/>
      <c r="M10" s="32" t="s">
        <v>170</v>
      </c>
      <c r="N10" s="5"/>
      <c r="O10" s="52"/>
      <c r="P10" s="66"/>
      <c r="Q10" s="6"/>
      <c r="R10" s="6"/>
      <c r="S10" s="6"/>
      <c r="T10" s="7"/>
      <c r="U10" s="7"/>
      <c r="V10" s="7"/>
      <c r="W10" s="7"/>
      <c r="X10" s="7"/>
      <c r="Y10" s="7"/>
      <c r="Z10" s="7"/>
    </row>
    <row r="11" ht="24.75" customHeight="1">
      <c r="A11" s="196" t="s">
        <v>171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5"/>
      <c r="N11" s="48" t="s">
        <v>172</v>
      </c>
      <c r="O11" s="5"/>
      <c r="P11" s="197" t="s">
        <v>173</v>
      </c>
      <c r="Q11" s="6"/>
      <c r="R11" s="6"/>
      <c r="S11" s="6"/>
      <c r="T11" s="7"/>
      <c r="U11" s="7"/>
      <c r="V11" s="7"/>
      <c r="W11" s="7"/>
      <c r="X11" s="7"/>
      <c r="Y11" s="7"/>
      <c r="Z11" s="7"/>
    </row>
    <row r="12" ht="27.75" customHeight="1">
      <c r="A12" s="359" t="s">
        <v>174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82"/>
      <c r="N12" s="360"/>
      <c r="O12" s="82"/>
      <c r="P12" s="361"/>
      <c r="Q12" s="6"/>
      <c r="R12" s="6"/>
      <c r="S12" s="6"/>
      <c r="T12" s="7"/>
      <c r="U12" s="7"/>
      <c r="V12" s="7"/>
      <c r="W12" s="7"/>
      <c r="X12" s="7"/>
      <c r="Y12" s="7"/>
      <c r="Z12" s="7"/>
    </row>
    <row r="13" ht="23.25" customHeight="1">
      <c r="A13" s="362" t="s">
        <v>336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66"/>
      <c r="Q13" s="6"/>
      <c r="R13" s="6"/>
      <c r="S13" s="6"/>
      <c r="T13" s="7"/>
      <c r="U13" s="7"/>
      <c r="V13" s="7"/>
      <c r="W13" s="7"/>
      <c r="X13" s="7"/>
      <c r="Y13" s="7"/>
      <c r="Z13" s="7"/>
    </row>
    <row r="14" ht="24.75" customHeight="1">
      <c r="A14" s="223" t="s">
        <v>306</v>
      </c>
      <c r="B14" s="24"/>
      <c r="C14" s="5"/>
      <c r="D14" s="225" t="s">
        <v>307</v>
      </c>
      <c r="E14" s="24"/>
      <c r="F14" s="5"/>
      <c r="G14" s="225" t="s">
        <v>308</v>
      </c>
      <c r="H14" s="5"/>
      <c r="I14" s="225" t="s">
        <v>309</v>
      </c>
      <c r="J14" s="24"/>
      <c r="K14" s="24"/>
      <c r="L14" s="5"/>
      <c r="M14" s="225" t="s">
        <v>310</v>
      </c>
      <c r="N14" s="5"/>
      <c r="O14" s="225" t="s">
        <v>311</v>
      </c>
      <c r="P14" s="66"/>
      <c r="Q14" s="6"/>
      <c r="R14" s="6"/>
      <c r="S14" s="6"/>
      <c r="T14" s="7"/>
      <c r="U14" s="7"/>
      <c r="V14" s="7"/>
      <c r="W14" s="7"/>
      <c r="X14" s="7"/>
      <c r="Y14" s="7"/>
      <c r="Z14" s="7"/>
    </row>
    <row r="15" ht="24.75" customHeight="1">
      <c r="A15" s="363" t="s">
        <v>312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66"/>
      <c r="Q15" s="6"/>
      <c r="R15" s="6"/>
      <c r="S15" s="6"/>
      <c r="T15" s="7"/>
      <c r="U15" s="7"/>
      <c r="V15" s="7"/>
      <c r="W15" s="7"/>
      <c r="X15" s="7"/>
      <c r="Y15" s="7"/>
      <c r="Z15" s="7"/>
    </row>
    <row r="16" ht="24.75" customHeight="1">
      <c r="A16" s="364" t="s">
        <v>313</v>
      </c>
      <c r="B16" s="72"/>
      <c r="C16" s="76"/>
      <c r="D16" s="91" t="s">
        <v>314</v>
      </c>
      <c r="E16" s="24"/>
      <c r="F16" s="24"/>
      <c r="G16" s="24"/>
      <c r="H16" s="24"/>
      <c r="I16" s="24"/>
      <c r="J16" s="24"/>
      <c r="K16" s="24"/>
      <c r="L16" s="5"/>
      <c r="M16" s="365" t="s">
        <v>86</v>
      </c>
      <c r="N16" s="76"/>
      <c r="O16" s="366" t="s">
        <v>87</v>
      </c>
      <c r="P16" s="302"/>
      <c r="Q16" s="6"/>
      <c r="R16" s="6"/>
      <c r="S16" s="6"/>
      <c r="T16" s="7"/>
      <c r="U16" s="7"/>
      <c r="V16" s="7"/>
      <c r="W16" s="7"/>
      <c r="X16" s="7"/>
      <c r="Y16" s="7"/>
      <c r="Z16" s="7"/>
    </row>
    <row r="17" ht="21.75" customHeight="1">
      <c r="A17" s="367" t="s">
        <v>315</v>
      </c>
      <c r="B17" s="79"/>
      <c r="C17" s="82"/>
      <c r="D17" s="91"/>
      <c r="E17" s="24"/>
      <c r="F17" s="24"/>
      <c r="G17" s="24"/>
      <c r="H17" s="24"/>
      <c r="I17" s="24"/>
      <c r="J17" s="24"/>
      <c r="K17" s="24"/>
      <c r="L17" s="5"/>
      <c r="M17" s="368"/>
      <c r="N17" s="82"/>
      <c r="O17" s="252"/>
      <c r="P17" s="66"/>
      <c r="Q17" s="6"/>
      <c r="R17" s="6"/>
      <c r="S17" s="6"/>
      <c r="T17" s="7"/>
      <c r="U17" s="7"/>
      <c r="V17" s="7"/>
      <c r="W17" s="7"/>
      <c r="X17" s="7"/>
      <c r="Y17" s="7"/>
      <c r="Z17" s="7"/>
    </row>
    <row r="18" ht="21.75" customHeight="1">
      <c r="A18" s="367" t="s">
        <v>316</v>
      </c>
      <c r="B18" s="79"/>
      <c r="C18" s="82"/>
      <c r="D18" s="91"/>
      <c r="E18" s="24"/>
      <c r="F18" s="24"/>
      <c r="G18" s="24"/>
      <c r="H18" s="24"/>
      <c r="I18" s="24"/>
      <c r="J18" s="24"/>
      <c r="K18" s="24"/>
      <c r="L18" s="5"/>
      <c r="M18" s="369"/>
      <c r="N18" s="82"/>
      <c r="O18" s="368"/>
      <c r="P18" s="370"/>
      <c r="Q18" s="6"/>
      <c r="R18" s="6"/>
      <c r="S18" s="6"/>
      <c r="T18" s="7"/>
      <c r="U18" s="7"/>
      <c r="V18" s="7"/>
      <c r="W18" s="7"/>
      <c r="X18" s="7"/>
      <c r="Y18" s="7"/>
      <c r="Z18" s="7"/>
    </row>
    <row r="19" ht="30.0" customHeight="1">
      <c r="A19" s="363" t="s">
        <v>317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66"/>
      <c r="Q19" s="6"/>
      <c r="R19" s="6"/>
      <c r="S19" s="6"/>
      <c r="T19" s="7"/>
      <c r="U19" s="7"/>
      <c r="V19" s="7"/>
      <c r="W19" s="7"/>
      <c r="X19" s="7"/>
      <c r="Y19" s="7"/>
      <c r="Z19" s="7"/>
    </row>
    <row r="20" ht="27.75" customHeight="1">
      <c r="A20" s="363" t="s">
        <v>318</v>
      </c>
      <c r="B20" s="5"/>
      <c r="C20" s="48" t="s">
        <v>67</v>
      </c>
      <c r="D20" s="24"/>
      <c r="E20" s="5"/>
      <c r="F20" s="48" t="s">
        <v>303</v>
      </c>
      <c r="G20" s="5"/>
      <c r="H20" s="48" t="s">
        <v>304</v>
      </c>
      <c r="I20" s="5"/>
      <c r="J20" s="48" t="s">
        <v>319</v>
      </c>
      <c r="K20" s="24"/>
      <c r="L20" s="5"/>
      <c r="M20" s="48" t="s">
        <v>320</v>
      </c>
      <c r="N20" s="5"/>
      <c r="O20" s="48" t="s">
        <v>321</v>
      </c>
      <c r="P20" s="66"/>
      <c r="Q20" s="6"/>
      <c r="R20" s="6"/>
      <c r="S20" s="6"/>
      <c r="T20" s="7"/>
      <c r="U20" s="7"/>
      <c r="V20" s="7"/>
      <c r="W20" s="7"/>
      <c r="X20" s="7"/>
      <c r="Y20" s="7"/>
      <c r="Z20" s="7"/>
    </row>
    <row r="21" ht="24.75" customHeight="1">
      <c r="A21" s="371" t="s">
        <v>322</v>
      </c>
      <c r="B21" s="5"/>
      <c r="C21" s="91"/>
      <c r="D21" s="24"/>
      <c r="E21" s="5"/>
      <c r="F21" s="372" t="s">
        <v>323</v>
      </c>
      <c r="G21" s="5"/>
      <c r="H21" s="372" t="s">
        <v>323</v>
      </c>
      <c r="I21" s="5"/>
      <c r="J21" s="91"/>
      <c r="K21" s="24"/>
      <c r="L21" s="5"/>
      <c r="M21" s="91"/>
      <c r="N21" s="5"/>
      <c r="O21" s="91"/>
      <c r="P21" s="66"/>
      <c r="Q21" s="6"/>
      <c r="R21" s="6"/>
      <c r="S21" s="6"/>
      <c r="T21" s="7"/>
      <c r="U21" s="7"/>
      <c r="V21" s="7"/>
      <c r="W21" s="7"/>
      <c r="X21" s="7"/>
      <c r="Y21" s="7"/>
      <c r="Z21" s="7"/>
    </row>
    <row r="22" ht="24.75" customHeight="1">
      <c r="A22" s="371" t="s">
        <v>324</v>
      </c>
      <c r="B22" s="5"/>
      <c r="C22" s="91"/>
      <c r="D22" s="24"/>
      <c r="E22" s="5"/>
      <c r="F22" s="372" t="s">
        <v>323</v>
      </c>
      <c r="G22" s="5"/>
      <c r="H22" s="372" t="s">
        <v>323</v>
      </c>
      <c r="I22" s="5"/>
      <c r="J22" s="91"/>
      <c r="K22" s="24"/>
      <c r="L22" s="5"/>
      <c r="M22" s="91"/>
      <c r="N22" s="5"/>
      <c r="O22" s="91"/>
      <c r="P22" s="66"/>
      <c r="Q22" s="6"/>
      <c r="R22" s="6"/>
      <c r="S22" s="6"/>
      <c r="T22" s="7"/>
      <c r="U22" s="7"/>
      <c r="V22" s="7"/>
      <c r="W22" s="7"/>
      <c r="X22" s="7"/>
      <c r="Y22" s="7"/>
      <c r="Z22" s="7"/>
    </row>
    <row r="23" ht="24.75" customHeight="1">
      <c r="A23" s="371" t="s">
        <v>325</v>
      </c>
      <c r="B23" s="5"/>
      <c r="C23" s="91"/>
      <c r="D23" s="24"/>
      <c r="E23" s="5"/>
      <c r="F23" s="372" t="s">
        <v>323</v>
      </c>
      <c r="G23" s="5"/>
      <c r="H23" s="372" t="s">
        <v>323</v>
      </c>
      <c r="I23" s="5"/>
      <c r="J23" s="91"/>
      <c r="K23" s="24"/>
      <c r="L23" s="5"/>
      <c r="M23" s="91"/>
      <c r="N23" s="5"/>
      <c r="O23" s="91"/>
      <c r="P23" s="66"/>
      <c r="Q23" s="6"/>
      <c r="R23" s="6"/>
      <c r="S23" s="6"/>
      <c r="T23" s="7"/>
      <c r="U23" s="7"/>
      <c r="V23" s="7"/>
      <c r="W23" s="7"/>
      <c r="X23" s="7"/>
      <c r="Y23" s="7"/>
      <c r="Z23" s="7"/>
    </row>
    <row r="24" ht="24.75" customHeight="1">
      <c r="A24" s="371" t="s">
        <v>326</v>
      </c>
      <c r="B24" s="5"/>
      <c r="C24" s="91"/>
      <c r="D24" s="24"/>
      <c r="E24" s="5"/>
      <c r="F24" s="372" t="s">
        <v>323</v>
      </c>
      <c r="G24" s="5"/>
      <c r="H24" s="372" t="s">
        <v>323</v>
      </c>
      <c r="I24" s="5"/>
      <c r="J24" s="91"/>
      <c r="K24" s="24"/>
      <c r="L24" s="5"/>
      <c r="M24" s="91"/>
      <c r="N24" s="5"/>
      <c r="O24" s="91"/>
      <c r="P24" s="66"/>
      <c r="Q24" s="6"/>
      <c r="R24" s="6"/>
      <c r="S24" s="6"/>
      <c r="T24" s="7"/>
      <c r="U24" s="7"/>
      <c r="V24" s="7"/>
      <c r="W24" s="7"/>
      <c r="X24" s="7"/>
      <c r="Y24" s="7"/>
      <c r="Z24" s="7"/>
    </row>
    <row r="25" ht="24.75" customHeight="1">
      <c r="A25" s="371" t="s">
        <v>327</v>
      </c>
      <c r="B25" s="5"/>
      <c r="C25" s="91"/>
      <c r="D25" s="24"/>
      <c r="E25" s="5"/>
      <c r="F25" s="372" t="s">
        <v>323</v>
      </c>
      <c r="G25" s="5"/>
      <c r="H25" s="372" t="s">
        <v>323</v>
      </c>
      <c r="I25" s="5"/>
      <c r="J25" s="91"/>
      <c r="K25" s="24"/>
      <c r="L25" s="5"/>
      <c r="M25" s="91"/>
      <c r="N25" s="5"/>
      <c r="O25" s="91"/>
      <c r="P25" s="66"/>
      <c r="Q25" s="6"/>
      <c r="R25" s="6"/>
      <c r="S25" s="6"/>
      <c r="T25" s="7"/>
      <c r="U25" s="7"/>
      <c r="V25" s="7"/>
      <c r="W25" s="7"/>
      <c r="X25" s="7"/>
      <c r="Y25" s="7"/>
      <c r="Z25" s="7"/>
    </row>
    <row r="26" ht="28.5" customHeight="1">
      <c r="A26" s="363" t="s">
        <v>328</v>
      </c>
      <c r="B26" s="5"/>
      <c r="C26" s="50"/>
      <c r="D26" s="24"/>
      <c r="E26" s="5"/>
      <c r="F26" s="373" t="s">
        <v>261</v>
      </c>
      <c r="G26" s="5"/>
      <c r="H26" s="91"/>
      <c r="I26" s="5"/>
      <c r="J26" s="48" t="s">
        <v>329</v>
      </c>
      <c r="K26" s="24"/>
      <c r="L26" s="5"/>
      <c r="M26" s="199"/>
      <c r="N26" s="5"/>
      <c r="O26" s="374" t="s">
        <v>261</v>
      </c>
      <c r="P26" s="66"/>
      <c r="Q26" s="6"/>
      <c r="R26" s="6"/>
      <c r="S26" s="6"/>
      <c r="T26" s="7"/>
      <c r="U26" s="7"/>
      <c r="V26" s="7"/>
      <c r="W26" s="7"/>
      <c r="X26" s="7"/>
      <c r="Y26" s="7"/>
      <c r="Z26" s="7"/>
    </row>
    <row r="27" ht="25.5" customHeight="1">
      <c r="A27" s="375" t="s">
        <v>330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370"/>
      <c r="Q27" s="6"/>
      <c r="R27" s="6"/>
      <c r="S27" s="6"/>
      <c r="T27" s="7"/>
      <c r="U27" s="7"/>
      <c r="V27" s="7"/>
      <c r="W27" s="7"/>
      <c r="X27" s="7"/>
      <c r="Y27" s="7"/>
      <c r="Z27" s="7"/>
    </row>
    <row r="28" ht="25.5" customHeight="1">
      <c r="A28" s="371" t="s">
        <v>331</v>
      </c>
      <c r="B28" s="24"/>
      <c r="C28" s="24"/>
      <c r="D28" s="24"/>
      <c r="E28" s="24"/>
      <c r="F28" s="24"/>
      <c r="G28" s="5"/>
      <c r="H28" s="91"/>
      <c r="I28" s="24"/>
      <c r="J28" s="24"/>
      <c r="K28" s="24"/>
      <c r="L28" s="24"/>
      <c r="M28" s="24"/>
      <c r="N28" s="24"/>
      <c r="O28" s="24"/>
      <c r="P28" s="66"/>
      <c r="Q28" s="6"/>
      <c r="R28" s="6"/>
      <c r="S28" s="6"/>
      <c r="T28" s="7"/>
      <c r="U28" s="7"/>
      <c r="V28" s="7"/>
      <c r="W28" s="7"/>
      <c r="X28" s="7"/>
      <c r="Y28" s="7"/>
      <c r="Z28" s="7"/>
    </row>
    <row r="29" ht="25.5" customHeight="1">
      <c r="A29" s="371" t="s">
        <v>332</v>
      </c>
      <c r="B29" s="24"/>
      <c r="C29" s="24"/>
      <c r="D29" s="24"/>
      <c r="E29" s="24"/>
      <c r="F29" s="24"/>
      <c r="G29" s="5"/>
      <c r="H29" s="91"/>
      <c r="I29" s="24"/>
      <c r="J29" s="24"/>
      <c r="K29" s="24"/>
      <c r="L29" s="24"/>
      <c r="M29" s="24"/>
      <c r="N29" s="24"/>
      <c r="O29" s="24"/>
      <c r="P29" s="66"/>
      <c r="Q29" s="6"/>
      <c r="R29" s="6"/>
      <c r="S29" s="6"/>
      <c r="T29" s="7"/>
      <c r="U29" s="7"/>
      <c r="V29" s="7"/>
      <c r="W29" s="7"/>
      <c r="X29" s="7"/>
      <c r="Y29" s="7"/>
      <c r="Z29" s="7"/>
    </row>
    <row r="30" ht="25.5" customHeight="1">
      <c r="A30" s="371" t="s">
        <v>333</v>
      </c>
      <c r="B30" s="24"/>
      <c r="C30" s="24"/>
      <c r="D30" s="24"/>
      <c r="E30" s="24"/>
      <c r="F30" s="24"/>
      <c r="G30" s="5"/>
      <c r="H30" s="91"/>
      <c r="I30" s="24"/>
      <c r="J30" s="24"/>
      <c r="K30" s="24"/>
      <c r="L30" s="24"/>
      <c r="M30" s="24"/>
      <c r="N30" s="24"/>
      <c r="O30" s="24"/>
      <c r="P30" s="66"/>
      <c r="Q30" s="6"/>
      <c r="R30" s="6"/>
      <c r="S30" s="6"/>
      <c r="T30" s="7"/>
      <c r="U30" s="7"/>
      <c r="V30" s="7"/>
      <c r="W30" s="7"/>
      <c r="X30" s="7"/>
      <c r="Y30" s="7"/>
      <c r="Z30" s="7"/>
    </row>
    <row r="31" ht="25.5" customHeight="1">
      <c r="A31" s="364" t="s">
        <v>241</v>
      </c>
      <c r="B31" s="72"/>
      <c r="C31" s="72"/>
      <c r="D31" s="72"/>
      <c r="E31" s="72"/>
      <c r="F31" s="72"/>
      <c r="G31" s="76"/>
      <c r="H31" s="91"/>
      <c r="I31" s="24"/>
      <c r="J31" s="24"/>
      <c r="K31" s="24"/>
      <c r="L31" s="24"/>
      <c r="M31" s="24"/>
      <c r="N31" s="24"/>
      <c r="O31" s="24"/>
      <c r="P31" s="66"/>
      <c r="Q31" s="6"/>
      <c r="R31" s="6"/>
      <c r="S31" s="6"/>
      <c r="T31" s="7"/>
      <c r="U31" s="7"/>
      <c r="V31" s="7"/>
      <c r="W31" s="7"/>
      <c r="X31" s="7"/>
      <c r="Y31" s="7"/>
      <c r="Z31" s="7"/>
    </row>
    <row r="32" ht="24.75" customHeight="1">
      <c r="A32" s="371" t="s">
        <v>303</v>
      </c>
      <c r="B32" s="24"/>
      <c r="C32" s="24"/>
      <c r="D32" s="24"/>
      <c r="E32" s="24"/>
      <c r="F32" s="24"/>
      <c r="G32" s="5"/>
      <c r="H32" s="91"/>
      <c r="I32" s="24"/>
      <c r="J32" s="24"/>
      <c r="K32" s="24"/>
      <c r="L32" s="24"/>
      <c r="M32" s="24"/>
      <c r="N32" s="24"/>
      <c r="O32" s="24"/>
      <c r="P32" s="66"/>
      <c r="Q32" s="6"/>
      <c r="R32" s="6"/>
      <c r="S32" s="6"/>
      <c r="T32" s="7"/>
      <c r="U32" s="7"/>
      <c r="V32" s="7"/>
      <c r="W32" s="7"/>
      <c r="X32" s="7"/>
      <c r="Y32" s="7"/>
      <c r="Z32" s="7"/>
    </row>
    <row r="33" ht="24.75" customHeight="1">
      <c r="A33" s="371" t="s">
        <v>304</v>
      </c>
      <c r="B33" s="24"/>
      <c r="C33" s="24"/>
      <c r="D33" s="24"/>
      <c r="E33" s="24"/>
      <c r="F33" s="24"/>
      <c r="G33" s="5"/>
      <c r="H33" s="91"/>
      <c r="I33" s="24"/>
      <c r="J33" s="24"/>
      <c r="K33" s="24"/>
      <c r="L33" s="24"/>
      <c r="M33" s="24"/>
      <c r="N33" s="24"/>
      <c r="O33" s="24"/>
      <c r="P33" s="66"/>
      <c r="Q33" s="6"/>
      <c r="R33" s="6"/>
      <c r="S33" s="6"/>
      <c r="T33" s="7"/>
      <c r="U33" s="7"/>
      <c r="V33" s="7"/>
      <c r="W33" s="7"/>
      <c r="X33" s="7"/>
      <c r="Y33" s="7"/>
      <c r="Z33" s="7"/>
    </row>
    <row r="34" ht="24.75" customHeight="1">
      <c r="A34" s="371" t="s">
        <v>259</v>
      </c>
      <c r="B34" s="24"/>
      <c r="C34" s="24"/>
      <c r="D34" s="24"/>
      <c r="E34" s="24"/>
      <c r="F34" s="24"/>
      <c r="G34" s="5"/>
      <c r="H34" s="91"/>
      <c r="I34" s="24"/>
      <c r="J34" s="24"/>
      <c r="K34" s="24"/>
      <c r="L34" s="24"/>
      <c r="M34" s="24"/>
      <c r="N34" s="24"/>
      <c r="O34" s="24"/>
      <c r="P34" s="66"/>
      <c r="Q34" s="6"/>
      <c r="R34" s="6"/>
      <c r="S34" s="6"/>
      <c r="T34" s="7"/>
      <c r="U34" s="7"/>
      <c r="V34" s="7"/>
      <c r="W34" s="7"/>
      <c r="X34" s="7"/>
      <c r="Y34" s="7"/>
      <c r="Z34" s="7"/>
    </row>
    <row r="35" ht="24.75" customHeight="1">
      <c r="A35" s="371" t="s">
        <v>260</v>
      </c>
      <c r="B35" s="24"/>
      <c r="C35" s="24"/>
      <c r="D35" s="24"/>
      <c r="E35" s="24"/>
      <c r="F35" s="24"/>
      <c r="G35" s="298"/>
      <c r="H35" s="91"/>
      <c r="I35" s="24"/>
      <c r="J35" s="24"/>
      <c r="K35" s="24"/>
      <c r="L35" s="5"/>
      <c r="M35" s="91" t="s">
        <v>67</v>
      </c>
      <c r="N35" s="5"/>
      <c r="O35" s="91"/>
      <c r="P35" s="66"/>
      <c r="Q35" s="6"/>
      <c r="R35" s="6"/>
      <c r="S35" s="6"/>
      <c r="T35" s="7"/>
      <c r="U35" s="7"/>
      <c r="V35" s="7"/>
      <c r="W35" s="7"/>
      <c r="X35" s="7"/>
      <c r="Y35" s="7"/>
      <c r="Z35" s="7"/>
    </row>
    <row r="36" ht="36.0" customHeight="1">
      <c r="A36" s="376" t="s">
        <v>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111"/>
      <c r="Q36" s="6"/>
      <c r="R36" s="6"/>
      <c r="S36" s="6"/>
      <c r="T36" s="7"/>
      <c r="U36" s="7"/>
      <c r="V36" s="7"/>
      <c r="W36" s="7"/>
      <c r="X36" s="7"/>
      <c r="Y36" s="7"/>
      <c r="Z36" s="7"/>
    </row>
    <row r="37" ht="55.5" customHeight="1">
      <c r="A37" s="64"/>
      <c r="P37" s="69"/>
      <c r="Q37" s="6"/>
      <c r="R37" s="6"/>
      <c r="S37" s="6"/>
      <c r="T37" s="7"/>
      <c r="U37" s="7"/>
      <c r="V37" s="7"/>
      <c r="W37" s="7"/>
      <c r="X37" s="7"/>
      <c r="Y37" s="7"/>
      <c r="Z37" s="7"/>
    </row>
    <row r="38" ht="57.75" customHeight="1">
      <c r="A38" s="67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88"/>
      <c r="Q38" s="6"/>
      <c r="R38" s="6"/>
      <c r="S38" s="6"/>
      <c r="T38" s="7"/>
      <c r="U38" s="7"/>
      <c r="V38" s="7"/>
      <c r="W38" s="7"/>
      <c r="X38" s="7"/>
      <c r="Y38" s="7"/>
      <c r="Z38" s="7"/>
    </row>
    <row r="39" ht="30.75" customHeight="1">
      <c r="A39" s="223" t="s">
        <v>334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5"/>
      <c r="M39" s="97" t="s">
        <v>261</v>
      </c>
      <c r="N39" s="199"/>
      <c r="O39" s="24"/>
      <c r="P39" s="66"/>
      <c r="Q39" s="6"/>
      <c r="R39" s="6"/>
      <c r="S39" s="6"/>
      <c r="T39" s="7"/>
      <c r="U39" s="7"/>
      <c r="V39" s="7"/>
      <c r="W39" s="7"/>
      <c r="X39" s="7"/>
      <c r="Y39" s="7"/>
      <c r="Z39" s="7"/>
    </row>
    <row r="40" ht="24.75" customHeight="1">
      <c r="A40" s="377" t="s">
        <v>335</v>
      </c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193"/>
      <c r="P40" s="378"/>
      <c r="Q40" s="6"/>
      <c r="R40" s="6"/>
      <c r="S40" s="6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56"/>
      <c r="N41" s="57"/>
      <c r="O41" s="5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56"/>
      <c r="N42" s="57"/>
      <c r="O42" s="5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56"/>
      <c r="N43" s="57"/>
      <c r="O43" s="5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56"/>
      <c r="N44" s="57"/>
      <c r="O44" s="5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56"/>
      <c r="N45" s="57"/>
      <c r="O45" s="5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56"/>
      <c r="N46" s="57"/>
      <c r="O46" s="5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56"/>
      <c r="N47" s="57"/>
      <c r="O47" s="5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6"/>
      <c r="N48" s="57"/>
      <c r="O48" s="5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56"/>
      <c r="N49" s="57"/>
      <c r="O49" s="5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56"/>
      <c r="N50" s="57"/>
      <c r="O50" s="5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56"/>
      <c r="N51" s="57"/>
      <c r="O51" s="5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56"/>
      <c r="N52" s="57"/>
      <c r="O52" s="5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56"/>
      <c r="N53" s="57"/>
      <c r="O53" s="5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56"/>
      <c r="N54" s="57"/>
      <c r="O54" s="5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56"/>
      <c r="N55" s="57"/>
      <c r="O55" s="5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56"/>
      <c r="N56" s="57"/>
      <c r="O56" s="5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56"/>
      <c r="N57" s="57"/>
      <c r="O57" s="5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56"/>
      <c r="N58" s="57"/>
      <c r="O58" s="5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6"/>
      <c r="N59" s="57"/>
      <c r="O59" s="5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6"/>
      <c r="N60" s="57"/>
      <c r="O60" s="5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6"/>
      <c r="N61" s="57"/>
      <c r="O61" s="5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56"/>
      <c r="N62" s="57"/>
      <c r="O62" s="5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56"/>
      <c r="N63" s="57"/>
      <c r="O63" s="5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56"/>
      <c r="N64" s="57"/>
      <c r="O64" s="5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56"/>
      <c r="N65" s="57"/>
      <c r="O65" s="5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56"/>
      <c r="N66" s="57"/>
      <c r="O66" s="5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56"/>
      <c r="N67" s="57"/>
      <c r="O67" s="5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56"/>
      <c r="N68" s="57"/>
      <c r="O68" s="5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6"/>
      <c r="N69" s="57"/>
      <c r="O69" s="5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6"/>
      <c r="N70" s="57"/>
      <c r="O70" s="5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56"/>
      <c r="N71" s="57"/>
      <c r="O71" s="5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56"/>
      <c r="N72" s="57"/>
      <c r="O72" s="5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56"/>
      <c r="N73" s="57"/>
      <c r="O73" s="5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56"/>
      <c r="N74" s="57"/>
      <c r="O74" s="5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6"/>
      <c r="N75" s="57"/>
      <c r="O75" s="5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6"/>
      <c r="N76" s="57"/>
      <c r="O76" s="5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56"/>
      <c r="N77" s="57"/>
      <c r="O77" s="5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56"/>
      <c r="N78" s="57"/>
      <c r="O78" s="5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56"/>
      <c r="N79" s="57"/>
      <c r="O79" s="5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56"/>
      <c r="N80" s="57"/>
      <c r="O80" s="5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6"/>
      <c r="N81" s="57"/>
      <c r="O81" s="5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6"/>
      <c r="N82" s="57"/>
      <c r="O82" s="5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56"/>
      <c r="N83" s="57"/>
      <c r="O83" s="5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56"/>
      <c r="N84" s="57"/>
      <c r="O84" s="5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56"/>
      <c r="N85" s="57"/>
      <c r="O85" s="5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56"/>
      <c r="N86" s="57"/>
      <c r="O86" s="5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56"/>
      <c r="N87" s="57"/>
      <c r="O87" s="5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56"/>
      <c r="N88" s="57"/>
      <c r="O88" s="5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56"/>
      <c r="N89" s="57"/>
      <c r="O89" s="5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56"/>
      <c r="N90" s="57"/>
      <c r="O90" s="5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56"/>
      <c r="N91" s="57"/>
      <c r="O91" s="5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56"/>
      <c r="N92" s="57"/>
      <c r="O92" s="5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56"/>
      <c r="N93" s="57"/>
      <c r="O93" s="5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56"/>
      <c r="N94" s="57"/>
      <c r="O94" s="5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56"/>
      <c r="N95" s="57"/>
      <c r="O95" s="5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56"/>
      <c r="N96" s="57"/>
      <c r="O96" s="5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56"/>
      <c r="N97" s="57"/>
      <c r="O97" s="5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56"/>
      <c r="N98" s="57"/>
      <c r="O98" s="5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56"/>
      <c r="N99" s="57"/>
      <c r="O99" s="5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56"/>
      <c r="N100" s="57"/>
      <c r="O100" s="5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56"/>
      <c r="N101" s="57"/>
      <c r="O101" s="5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56"/>
      <c r="N102" s="57"/>
      <c r="O102" s="5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56"/>
      <c r="N103" s="57"/>
      <c r="O103" s="5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56"/>
      <c r="N104" s="57"/>
      <c r="O104" s="5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56"/>
      <c r="N105" s="57"/>
      <c r="O105" s="5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56"/>
      <c r="N106" s="57"/>
      <c r="O106" s="5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56"/>
      <c r="N107" s="57"/>
      <c r="O107" s="5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56"/>
      <c r="N108" s="57"/>
      <c r="O108" s="5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56"/>
      <c r="N109" s="57"/>
      <c r="O109" s="5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56"/>
      <c r="N110" s="57"/>
      <c r="O110" s="5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56"/>
      <c r="N111" s="57"/>
      <c r="O111" s="5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56"/>
      <c r="N112" s="57"/>
      <c r="O112" s="5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56"/>
      <c r="N113" s="57"/>
      <c r="O113" s="5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56"/>
      <c r="N114" s="57"/>
      <c r="O114" s="5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56"/>
      <c r="N115" s="57"/>
      <c r="O115" s="5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56"/>
      <c r="N116" s="57"/>
      <c r="O116" s="5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56"/>
      <c r="N117" s="57"/>
      <c r="O117" s="5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56"/>
      <c r="N118" s="57"/>
      <c r="O118" s="5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56"/>
      <c r="N119" s="57"/>
      <c r="O119" s="5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56"/>
      <c r="N120" s="57"/>
      <c r="O120" s="5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56"/>
      <c r="N121" s="57"/>
      <c r="O121" s="5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56"/>
      <c r="N122" s="57"/>
      <c r="O122" s="5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56"/>
      <c r="N123" s="57"/>
      <c r="O123" s="5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56"/>
      <c r="N124" s="57"/>
      <c r="O124" s="5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56"/>
      <c r="N125" s="57"/>
      <c r="O125" s="5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56"/>
      <c r="N126" s="57"/>
      <c r="O126" s="5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56"/>
      <c r="N127" s="57"/>
      <c r="O127" s="5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56"/>
      <c r="N128" s="57"/>
      <c r="O128" s="5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56"/>
      <c r="N129" s="57"/>
      <c r="O129" s="5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56"/>
      <c r="N130" s="57"/>
      <c r="O130" s="5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56"/>
      <c r="N131" s="57"/>
      <c r="O131" s="5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56"/>
      <c r="N132" s="57"/>
      <c r="O132" s="5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56"/>
      <c r="N133" s="57"/>
      <c r="O133" s="5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56"/>
      <c r="N134" s="57"/>
      <c r="O134" s="5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56"/>
      <c r="N135" s="57"/>
      <c r="O135" s="5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56"/>
      <c r="N136" s="57"/>
      <c r="O136" s="5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56"/>
      <c r="N137" s="57"/>
      <c r="O137" s="5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56"/>
      <c r="N138" s="57"/>
      <c r="O138" s="5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56"/>
      <c r="N139" s="57"/>
      <c r="O139" s="5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56"/>
      <c r="N140" s="57"/>
      <c r="O140" s="5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56"/>
      <c r="N141" s="57"/>
      <c r="O141" s="5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56"/>
      <c r="N142" s="57"/>
      <c r="O142" s="5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56"/>
      <c r="N143" s="57"/>
      <c r="O143" s="5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56"/>
      <c r="N144" s="57"/>
      <c r="O144" s="5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56"/>
      <c r="N145" s="57"/>
      <c r="O145" s="5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56"/>
      <c r="N146" s="57"/>
      <c r="O146" s="5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56"/>
      <c r="N147" s="57"/>
      <c r="O147" s="5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56"/>
      <c r="N148" s="57"/>
      <c r="O148" s="5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56"/>
      <c r="N149" s="57"/>
      <c r="O149" s="5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56"/>
      <c r="N150" s="57"/>
      <c r="O150" s="5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56"/>
      <c r="N151" s="57"/>
      <c r="O151" s="5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56"/>
      <c r="N152" s="57"/>
      <c r="O152" s="5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56"/>
      <c r="N153" s="57"/>
      <c r="O153" s="5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56"/>
      <c r="N154" s="57"/>
      <c r="O154" s="5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56"/>
      <c r="N155" s="57"/>
      <c r="O155" s="5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56"/>
      <c r="N156" s="57"/>
      <c r="O156" s="5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56"/>
      <c r="N157" s="57"/>
      <c r="O157" s="5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56"/>
      <c r="N158" s="57"/>
      <c r="O158" s="5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56"/>
      <c r="N159" s="57"/>
      <c r="O159" s="5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56"/>
      <c r="N160" s="57"/>
      <c r="O160" s="5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56"/>
      <c r="N161" s="57"/>
      <c r="O161" s="5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56"/>
      <c r="N162" s="57"/>
      <c r="O162" s="5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56"/>
      <c r="N163" s="57"/>
      <c r="O163" s="5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56"/>
      <c r="N164" s="57"/>
      <c r="O164" s="5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56"/>
      <c r="N165" s="57"/>
      <c r="O165" s="5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56"/>
      <c r="N166" s="57"/>
      <c r="O166" s="5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56"/>
      <c r="N167" s="57"/>
      <c r="O167" s="5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56"/>
      <c r="N168" s="57"/>
      <c r="O168" s="5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56"/>
      <c r="N169" s="57"/>
      <c r="O169" s="5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56"/>
      <c r="N170" s="57"/>
      <c r="O170" s="5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56"/>
      <c r="N171" s="57"/>
      <c r="O171" s="5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56"/>
      <c r="N172" s="57"/>
      <c r="O172" s="5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56"/>
      <c r="N173" s="57"/>
      <c r="O173" s="5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56"/>
      <c r="N174" s="57"/>
      <c r="O174" s="5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56"/>
      <c r="N175" s="57"/>
      <c r="O175" s="5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56"/>
      <c r="N176" s="57"/>
      <c r="O176" s="5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56"/>
      <c r="N177" s="57"/>
      <c r="O177" s="5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56"/>
      <c r="N178" s="57"/>
      <c r="O178" s="5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56"/>
      <c r="N179" s="57"/>
      <c r="O179" s="5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56"/>
      <c r="N180" s="57"/>
      <c r="O180" s="5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56"/>
      <c r="N181" s="57"/>
      <c r="O181" s="5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56"/>
      <c r="N182" s="57"/>
      <c r="O182" s="5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56"/>
      <c r="N183" s="57"/>
      <c r="O183" s="5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56"/>
      <c r="N184" s="57"/>
      <c r="O184" s="5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56"/>
      <c r="N185" s="57"/>
      <c r="O185" s="5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56"/>
      <c r="N186" s="57"/>
      <c r="O186" s="5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56"/>
      <c r="N187" s="57"/>
      <c r="O187" s="5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56"/>
      <c r="N188" s="57"/>
      <c r="O188" s="5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56"/>
      <c r="N189" s="57"/>
      <c r="O189" s="5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56"/>
      <c r="N190" s="57"/>
      <c r="O190" s="5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56"/>
      <c r="N191" s="57"/>
      <c r="O191" s="5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56"/>
      <c r="N192" s="57"/>
      <c r="O192" s="5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56"/>
      <c r="N193" s="57"/>
      <c r="O193" s="5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56"/>
      <c r="N194" s="57"/>
      <c r="O194" s="5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56"/>
      <c r="N195" s="57"/>
      <c r="O195" s="5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56"/>
      <c r="N196" s="57"/>
      <c r="O196" s="5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56"/>
      <c r="N197" s="57"/>
      <c r="O197" s="5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56"/>
      <c r="N198" s="57"/>
      <c r="O198" s="5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56"/>
      <c r="N199" s="57"/>
      <c r="O199" s="5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56"/>
      <c r="N200" s="57"/>
      <c r="O200" s="5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56"/>
      <c r="N201" s="57"/>
      <c r="O201" s="5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56"/>
      <c r="N202" s="57"/>
      <c r="O202" s="5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56"/>
      <c r="N203" s="57"/>
      <c r="O203" s="5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56"/>
      <c r="N204" s="57"/>
      <c r="O204" s="5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56"/>
      <c r="N205" s="57"/>
      <c r="O205" s="5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56"/>
      <c r="N206" s="57"/>
      <c r="O206" s="5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56"/>
      <c r="N207" s="57"/>
      <c r="O207" s="5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56"/>
      <c r="N208" s="57"/>
      <c r="O208" s="5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56"/>
      <c r="N209" s="57"/>
      <c r="O209" s="5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56"/>
      <c r="N210" s="57"/>
      <c r="O210" s="5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56"/>
      <c r="N211" s="57"/>
      <c r="O211" s="5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56"/>
      <c r="N212" s="57"/>
      <c r="O212" s="5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56"/>
      <c r="N213" s="57"/>
      <c r="O213" s="5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56"/>
      <c r="N214" s="57"/>
      <c r="O214" s="5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56"/>
      <c r="N215" s="57"/>
      <c r="O215" s="5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56"/>
      <c r="N216" s="57"/>
      <c r="O216" s="5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56"/>
      <c r="N217" s="57"/>
      <c r="O217" s="5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56"/>
      <c r="N218" s="57"/>
      <c r="O218" s="5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56"/>
      <c r="N219" s="57"/>
      <c r="O219" s="5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56"/>
      <c r="N220" s="57"/>
      <c r="O220" s="5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56"/>
      <c r="N221" s="57"/>
      <c r="O221" s="5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56"/>
      <c r="N222" s="57"/>
      <c r="O222" s="5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56"/>
      <c r="N223" s="57"/>
      <c r="O223" s="5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56"/>
      <c r="N224" s="57"/>
      <c r="O224" s="5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56"/>
      <c r="N225" s="57"/>
      <c r="O225" s="5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56"/>
      <c r="N226" s="57"/>
      <c r="O226" s="5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56"/>
      <c r="N227" s="57"/>
      <c r="O227" s="5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56"/>
      <c r="N228" s="57"/>
      <c r="O228" s="5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56"/>
      <c r="N229" s="57"/>
      <c r="O229" s="5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56"/>
      <c r="N230" s="57"/>
      <c r="O230" s="5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56"/>
      <c r="N231" s="57"/>
      <c r="O231" s="5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56"/>
      <c r="N232" s="57"/>
      <c r="O232" s="5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56"/>
      <c r="N233" s="57"/>
      <c r="O233" s="5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56"/>
      <c r="N234" s="57"/>
      <c r="O234" s="5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56"/>
      <c r="N235" s="57"/>
      <c r="O235" s="5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56"/>
      <c r="N236" s="57"/>
      <c r="O236" s="5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56"/>
      <c r="N237" s="57"/>
      <c r="O237" s="5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56"/>
      <c r="N238" s="57"/>
      <c r="O238" s="5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56"/>
      <c r="N239" s="57"/>
      <c r="O239" s="5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56"/>
      <c r="N240" s="57"/>
      <c r="O240" s="5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22:B22"/>
    <mergeCell ref="C22:E22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24:B24"/>
    <mergeCell ref="C24:E24"/>
    <mergeCell ref="F24:G24"/>
    <mergeCell ref="H24:I24"/>
    <mergeCell ref="J24:L24"/>
    <mergeCell ref="M24:N24"/>
    <mergeCell ref="O24:P24"/>
    <mergeCell ref="A25:B25"/>
    <mergeCell ref="C25:E25"/>
    <mergeCell ref="F25:G25"/>
    <mergeCell ref="H25:I25"/>
    <mergeCell ref="J25:L25"/>
    <mergeCell ref="M25:N25"/>
    <mergeCell ref="O25:P25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32:G32"/>
    <mergeCell ref="H32:P32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1:M11"/>
    <mergeCell ref="A12:M12"/>
    <mergeCell ref="N12:O12"/>
    <mergeCell ref="A13:P13"/>
    <mergeCell ref="A14:C14"/>
    <mergeCell ref="G14:H14"/>
    <mergeCell ref="O14:P14"/>
    <mergeCell ref="D17:L17"/>
    <mergeCell ref="M17:N17"/>
    <mergeCell ref="D18:L18"/>
    <mergeCell ref="M18:N18"/>
    <mergeCell ref="O18:P18"/>
    <mergeCell ref="A19:P19"/>
    <mergeCell ref="D14:F14"/>
    <mergeCell ref="A15:P15"/>
    <mergeCell ref="A16:C16"/>
    <mergeCell ref="D16:L16"/>
    <mergeCell ref="M16:N16"/>
    <mergeCell ref="O16:P16"/>
    <mergeCell ref="O17:P17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6.29"/>
    <col customWidth="1" min="3" max="3" width="17.0"/>
    <col customWidth="1" min="4" max="4" width="26.71"/>
    <col customWidth="1" min="5" max="5" width="15.71"/>
    <col customWidth="1" min="6" max="6" width="25.86"/>
    <col customWidth="1" min="7" max="7" width="36.29"/>
    <col customWidth="1" min="8" max="8" width="17.0"/>
    <col customWidth="1" min="9" max="9" width="26.71"/>
    <col customWidth="1" min="10" max="26" width="10.71"/>
  </cols>
  <sheetData>
    <row r="1" ht="25.5" customHeight="1">
      <c r="A1" s="380"/>
      <c r="B1" s="3"/>
      <c r="C1" s="380" t="s">
        <v>0</v>
      </c>
      <c r="D1" s="2"/>
      <c r="E1" s="2"/>
      <c r="F1" s="2"/>
      <c r="G1" s="3"/>
      <c r="H1" s="381" t="s">
        <v>1</v>
      </c>
      <c r="I1" s="381" t="s">
        <v>337</v>
      </c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</row>
    <row r="2" ht="24.0" customHeight="1">
      <c r="A2" s="8"/>
      <c r="B2" s="9"/>
      <c r="C2" s="8"/>
      <c r="G2" s="9"/>
      <c r="H2" s="381" t="s">
        <v>3</v>
      </c>
      <c r="I2" s="382">
        <v>1.0</v>
      </c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</row>
    <row r="3" ht="24.0" customHeight="1">
      <c r="A3" s="8"/>
      <c r="B3" s="9"/>
      <c r="C3" s="10"/>
      <c r="D3" s="11"/>
      <c r="E3" s="11"/>
      <c r="F3" s="11"/>
      <c r="G3" s="12"/>
      <c r="H3" s="381" t="s">
        <v>5</v>
      </c>
      <c r="I3" s="381" t="s">
        <v>6</v>
      </c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</row>
    <row r="4" ht="30.0" customHeight="1">
      <c r="A4" s="8"/>
      <c r="B4" s="9"/>
      <c r="C4" s="380" t="s">
        <v>338</v>
      </c>
      <c r="D4" s="2"/>
      <c r="E4" s="2"/>
      <c r="F4" s="2"/>
      <c r="G4" s="3"/>
      <c r="H4" s="381" t="s">
        <v>7</v>
      </c>
      <c r="I4" s="381" t="s">
        <v>339</v>
      </c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</row>
    <row r="5" ht="22.5" customHeight="1">
      <c r="A5" s="10"/>
      <c r="B5" s="12"/>
      <c r="C5" s="10"/>
      <c r="D5" s="11"/>
      <c r="E5" s="11"/>
      <c r="F5" s="11"/>
      <c r="G5" s="12"/>
      <c r="H5" s="381"/>
      <c r="I5" s="383" t="s">
        <v>340</v>
      </c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</row>
    <row r="6" ht="14.25" customHeight="1">
      <c r="A6" s="384"/>
      <c r="B6" s="384"/>
      <c r="C6" s="384"/>
      <c r="D6" s="384"/>
      <c r="E6" s="384"/>
      <c r="F6" s="384"/>
      <c r="G6" s="384"/>
      <c r="H6" s="384"/>
      <c r="I6" s="384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</row>
    <row r="7" ht="14.25" customHeight="1">
      <c r="A7" s="385"/>
      <c r="B7" s="385"/>
      <c r="C7" s="385"/>
      <c r="D7" s="385"/>
      <c r="E7" s="385"/>
      <c r="F7" s="385"/>
      <c r="G7" s="385"/>
      <c r="H7" s="385"/>
      <c r="I7" s="385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</row>
    <row r="8" ht="22.5" customHeight="1">
      <c r="A8" s="386"/>
      <c r="B8" s="380" t="s">
        <v>0</v>
      </c>
      <c r="C8" s="2"/>
      <c r="D8" s="2"/>
      <c r="E8" s="2"/>
      <c r="F8" s="3"/>
      <c r="G8" s="381" t="s">
        <v>1</v>
      </c>
      <c r="H8" s="387" t="s">
        <v>337</v>
      </c>
      <c r="I8" s="5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</row>
    <row r="9" ht="24.0" customHeight="1">
      <c r="A9" s="8"/>
      <c r="B9" s="8"/>
      <c r="F9" s="9"/>
      <c r="G9" s="381" t="s">
        <v>3</v>
      </c>
      <c r="H9" s="388">
        <v>1.0</v>
      </c>
      <c r="I9" s="5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</row>
    <row r="10" ht="24.0" customHeight="1">
      <c r="A10" s="8"/>
      <c r="B10" s="10"/>
      <c r="C10" s="11"/>
      <c r="D10" s="11"/>
      <c r="E10" s="11"/>
      <c r="F10" s="12"/>
      <c r="G10" s="381" t="s">
        <v>5</v>
      </c>
      <c r="H10" s="387" t="s">
        <v>6</v>
      </c>
      <c r="I10" s="5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</row>
    <row r="11" ht="21.0" customHeight="1">
      <c r="A11" s="8"/>
      <c r="B11" s="380" t="s">
        <v>338</v>
      </c>
      <c r="C11" s="2"/>
      <c r="D11" s="2"/>
      <c r="E11" s="2"/>
      <c r="F11" s="3"/>
      <c r="G11" s="389" t="s">
        <v>7</v>
      </c>
      <c r="H11" s="387" t="s">
        <v>339</v>
      </c>
      <c r="I11" s="5"/>
      <c r="J11" s="273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</row>
    <row r="12" ht="24.0" customHeight="1">
      <c r="A12" s="10"/>
      <c r="B12" s="10"/>
      <c r="C12" s="11"/>
      <c r="D12" s="11"/>
      <c r="E12" s="11"/>
      <c r="F12" s="12"/>
      <c r="G12" s="277"/>
      <c r="H12" s="390" t="s">
        <v>340</v>
      </c>
      <c r="I12" s="5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</row>
    <row r="13" ht="54.0" customHeight="1">
      <c r="A13" s="391" t="s">
        <v>341</v>
      </c>
      <c r="B13" s="392"/>
      <c r="C13" s="24"/>
      <c r="D13" s="24"/>
      <c r="E13" s="24"/>
      <c r="F13" s="24"/>
      <c r="G13" s="24"/>
      <c r="H13" s="24"/>
      <c r="I13" s="5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</row>
    <row r="14" ht="57.0" customHeight="1">
      <c r="A14" s="391" t="s">
        <v>342</v>
      </c>
      <c r="B14" s="392"/>
      <c r="C14" s="24"/>
      <c r="D14" s="24"/>
      <c r="E14" s="24"/>
      <c r="F14" s="5"/>
      <c r="G14" s="391" t="s">
        <v>184</v>
      </c>
      <c r="H14" s="393"/>
      <c r="I14" s="5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</row>
    <row r="15" ht="63.75" customHeight="1">
      <c r="A15" s="391" t="s">
        <v>343</v>
      </c>
      <c r="B15" s="392"/>
      <c r="C15" s="24"/>
      <c r="D15" s="24"/>
      <c r="E15" s="24"/>
      <c r="F15" s="5"/>
      <c r="G15" s="391" t="s">
        <v>344</v>
      </c>
      <c r="H15" s="392"/>
      <c r="I15" s="5"/>
      <c r="J15" s="273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</row>
    <row r="16" ht="66.75" customHeight="1">
      <c r="A16" s="391" t="s">
        <v>345</v>
      </c>
      <c r="B16" s="392"/>
      <c r="C16" s="24"/>
      <c r="D16" s="24"/>
      <c r="E16" s="24"/>
      <c r="F16" s="5"/>
      <c r="G16" s="391" t="s">
        <v>344</v>
      </c>
      <c r="H16" s="392"/>
      <c r="I16" s="5"/>
      <c r="J16" s="273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</row>
    <row r="17" ht="63.75" customHeight="1">
      <c r="A17" s="391" t="s">
        <v>346</v>
      </c>
      <c r="B17" s="392"/>
      <c r="C17" s="24"/>
      <c r="D17" s="24"/>
      <c r="E17" s="24"/>
      <c r="F17" s="24"/>
      <c r="G17" s="24"/>
      <c r="H17" s="24"/>
      <c r="I17" s="5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</row>
    <row r="18" ht="46.5" customHeight="1">
      <c r="A18" s="391" t="s">
        <v>202</v>
      </c>
      <c r="B18" s="392"/>
      <c r="C18" s="24"/>
      <c r="D18" s="24"/>
      <c r="E18" s="24"/>
      <c r="F18" s="5"/>
      <c r="G18" s="391" t="s">
        <v>261</v>
      </c>
      <c r="H18" s="393"/>
      <c r="I18" s="5"/>
      <c r="J18" s="273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</row>
    <row r="19" ht="48.0" customHeight="1">
      <c r="A19" s="391" t="s">
        <v>182</v>
      </c>
      <c r="B19" s="392"/>
      <c r="C19" s="24"/>
      <c r="D19" s="24"/>
      <c r="E19" s="24"/>
      <c r="F19" s="5"/>
      <c r="G19" s="391" t="s">
        <v>261</v>
      </c>
      <c r="H19" s="393"/>
      <c r="I19" s="5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</row>
    <row r="20" ht="14.25" customHeight="1">
      <c r="A20" s="394"/>
      <c r="B20" s="273"/>
      <c r="C20" s="273"/>
      <c r="D20" s="273"/>
      <c r="E20" s="273"/>
      <c r="F20" s="273"/>
      <c r="G20" s="273"/>
      <c r="H20" s="273"/>
      <c r="I20" s="9"/>
      <c r="J20" s="273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</row>
    <row r="21" ht="22.5" customHeight="1">
      <c r="A21" s="386"/>
      <c r="B21" s="380" t="s">
        <v>0</v>
      </c>
      <c r="C21" s="2"/>
      <c r="D21" s="2"/>
      <c r="E21" s="2"/>
      <c r="F21" s="3"/>
      <c r="G21" s="381" t="s">
        <v>1</v>
      </c>
      <c r="H21" s="387" t="s">
        <v>337</v>
      </c>
      <c r="I21" s="5"/>
      <c r="J21" s="273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273"/>
    </row>
    <row r="22" ht="23.25" customHeight="1">
      <c r="A22" s="8"/>
      <c r="B22" s="8"/>
      <c r="F22" s="9"/>
      <c r="G22" s="381" t="s">
        <v>3</v>
      </c>
      <c r="H22" s="388">
        <v>1.0</v>
      </c>
      <c r="I22" s="5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</row>
    <row r="23" ht="27.75" customHeight="1">
      <c r="A23" s="8"/>
      <c r="B23" s="10"/>
      <c r="C23" s="11"/>
      <c r="D23" s="11"/>
      <c r="E23" s="11"/>
      <c r="F23" s="12"/>
      <c r="G23" s="381" t="s">
        <v>5</v>
      </c>
      <c r="H23" s="387" t="s">
        <v>6</v>
      </c>
      <c r="I23" s="5"/>
      <c r="J23" s="273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</row>
    <row r="24" ht="27.75" customHeight="1">
      <c r="A24" s="8"/>
      <c r="B24" s="380" t="s">
        <v>338</v>
      </c>
      <c r="C24" s="2"/>
      <c r="D24" s="2"/>
      <c r="E24" s="2"/>
      <c r="F24" s="3"/>
      <c r="G24" s="389" t="s">
        <v>7</v>
      </c>
      <c r="H24" s="387" t="s">
        <v>339</v>
      </c>
      <c r="I24" s="5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</row>
    <row r="25" ht="34.5" customHeight="1">
      <c r="A25" s="10"/>
      <c r="B25" s="10"/>
      <c r="C25" s="11"/>
      <c r="D25" s="11"/>
      <c r="E25" s="11"/>
      <c r="F25" s="12"/>
      <c r="G25" s="277"/>
      <c r="H25" s="390" t="s">
        <v>340</v>
      </c>
      <c r="I25" s="5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</row>
    <row r="26" ht="63.75" customHeight="1">
      <c r="A26" s="391" t="s">
        <v>341</v>
      </c>
      <c r="B26" s="392"/>
      <c r="C26" s="24"/>
      <c r="D26" s="24"/>
      <c r="E26" s="24"/>
      <c r="F26" s="24"/>
      <c r="G26" s="24"/>
      <c r="H26" s="24"/>
      <c r="I26" s="5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</row>
    <row r="27" ht="48.0" customHeight="1">
      <c r="A27" s="391" t="s">
        <v>342</v>
      </c>
      <c r="B27" s="392"/>
      <c r="C27" s="24"/>
      <c r="D27" s="24"/>
      <c r="E27" s="24"/>
      <c r="F27" s="5"/>
      <c r="G27" s="391" t="s">
        <v>184</v>
      </c>
      <c r="H27" s="393"/>
      <c r="I27" s="5"/>
      <c r="J27" s="273"/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</row>
    <row r="28" ht="57.75" customHeight="1">
      <c r="A28" s="391" t="s">
        <v>343</v>
      </c>
      <c r="B28" s="392"/>
      <c r="C28" s="24"/>
      <c r="D28" s="24"/>
      <c r="E28" s="24"/>
      <c r="F28" s="5"/>
      <c r="G28" s="391" t="s">
        <v>344</v>
      </c>
      <c r="H28" s="392"/>
      <c r="I28" s="5"/>
      <c r="J28" s="273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</row>
    <row r="29" ht="57.0" customHeight="1">
      <c r="A29" s="391" t="s">
        <v>345</v>
      </c>
      <c r="B29" s="392"/>
      <c r="C29" s="24"/>
      <c r="D29" s="24"/>
      <c r="E29" s="24"/>
      <c r="F29" s="5"/>
      <c r="G29" s="391" t="s">
        <v>344</v>
      </c>
      <c r="H29" s="392"/>
      <c r="I29" s="5"/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</row>
    <row r="30" ht="49.5" customHeight="1">
      <c r="A30" s="391" t="s">
        <v>346</v>
      </c>
      <c r="B30" s="392"/>
      <c r="C30" s="24"/>
      <c r="D30" s="24"/>
      <c r="E30" s="24"/>
      <c r="F30" s="24"/>
      <c r="G30" s="24"/>
      <c r="H30" s="24"/>
      <c r="I30" s="5"/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</row>
    <row r="31" ht="42.75" customHeight="1">
      <c r="A31" s="391" t="s">
        <v>202</v>
      </c>
      <c r="B31" s="392"/>
      <c r="C31" s="24"/>
      <c r="D31" s="24"/>
      <c r="E31" s="24"/>
      <c r="F31" s="5"/>
      <c r="G31" s="391" t="s">
        <v>261</v>
      </c>
      <c r="H31" s="393"/>
      <c r="I31" s="5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</row>
    <row r="32" ht="48.0" customHeight="1">
      <c r="A32" s="391" t="s">
        <v>182</v>
      </c>
      <c r="B32" s="392"/>
      <c r="C32" s="24"/>
      <c r="D32" s="24"/>
      <c r="E32" s="24"/>
      <c r="F32" s="5"/>
      <c r="G32" s="391" t="s">
        <v>261</v>
      </c>
      <c r="H32" s="393"/>
      <c r="I32" s="5"/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</row>
    <row r="33" ht="14.25" customHeight="1">
      <c r="A33" s="394"/>
      <c r="B33" s="273"/>
      <c r="C33" s="273"/>
      <c r="D33" s="273"/>
      <c r="E33" s="273"/>
      <c r="F33" s="273"/>
      <c r="G33" s="273"/>
      <c r="H33" s="273"/>
      <c r="I33" s="395"/>
      <c r="J33" s="273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  <c r="Z33" s="273"/>
    </row>
    <row r="34" ht="24.75" customHeight="1">
      <c r="A34" s="386"/>
      <c r="B34" s="380" t="s">
        <v>0</v>
      </c>
      <c r="C34" s="2"/>
      <c r="D34" s="2"/>
      <c r="E34" s="2"/>
      <c r="F34" s="3"/>
      <c r="G34" s="381" t="s">
        <v>1</v>
      </c>
      <c r="H34" s="387" t="s">
        <v>337</v>
      </c>
      <c r="I34" s="5"/>
      <c r="J34" s="273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  <c r="Z34" s="273"/>
    </row>
    <row r="35" ht="21.75" customHeight="1">
      <c r="A35" s="8"/>
      <c r="B35" s="8"/>
      <c r="F35" s="9"/>
      <c r="G35" s="381" t="s">
        <v>3</v>
      </c>
      <c r="H35" s="388">
        <v>1.0</v>
      </c>
      <c r="I35" s="5"/>
      <c r="J35" s="273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  <c r="Z35" s="273"/>
    </row>
    <row r="36" ht="25.5" customHeight="1">
      <c r="A36" s="8"/>
      <c r="B36" s="10"/>
      <c r="C36" s="11"/>
      <c r="D36" s="11"/>
      <c r="E36" s="11"/>
      <c r="F36" s="12"/>
      <c r="G36" s="381" t="s">
        <v>5</v>
      </c>
      <c r="H36" s="387" t="s">
        <v>6</v>
      </c>
      <c r="I36" s="5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</row>
    <row r="37" ht="27.75" customHeight="1">
      <c r="A37" s="8"/>
      <c r="B37" s="380" t="s">
        <v>338</v>
      </c>
      <c r="C37" s="2"/>
      <c r="D37" s="2"/>
      <c r="E37" s="2"/>
      <c r="F37" s="3"/>
      <c r="G37" s="389" t="s">
        <v>7</v>
      </c>
      <c r="H37" s="387" t="s">
        <v>339</v>
      </c>
      <c r="I37" s="5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</row>
    <row r="38" ht="30.75" customHeight="1">
      <c r="A38" s="10"/>
      <c r="B38" s="10"/>
      <c r="C38" s="11"/>
      <c r="D38" s="11"/>
      <c r="E38" s="11"/>
      <c r="F38" s="12"/>
      <c r="G38" s="277"/>
      <c r="H38" s="390" t="s">
        <v>340</v>
      </c>
      <c r="I38" s="5"/>
      <c r="J38" s="273"/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</row>
    <row r="39" ht="54.0" customHeight="1">
      <c r="A39" s="391" t="s">
        <v>341</v>
      </c>
      <c r="B39" s="392"/>
      <c r="C39" s="24"/>
      <c r="D39" s="24"/>
      <c r="E39" s="24"/>
      <c r="F39" s="24"/>
      <c r="G39" s="24"/>
      <c r="H39" s="24"/>
      <c r="I39" s="5"/>
      <c r="J39" s="273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  <c r="Z39" s="273"/>
    </row>
    <row r="40" ht="48.75" customHeight="1">
      <c r="A40" s="391" t="s">
        <v>342</v>
      </c>
      <c r="B40" s="392"/>
      <c r="C40" s="24"/>
      <c r="D40" s="24"/>
      <c r="E40" s="24"/>
      <c r="F40" s="5"/>
      <c r="G40" s="391" t="s">
        <v>184</v>
      </c>
      <c r="H40" s="393"/>
      <c r="I40" s="5"/>
      <c r="J40" s="273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</row>
    <row r="41" ht="52.5" customHeight="1">
      <c r="A41" s="391" t="s">
        <v>343</v>
      </c>
      <c r="B41" s="392"/>
      <c r="C41" s="24"/>
      <c r="D41" s="24"/>
      <c r="E41" s="24"/>
      <c r="F41" s="5"/>
      <c r="G41" s="391" t="s">
        <v>344</v>
      </c>
      <c r="H41" s="392"/>
      <c r="I41" s="5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</row>
    <row r="42" ht="54.75" customHeight="1">
      <c r="A42" s="391" t="s">
        <v>345</v>
      </c>
      <c r="B42" s="392"/>
      <c r="C42" s="24"/>
      <c r="D42" s="24"/>
      <c r="E42" s="24"/>
      <c r="F42" s="5"/>
      <c r="G42" s="391" t="s">
        <v>344</v>
      </c>
      <c r="H42" s="392"/>
      <c r="I42" s="5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</row>
    <row r="43" ht="57.75" customHeight="1">
      <c r="A43" s="391" t="s">
        <v>346</v>
      </c>
      <c r="B43" s="392"/>
      <c r="C43" s="24"/>
      <c r="D43" s="24"/>
      <c r="E43" s="24"/>
      <c r="F43" s="24"/>
      <c r="G43" s="24"/>
      <c r="H43" s="24"/>
      <c r="I43" s="5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</row>
    <row r="44" ht="54.0" customHeight="1">
      <c r="A44" s="391" t="s">
        <v>202</v>
      </c>
      <c r="B44" s="392"/>
      <c r="C44" s="24"/>
      <c r="D44" s="24"/>
      <c r="E44" s="24"/>
      <c r="F44" s="5"/>
      <c r="G44" s="391" t="s">
        <v>261</v>
      </c>
      <c r="H44" s="393"/>
      <c r="I44" s="5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</row>
    <row r="45" ht="54.0" customHeight="1">
      <c r="A45" s="391" t="s">
        <v>182</v>
      </c>
      <c r="B45" s="392"/>
      <c r="C45" s="24"/>
      <c r="D45" s="24"/>
      <c r="E45" s="24"/>
      <c r="F45" s="5"/>
      <c r="G45" s="391" t="s">
        <v>261</v>
      </c>
      <c r="H45" s="393"/>
      <c r="I45" s="5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</row>
    <row r="46" ht="14.25" customHeight="1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</row>
    <row r="47" ht="14.25" customHeight="1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</row>
    <row r="48" ht="14.25" customHeight="1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</row>
    <row r="49" ht="14.25" customHeight="1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</row>
    <row r="50" ht="14.25" customHeight="1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</row>
    <row r="51" ht="14.2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</row>
    <row r="52" ht="14.2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</row>
    <row r="53" ht="14.2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</row>
    <row r="54" ht="14.2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</row>
    <row r="55" ht="14.2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</row>
    <row r="56" ht="14.2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</row>
    <row r="57" ht="14.2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</row>
    <row r="58" ht="14.2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</row>
    <row r="59" ht="14.2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</row>
    <row r="60" ht="14.2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</row>
    <row r="61" ht="14.2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</row>
    <row r="62" ht="14.2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</row>
    <row r="63" ht="14.2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</row>
    <row r="64" ht="14.2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</row>
    <row r="65" ht="14.2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273"/>
    </row>
    <row r="66" ht="14.2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</row>
    <row r="67" ht="14.2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  <c r="Z67" s="273"/>
    </row>
    <row r="68" ht="14.2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273"/>
    </row>
    <row r="69" ht="14.2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273"/>
    </row>
    <row r="70" ht="14.2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</row>
    <row r="71" ht="14.2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</row>
    <row r="72" ht="14.2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</row>
    <row r="73" ht="14.2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</row>
    <row r="74" ht="14.2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</row>
    <row r="75" ht="14.2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273"/>
    </row>
    <row r="76" ht="14.2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</row>
    <row r="77" ht="14.2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273"/>
    </row>
    <row r="78" ht="14.2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</row>
    <row r="79" ht="14.2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</row>
    <row r="80" ht="14.2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</row>
    <row r="81" ht="14.2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</row>
    <row r="82" ht="14.2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</row>
    <row r="83" ht="14.2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</row>
    <row r="84" ht="14.2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</row>
    <row r="85" ht="14.2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  <c r="Z85" s="273"/>
    </row>
    <row r="86" ht="14.2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</row>
    <row r="87" ht="14.2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  <c r="Z87" s="273"/>
    </row>
    <row r="88" ht="14.2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</row>
    <row r="89" ht="14.2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  <c r="Z89" s="273"/>
    </row>
    <row r="90" ht="14.2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</row>
    <row r="91" ht="14.2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  <c r="Z91" s="273"/>
    </row>
    <row r="92" ht="14.2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</row>
    <row r="93" ht="14.2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</row>
    <row r="94" ht="14.2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</row>
    <row r="95" ht="14.2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  <c r="Z95" s="273"/>
    </row>
    <row r="96" ht="14.2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</row>
    <row r="97" ht="14.2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  <c r="Z97" s="273"/>
    </row>
    <row r="98" ht="14.2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</row>
    <row r="99" ht="14.2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</row>
    <row r="100" ht="14.2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</row>
    <row r="101" ht="14.2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</row>
    <row r="102" ht="14.2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</row>
    <row r="103" ht="14.2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</row>
    <row r="104" ht="14.2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</row>
    <row r="105" ht="14.2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  <c r="Z105" s="273"/>
    </row>
    <row r="106" ht="14.2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</row>
    <row r="107" ht="14.2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</row>
    <row r="108" ht="14.2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</row>
    <row r="109" ht="14.2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  <c r="Z109" s="273"/>
    </row>
    <row r="110" ht="14.2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</row>
    <row r="111" ht="14.2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  <c r="Z111" s="273"/>
    </row>
    <row r="112" ht="14.2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</row>
    <row r="113" ht="14.2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  <c r="Z113" s="273"/>
    </row>
    <row r="114" ht="14.2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</row>
    <row r="115" ht="14.2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  <c r="Z115" s="273"/>
    </row>
    <row r="116" ht="14.2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</row>
    <row r="117" ht="14.2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</row>
    <row r="118" ht="14.2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</row>
    <row r="119" ht="14.2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</row>
    <row r="120" ht="14.2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</row>
    <row r="121" ht="14.2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  <c r="Z121" s="273"/>
    </row>
    <row r="122" ht="14.2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</row>
    <row r="123" ht="14.2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  <c r="Z123" s="273"/>
    </row>
    <row r="124" ht="14.2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</row>
    <row r="125" ht="14.2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</row>
    <row r="126" ht="14.2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</row>
    <row r="127" ht="14.2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</row>
    <row r="128" ht="14.2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  <c r="Z128" s="273"/>
    </row>
    <row r="129" ht="14.2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  <c r="Z129" s="273"/>
    </row>
    <row r="130" ht="14.2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</row>
    <row r="131" ht="14.2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  <c r="Z131" s="273"/>
    </row>
    <row r="132" ht="14.2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</row>
    <row r="133" ht="14.2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  <c r="Z133" s="273"/>
    </row>
    <row r="134" ht="14.2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</row>
    <row r="135" ht="14.2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</row>
    <row r="136" ht="14.2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</row>
    <row r="137" ht="14.2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</row>
    <row r="138" ht="14.2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</row>
    <row r="139" ht="14.2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  <c r="Z139" s="273"/>
    </row>
    <row r="140" ht="14.2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</row>
    <row r="141" ht="14.2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  <c r="Z141" s="273"/>
    </row>
    <row r="142" ht="14.2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</row>
    <row r="143" ht="14.2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</row>
    <row r="144" ht="14.2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</row>
    <row r="145" ht="14.2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</row>
    <row r="146" ht="14.2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</row>
    <row r="147" ht="14.2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  <c r="Z147" s="273"/>
    </row>
    <row r="148" ht="14.2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</row>
    <row r="149" ht="14.2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  <c r="Z149" s="273"/>
    </row>
    <row r="150" ht="14.2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</row>
    <row r="151" ht="14.2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</row>
    <row r="152" ht="14.2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</row>
    <row r="153" ht="14.2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  <c r="Z153" s="273"/>
    </row>
    <row r="154" ht="14.2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</row>
    <row r="155" ht="14.2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  <c r="Z155" s="273"/>
    </row>
    <row r="156" ht="14.2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</row>
    <row r="157" ht="14.2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  <c r="Z157" s="273"/>
    </row>
    <row r="158" ht="14.2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</row>
    <row r="159" ht="14.2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</row>
    <row r="160" ht="14.2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</row>
    <row r="161" ht="14.2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  <c r="Z161" s="273"/>
    </row>
    <row r="162" ht="14.2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</row>
    <row r="163" ht="14.2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  <c r="Z163" s="273"/>
    </row>
    <row r="164" ht="14.2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</row>
    <row r="165" ht="14.2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  <c r="Z165" s="273"/>
    </row>
    <row r="166" ht="14.2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</row>
    <row r="167" ht="14.2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  <c r="Z167" s="273"/>
    </row>
    <row r="168" ht="14.2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</row>
    <row r="169" ht="14.2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  <c r="Z169" s="273"/>
    </row>
    <row r="170" ht="14.2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</row>
    <row r="171" ht="14.2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</row>
    <row r="172" ht="14.2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</row>
    <row r="173" ht="14.2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  <c r="Z173" s="273"/>
    </row>
    <row r="174" ht="14.2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</row>
    <row r="175" ht="14.2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  <c r="Z175" s="273"/>
    </row>
    <row r="176" ht="14.2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</row>
    <row r="177" ht="14.2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</row>
    <row r="178" ht="14.2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</row>
    <row r="179" ht="14.2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  <c r="Z179" s="273"/>
    </row>
    <row r="180" ht="14.2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</row>
    <row r="181" ht="14.2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  <c r="Z181" s="273"/>
    </row>
    <row r="182" ht="14.2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</row>
    <row r="183" ht="14.2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  <c r="Z183" s="273"/>
    </row>
    <row r="184" ht="14.2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</row>
    <row r="185" ht="14.2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  <c r="Z185" s="273"/>
    </row>
    <row r="186" ht="14.2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</row>
    <row r="187" ht="14.2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  <c r="Z187" s="273"/>
    </row>
    <row r="188" ht="14.2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</row>
    <row r="189" ht="14.2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  <c r="Z189" s="273"/>
    </row>
    <row r="190" ht="14.2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</row>
    <row r="191" ht="14.2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  <c r="Z191" s="273"/>
    </row>
    <row r="192" ht="14.2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</row>
    <row r="193" ht="14.2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</row>
    <row r="194" ht="14.2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</row>
    <row r="195" ht="14.2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3"/>
    </row>
    <row r="196" ht="14.2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</row>
    <row r="197" ht="14.2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</row>
    <row r="198" ht="14.2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</row>
    <row r="199" ht="14.2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</row>
    <row r="200" ht="14.2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</row>
    <row r="201" ht="14.2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</row>
    <row r="202" ht="14.2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</row>
    <row r="203" ht="14.2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</row>
    <row r="204" ht="14.2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</row>
    <row r="205" ht="14.2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</row>
    <row r="206" ht="14.2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</row>
    <row r="207" ht="14.2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</row>
    <row r="208" ht="14.2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</row>
    <row r="209" ht="14.2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</row>
    <row r="210" ht="14.2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</row>
    <row r="211" ht="14.2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</row>
    <row r="212" ht="14.2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</row>
    <row r="213" ht="14.2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</row>
    <row r="214" ht="14.2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</row>
    <row r="215" ht="14.2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</row>
    <row r="216" ht="14.2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</row>
    <row r="217" ht="14.2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</row>
    <row r="218" ht="14.2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</row>
    <row r="219" ht="14.2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</row>
    <row r="220" ht="14.2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</row>
    <row r="221" ht="14.2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</row>
    <row r="222" ht="14.2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</row>
    <row r="223" ht="14.2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</row>
    <row r="224" ht="14.2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</row>
    <row r="225" ht="14.2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</row>
    <row r="226" ht="14.2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</row>
    <row r="227" ht="14.2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</row>
    <row r="228" ht="14.2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</row>
    <row r="229" ht="14.2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</row>
    <row r="230" ht="14.2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</row>
    <row r="231" ht="14.2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</row>
    <row r="232" ht="14.2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</row>
    <row r="233" ht="14.2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</row>
    <row r="234" ht="14.2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</row>
    <row r="235" ht="14.2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</row>
    <row r="236" ht="14.2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</row>
    <row r="237" ht="14.2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  <c r="Z237" s="273"/>
    </row>
    <row r="238" ht="14.2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</row>
    <row r="239" ht="14.2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  <c r="Z239" s="273"/>
    </row>
    <row r="240" ht="14.2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  <c r="Z240" s="273"/>
    </row>
    <row r="241" ht="14.2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  <c r="Z241" s="273"/>
    </row>
    <row r="242" ht="14.25" customHeight="1">
      <c r="A242" s="273"/>
      <c r="B242" s="273"/>
      <c r="C242" s="273"/>
      <c r="D242" s="273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</row>
    <row r="243" ht="14.25" customHeight="1">
      <c r="A243" s="273"/>
      <c r="B243" s="273"/>
      <c r="C243" s="273"/>
      <c r="D243" s="273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  <c r="Z243" s="273"/>
    </row>
    <row r="244" ht="14.25" customHeight="1">
      <c r="A244" s="273"/>
      <c r="B244" s="273"/>
      <c r="C244" s="273"/>
      <c r="D244" s="273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  <c r="Z244" s="273"/>
    </row>
    <row r="245" ht="14.25" customHeight="1">
      <c r="A245" s="273"/>
      <c r="B245" s="273"/>
      <c r="C245" s="273"/>
      <c r="D245" s="273"/>
      <c r="E245" s="273"/>
      <c r="F245" s="273"/>
      <c r="G245" s="273"/>
      <c r="H245" s="273"/>
      <c r="I245" s="273"/>
      <c r="J245" s="273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  <c r="Z245" s="27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B16:F16"/>
    <mergeCell ref="B17:I17"/>
    <mergeCell ref="B18:F18"/>
    <mergeCell ref="H18:I18"/>
    <mergeCell ref="H19:I19"/>
    <mergeCell ref="H20:I20"/>
    <mergeCell ref="A21:A25"/>
    <mergeCell ref="H23:I23"/>
    <mergeCell ref="B24:F25"/>
    <mergeCell ref="G24:G25"/>
    <mergeCell ref="H24:I24"/>
    <mergeCell ref="H25:I25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A34:A38"/>
    <mergeCell ref="H34:I34"/>
    <mergeCell ref="H35:I35"/>
    <mergeCell ref="G37:G38"/>
    <mergeCell ref="B42:F42"/>
    <mergeCell ref="B43:I43"/>
    <mergeCell ref="B44:F44"/>
    <mergeCell ref="H44:I44"/>
    <mergeCell ref="B45:F45"/>
    <mergeCell ref="H45:I45"/>
    <mergeCell ref="H38:I38"/>
    <mergeCell ref="B39:I39"/>
    <mergeCell ref="B40:F40"/>
    <mergeCell ref="H40:I40"/>
    <mergeCell ref="B41:F41"/>
    <mergeCell ref="H41:I41"/>
    <mergeCell ref="H42:I42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  <mergeCell ref="H16:I16"/>
    <mergeCell ref="B19:F19"/>
    <mergeCell ref="B21:F23"/>
    <mergeCell ref="H21:I21"/>
    <mergeCell ref="H22:I22"/>
    <mergeCell ref="B27:F27"/>
    <mergeCell ref="B28:F28"/>
    <mergeCell ref="H28:I28"/>
    <mergeCell ref="B29:F29"/>
    <mergeCell ref="H29:I29"/>
    <mergeCell ref="B30:I30"/>
    <mergeCell ref="H31:I31"/>
  </mergeCells>
  <printOptions/>
  <pageMargins bottom="0.75" footer="0.0" header="0.0" left="0.7" right="0.7" top="0.75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15.71"/>
    <col customWidth="1" min="3" max="3" width="30.57"/>
    <col customWidth="1" min="4" max="10" width="15.71"/>
    <col customWidth="1" min="11" max="11" width="29.57"/>
    <col customWidth="1" min="12" max="12" width="16.43"/>
    <col customWidth="1" min="13" max="13" width="12.71"/>
    <col customWidth="1" min="14" max="14" width="11.43"/>
  </cols>
  <sheetData>
    <row r="1" ht="18.75" customHeight="1">
      <c r="A1" s="385"/>
      <c r="B1" s="380"/>
      <c r="C1" s="3"/>
      <c r="D1" s="380" t="s">
        <v>0</v>
      </c>
      <c r="E1" s="2"/>
      <c r="F1" s="2"/>
      <c r="G1" s="2"/>
      <c r="H1" s="2"/>
      <c r="I1" s="2"/>
      <c r="J1" s="3"/>
      <c r="K1" s="381" t="s">
        <v>1</v>
      </c>
      <c r="L1" s="387" t="s">
        <v>347</v>
      </c>
      <c r="M1" s="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  <c r="Z1" s="385"/>
    </row>
    <row r="2" ht="19.5" customHeight="1">
      <c r="A2" s="385"/>
      <c r="B2" s="8"/>
      <c r="C2" s="9"/>
      <c r="D2" s="8"/>
      <c r="J2" s="9"/>
      <c r="K2" s="381" t="s">
        <v>3</v>
      </c>
      <c r="L2" s="388">
        <v>1.0</v>
      </c>
      <c r="M2" s="5"/>
      <c r="N2" s="385"/>
      <c r="O2" s="385"/>
      <c r="P2" s="385"/>
      <c r="Q2" s="385"/>
      <c r="R2" s="385"/>
      <c r="S2" s="385"/>
      <c r="T2" s="385"/>
      <c r="U2" s="385"/>
      <c r="V2" s="385"/>
      <c r="W2" s="385"/>
      <c r="X2" s="385"/>
      <c r="Y2" s="385"/>
      <c r="Z2" s="385"/>
    </row>
    <row r="3" ht="18.0" customHeight="1">
      <c r="A3" s="385"/>
      <c r="B3" s="8"/>
      <c r="C3" s="9"/>
      <c r="D3" s="10"/>
      <c r="E3" s="11"/>
      <c r="F3" s="11"/>
      <c r="G3" s="11"/>
      <c r="H3" s="11"/>
      <c r="I3" s="11"/>
      <c r="J3" s="12"/>
      <c r="K3" s="381" t="s">
        <v>5</v>
      </c>
      <c r="L3" s="387" t="s">
        <v>6</v>
      </c>
      <c r="M3" s="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</row>
    <row r="4" ht="24.75" customHeight="1">
      <c r="A4" s="385"/>
      <c r="B4" s="8"/>
      <c r="C4" s="9"/>
      <c r="D4" s="380" t="s">
        <v>348</v>
      </c>
      <c r="E4" s="2"/>
      <c r="F4" s="2"/>
      <c r="G4" s="2"/>
      <c r="H4" s="2"/>
      <c r="I4" s="2"/>
      <c r="J4" s="3"/>
      <c r="K4" s="389" t="s">
        <v>7</v>
      </c>
      <c r="L4" s="387" t="s">
        <v>205</v>
      </c>
      <c r="M4" s="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</row>
    <row r="5" ht="24.75" customHeight="1">
      <c r="A5" s="385"/>
      <c r="B5" s="10"/>
      <c r="C5" s="12"/>
      <c r="D5" s="10"/>
      <c r="E5" s="11"/>
      <c r="F5" s="11"/>
      <c r="G5" s="11"/>
      <c r="H5" s="11"/>
      <c r="I5" s="11"/>
      <c r="J5" s="12"/>
      <c r="K5" s="277"/>
      <c r="L5" s="390" t="s">
        <v>206</v>
      </c>
      <c r="M5" s="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</row>
    <row r="6" ht="30.75" customHeight="1">
      <c r="A6" s="385"/>
      <c r="B6" s="392" t="s">
        <v>349</v>
      </c>
      <c r="C6" s="5"/>
      <c r="D6" s="25" t="str">
        <f>'ORDEN ENVASADO'!F6</f>
        <v>SUERO DE NIACINAMIDA 5%</v>
      </c>
      <c r="E6" s="24"/>
      <c r="F6" s="24"/>
      <c r="G6" s="24"/>
      <c r="H6" s="24"/>
      <c r="I6" s="66"/>
      <c r="J6" s="392" t="s">
        <v>350</v>
      </c>
      <c r="K6" s="5"/>
      <c r="L6" s="396"/>
      <c r="M6" s="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</row>
    <row r="7" ht="38.25" customHeight="1">
      <c r="A7" s="385"/>
      <c r="B7" s="397" t="s">
        <v>351</v>
      </c>
      <c r="C7" s="5"/>
      <c r="D7" s="398" t="str">
        <f>ACONDICIONAMIENTO!F8</f>
        <v>252111</v>
      </c>
      <c r="E7" s="5"/>
      <c r="F7" s="387" t="s">
        <v>352</v>
      </c>
      <c r="G7" s="5"/>
      <c r="H7" s="399" t="str">
        <f>ACONDICIONAMIENTO!J8</f>
        <v>OP-L-099</v>
      </c>
      <c r="I7" s="5"/>
      <c r="J7" s="392" t="s">
        <v>214</v>
      </c>
      <c r="K7" s="5"/>
      <c r="L7" s="400"/>
      <c r="M7" s="5"/>
      <c r="N7" s="385"/>
      <c r="O7" s="385"/>
      <c r="P7" s="385"/>
      <c r="Q7" s="385"/>
      <c r="R7" s="385"/>
      <c r="S7" s="385"/>
      <c r="T7" s="385"/>
      <c r="U7" s="385"/>
      <c r="V7" s="385"/>
      <c r="W7" s="385"/>
      <c r="X7" s="385"/>
      <c r="Y7" s="385"/>
      <c r="Z7" s="385"/>
    </row>
    <row r="8" ht="30.0" customHeight="1">
      <c r="A8" s="385"/>
      <c r="B8" s="397" t="s">
        <v>24</v>
      </c>
      <c r="C8" s="5"/>
      <c r="D8" s="401" t="str">
        <f>OP!G11</f>
        <v>SOLUCION</v>
      </c>
      <c r="E8" s="24"/>
      <c r="F8" s="24"/>
      <c r="G8" s="24"/>
      <c r="H8" s="24"/>
      <c r="I8" s="5"/>
      <c r="J8" s="392" t="s">
        <v>353</v>
      </c>
      <c r="K8" s="5"/>
      <c r="L8" s="401"/>
      <c r="M8" s="5"/>
      <c r="N8" s="385"/>
      <c r="O8" s="385"/>
      <c r="P8" s="385"/>
      <c r="Q8" s="385"/>
      <c r="R8" s="385"/>
      <c r="S8" s="385"/>
      <c r="T8" s="385"/>
      <c r="U8" s="385"/>
      <c r="V8" s="385"/>
      <c r="W8" s="385"/>
      <c r="X8" s="385"/>
      <c r="Y8" s="385"/>
      <c r="Z8" s="385"/>
    </row>
    <row r="9" ht="24.75" customHeight="1">
      <c r="A9" s="385"/>
      <c r="B9" s="402" t="s">
        <v>354</v>
      </c>
      <c r="E9" s="403"/>
      <c r="F9" s="11"/>
      <c r="G9" s="404"/>
      <c r="H9" s="404" t="s">
        <v>355</v>
      </c>
      <c r="I9" s="404"/>
      <c r="J9" s="404"/>
      <c r="K9" s="404"/>
      <c r="L9" s="404"/>
      <c r="M9" s="405"/>
      <c r="N9" s="385"/>
      <c r="O9" s="385"/>
      <c r="P9" s="385"/>
      <c r="Q9" s="385"/>
      <c r="R9" s="385"/>
      <c r="S9" s="385"/>
      <c r="T9" s="385"/>
      <c r="U9" s="385"/>
      <c r="V9" s="385"/>
      <c r="W9" s="385"/>
      <c r="X9" s="385"/>
      <c r="Y9" s="385"/>
      <c r="Z9" s="385"/>
    </row>
    <row r="10" ht="16.5" customHeight="1">
      <c r="A10" s="385"/>
      <c r="B10" s="406"/>
      <c r="C10" s="404"/>
      <c r="D10" s="404"/>
      <c r="E10" s="404"/>
      <c r="F10" s="404"/>
      <c r="G10" s="404"/>
      <c r="H10" s="404"/>
      <c r="I10" s="404"/>
      <c r="J10" s="404"/>
      <c r="K10" s="404"/>
      <c r="L10" s="404"/>
      <c r="M10" s="405"/>
      <c r="N10" s="385"/>
      <c r="O10" s="385"/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</row>
    <row r="11" ht="36.0" customHeight="1">
      <c r="A11" s="385"/>
      <c r="B11" s="392" t="s">
        <v>356</v>
      </c>
      <c r="C11" s="5"/>
      <c r="D11" s="392" t="s">
        <v>217</v>
      </c>
      <c r="E11" s="24"/>
      <c r="F11" s="5"/>
      <c r="G11" s="392" t="s">
        <v>357</v>
      </c>
      <c r="H11" s="5"/>
      <c r="I11" s="392" t="s">
        <v>218</v>
      </c>
      <c r="J11" s="5"/>
      <c r="K11" s="391" t="s">
        <v>358</v>
      </c>
      <c r="L11" s="392" t="s">
        <v>359</v>
      </c>
      <c r="M11" s="5"/>
      <c r="N11" s="385"/>
      <c r="O11" s="385"/>
      <c r="P11" s="385"/>
      <c r="Q11" s="385"/>
      <c r="R11" s="385"/>
      <c r="S11" s="385"/>
      <c r="T11" s="385"/>
      <c r="U11" s="385"/>
      <c r="V11" s="385"/>
      <c r="W11" s="385"/>
      <c r="X11" s="385"/>
      <c r="Y11" s="385"/>
      <c r="Z11" s="385"/>
    </row>
    <row r="12" ht="31.5" customHeight="1">
      <c r="A12" s="385"/>
      <c r="B12" s="407" t="s">
        <v>360</v>
      </c>
      <c r="C12" s="408" t="s">
        <v>361</v>
      </c>
      <c r="D12" s="409" t="s">
        <v>362</v>
      </c>
      <c r="E12" s="11"/>
      <c r="F12" s="12"/>
      <c r="G12" s="410" t="s">
        <v>363</v>
      </c>
      <c r="H12" s="12"/>
      <c r="I12" s="411"/>
      <c r="J12" s="12"/>
      <c r="K12" s="412"/>
      <c r="L12" s="392"/>
      <c r="M12" s="5"/>
      <c r="N12" s="385"/>
      <c r="O12" s="385"/>
      <c r="P12" s="385"/>
      <c r="Q12" s="385"/>
      <c r="R12" s="385"/>
      <c r="S12" s="385"/>
      <c r="T12" s="385"/>
      <c r="U12" s="385"/>
      <c r="V12" s="385"/>
      <c r="W12" s="385"/>
      <c r="X12" s="385"/>
      <c r="Y12" s="385"/>
      <c r="Z12" s="385"/>
    </row>
    <row r="13" ht="31.5" customHeight="1">
      <c r="A13" s="385"/>
      <c r="B13" s="8"/>
      <c r="C13" s="381" t="s">
        <v>364</v>
      </c>
      <c r="D13" s="413" t="s">
        <v>365</v>
      </c>
      <c r="E13" s="24"/>
      <c r="F13" s="5"/>
      <c r="G13" s="414" t="s">
        <v>363</v>
      </c>
      <c r="H13" s="5"/>
      <c r="I13" s="392"/>
      <c r="J13" s="5"/>
      <c r="K13" s="391"/>
      <c r="L13" s="392"/>
      <c r="M13" s="5"/>
      <c r="N13" s="385"/>
      <c r="O13" s="385"/>
      <c r="P13" s="385"/>
      <c r="Q13" s="385"/>
      <c r="R13" s="385"/>
      <c r="S13" s="385"/>
      <c r="T13" s="385"/>
      <c r="U13" s="385"/>
      <c r="V13" s="385"/>
      <c r="W13" s="385"/>
      <c r="X13" s="385"/>
      <c r="Y13" s="385"/>
      <c r="Z13" s="385"/>
    </row>
    <row r="14" ht="54.0" customHeight="1">
      <c r="A14" s="385"/>
      <c r="B14" s="10"/>
      <c r="C14" s="387" t="s">
        <v>366</v>
      </c>
      <c r="D14" s="401" t="s">
        <v>367</v>
      </c>
      <c r="E14" s="24"/>
      <c r="F14" s="5"/>
      <c r="G14" s="414" t="s">
        <v>363</v>
      </c>
      <c r="H14" s="5"/>
      <c r="I14" s="392"/>
      <c r="J14" s="5"/>
      <c r="K14" s="391"/>
      <c r="L14" s="392"/>
      <c r="M14" s="5"/>
      <c r="N14" s="385"/>
      <c r="O14" s="385"/>
      <c r="P14" s="385"/>
      <c r="Q14" s="385"/>
      <c r="R14" s="385"/>
      <c r="S14" s="385"/>
      <c r="T14" s="385"/>
      <c r="U14" s="385"/>
      <c r="V14" s="385"/>
      <c r="W14" s="385"/>
      <c r="X14" s="385"/>
      <c r="Y14" s="385"/>
      <c r="Z14" s="385"/>
    </row>
    <row r="15" ht="31.5" customHeight="1">
      <c r="A15" s="385"/>
      <c r="B15" s="415" t="s">
        <v>368</v>
      </c>
      <c r="C15" s="411" t="s">
        <v>226</v>
      </c>
      <c r="D15" s="401" t="s">
        <v>227</v>
      </c>
      <c r="E15" s="24"/>
      <c r="F15" s="5"/>
      <c r="G15" s="414" t="s">
        <v>369</v>
      </c>
      <c r="H15" s="5"/>
      <c r="I15" s="392"/>
      <c r="J15" s="5"/>
      <c r="K15" s="391"/>
      <c r="L15" s="392"/>
      <c r="M15" s="5"/>
      <c r="N15" s="385"/>
      <c r="O15" s="385"/>
      <c r="P15" s="385"/>
      <c r="Q15" s="385"/>
      <c r="R15" s="385"/>
      <c r="S15" s="385"/>
      <c r="T15" s="385"/>
      <c r="U15" s="385"/>
      <c r="V15" s="385"/>
      <c r="W15" s="385"/>
      <c r="X15" s="385"/>
      <c r="Y15" s="385"/>
      <c r="Z15" s="385"/>
    </row>
    <row r="16" ht="31.5" customHeight="1">
      <c r="A16" s="385"/>
      <c r="B16" s="287"/>
      <c r="C16" s="392" t="s">
        <v>224</v>
      </c>
      <c r="D16" s="401" t="s">
        <v>225</v>
      </c>
      <c r="E16" s="24"/>
      <c r="F16" s="5"/>
      <c r="G16" s="414" t="s">
        <v>369</v>
      </c>
      <c r="H16" s="5"/>
      <c r="I16" s="392"/>
      <c r="J16" s="5"/>
      <c r="K16" s="391"/>
      <c r="L16" s="392"/>
      <c r="M16" s="5"/>
      <c r="N16" s="385"/>
      <c r="O16" s="385"/>
      <c r="P16" s="385"/>
      <c r="Q16" s="385"/>
      <c r="R16" s="385"/>
      <c r="S16" s="385"/>
      <c r="T16" s="385"/>
      <c r="U16" s="385"/>
      <c r="V16" s="385"/>
      <c r="W16" s="385"/>
      <c r="X16" s="385"/>
      <c r="Y16" s="385"/>
      <c r="Z16" s="385"/>
    </row>
    <row r="17" ht="31.5" customHeight="1">
      <c r="A17" s="385"/>
      <c r="B17" s="287"/>
      <c r="C17" s="416" t="s">
        <v>222</v>
      </c>
      <c r="D17" s="399" t="s">
        <v>370</v>
      </c>
      <c r="E17" s="24"/>
      <c r="F17" s="5"/>
      <c r="G17" s="414" t="s">
        <v>369</v>
      </c>
      <c r="H17" s="5"/>
      <c r="I17" s="392"/>
      <c r="J17" s="5"/>
      <c r="K17" s="391"/>
      <c r="L17" s="392"/>
      <c r="M17" s="5"/>
      <c r="N17" s="385"/>
      <c r="O17" s="385"/>
      <c r="P17" s="385"/>
      <c r="Q17" s="385"/>
      <c r="R17" s="385"/>
      <c r="S17" s="385"/>
      <c r="T17" s="385"/>
      <c r="U17" s="385"/>
      <c r="V17" s="385"/>
      <c r="W17" s="385"/>
      <c r="X17" s="385"/>
      <c r="Y17" s="385"/>
      <c r="Z17" s="385"/>
    </row>
    <row r="18" ht="31.5" customHeight="1">
      <c r="A18" s="385"/>
      <c r="B18" s="415" t="s">
        <v>371</v>
      </c>
      <c r="C18" s="417" t="s">
        <v>372</v>
      </c>
      <c r="D18" s="410" t="s">
        <v>373</v>
      </c>
      <c r="E18" s="11"/>
      <c r="F18" s="12"/>
      <c r="G18" s="399" t="s">
        <v>374</v>
      </c>
      <c r="H18" s="5"/>
      <c r="I18" s="392"/>
      <c r="J18" s="5"/>
      <c r="K18" s="391"/>
      <c r="L18" s="392"/>
      <c r="M18" s="5"/>
      <c r="N18" s="418"/>
      <c r="O18" s="385"/>
      <c r="P18" s="385"/>
      <c r="Q18" s="385"/>
      <c r="R18" s="385"/>
      <c r="S18" s="385"/>
      <c r="T18" s="385"/>
      <c r="U18" s="385"/>
      <c r="V18" s="385"/>
      <c r="W18" s="385"/>
      <c r="X18" s="385"/>
      <c r="Y18" s="385"/>
      <c r="Z18" s="385"/>
    </row>
    <row r="19" ht="31.5" customHeight="1">
      <c r="A19" s="385"/>
      <c r="B19" s="287"/>
      <c r="C19" s="417" t="s">
        <v>375</v>
      </c>
      <c r="D19" s="414" t="s">
        <v>376</v>
      </c>
      <c r="E19" s="24"/>
      <c r="F19" s="5"/>
      <c r="G19" s="399" t="s">
        <v>374</v>
      </c>
      <c r="H19" s="5"/>
      <c r="I19" s="392"/>
      <c r="J19" s="5"/>
      <c r="K19" s="391"/>
      <c r="L19" s="392"/>
      <c r="M19" s="5"/>
      <c r="N19" s="418"/>
      <c r="O19" s="385"/>
      <c r="P19" s="385"/>
      <c r="Q19" s="385"/>
      <c r="R19" s="385"/>
      <c r="S19" s="385"/>
      <c r="T19" s="385"/>
      <c r="U19" s="385"/>
      <c r="V19" s="385"/>
      <c r="W19" s="385"/>
      <c r="X19" s="385"/>
      <c r="Y19" s="385"/>
      <c r="Z19" s="385"/>
    </row>
    <row r="20" ht="31.5" customHeight="1">
      <c r="A20" s="385"/>
      <c r="B20" s="287"/>
      <c r="C20" s="417" t="s">
        <v>377</v>
      </c>
      <c r="D20" s="414" t="s">
        <v>376</v>
      </c>
      <c r="E20" s="24"/>
      <c r="F20" s="5"/>
      <c r="G20" s="399" t="s">
        <v>374</v>
      </c>
      <c r="H20" s="5"/>
      <c r="I20" s="392"/>
      <c r="J20" s="419"/>
      <c r="K20" s="391"/>
      <c r="L20" s="392"/>
      <c r="M20" s="5"/>
      <c r="N20" s="418"/>
      <c r="O20" s="385"/>
      <c r="P20" s="385"/>
      <c r="Q20" s="385"/>
      <c r="R20" s="385"/>
      <c r="S20" s="385"/>
      <c r="T20" s="385"/>
      <c r="U20" s="385"/>
      <c r="V20" s="385"/>
      <c r="W20" s="385"/>
      <c r="X20" s="385"/>
      <c r="Y20" s="385"/>
      <c r="Z20" s="385"/>
    </row>
    <row r="21" ht="31.5" customHeight="1">
      <c r="A21" s="385"/>
      <c r="B21" s="287"/>
      <c r="C21" s="420" t="s">
        <v>378</v>
      </c>
      <c r="D21" s="421" t="s">
        <v>376</v>
      </c>
      <c r="E21" s="2"/>
      <c r="F21" s="3"/>
      <c r="G21" s="422" t="s">
        <v>374</v>
      </c>
      <c r="H21" s="3"/>
      <c r="I21" s="386"/>
      <c r="J21" s="3"/>
      <c r="K21" s="423"/>
      <c r="L21" s="392"/>
      <c r="M21" s="5"/>
      <c r="N21" s="418"/>
      <c r="O21" s="385"/>
      <c r="P21" s="385"/>
      <c r="Q21" s="385"/>
      <c r="R21" s="385"/>
      <c r="S21" s="385"/>
      <c r="T21" s="385"/>
      <c r="U21" s="385"/>
      <c r="V21" s="385"/>
      <c r="W21" s="385"/>
      <c r="X21" s="385"/>
      <c r="Y21" s="385"/>
      <c r="Z21" s="385"/>
    </row>
    <row r="22" ht="30.0" customHeight="1">
      <c r="A22" s="385"/>
      <c r="B22" s="424" t="s">
        <v>379</v>
      </c>
      <c r="C22" s="5"/>
      <c r="D22" s="396"/>
      <c r="E22" s="24"/>
      <c r="F22" s="5"/>
      <c r="G22" s="392" t="s">
        <v>380</v>
      </c>
      <c r="H22" s="5"/>
      <c r="I22" s="401"/>
      <c r="J22" s="24"/>
      <c r="K22" s="24"/>
      <c r="L22" s="24"/>
      <c r="M22" s="5"/>
      <c r="N22" s="418"/>
      <c r="O22" s="385"/>
      <c r="P22" s="385"/>
      <c r="Q22" s="385"/>
      <c r="R22" s="385"/>
      <c r="S22" s="385"/>
      <c r="T22" s="385"/>
      <c r="U22" s="385"/>
      <c r="V22" s="385"/>
      <c r="W22" s="385"/>
      <c r="X22" s="385"/>
      <c r="Y22" s="385"/>
      <c r="Z22" s="385"/>
    </row>
    <row r="23" ht="30.0" customHeight="1">
      <c r="A23" s="385"/>
      <c r="B23" s="386" t="s">
        <v>180</v>
      </c>
      <c r="C23" s="3"/>
      <c r="D23" s="425"/>
      <c r="E23" s="2"/>
      <c r="F23" s="2"/>
      <c r="G23" s="2"/>
      <c r="H23" s="2"/>
      <c r="I23" s="2"/>
      <c r="J23" s="2"/>
      <c r="K23" s="2"/>
      <c r="L23" s="2"/>
      <c r="M23" s="3"/>
      <c r="N23" s="418"/>
      <c r="O23" s="385"/>
      <c r="P23" s="385"/>
      <c r="Q23" s="385"/>
      <c r="R23" s="385"/>
      <c r="S23" s="385"/>
      <c r="T23" s="385"/>
      <c r="U23" s="385"/>
      <c r="V23" s="385"/>
      <c r="W23" s="385"/>
      <c r="X23" s="385"/>
      <c r="Y23" s="385"/>
      <c r="Z23" s="385"/>
    </row>
    <row r="24" ht="19.5" customHeight="1">
      <c r="A24" s="385"/>
      <c r="B24" s="8"/>
      <c r="C24" s="9"/>
      <c r="D24" s="8"/>
      <c r="M24" s="9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</row>
    <row r="25" ht="30.0" customHeight="1">
      <c r="A25" s="385"/>
      <c r="B25" s="10"/>
      <c r="C25" s="12"/>
      <c r="D25" s="10"/>
      <c r="E25" s="11"/>
      <c r="F25" s="11"/>
      <c r="G25" s="11"/>
      <c r="H25" s="11"/>
      <c r="I25" s="11"/>
      <c r="J25" s="11"/>
      <c r="K25" s="11"/>
      <c r="L25" s="11"/>
      <c r="M25" s="12"/>
      <c r="N25" s="385"/>
      <c r="O25" s="385"/>
      <c r="P25" s="385"/>
      <c r="Q25" s="385"/>
      <c r="R25" s="385"/>
      <c r="S25" s="385"/>
      <c r="T25" s="385"/>
      <c r="U25" s="385"/>
      <c r="V25" s="385"/>
      <c r="W25" s="385"/>
      <c r="X25" s="385"/>
      <c r="Y25" s="385"/>
      <c r="Z25" s="385"/>
    </row>
    <row r="26" ht="30.0" customHeight="1">
      <c r="A26" s="385"/>
      <c r="B26" s="392" t="s">
        <v>381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5"/>
      <c r="N26" s="385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  <c r="Z26" s="385"/>
    </row>
    <row r="27" ht="30.0" customHeight="1">
      <c r="A27" s="385"/>
      <c r="B27" s="392" t="s">
        <v>382</v>
      </c>
      <c r="C27" s="5"/>
      <c r="D27" s="426"/>
      <c r="E27" s="24"/>
      <c r="F27" s="24"/>
      <c r="G27" s="5"/>
      <c r="H27" s="392" t="s">
        <v>383</v>
      </c>
      <c r="I27" s="5"/>
      <c r="J27" s="427"/>
      <c r="K27" s="24"/>
      <c r="L27" s="24"/>
      <c r="M27" s="5"/>
      <c r="N27" s="385"/>
      <c r="O27" s="385"/>
      <c r="P27" s="385"/>
      <c r="Q27" s="385"/>
      <c r="R27" s="385"/>
      <c r="S27" s="385"/>
      <c r="T27" s="385"/>
      <c r="U27" s="385"/>
      <c r="V27" s="385"/>
      <c r="W27" s="385"/>
      <c r="X27" s="385"/>
      <c r="Y27" s="385"/>
      <c r="Z27" s="385"/>
    </row>
    <row r="28" ht="30.0" customHeight="1">
      <c r="A28" s="385"/>
      <c r="B28" s="392" t="s">
        <v>183</v>
      </c>
      <c r="C28" s="5"/>
      <c r="D28" s="426"/>
      <c r="E28" s="24"/>
      <c r="F28" s="24"/>
      <c r="G28" s="5"/>
      <c r="H28" s="392" t="s">
        <v>183</v>
      </c>
      <c r="I28" s="5"/>
      <c r="J28" s="427"/>
      <c r="K28" s="24"/>
      <c r="L28" s="24"/>
      <c r="M28" s="5"/>
      <c r="N28" s="385"/>
      <c r="O28" s="385"/>
      <c r="P28" s="385"/>
      <c r="Q28" s="385"/>
      <c r="R28" s="385"/>
      <c r="S28" s="385"/>
      <c r="T28" s="385"/>
      <c r="U28" s="385"/>
      <c r="V28" s="385"/>
      <c r="W28" s="385"/>
      <c r="X28" s="385"/>
      <c r="Y28" s="385"/>
      <c r="Z28" s="385"/>
    </row>
    <row r="29" ht="30.0" customHeight="1">
      <c r="A29" s="385"/>
      <c r="B29" s="392" t="s">
        <v>184</v>
      </c>
      <c r="C29" s="5"/>
      <c r="D29" s="426"/>
      <c r="E29" s="24"/>
      <c r="F29" s="24"/>
      <c r="G29" s="5"/>
      <c r="H29" s="392" t="s">
        <v>184</v>
      </c>
      <c r="I29" s="5"/>
      <c r="J29" s="427"/>
      <c r="K29" s="24"/>
      <c r="L29" s="24"/>
      <c r="M29" s="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  <c r="Z29" s="385"/>
    </row>
    <row r="30" ht="30.0" customHeight="1">
      <c r="A30" s="385"/>
      <c r="B30" s="428"/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85"/>
    </row>
    <row r="31" ht="30.0" customHeight="1">
      <c r="A31" s="385"/>
      <c r="B31" s="404"/>
      <c r="C31" s="404"/>
      <c r="D31" s="404"/>
      <c r="E31" s="404"/>
      <c r="F31" s="404"/>
      <c r="G31" s="404"/>
      <c r="H31" s="404"/>
      <c r="I31" s="404"/>
      <c r="J31" s="404"/>
      <c r="K31" s="404"/>
      <c r="L31" s="404"/>
      <c r="M31" s="404"/>
      <c r="N31" s="385"/>
      <c r="O31" s="385"/>
      <c r="P31" s="385"/>
      <c r="Q31" s="385"/>
      <c r="R31" s="385"/>
      <c r="S31" s="385"/>
      <c r="T31" s="385"/>
      <c r="U31" s="385"/>
      <c r="V31" s="385"/>
      <c r="W31" s="385"/>
      <c r="X31" s="385"/>
      <c r="Y31" s="385"/>
      <c r="Z31" s="385"/>
    </row>
    <row r="32" ht="15.75" customHeight="1">
      <c r="A32" s="385"/>
      <c r="B32" s="385"/>
      <c r="C32" s="385"/>
      <c r="D32" s="385"/>
      <c r="E32" s="385"/>
      <c r="F32" s="385"/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  <c r="Z32" s="385"/>
    </row>
    <row r="33" ht="15.75" customHeight="1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  <c r="Z33" s="385"/>
    </row>
    <row r="34" ht="15.75" customHeight="1">
      <c r="A34" s="385"/>
      <c r="B34" s="385"/>
      <c r="C34" s="385"/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</row>
    <row r="35" ht="15.75" customHeight="1">
      <c r="A35" s="385"/>
      <c r="B35" s="385"/>
      <c r="C35" s="385"/>
      <c r="D35" s="385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</row>
    <row r="36" ht="15.75" customHeight="1">
      <c r="A36" s="385"/>
      <c r="B36" s="385"/>
      <c r="C36" s="385"/>
      <c r="D36" s="385"/>
      <c r="E36" s="385"/>
      <c r="F36" s="385"/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385"/>
      <c r="X36" s="385"/>
      <c r="Y36" s="385"/>
      <c r="Z36" s="385"/>
    </row>
    <row r="37" ht="15.75" customHeight="1">
      <c r="A37" s="385"/>
      <c r="B37" s="385"/>
      <c r="C37" s="385"/>
      <c r="D37" s="385"/>
      <c r="E37" s="385"/>
      <c r="F37" s="385"/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Y37" s="385"/>
      <c r="Z37" s="385"/>
    </row>
    <row r="38" ht="15.75" customHeight="1">
      <c r="A38" s="385"/>
      <c r="B38" s="385"/>
      <c r="C38" s="385"/>
      <c r="D38" s="385"/>
      <c r="E38" s="385"/>
      <c r="F38" s="385"/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85"/>
      <c r="X38" s="385"/>
      <c r="Y38" s="385"/>
      <c r="Z38" s="385"/>
    </row>
    <row r="39" ht="15.75" customHeight="1">
      <c r="A39" s="385"/>
      <c r="B39" s="385"/>
      <c r="C39" s="385"/>
      <c r="D39" s="385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  <c r="Z39" s="385"/>
    </row>
    <row r="40" ht="15.75" customHeight="1">
      <c r="A40" s="385"/>
      <c r="B40" s="385"/>
      <c r="C40" s="385"/>
      <c r="D40" s="385"/>
      <c r="E40" s="385"/>
      <c r="F40" s="385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Y40" s="385"/>
      <c r="Z40" s="385"/>
    </row>
    <row r="41" ht="15.75" customHeight="1">
      <c r="A41" s="385"/>
      <c r="B41" s="385"/>
      <c r="C41" s="385"/>
      <c r="D41" s="385"/>
      <c r="E41" s="385"/>
      <c r="F41" s="385"/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Y41" s="385"/>
      <c r="Z41" s="385"/>
    </row>
    <row r="42" ht="15.75" customHeight="1">
      <c r="A42" s="385"/>
      <c r="B42" s="385"/>
      <c r="C42" s="385"/>
      <c r="D42" s="385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</row>
    <row r="43" ht="15.75" customHeight="1">
      <c r="A43" s="385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</row>
    <row r="44" ht="15.75" customHeight="1">
      <c r="A44" s="385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</row>
    <row r="45" ht="15.75" customHeight="1">
      <c r="A45" s="385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  <c r="Z45" s="385"/>
    </row>
    <row r="46" ht="15.75" customHeight="1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Y46" s="385"/>
      <c r="Z46" s="385"/>
    </row>
    <row r="47" ht="15.75" customHeight="1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</row>
    <row r="48" ht="15.75" customHeight="1">
      <c r="A48" s="385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</row>
    <row r="49" ht="15.75" customHeight="1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</row>
    <row r="50" ht="15.75" customHeight="1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</row>
    <row r="51" ht="15.75" customHeight="1">
      <c r="A51" s="385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</row>
    <row r="52" ht="15.75" customHeight="1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</row>
    <row r="53" ht="15.75" customHeight="1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  <c r="Z53" s="385"/>
    </row>
    <row r="54" ht="15.75" customHeight="1">
      <c r="A54" s="385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  <c r="Z54" s="385"/>
    </row>
    <row r="55" ht="15.75" customHeight="1">
      <c r="A55" s="385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  <c r="Z55" s="385"/>
    </row>
    <row r="56" ht="15.75" customHeight="1">
      <c r="A56" s="385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</row>
    <row r="57" ht="15.75" customHeight="1">
      <c r="A57" s="385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  <c r="Z57" s="385"/>
    </row>
    <row r="58" ht="15.75" customHeight="1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  <c r="Z58" s="385"/>
    </row>
    <row r="59" ht="15.75" customHeight="1">
      <c r="A59" s="385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  <c r="Z59" s="385"/>
    </row>
    <row r="60" ht="15.75" customHeight="1">
      <c r="A60" s="385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  <c r="Z60" s="385"/>
    </row>
    <row r="61" ht="15.75" customHeight="1">
      <c r="A61" s="385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  <c r="Z61" s="385"/>
    </row>
    <row r="62" ht="15.75" customHeight="1">
      <c r="A62" s="385"/>
      <c r="B62" s="385"/>
      <c r="C62" s="385"/>
      <c r="D62" s="385"/>
      <c r="E62" s="385"/>
      <c r="F62" s="385"/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  <c r="Z62" s="385"/>
    </row>
    <row r="63" ht="15.75" customHeight="1">
      <c r="A63" s="385"/>
      <c r="B63" s="385"/>
      <c r="C63" s="385"/>
      <c r="D63" s="385"/>
      <c r="E63" s="385"/>
      <c r="F63" s="385"/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5"/>
    </row>
    <row r="64" ht="15.75" customHeight="1">
      <c r="A64" s="385"/>
      <c r="B64" s="385"/>
      <c r="C64" s="385"/>
      <c r="D64" s="385"/>
      <c r="E64" s="385"/>
      <c r="F64" s="385"/>
      <c r="G64" s="385"/>
      <c r="H64" s="385"/>
      <c r="I64" s="385"/>
      <c r="J64" s="385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  <c r="Z64" s="385"/>
    </row>
    <row r="65" ht="15.75" customHeight="1">
      <c r="A65" s="385"/>
      <c r="B65" s="385"/>
      <c r="C65" s="385"/>
      <c r="D65" s="385"/>
      <c r="E65" s="385"/>
      <c r="F65" s="385"/>
      <c r="G65" s="385"/>
      <c r="H65" s="385"/>
      <c r="I65" s="385"/>
      <c r="J65" s="385"/>
      <c r="K65" s="385"/>
      <c r="L65" s="385"/>
      <c r="M65" s="385"/>
      <c r="N65" s="385"/>
      <c r="O65" s="385"/>
      <c r="P65" s="385"/>
      <c r="Q65" s="385"/>
      <c r="R65" s="385"/>
      <c r="S65" s="385"/>
      <c r="T65" s="385"/>
      <c r="U65" s="385"/>
      <c r="V65" s="385"/>
      <c r="W65" s="385"/>
      <c r="X65" s="385"/>
      <c r="Y65" s="385"/>
      <c r="Z65" s="385"/>
    </row>
    <row r="66" ht="15.75" customHeight="1">
      <c r="A66" s="385"/>
      <c r="B66" s="385"/>
      <c r="C66" s="385"/>
      <c r="D66" s="385"/>
      <c r="E66" s="385"/>
      <c r="F66" s="385"/>
      <c r="G66" s="385"/>
      <c r="H66" s="385"/>
      <c r="I66" s="385"/>
      <c r="J66" s="385"/>
      <c r="K66" s="385"/>
      <c r="L66" s="385"/>
      <c r="M66" s="385"/>
      <c r="N66" s="385"/>
      <c r="O66" s="385"/>
      <c r="P66" s="385"/>
      <c r="Q66" s="385"/>
      <c r="R66" s="385"/>
      <c r="S66" s="385"/>
      <c r="T66" s="385"/>
      <c r="U66" s="385"/>
      <c r="V66" s="385"/>
      <c r="W66" s="385"/>
      <c r="X66" s="385"/>
      <c r="Y66" s="385"/>
      <c r="Z66" s="385"/>
    </row>
    <row r="67" ht="15.75" customHeight="1">
      <c r="A67" s="385"/>
      <c r="B67" s="385"/>
      <c r="C67" s="385"/>
      <c r="D67" s="385"/>
      <c r="E67" s="385"/>
      <c r="F67" s="385"/>
      <c r="G67" s="385"/>
      <c r="H67" s="385"/>
      <c r="I67" s="385"/>
      <c r="J67" s="385"/>
      <c r="K67" s="385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  <c r="Z67" s="385"/>
    </row>
    <row r="68" ht="15.75" customHeight="1">
      <c r="A68" s="385"/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5"/>
      <c r="M68" s="385"/>
      <c r="N68" s="385"/>
      <c r="O68" s="385"/>
      <c r="P68" s="385"/>
      <c r="Q68" s="385"/>
      <c r="R68" s="385"/>
      <c r="S68" s="385"/>
      <c r="T68" s="385"/>
      <c r="U68" s="385"/>
      <c r="V68" s="385"/>
      <c r="W68" s="385"/>
      <c r="X68" s="385"/>
      <c r="Y68" s="385"/>
      <c r="Z68" s="385"/>
    </row>
    <row r="69" ht="15.75" customHeight="1">
      <c r="A69" s="385"/>
      <c r="B69" s="385"/>
      <c r="C69" s="385"/>
      <c r="D69" s="385"/>
      <c r="E69" s="385"/>
      <c r="F69" s="385"/>
      <c r="G69" s="385"/>
      <c r="H69" s="385"/>
      <c r="I69" s="385"/>
      <c r="J69" s="385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  <c r="Z69" s="385"/>
    </row>
    <row r="70" ht="15.75" customHeight="1">
      <c r="A70" s="385"/>
      <c r="B70" s="385"/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  <c r="Z70" s="385"/>
    </row>
    <row r="71" ht="15.75" customHeight="1">
      <c r="A71" s="385"/>
      <c r="B71" s="385"/>
      <c r="C71" s="385"/>
      <c r="D71" s="385"/>
      <c r="E71" s="385"/>
      <c r="F71" s="385"/>
      <c r="G71" s="385"/>
      <c r="H71" s="385"/>
      <c r="I71" s="385"/>
      <c r="J71" s="385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  <c r="Z71" s="385"/>
    </row>
    <row r="72" ht="15.75" customHeight="1">
      <c r="A72" s="385"/>
      <c r="B72" s="385"/>
      <c r="C72" s="385"/>
      <c r="D72" s="385"/>
      <c r="E72" s="385"/>
      <c r="F72" s="385"/>
      <c r="G72" s="385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  <c r="Z72" s="385"/>
    </row>
    <row r="73" ht="15.75" customHeight="1">
      <c r="A73" s="385"/>
      <c r="B73" s="385"/>
      <c r="C73" s="385"/>
      <c r="D73" s="385"/>
      <c r="E73" s="385"/>
      <c r="F73" s="385"/>
      <c r="G73" s="385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  <c r="Z73" s="385"/>
    </row>
    <row r="74" ht="15.75" customHeight="1">
      <c r="A74" s="385"/>
      <c r="B74" s="385"/>
      <c r="C74" s="385"/>
      <c r="D74" s="385"/>
      <c r="E74" s="385"/>
      <c r="F74" s="385"/>
      <c r="G74" s="385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  <c r="Z74" s="385"/>
    </row>
    <row r="75" ht="15.75" customHeight="1">
      <c r="A75" s="385"/>
      <c r="B75" s="385"/>
      <c r="C75" s="385"/>
      <c r="D75" s="385"/>
      <c r="E75" s="385"/>
      <c r="F75" s="385"/>
      <c r="G75" s="385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  <c r="Z75" s="385"/>
    </row>
    <row r="76" ht="15.75" customHeight="1">
      <c r="A76" s="385"/>
      <c r="B76" s="385"/>
      <c r="C76" s="385"/>
      <c r="D76" s="385"/>
      <c r="E76" s="385"/>
      <c r="F76" s="385"/>
      <c r="G76" s="385"/>
      <c r="H76" s="385"/>
      <c r="I76" s="385"/>
      <c r="J76" s="385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  <c r="Z76" s="385"/>
    </row>
    <row r="77" ht="15.75" customHeight="1">
      <c r="A77" s="385"/>
      <c r="B77" s="385"/>
      <c r="C77" s="385"/>
      <c r="D77" s="385"/>
      <c r="E77" s="385"/>
      <c r="F77" s="385"/>
      <c r="G77" s="385"/>
      <c r="H77" s="385"/>
      <c r="I77" s="385"/>
      <c r="J77" s="385"/>
      <c r="K77" s="385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  <c r="W77" s="385"/>
      <c r="X77" s="385"/>
      <c r="Y77" s="385"/>
      <c r="Z77" s="385"/>
    </row>
    <row r="78" ht="15.75" customHeight="1">
      <c r="A78" s="385"/>
      <c r="B78" s="385"/>
      <c r="C78" s="385"/>
      <c r="D78" s="385"/>
      <c r="E78" s="385"/>
      <c r="F78" s="385"/>
      <c r="G78" s="385"/>
      <c r="H78" s="385"/>
      <c r="I78" s="385"/>
      <c r="J78" s="385"/>
      <c r="K78" s="385"/>
      <c r="L78" s="385"/>
      <c r="M78" s="385"/>
      <c r="N78" s="385"/>
      <c r="O78" s="385"/>
      <c r="P78" s="385"/>
      <c r="Q78" s="385"/>
      <c r="R78" s="385"/>
      <c r="S78" s="385"/>
      <c r="T78" s="385"/>
      <c r="U78" s="385"/>
      <c r="V78" s="385"/>
      <c r="W78" s="385"/>
      <c r="X78" s="385"/>
      <c r="Y78" s="385"/>
      <c r="Z78" s="385"/>
    </row>
    <row r="79" ht="15.75" customHeight="1">
      <c r="A79" s="385"/>
      <c r="B79" s="385"/>
      <c r="C79" s="385"/>
      <c r="D79" s="385"/>
      <c r="E79" s="385"/>
      <c r="F79" s="385"/>
      <c r="G79" s="385"/>
      <c r="H79" s="385"/>
      <c r="I79" s="385"/>
      <c r="J79" s="385"/>
      <c r="K79" s="385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  <c r="W79" s="385"/>
      <c r="X79" s="385"/>
      <c r="Y79" s="385"/>
      <c r="Z79" s="385"/>
    </row>
    <row r="80" ht="15.75" customHeight="1">
      <c r="A80" s="385"/>
      <c r="B80" s="385"/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  <c r="W80" s="385"/>
      <c r="X80" s="385"/>
      <c r="Y80" s="385"/>
      <c r="Z80" s="385"/>
    </row>
    <row r="81" ht="15.75" customHeight="1">
      <c r="A81" s="385"/>
      <c r="B81" s="385"/>
      <c r="C81" s="385"/>
      <c r="D81" s="385"/>
      <c r="E81" s="385"/>
      <c r="F81" s="385"/>
      <c r="G81" s="385"/>
      <c r="H81" s="385"/>
      <c r="I81" s="385"/>
      <c r="J81" s="385"/>
      <c r="K81" s="385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  <c r="W81" s="385"/>
      <c r="X81" s="385"/>
      <c r="Y81" s="385"/>
      <c r="Z81" s="385"/>
    </row>
    <row r="82" ht="15.75" customHeight="1">
      <c r="A82" s="385"/>
      <c r="B82" s="385"/>
      <c r="C82" s="385"/>
      <c r="D82" s="385"/>
      <c r="E82" s="385"/>
      <c r="F82" s="385"/>
      <c r="G82" s="385"/>
      <c r="H82" s="385"/>
      <c r="I82" s="385"/>
      <c r="J82" s="385"/>
      <c r="K82" s="385"/>
      <c r="L82" s="385"/>
      <c r="M82" s="385"/>
      <c r="N82" s="385"/>
      <c r="O82" s="385"/>
      <c r="P82" s="385"/>
      <c r="Q82" s="385"/>
      <c r="R82" s="385"/>
      <c r="S82" s="385"/>
      <c r="T82" s="385"/>
      <c r="U82" s="385"/>
      <c r="V82" s="385"/>
      <c r="W82" s="385"/>
      <c r="X82" s="385"/>
      <c r="Y82" s="385"/>
      <c r="Z82" s="385"/>
    </row>
    <row r="83" ht="15.75" customHeight="1">
      <c r="A83" s="385"/>
      <c r="B83" s="385"/>
      <c r="C83" s="385"/>
      <c r="D83" s="385"/>
      <c r="E83" s="385"/>
      <c r="F83" s="385"/>
      <c r="G83" s="385"/>
      <c r="H83" s="385"/>
      <c r="I83" s="385"/>
      <c r="J83" s="385"/>
      <c r="K83" s="385"/>
      <c r="L83" s="385"/>
      <c r="M83" s="385"/>
      <c r="N83" s="385"/>
      <c r="O83" s="385"/>
      <c r="P83" s="385"/>
      <c r="Q83" s="385"/>
      <c r="R83" s="385"/>
      <c r="S83" s="385"/>
      <c r="T83" s="385"/>
      <c r="U83" s="385"/>
      <c r="V83" s="385"/>
      <c r="W83" s="385"/>
      <c r="X83" s="385"/>
      <c r="Y83" s="385"/>
      <c r="Z83" s="385"/>
    </row>
    <row r="84" ht="15.75" customHeight="1">
      <c r="A84" s="385"/>
      <c r="B84" s="385"/>
      <c r="C84" s="385"/>
      <c r="D84" s="385"/>
      <c r="E84" s="385"/>
      <c r="F84" s="385"/>
      <c r="G84" s="385"/>
      <c r="H84" s="385"/>
      <c r="I84" s="385"/>
      <c r="J84" s="385"/>
      <c r="K84" s="385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  <c r="W84" s="385"/>
      <c r="X84" s="385"/>
      <c r="Y84" s="385"/>
      <c r="Z84" s="385"/>
    </row>
    <row r="85" ht="15.75" customHeight="1">
      <c r="A85" s="385"/>
      <c r="B85" s="385"/>
      <c r="C85" s="385"/>
      <c r="D85" s="385"/>
      <c r="E85" s="385"/>
      <c r="F85" s="385"/>
      <c r="G85" s="385"/>
      <c r="H85" s="385"/>
      <c r="I85" s="385"/>
      <c r="J85" s="385"/>
      <c r="K85" s="385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  <c r="W85" s="385"/>
      <c r="X85" s="385"/>
      <c r="Y85" s="385"/>
      <c r="Z85" s="385"/>
    </row>
    <row r="86" ht="15.75" customHeight="1">
      <c r="A86" s="385"/>
      <c r="B86" s="385"/>
      <c r="C86" s="385"/>
      <c r="D86" s="385"/>
      <c r="E86" s="385"/>
      <c r="F86" s="385"/>
      <c r="G86" s="385"/>
      <c r="H86" s="385"/>
      <c r="I86" s="385"/>
      <c r="J86" s="385"/>
      <c r="K86" s="385"/>
      <c r="L86" s="385"/>
      <c r="M86" s="385"/>
      <c r="N86" s="385"/>
      <c r="O86" s="385"/>
      <c r="P86" s="385"/>
      <c r="Q86" s="385"/>
      <c r="R86" s="385"/>
      <c r="S86" s="385"/>
      <c r="T86" s="385"/>
      <c r="U86" s="385"/>
      <c r="V86" s="385"/>
      <c r="W86" s="385"/>
      <c r="X86" s="385"/>
      <c r="Y86" s="385"/>
      <c r="Z86" s="385"/>
    </row>
    <row r="87" ht="15.75" customHeight="1">
      <c r="A87" s="385"/>
      <c r="B87" s="385"/>
      <c r="C87" s="385"/>
      <c r="D87" s="385"/>
      <c r="E87" s="385"/>
      <c r="F87" s="385"/>
      <c r="G87" s="385"/>
      <c r="H87" s="385"/>
      <c r="I87" s="385"/>
      <c r="J87" s="385"/>
      <c r="K87" s="385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  <c r="W87" s="385"/>
      <c r="X87" s="385"/>
      <c r="Y87" s="385"/>
      <c r="Z87" s="385"/>
    </row>
    <row r="88" ht="15.75" customHeight="1">
      <c r="A88" s="385"/>
      <c r="B88" s="385"/>
      <c r="C88" s="385"/>
      <c r="D88" s="385"/>
      <c r="E88" s="385"/>
      <c r="F88" s="385"/>
      <c r="G88" s="385"/>
      <c r="H88" s="385"/>
      <c r="I88" s="385"/>
      <c r="J88" s="385"/>
      <c r="K88" s="385"/>
      <c r="L88" s="385"/>
      <c r="M88" s="385"/>
      <c r="N88" s="385"/>
      <c r="O88" s="385"/>
      <c r="P88" s="385"/>
      <c r="Q88" s="385"/>
      <c r="R88" s="385"/>
      <c r="S88" s="385"/>
      <c r="T88" s="385"/>
      <c r="U88" s="385"/>
      <c r="V88" s="385"/>
      <c r="W88" s="385"/>
      <c r="X88" s="385"/>
      <c r="Y88" s="385"/>
      <c r="Z88" s="385"/>
    </row>
    <row r="89" ht="15.75" customHeight="1">
      <c r="A89" s="385"/>
      <c r="B89" s="385"/>
      <c r="C89" s="385"/>
      <c r="D89" s="385"/>
      <c r="E89" s="385"/>
      <c r="F89" s="385"/>
      <c r="G89" s="385"/>
      <c r="H89" s="385"/>
      <c r="I89" s="385"/>
      <c r="J89" s="385"/>
      <c r="K89" s="385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  <c r="W89" s="385"/>
      <c r="X89" s="385"/>
      <c r="Y89" s="385"/>
      <c r="Z89" s="385"/>
    </row>
    <row r="90" ht="15.75" customHeight="1">
      <c r="A90" s="385"/>
      <c r="B90" s="385"/>
      <c r="C90" s="385"/>
      <c r="D90" s="385"/>
      <c r="E90" s="385"/>
      <c r="F90" s="385"/>
      <c r="G90" s="385"/>
      <c r="H90" s="385"/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  <c r="W90" s="385"/>
      <c r="X90" s="385"/>
      <c r="Y90" s="385"/>
      <c r="Z90" s="385"/>
    </row>
    <row r="91" ht="15.75" customHeight="1">
      <c r="A91" s="385"/>
      <c r="B91" s="385"/>
      <c r="C91" s="385"/>
      <c r="D91" s="385"/>
      <c r="E91" s="385"/>
      <c r="F91" s="385"/>
      <c r="G91" s="385"/>
      <c r="H91" s="385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  <c r="Z91" s="385"/>
    </row>
    <row r="92" ht="15.75" customHeight="1">
      <c r="A92" s="385"/>
      <c r="B92" s="385"/>
      <c r="C92" s="385"/>
      <c r="D92" s="385"/>
      <c r="E92" s="385"/>
      <c r="F92" s="385"/>
      <c r="G92" s="385"/>
      <c r="H92" s="385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85"/>
      <c r="X92" s="385"/>
      <c r="Y92" s="385"/>
      <c r="Z92" s="385"/>
    </row>
    <row r="93" ht="15.75" customHeight="1">
      <c r="A93" s="385"/>
      <c r="B93" s="385"/>
      <c r="C93" s="385"/>
      <c r="D93" s="385"/>
      <c r="E93" s="385"/>
      <c r="F93" s="385"/>
      <c r="G93" s="385"/>
      <c r="H93" s="385"/>
      <c r="I93" s="385"/>
      <c r="J93" s="385"/>
      <c r="K93" s="385"/>
      <c r="L93" s="385"/>
      <c r="M93" s="385"/>
      <c r="N93" s="385"/>
      <c r="O93" s="385"/>
      <c r="P93" s="385"/>
      <c r="Q93" s="385"/>
      <c r="R93" s="385"/>
      <c r="S93" s="385"/>
      <c r="T93" s="385"/>
      <c r="U93" s="385"/>
      <c r="V93" s="385"/>
      <c r="W93" s="385"/>
      <c r="X93" s="385"/>
      <c r="Y93" s="385"/>
      <c r="Z93" s="385"/>
    </row>
    <row r="94" ht="15.75" customHeight="1">
      <c r="A94" s="385"/>
      <c r="B94" s="385"/>
      <c r="C94" s="385"/>
      <c r="D94" s="385"/>
      <c r="E94" s="385"/>
      <c r="F94" s="385"/>
      <c r="G94" s="385"/>
      <c r="H94" s="385"/>
      <c r="I94" s="385"/>
      <c r="J94" s="385"/>
      <c r="K94" s="385"/>
      <c r="L94" s="385"/>
      <c r="M94" s="385"/>
      <c r="N94" s="385"/>
      <c r="O94" s="385"/>
      <c r="P94" s="385"/>
      <c r="Q94" s="385"/>
      <c r="R94" s="385"/>
      <c r="S94" s="385"/>
      <c r="T94" s="385"/>
      <c r="U94" s="385"/>
      <c r="V94" s="385"/>
      <c r="W94" s="385"/>
      <c r="X94" s="385"/>
      <c r="Y94" s="385"/>
      <c r="Z94" s="385"/>
    </row>
    <row r="95" ht="15.75" customHeight="1">
      <c r="A95" s="385"/>
      <c r="B95" s="385"/>
      <c r="C95" s="385"/>
      <c r="D95" s="385"/>
      <c r="E95" s="385"/>
      <c r="F95" s="385"/>
      <c r="G95" s="385"/>
      <c r="H95" s="385"/>
      <c r="I95" s="385"/>
      <c r="J95" s="385"/>
      <c r="K95" s="385"/>
      <c r="L95" s="385"/>
      <c r="M95" s="385"/>
      <c r="N95" s="385"/>
      <c r="O95" s="385"/>
      <c r="P95" s="385"/>
      <c r="Q95" s="385"/>
      <c r="R95" s="385"/>
      <c r="S95" s="385"/>
      <c r="T95" s="385"/>
      <c r="U95" s="385"/>
      <c r="V95" s="385"/>
      <c r="W95" s="385"/>
      <c r="X95" s="385"/>
      <c r="Y95" s="385"/>
      <c r="Z95" s="385"/>
    </row>
    <row r="96" ht="15.75" customHeight="1">
      <c r="A96" s="385"/>
      <c r="B96" s="385"/>
      <c r="C96" s="385"/>
      <c r="D96" s="385"/>
      <c r="E96" s="385"/>
      <c r="F96" s="385"/>
      <c r="G96" s="385"/>
      <c r="H96" s="385"/>
      <c r="I96" s="385"/>
      <c r="J96" s="385"/>
      <c r="K96" s="385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  <c r="W96" s="385"/>
      <c r="X96" s="385"/>
      <c r="Y96" s="385"/>
      <c r="Z96" s="385"/>
    </row>
    <row r="97" ht="15.75" customHeight="1">
      <c r="A97" s="385"/>
      <c r="B97" s="385"/>
      <c r="C97" s="385"/>
      <c r="D97" s="385"/>
      <c r="E97" s="385"/>
      <c r="F97" s="385"/>
      <c r="G97" s="385"/>
      <c r="H97" s="385"/>
      <c r="I97" s="385"/>
      <c r="J97" s="385"/>
      <c r="K97" s="385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  <c r="W97" s="385"/>
      <c r="X97" s="385"/>
      <c r="Y97" s="385"/>
      <c r="Z97" s="385"/>
    </row>
    <row r="98" ht="15.75" customHeight="1">
      <c r="A98" s="385"/>
      <c r="B98" s="385"/>
      <c r="C98" s="385"/>
      <c r="D98" s="385"/>
      <c r="E98" s="385"/>
      <c r="F98" s="385"/>
      <c r="G98" s="385"/>
      <c r="H98" s="385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  <c r="Z98" s="385"/>
    </row>
    <row r="99" ht="15.75" customHeight="1">
      <c r="A99" s="385"/>
      <c r="B99" s="385"/>
      <c r="C99" s="385"/>
      <c r="D99" s="385"/>
      <c r="E99" s="385"/>
      <c r="F99" s="385"/>
      <c r="G99" s="385"/>
      <c r="H99" s="385"/>
      <c r="I99" s="385"/>
      <c r="J99" s="385"/>
      <c r="K99" s="385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  <c r="W99" s="385"/>
      <c r="X99" s="385"/>
      <c r="Y99" s="385"/>
      <c r="Z99" s="385"/>
    </row>
    <row r="100" ht="15.75" customHeight="1">
      <c r="A100" s="385"/>
      <c r="B100" s="385"/>
      <c r="C100" s="385"/>
      <c r="D100" s="385"/>
      <c r="E100" s="385"/>
      <c r="F100" s="385"/>
      <c r="G100" s="385"/>
      <c r="H100" s="385"/>
      <c r="I100" s="385"/>
      <c r="J100" s="385"/>
      <c r="K100" s="385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  <c r="W100" s="385"/>
      <c r="X100" s="385"/>
      <c r="Y100" s="385"/>
      <c r="Z100" s="385"/>
    </row>
    <row r="101" ht="15.75" customHeight="1">
      <c r="A101" s="385"/>
      <c r="B101" s="385"/>
      <c r="C101" s="385"/>
      <c r="D101" s="385"/>
      <c r="E101" s="385"/>
      <c r="F101" s="385"/>
      <c r="G101" s="385"/>
      <c r="H101" s="385"/>
      <c r="I101" s="385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5"/>
      <c r="W101" s="385"/>
      <c r="X101" s="385"/>
      <c r="Y101" s="385"/>
      <c r="Z101" s="385"/>
    </row>
    <row r="102" ht="15.75" customHeight="1">
      <c r="A102" s="385"/>
      <c r="B102" s="385"/>
      <c r="C102" s="385"/>
      <c r="D102" s="385"/>
      <c r="E102" s="385"/>
      <c r="F102" s="385"/>
      <c r="G102" s="385"/>
      <c r="H102" s="385"/>
      <c r="I102" s="385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5"/>
      <c r="W102" s="385"/>
      <c r="X102" s="385"/>
      <c r="Y102" s="385"/>
      <c r="Z102" s="385"/>
    </row>
    <row r="103" ht="15.75" customHeight="1">
      <c r="A103" s="385"/>
      <c r="B103" s="385"/>
      <c r="C103" s="385"/>
      <c r="D103" s="385"/>
      <c r="E103" s="385"/>
      <c r="F103" s="385"/>
      <c r="G103" s="385"/>
      <c r="H103" s="385"/>
      <c r="I103" s="385"/>
      <c r="J103" s="385"/>
      <c r="K103" s="385"/>
      <c r="L103" s="385"/>
      <c r="M103" s="385"/>
      <c r="N103" s="385"/>
      <c r="O103" s="385"/>
      <c r="P103" s="385"/>
      <c r="Q103" s="385"/>
      <c r="R103" s="385"/>
      <c r="S103" s="385"/>
      <c r="T103" s="385"/>
      <c r="U103" s="385"/>
      <c r="V103" s="385"/>
      <c r="W103" s="385"/>
      <c r="X103" s="385"/>
      <c r="Y103" s="385"/>
      <c r="Z103" s="385"/>
    </row>
    <row r="104" ht="15.75" customHeight="1">
      <c r="A104" s="385"/>
      <c r="B104" s="385"/>
      <c r="C104" s="385"/>
      <c r="D104" s="385"/>
      <c r="E104" s="385"/>
      <c r="F104" s="385"/>
      <c r="G104" s="385"/>
      <c r="H104" s="385"/>
      <c r="I104" s="385"/>
      <c r="J104" s="385"/>
      <c r="K104" s="385"/>
      <c r="L104" s="385"/>
      <c r="M104" s="385"/>
      <c r="N104" s="385"/>
      <c r="O104" s="385"/>
      <c r="P104" s="385"/>
      <c r="Q104" s="385"/>
      <c r="R104" s="385"/>
      <c r="S104" s="385"/>
      <c r="T104" s="385"/>
      <c r="U104" s="385"/>
      <c r="V104" s="385"/>
      <c r="W104" s="385"/>
      <c r="X104" s="385"/>
      <c r="Y104" s="385"/>
      <c r="Z104" s="385"/>
    </row>
    <row r="105" ht="15.75" customHeight="1">
      <c r="A105" s="385"/>
      <c r="B105" s="385"/>
      <c r="C105" s="385"/>
      <c r="D105" s="385"/>
      <c r="E105" s="385"/>
      <c r="F105" s="385"/>
      <c r="G105" s="385"/>
      <c r="H105" s="385"/>
      <c r="I105" s="385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5"/>
      <c r="W105" s="385"/>
      <c r="X105" s="385"/>
      <c r="Y105" s="385"/>
      <c r="Z105" s="385"/>
    </row>
    <row r="106" ht="15.75" customHeight="1">
      <c r="A106" s="385"/>
      <c r="B106" s="385"/>
      <c r="C106" s="385"/>
      <c r="D106" s="385"/>
      <c r="E106" s="385"/>
      <c r="F106" s="385"/>
      <c r="G106" s="385"/>
      <c r="H106" s="385"/>
      <c r="I106" s="385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5"/>
      <c r="W106" s="385"/>
      <c r="X106" s="385"/>
      <c r="Y106" s="385"/>
      <c r="Z106" s="385"/>
    </row>
    <row r="107" ht="15.75" customHeight="1">
      <c r="A107" s="385"/>
      <c r="B107" s="385"/>
      <c r="C107" s="385"/>
      <c r="D107" s="385"/>
      <c r="E107" s="385"/>
      <c r="F107" s="385"/>
      <c r="G107" s="385"/>
      <c r="H107" s="385"/>
      <c r="I107" s="385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5"/>
      <c r="W107" s="385"/>
      <c r="X107" s="385"/>
      <c r="Y107" s="385"/>
      <c r="Z107" s="385"/>
    </row>
    <row r="108" ht="15.75" customHeight="1">
      <c r="A108" s="385"/>
      <c r="B108" s="385"/>
      <c r="C108" s="385"/>
      <c r="D108" s="385"/>
      <c r="E108" s="385"/>
      <c r="F108" s="385"/>
      <c r="G108" s="385"/>
      <c r="H108" s="385"/>
      <c r="I108" s="385"/>
      <c r="J108" s="385"/>
      <c r="K108" s="385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5"/>
      <c r="W108" s="385"/>
      <c r="X108" s="385"/>
      <c r="Y108" s="385"/>
      <c r="Z108" s="385"/>
    </row>
    <row r="109" ht="15.75" customHeight="1">
      <c r="A109" s="385"/>
      <c r="B109" s="385"/>
      <c r="C109" s="385"/>
      <c r="D109" s="385"/>
      <c r="E109" s="385"/>
      <c r="F109" s="385"/>
      <c r="G109" s="385"/>
      <c r="H109" s="385"/>
      <c r="I109" s="385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5"/>
      <c r="W109" s="385"/>
      <c r="X109" s="385"/>
      <c r="Y109" s="385"/>
      <c r="Z109" s="385"/>
    </row>
    <row r="110" ht="15.75" customHeight="1">
      <c r="A110" s="385"/>
      <c r="B110" s="385"/>
      <c r="C110" s="385"/>
      <c r="D110" s="385"/>
      <c r="E110" s="385"/>
      <c r="F110" s="385"/>
      <c r="G110" s="385"/>
      <c r="H110" s="385"/>
      <c r="I110" s="385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5"/>
      <c r="W110" s="385"/>
      <c r="X110" s="385"/>
      <c r="Y110" s="385"/>
      <c r="Z110" s="385"/>
    </row>
    <row r="111" ht="15.75" customHeight="1">
      <c r="A111" s="385"/>
      <c r="B111" s="385"/>
      <c r="C111" s="385"/>
      <c r="D111" s="385"/>
      <c r="E111" s="385"/>
      <c r="F111" s="385"/>
      <c r="G111" s="385"/>
      <c r="H111" s="385"/>
      <c r="I111" s="385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5"/>
      <c r="W111" s="385"/>
      <c r="X111" s="385"/>
      <c r="Y111" s="385"/>
      <c r="Z111" s="385"/>
    </row>
    <row r="112" ht="15.75" customHeight="1">
      <c r="A112" s="385"/>
      <c r="B112" s="385"/>
      <c r="C112" s="385"/>
      <c r="D112" s="385"/>
      <c r="E112" s="385"/>
      <c r="F112" s="385"/>
      <c r="G112" s="385"/>
      <c r="H112" s="385"/>
      <c r="I112" s="385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5"/>
      <c r="W112" s="385"/>
      <c r="X112" s="385"/>
      <c r="Y112" s="385"/>
      <c r="Z112" s="385"/>
    </row>
    <row r="113" ht="15.75" customHeight="1">
      <c r="A113" s="385"/>
      <c r="B113" s="385"/>
      <c r="C113" s="385"/>
      <c r="D113" s="385"/>
      <c r="E113" s="385"/>
      <c r="F113" s="385"/>
      <c r="G113" s="385"/>
      <c r="H113" s="385"/>
      <c r="I113" s="385"/>
      <c r="J113" s="385"/>
      <c r="K113" s="385"/>
      <c r="L113" s="385"/>
      <c r="M113" s="385"/>
      <c r="N113" s="385"/>
      <c r="O113" s="385"/>
      <c r="P113" s="385"/>
      <c r="Q113" s="385"/>
      <c r="R113" s="385"/>
      <c r="S113" s="385"/>
      <c r="T113" s="385"/>
      <c r="U113" s="385"/>
      <c r="V113" s="385"/>
      <c r="W113" s="385"/>
      <c r="X113" s="385"/>
      <c r="Y113" s="385"/>
      <c r="Z113" s="385"/>
    </row>
    <row r="114" ht="15.75" customHeight="1">
      <c r="A114" s="385"/>
      <c r="B114" s="385"/>
      <c r="C114" s="385"/>
      <c r="D114" s="385"/>
      <c r="E114" s="385"/>
      <c r="F114" s="385"/>
      <c r="G114" s="385"/>
      <c r="H114" s="385"/>
      <c r="I114" s="385"/>
      <c r="J114" s="385"/>
      <c r="K114" s="385"/>
      <c r="L114" s="385"/>
      <c r="M114" s="385"/>
      <c r="N114" s="385"/>
      <c r="O114" s="385"/>
      <c r="P114" s="385"/>
      <c r="Q114" s="385"/>
      <c r="R114" s="385"/>
      <c r="S114" s="385"/>
      <c r="T114" s="385"/>
      <c r="U114" s="385"/>
      <c r="V114" s="385"/>
      <c r="W114" s="385"/>
      <c r="X114" s="385"/>
      <c r="Y114" s="385"/>
      <c r="Z114" s="385"/>
    </row>
    <row r="115" ht="15.75" customHeight="1">
      <c r="A115" s="385"/>
      <c r="B115" s="385"/>
      <c r="C115" s="385"/>
      <c r="D115" s="385"/>
      <c r="E115" s="385"/>
      <c r="F115" s="385"/>
      <c r="G115" s="385"/>
      <c r="H115" s="385"/>
      <c r="I115" s="385"/>
      <c r="J115" s="385"/>
      <c r="K115" s="385"/>
      <c r="L115" s="385"/>
      <c r="M115" s="385"/>
      <c r="N115" s="385"/>
      <c r="O115" s="385"/>
      <c r="P115" s="385"/>
      <c r="Q115" s="385"/>
      <c r="R115" s="385"/>
      <c r="S115" s="385"/>
      <c r="T115" s="385"/>
      <c r="U115" s="385"/>
      <c r="V115" s="385"/>
      <c r="W115" s="385"/>
      <c r="X115" s="385"/>
      <c r="Y115" s="385"/>
      <c r="Z115" s="385"/>
    </row>
    <row r="116" ht="15.75" customHeight="1">
      <c r="A116" s="385"/>
      <c r="B116" s="385"/>
      <c r="C116" s="385"/>
      <c r="D116" s="385"/>
      <c r="E116" s="385"/>
      <c r="F116" s="385"/>
      <c r="G116" s="385"/>
      <c r="H116" s="385"/>
      <c r="I116" s="385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5"/>
      <c r="W116" s="385"/>
      <c r="X116" s="385"/>
      <c r="Y116" s="385"/>
      <c r="Z116" s="385"/>
    </row>
    <row r="117" ht="15.75" customHeight="1">
      <c r="A117" s="385"/>
      <c r="B117" s="385"/>
      <c r="C117" s="385"/>
      <c r="D117" s="385"/>
      <c r="E117" s="385"/>
      <c r="F117" s="385"/>
      <c r="G117" s="385"/>
      <c r="H117" s="385"/>
      <c r="I117" s="385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5"/>
      <c r="W117" s="385"/>
      <c r="X117" s="385"/>
      <c r="Y117" s="385"/>
      <c r="Z117" s="385"/>
    </row>
    <row r="118" ht="15.75" customHeight="1">
      <c r="A118" s="385"/>
      <c r="B118" s="385"/>
      <c r="C118" s="385"/>
      <c r="D118" s="385"/>
      <c r="E118" s="385"/>
      <c r="F118" s="385"/>
      <c r="G118" s="385"/>
      <c r="H118" s="385"/>
      <c r="I118" s="385"/>
      <c r="J118" s="385"/>
      <c r="K118" s="385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5"/>
      <c r="W118" s="385"/>
      <c r="X118" s="385"/>
      <c r="Y118" s="385"/>
      <c r="Z118" s="385"/>
    </row>
    <row r="119" ht="15.75" customHeight="1">
      <c r="A119" s="385"/>
      <c r="B119" s="385"/>
      <c r="C119" s="385"/>
      <c r="D119" s="385"/>
      <c r="E119" s="385"/>
      <c r="F119" s="385"/>
      <c r="G119" s="385"/>
      <c r="H119" s="385"/>
      <c r="I119" s="385"/>
      <c r="J119" s="385"/>
      <c r="K119" s="385"/>
      <c r="L119" s="385"/>
      <c r="M119" s="385"/>
      <c r="N119" s="385"/>
      <c r="O119" s="385"/>
      <c r="P119" s="385"/>
      <c r="Q119" s="385"/>
      <c r="R119" s="385"/>
      <c r="S119" s="385"/>
      <c r="T119" s="385"/>
      <c r="U119" s="385"/>
      <c r="V119" s="385"/>
      <c r="W119" s="385"/>
      <c r="X119" s="385"/>
      <c r="Y119" s="385"/>
      <c r="Z119" s="385"/>
    </row>
    <row r="120" ht="15.75" customHeight="1">
      <c r="A120" s="385"/>
      <c r="B120" s="385"/>
      <c r="C120" s="385"/>
      <c r="D120" s="385"/>
      <c r="E120" s="385"/>
      <c r="F120" s="385"/>
      <c r="G120" s="385"/>
      <c r="H120" s="385"/>
      <c r="I120" s="385"/>
      <c r="J120" s="385"/>
      <c r="K120" s="385"/>
      <c r="L120" s="385"/>
      <c r="M120" s="385"/>
      <c r="N120" s="385"/>
      <c r="O120" s="385"/>
      <c r="P120" s="385"/>
      <c r="Q120" s="385"/>
      <c r="R120" s="385"/>
      <c r="S120" s="385"/>
      <c r="T120" s="385"/>
      <c r="U120" s="385"/>
      <c r="V120" s="385"/>
      <c r="W120" s="385"/>
      <c r="X120" s="385"/>
      <c r="Y120" s="385"/>
      <c r="Z120" s="385"/>
    </row>
    <row r="121" ht="15.75" customHeight="1">
      <c r="A121" s="385"/>
      <c r="B121" s="385"/>
      <c r="C121" s="385"/>
      <c r="D121" s="385"/>
      <c r="E121" s="385"/>
      <c r="F121" s="385"/>
      <c r="G121" s="385"/>
      <c r="H121" s="385"/>
      <c r="I121" s="385"/>
      <c r="J121" s="385"/>
      <c r="K121" s="385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5"/>
      <c r="W121" s="385"/>
      <c r="X121" s="385"/>
      <c r="Y121" s="385"/>
      <c r="Z121" s="385"/>
    </row>
    <row r="122" ht="15.75" customHeight="1">
      <c r="A122" s="385"/>
      <c r="B122" s="385"/>
      <c r="C122" s="385"/>
      <c r="D122" s="385"/>
      <c r="E122" s="385"/>
      <c r="F122" s="385"/>
      <c r="G122" s="385"/>
      <c r="H122" s="385"/>
      <c r="I122" s="385"/>
      <c r="J122" s="385"/>
      <c r="K122" s="385"/>
      <c r="L122" s="385"/>
      <c r="M122" s="385"/>
      <c r="N122" s="385"/>
      <c r="O122" s="385"/>
      <c r="P122" s="385"/>
      <c r="Q122" s="385"/>
      <c r="R122" s="385"/>
      <c r="S122" s="385"/>
      <c r="T122" s="385"/>
      <c r="U122" s="385"/>
      <c r="V122" s="385"/>
      <c r="W122" s="385"/>
      <c r="X122" s="385"/>
      <c r="Y122" s="385"/>
      <c r="Z122" s="385"/>
    </row>
    <row r="123" ht="15.75" customHeight="1">
      <c r="A123" s="385"/>
      <c r="B123" s="385"/>
      <c r="C123" s="385"/>
      <c r="D123" s="385"/>
      <c r="E123" s="385"/>
      <c r="F123" s="385"/>
      <c r="G123" s="385"/>
      <c r="H123" s="385"/>
      <c r="I123" s="385"/>
      <c r="J123" s="385"/>
      <c r="K123" s="385"/>
      <c r="L123" s="385"/>
      <c r="M123" s="385"/>
      <c r="N123" s="385"/>
      <c r="O123" s="385"/>
      <c r="P123" s="385"/>
      <c r="Q123" s="385"/>
      <c r="R123" s="385"/>
      <c r="S123" s="385"/>
      <c r="T123" s="385"/>
      <c r="U123" s="385"/>
      <c r="V123" s="385"/>
      <c r="W123" s="385"/>
      <c r="X123" s="385"/>
      <c r="Y123" s="385"/>
      <c r="Z123" s="385"/>
    </row>
    <row r="124" ht="15.75" customHeight="1">
      <c r="A124" s="385"/>
      <c r="B124" s="385"/>
      <c r="C124" s="385"/>
      <c r="D124" s="385"/>
      <c r="E124" s="385"/>
      <c r="F124" s="385"/>
      <c r="G124" s="385"/>
      <c r="H124" s="385"/>
      <c r="I124" s="385"/>
      <c r="J124" s="385"/>
      <c r="K124" s="385"/>
      <c r="L124" s="385"/>
      <c r="M124" s="385"/>
      <c r="N124" s="385"/>
      <c r="O124" s="385"/>
      <c r="P124" s="385"/>
      <c r="Q124" s="385"/>
      <c r="R124" s="385"/>
      <c r="S124" s="385"/>
      <c r="T124" s="385"/>
      <c r="U124" s="385"/>
      <c r="V124" s="385"/>
      <c r="W124" s="385"/>
      <c r="X124" s="385"/>
      <c r="Y124" s="385"/>
      <c r="Z124" s="385"/>
    </row>
    <row r="125" ht="15.75" customHeight="1">
      <c r="A125" s="385"/>
      <c r="B125" s="385"/>
      <c r="C125" s="385"/>
      <c r="D125" s="385"/>
      <c r="E125" s="385"/>
      <c r="F125" s="385"/>
      <c r="G125" s="385"/>
      <c r="H125" s="385"/>
      <c r="I125" s="385"/>
      <c r="J125" s="385"/>
      <c r="K125" s="385"/>
      <c r="L125" s="385"/>
      <c r="M125" s="385"/>
      <c r="N125" s="385"/>
      <c r="O125" s="385"/>
      <c r="P125" s="385"/>
      <c r="Q125" s="385"/>
      <c r="R125" s="385"/>
      <c r="S125" s="385"/>
      <c r="T125" s="385"/>
      <c r="U125" s="385"/>
      <c r="V125" s="385"/>
      <c r="W125" s="385"/>
      <c r="X125" s="385"/>
      <c r="Y125" s="385"/>
      <c r="Z125" s="385"/>
    </row>
    <row r="126" ht="15.75" customHeight="1">
      <c r="A126" s="385"/>
      <c r="B126" s="385"/>
      <c r="C126" s="385"/>
      <c r="D126" s="385"/>
      <c r="E126" s="385"/>
      <c r="F126" s="385"/>
      <c r="G126" s="385"/>
      <c r="H126" s="385"/>
      <c r="I126" s="385"/>
      <c r="J126" s="385"/>
      <c r="K126" s="385"/>
      <c r="L126" s="385"/>
      <c r="M126" s="385"/>
      <c r="N126" s="385"/>
      <c r="O126" s="385"/>
      <c r="P126" s="385"/>
      <c r="Q126" s="385"/>
      <c r="R126" s="385"/>
      <c r="S126" s="385"/>
      <c r="T126" s="385"/>
      <c r="U126" s="385"/>
      <c r="V126" s="385"/>
      <c r="W126" s="385"/>
      <c r="X126" s="385"/>
      <c r="Y126" s="385"/>
      <c r="Z126" s="385"/>
    </row>
    <row r="127" ht="15.75" customHeight="1">
      <c r="A127" s="385"/>
      <c r="B127" s="385"/>
      <c r="C127" s="385"/>
      <c r="D127" s="385"/>
      <c r="E127" s="385"/>
      <c r="F127" s="385"/>
      <c r="G127" s="385"/>
      <c r="H127" s="385"/>
      <c r="I127" s="385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5"/>
      <c r="W127" s="385"/>
      <c r="X127" s="385"/>
      <c r="Y127" s="385"/>
      <c r="Z127" s="385"/>
    </row>
    <row r="128" ht="15.75" customHeight="1">
      <c r="A128" s="385"/>
      <c r="B128" s="385"/>
      <c r="C128" s="385"/>
      <c r="D128" s="385"/>
      <c r="E128" s="385"/>
      <c r="F128" s="385"/>
      <c r="G128" s="385"/>
      <c r="H128" s="385"/>
      <c r="I128" s="385"/>
      <c r="J128" s="385"/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  <c r="V128" s="385"/>
      <c r="W128" s="385"/>
      <c r="X128" s="385"/>
      <c r="Y128" s="385"/>
      <c r="Z128" s="385"/>
    </row>
    <row r="129" ht="15.75" customHeight="1">
      <c r="A129" s="385"/>
      <c r="B129" s="385"/>
      <c r="C129" s="385"/>
      <c r="D129" s="385"/>
      <c r="E129" s="385"/>
      <c r="F129" s="385"/>
      <c r="G129" s="385"/>
      <c r="H129" s="385"/>
      <c r="I129" s="385"/>
      <c r="J129" s="385"/>
      <c r="K129" s="385"/>
      <c r="L129" s="385"/>
      <c r="M129" s="385"/>
      <c r="N129" s="385"/>
      <c r="O129" s="385"/>
      <c r="P129" s="385"/>
      <c r="Q129" s="385"/>
      <c r="R129" s="385"/>
      <c r="S129" s="385"/>
      <c r="T129" s="385"/>
      <c r="U129" s="385"/>
      <c r="V129" s="385"/>
      <c r="W129" s="385"/>
      <c r="X129" s="385"/>
      <c r="Y129" s="385"/>
      <c r="Z129" s="385"/>
    </row>
    <row r="130" ht="15.75" customHeight="1">
      <c r="A130" s="385"/>
      <c r="B130" s="385"/>
      <c r="C130" s="385"/>
      <c r="D130" s="385"/>
      <c r="E130" s="385"/>
      <c r="F130" s="385"/>
      <c r="G130" s="385"/>
      <c r="H130" s="385"/>
      <c r="I130" s="385"/>
      <c r="J130" s="385"/>
      <c r="K130" s="385"/>
      <c r="L130" s="385"/>
      <c r="M130" s="385"/>
      <c r="N130" s="385"/>
      <c r="O130" s="385"/>
      <c r="P130" s="385"/>
      <c r="Q130" s="385"/>
      <c r="R130" s="385"/>
      <c r="S130" s="385"/>
      <c r="T130" s="385"/>
      <c r="U130" s="385"/>
      <c r="V130" s="385"/>
      <c r="W130" s="385"/>
      <c r="X130" s="385"/>
      <c r="Y130" s="385"/>
      <c r="Z130" s="385"/>
    </row>
    <row r="131" ht="15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5"/>
      <c r="M131" s="385"/>
      <c r="N131" s="385"/>
      <c r="O131" s="385"/>
      <c r="P131" s="385"/>
      <c r="Q131" s="385"/>
      <c r="R131" s="385"/>
      <c r="S131" s="385"/>
      <c r="T131" s="385"/>
      <c r="U131" s="385"/>
      <c r="V131" s="385"/>
      <c r="W131" s="385"/>
      <c r="X131" s="385"/>
      <c r="Y131" s="385"/>
      <c r="Z131" s="385"/>
    </row>
    <row r="132" ht="15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5"/>
      <c r="M132" s="385"/>
      <c r="N132" s="385"/>
      <c r="O132" s="385"/>
      <c r="P132" s="385"/>
      <c r="Q132" s="385"/>
      <c r="R132" s="385"/>
      <c r="S132" s="385"/>
      <c r="T132" s="385"/>
      <c r="U132" s="385"/>
      <c r="V132" s="385"/>
      <c r="W132" s="385"/>
      <c r="X132" s="385"/>
      <c r="Y132" s="385"/>
      <c r="Z132" s="385"/>
    </row>
    <row r="133" ht="15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5"/>
      <c r="M133" s="385"/>
      <c r="N133" s="385"/>
      <c r="O133" s="385"/>
      <c r="P133" s="385"/>
      <c r="Q133" s="385"/>
      <c r="R133" s="385"/>
      <c r="S133" s="385"/>
      <c r="T133" s="385"/>
      <c r="U133" s="385"/>
      <c r="V133" s="385"/>
      <c r="W133" s="385"/>
      <c r="X133" s="385"/>
      <c r="Y133" s="385"/>
      <c r="Z133" s="385"/>
    </row>
    <row r="134" ht="15.75" customHeight="1">
      <c r="A134" s="385"/>
      <c r="B134" s="385"/>
      <c r="C134" s="385"/>
      <c r="D134" s="385"/>
      <c r="E134" s="385"/>
      <c r="F134" s="385"/>
      <c r="G134" s="385"/>
      <c r="H134" s="385"/>
      <c r="I134" s="385"/>
      <c r="J134" s="385"/>
      <c r="K134" s="385"/>
      <c r="L134" s="385"/>
      <c r="M134" s="385"/>
      <c r="N134" s="385"/>
      <c r="O134" s="385"/>
      <c r="P134" s="385"/>
      <c r="Q134" s="385"/>
      <c r="R134" s="385"/>
      <c r="S134" s="385"/>
      <c r="T134" s="385"/>
      <c r="U134" s="385"/>
      <c r="V134" s="385"/>
      <c r="W134" s="385"/>
      <c r="X134" s="385"/>
      <c r="Y134" s="385"/>
      <c r="Z134" s="385"/>
    </row>
    <row r="135" ht="15.75" customHeight="1">
      <c r="A135" s="385"/>
      <c r="B135" s="385"/>
      <c r="C135" s="385"/>
      <c r="D135" s="385"/>
      <c r="E135" s="385"/>
      <c r="F135" s="385"/>
      <c r="G135" s="385"/>
      <c r="H135" s="385"/>
      <c r="I135" s="385"/>
      <c r="J135" s="385"/>
      <c r="K135" s="385"/>
      <c r="L135" s="385"/>
      <c r="M135" s="385"/>
      <c r="N135" s="385"/>
      <c r="O135" s="385"/>
      <c r="P135" s="385"/>
      <c r="Q135" s="385"/>
      <c r="R135" s="385"/>
      <c r="S135" s="385"/>
      <c r="T135" s="385"/>
      <c r="U135" s="385"/>
      <c r="V135" s="385"/>
      <c r="W135" s="385"/>
      <c r="X135" s="385"/>
      <c r="Y135" s="385"/>
      <c r="Z135" s="385"/>
    </row>
    <row r="136" ht="15.75" customHeight="1">
      <c r="A136" s="385"/>
      <c r="B136" s="385"/>
      <c r="C136" s="385"/>
      <c r="D136" s="385"/>
      <c r="E136" s="385"/>
      <c r="F136" s="385"/>
      <c r="G136" s="385"/>
      <c r="H136" s="385"/>
      <c r="I136" s="385"/>
      <c r="J136" s="385"/>
      <c r="K136" s="385"/>
      <c r="L136" s="385"/>
      <c r="M136" s="385"/>
      <c r="N136" s="385"/>
      <c r="O136" s="385"/>
      <c r="P136" s="385"/>
      <c r="Q136" s="385"/>
      <c r="R136" s="385"/>
      <c r="S136" s="385"/>
      <c r="T136" s="385"/>
      <c r="U136" s="385"/>
      <c r="V136" s="385"/>
      <c r="W136" s="385"/>
      <c r="X136" s="385"/>
      <c r="Y136" s="385"/>
      <c r="Z136" s="385"/>
    </row>
    <row r="137" ht="15.75" customHeight="1">
      <c r="A137" s="385"/>
      <c r="B137" s="385"/>
      <c r="C137" s="385"/>
      <c r="D137" s="385"/>
      <c r="E137" s="385"/>
      <c r="F137" s="385"/>
      <c r="G137" s="385"/>
      <c r="H137" s="385"/>
      <c r="I137" s="385"/>
      <c r="J137" s="385"/>
      <c r="K137" s="385"/>
      <c r="L137" s="385"/>
      <c r="M137" s="385"/>
      <c r="N137" s="385"/>
      <c r="O137" s="385"/>
      <c r="P137" s="385"/>
      <c r="Q137" s="385"/>
      <c r="R137" s="385"/>
      <c r="S137" s="385"/>
      <c r="T137" s="385"/>
      <c r="U137" s="385"/>
      <c r="V137" s="385"/>
      <c r="W137" s="385"/>
      <c r="X137" s="385"/>
      <c r="Y137" s="385"/>
      <c r="Z137" s="385"/>
    </row>
    <row r="138" ht="15.75" customHeight="1">
      <c r="A138" s="385"/>
      <c r="B138" s="385"/>
      <c r="C138" s="385"/>
      <c r="D138" s="385"/>
      <c r="E138" s="385"/>
      <c r="F138" s="385"/>
      <c r="G138" s="385"/>
      <c r="H138" s="385"/>
      <c r="I138" s="385"/>
      <c r="J138" s="385"/>
      <c r="K138" s="385"/>
      <c r="L138" s="385"/>
      <c r="M138" s="385"/>
      <c r="N138" s="385"/>
      <c r="O138" s="385"/>
      <c r="P138" s="385"/>
      <c r="Q138" s="385"/>
      <c r="R138" s="385"/>
      <c r="S138" s="385"/>
      <c r="T138" s="385"/>
      <c r="U138" s="385"/>
      <c r="V138" s="385"/>
      <c r="W138" s="385"/>
      <c r="X138" s="385"/>
      <c r="Y138" s="385"/>
      <c r="Z138" s="385"/>
    </row>
    <row r="139" ht="15.75" customHeight="1">
      <c r="A139" s="385"/>
      <c r="B139" s="385"/>
      <c r="C139" s="385"/>
      <c r="D139" s="385"/>
      <c r="E139" s="385"/>
      <c r="F139" s="385"/>
      <c r="G139" s="385"/>
      <c r="H139" s="385"/>
      <c r="I139" s="385"/>
      <c r="J139" s="385"/>
      <c r="K139" s="385"/>
      <c r="L139" s="385"/>
      <c r="M139" s="385"/>
      <c r="N139" s="385"/>
      <c r="O139" s="385"/>
      <c r="P139" s="385"/>
      <c r="Q139" s="385"/>
      <c r="R139" s="385"/>
      <c r="S139" s="385"/>
      <c r="T139" s="385"/>
      <c r="U139" s="385"/>
      <c r="V139" s="385"/>
      <c r="W139" s="385"/>
      <c r="X139" s="385"/>
      <c r="Y139" s="385"/>
      <c r="Z139" s="385"/>
    </row>
    <row r="140" ht="15.75" customHeight="1">
      <c r="A140" s="385"/>
      <c r="B140" s="385"/>
      <c r="C140" s="385"/>
      <c r="D140" s="385"/>
      <c r="E140" s="385"/>
      <c r="F140" s="385"/>
      <c r="G140" s="385"/>
      <c r="H140" s="385"/>
      <c r="I140" s="385"/>
      <c r="J140" s="385"/>
      <c r="K140" s="385"/>
      <c r="L140" s="385"/>
      <c r="M140" s="385"/>
      <c r="N140" s="385"/>
      <c r="O140" s="385"/>
      <c r="P140" s="385"/>
      <c r="Q140" s="385"/>
      <c r="R140" s="385"/>
      <c r="S140" s="385"/>
      <c r="T140" s="385"/>
      <c r="U140" s="385"/>
      <c r="V140" s="385"/>
      <c r="W140" s="385"/>
      <c r="X140" s="385"/>
      <c r="Y140" s="385"/>
      <c r="Z140" s="385"/>
    </row>
    <row r="141" ht="15.75" customHeight="1">
      <c r="A141" s="385"/>
      <c r="B141" s="385"/>
      <c r="C141" s="385"/>
      <c r="D141" s="385"/>
      <c r="E141" s="385"/>
      <c r="F141" s="385"/>
      <c r="G141" s="385"/>
      <c r="H141" s="385"/>
      <c r="I141" s="385"/>
      <c r="J141" s="385"/>
      <c r="K141" s="385"/>
      <c r="L141" s="385"/>
      <c r="M141" s="385"/>
      <c r="N141" s="385"/>
      <c r="O141" s="385"/>
      <c r="P141" s="385"/>
      <c r="Q141" s="385"/>
      <c r="R141" s="385"/>
      <c r="S141" s="385"/>
      <c r="T141" s="385"/>
      <c r="U141" s="385"/>
      <c r="V141" s="385"/>
      <c r="W141" s="385"/>
      <c r="X141" s="385"/>
      <c r="Y141" s="385"/>
      <c r="Z141" s="385"/>
    </row>
    <row r="142" ht="15.75" customHeight="1">
      <c r="A142" s="385"/>
      <c r="B142" s="385"/>
      <c r="C142" s="385"/>
      <c r="D142" s="385"/>
      <c r="E142" s="385"/>
      <c r="F142" s="385"/>
      <c r="G142" s="385"/>
      <c r="H142" s="385"/>
      <c r="I142" s="385"/>
      <c r="J142" s="385"/>
      <c r="K142" s="385"/>
      <c r="L142" s="385"/>
      <c r="M142" s="385"/>
      <c r="N142" s="385"/>
      <c r="O142" s="385"/>
      <c r="P142" s="385"/>
      <c r="Q142" s="385"/>
      <c r="R142" s="385"/>
      <c r="S142" s="385"/>
      <c r="T142" s="385"/>
      <c r="U142" s="385"/>
      <c r="V142" s="385"/>
      <c r="W142" s="385"/>
      <c r="X142" s="385"/>
      <c r="Y142" s="385"/>
      <c r="Z142" s="385"/>
    </row>
    <row r="143" ht="15.75" customHeight="1">
      <c r="A143" s="385"/>
      <c r="B143" s="385"/>
      <c r="C143" s="385"/>
      <c r="D143" s="385"/>
      <c r="E143" s="385"/>
      <c r="F143" s="385"/>
      <c r="G143" s="385"/>
      <c r="H143" s="385"/>
      <c r="I143" s="385"/>
      <c r="J143" s="385"/>
      <c r="K143" s="385"/>
      <c r="L143" s="385"/>
      <c r="M143" s="385"/>
      <c r="N143" s="385"/>
      <c r="O143" s="385"/>
      <c r="P143" s="385"/>
      <c r="Q143" s="385"/>
      <c r="R143" s="385"/>
      <c r="S143" s="385"/>
      <c r="T143" s="385"/>
      <c r="U143" s="385"/>
      <c r="V143" s="385"/>
      <c r="W143" s="385"/>
      <c r="X143" s="385"/>
      <c r="Y143" s="385"/>
      <c r="Z143" s="385"/>
    </row>
    <row r="144" ht="15.75" customHeight="1">
      <c r="A144" s="385"/>
      <c r="B144" s="385"/>
      <c r="C144" s="385"/>
      <c r="D144" s="385"/>
      <c r="E144" s="385"/>
      <c r="F144" s="385"/>
      <c r="G144" s="385"/>
      <c r="H144" s="385"/>
      <c r="I144" s="385"/>
      <c r="J144" s="385"/>
      <c r="K144" s="385"/>
      <c r="L144" s="385"/>
      <c r="M144" s="385"/>
      <c r="N144" s="385"/>
      <c r="O144" s="385"/>
      <c r="P144" s="385"/>
      <c r="Q144" s="385"/>
      <c r="R144" s="385"/>
      <c r="S144" s="385"/>
      <c r="T144" s="385"/>
      <c r="U144" s="385"/>
      <c r="V144" s="385"/>
      <c r="W144" s="385"/>
      <c r="X144" s="385"/>
      <c r="Y144" s="385"/>
      <c r="Z144" s="385"/>
    </row>
    <row r="145" ht="15.75" customHeight="1">
      <c r="A145" s="385"/>
      <c r="B145" s="385"/>
      <c r="C145" s="385"/>
      <c r="D145" s="385"/>
      <c r="E145" s="385"/>
      <c r="F145" s="385"/>
      <c r="G145" s="385"/>
      <c r="H145" s="385"/>
      <c r="I145" s="385"/>
      <c r="J145" s="385"/>
      <c r="K145" s="385"/>
      <c r="L145" s="385"/>
      <c r="M145" s="385"/>
      <c r="N145" s="385"/>
      <c r="O145" s="385"/>
      <c r="P145" s="385"/>
      <c r="Q145" s="385"/>
      <c r="R145" s="385"/>
      <c r="S145" s="385"/>
      <c r="T145" s="385"/>
      <c r="U145" s="385"/>
      <c r="V145" s="385"/>
      <c r="W145" s="385"/>
      <c r="X145" s="385"/>
      <c r="Y145" s="385"/>
      <c r="Z145" s="385"/>
    </row>
    <row r="146" ht="15.75" customHeight="1">
      <c r="A146" s="385"/>
      <c r="B146" s="385"/>
      <c r="C146" s="385"/>
      <c r="D146" s="385"/>
      <c r="E146" s="385"/>
      <c r="F146" s="385"/>
      <c r="G146" s="385"/>
      <c r="H146" s="385"/>
      <c r="I146" s="385"/>
      <c r="J146" s="385"/>
      <c r="K146" s="385"/>
      <c r="L146" s="385"/>
      <c r="M146" s="385"/>
      <c r="N146" s="385"/>
      <c r="O146" s="385"/>
      <c r="P146" s="385"/>
      <c r="Q146" s="385"/>
      <c r="R146" s="385"/>
      <c r="S146" s="385"/>
      <c r="T146" s="385"/>
      <c r="U146" s="385"/>
      <c r="V146" s="385"/>
      <c r="W146" s="385"/>
      <c r="X146" s="385"/>
      <c r="Y146" s="385"/>
      <c r="Z146" s="385"/>
    </row>
    <row r="147" ht="15.75" customHeight="1">
      <c r="A147" s="385"/>
      <c r="B147" s="385"/>
      <c r="C147" s="385"/>
      <c r="D147" s="385"/>
      <c r="E147" s="385"/>
      <c r="F147" s="385"/>
      <c r="G147" s="385"/>
      <c r="H147" s="385"/>
      <c r="I147" s="385"/>
      <c r="J147" s="385"/>
      <c r="K147" s="385"/>
      <c r="L147" s="385"/>
      <c r="M147" s="385"/>
      <c r="N147" s="385"/>
      <c r="O147" s="385"/>
      <c r="P147" s="385"/>
      <c r="Q147" s="385"/>
      <c r="R147" s="385"/>
      <c r="S147" s="385"/>
      <c r="T147" s="385"/>
      <c r="U147" s="385"/>
      <c r="V147" s="385"/>
      <c r="W147" s="385"/>
      <c r="X147" s="385"/>
      <c r="Y147" s="385"/>
      <c r="Z147" s="385"/>
    </row>
    <row r="148" ht="15.75" customHeight="1">
      <c r="A148" s="385"/>
      <c r="B148" s="385"/>
      <c r="C148" s="385"/>
      <c r="D148" s="385"/>
      <c r="E148" s="385"/>
      <c r="F148" s="385"/>
      <c r="G148" s="385"/>
      <c r="H148" s="385"/>
      <c r="I148" s="385"/>
      <c r="J148" s="385"/>
      <c r="K148" s="385"/>
      <c r="L148" s="385"/>
      <c r="M148" s="385"/>
      <c r="N148" s="385"/>
      <c r="O148" s="385"/>
      <c r="P148" s="385"/>
      <c r="Q148" s="385"/>
      <c r="R148" s="385"/>
      <c r="S148" s="385"/>
      <c r="T148" s="385"/>
      <c r="U148" s="385"/>
      <c r="V148" s="385"/>
      <c r="W148" s="385"/>
      <c r="X148" s="385"/>
      <c r="Y148" s="385"/>
      <c r="Z148" s="385"/>
    </row>
    <row r="149" ht="15.75" customHeight="1">
      <c r="A149" s="385"/>
      <c r="B149" s="385"/>
      <c r="C149" s="385"/>
      <c r="D149" s="385"/>
      <c r="E149" s="385"/>
      <c r="F149" s="385"/>
      <c r="G149" s="385"/>
      <c r="H149" s="385"/>
      <c r="I149" s="385"/>
      <c r="J149" s="385"/>
      <c r="K149" s="385"/>
      <c r="L149" s="385"/>
      <c r="M149" s="385"/>
      <c r="N149" s="385"/>
      <c r="O149" s="385"/>
      <c r="P149" s="385"/>
      <c r="Q149" s="385"/>
      <c r="R149" s="385"/>
      <c r="S149" s="385"/>
      <c r="T149" s="385"/>
      <c r="U149" s="385"/>
      <c r="V149" s="385"/>
      <c r="W149" s="385"/>
      <c r="X149" s="385"/>
      <c r="Y149" s="385"/>
      <c r="Z149" s="385"/>
    </row>
    <row r="150" ht="15.75" customHeight="1">
      <c r="A150" s="385"/>
      <c r="B150" s="385"/>
      <c r="C150" s="385"/>
      <c r="D150" s="385"/>
      <c r="E150" s="385"/>
      <c r="F150" s="385"/>
      <c r="G150" s="385"/>
      <c r="H150" s="385"/>
      <c r="I150" s="385"/>
      <c r="J150" s="385"/>
      <c r="K150" s="385"/>
      <c r="L150" s="385"/>
      <c r="M150" s="385"/>
      <c r="N150" s="385"/>
      <c r="O150" s="385"/>
      <c r="P150" s="385"/>
      <c r="Q150" s="385"/>
      <c r="R150" s="385"/>
      <c r="S150" s="385"/>
      <c r="T150" s="385"/>
      <c r="U150" s="385"/>
      <c r="V150" s="385"/>
      <c r="W150" s="385"/>
      <c r="X150" s="385"/>
      <c r="Y150" s="385"/>
      <c r="Z150" s="385"/>
    </row>
    <row r="151" ht="15.75" customHeight="1">
      <c r="A151" s="385"/>
      <c r="B151" s="385"/>
      <c r="C151" s="385"/>
      <c r="D151" s="385"/>
      <c r="E151" s="385"/>
      <c r="F151" s="385"/>
      <c r="G151" s="385"/>
      <c r="H151" s="385"/>
      <c r="I151" s="385"/>
      <c r="J151" s="385"/>
      <c r="K151" s="385"/>
      <c r="L151" s="385"/>
      <c r="M151" s="385"/>
      <c r="N151" s="385"/>
      <c r="O151" s="385"/>
      <c r="P151" s="385"/>
      <c r="Q151" s="385"/>
      <c r="R151" s="385"/>
      <c r="S151" s="385"/>
      <c r="T151" s="385"/>
      <c r="U151" s="385"/>
      <c r="V151" s="385"/>
      <c r="W151" s="385"/>
      <c r="X151" s="385"/>
      <c r="Y151" s="385"/>
      <c r="Z151" s="385"/>
    </row>
    <row r="152" ht="15.75" customHeight="1">
      <c r="A152" s="385"/>
      <c r="B152" s="385"/>
      <c r="C152" s="385"/>
      <c r="D152" s="385"/>
      <c r="E152" s="385"/>
      <c r="F152" s="385"/>
      <c r="G152" s="385"/>
      <c r="H152" s="385"/>
      <c r="I152" s="385"/>
      <c r="J152" s="385"/>
      <c r="K152" s="385"/>
      <c r="L152" s="385"/>
      <c r="M152" s="385"/>
      <c r="N152" s="385"/>
      <c r="O152" s="385"/>
      <c r="P152" s="385"/>
      <c r="Q152" s="385"/>
      <c r="R152" s="385"/>
      <c r="S152" s="385"/>
      <c r="T152" s="385"/>
      <c r="U152" s="385"/>
      <c r="V152" s="385"/>
      <c r="W152" s="385"/>
      <c r="X152" s="385"/>
      <c r="Y152" s="385"/>
      <c r="Z152" s="385"/>
    </row>
    <row r="153" ht="15.75" customHeight="1">
      <c r="A153" s="385"/>
      <c r="B153" s="385"/>
      <c r="C153" s="385"/>
      <c r="D153" s="385"/>
      <c r="E153" s="385"/>
      <c r="F153" s="385"/>
      <c r="G153" s="385"/>
      <c r="H153" s="385"/>
      <c r="I153" s="385"/>
      <c r="J153" s="385"/>
      <c r="K153" s="385"/>
      <c r="L153" s="385"/>
      <c r="M153" s="385"/>
      <c r="N153" s="385"/>
      <c r="O153" s="385"/>
      <c r="P153" s="385"/>
      <c r="Q153" s="385"/>
      <c r="R153" s="385"/>
      <c r="S153" s="385"/>
      <c r="T153" s="385"/>
      <c r="U153" s="385"/>
      <c r="V153" s="385"/>
      <c r="W153" s="385"/>
      <c r="X153" s="385"/>
      <c r="Y153" s="385"/>
      <c r="Z153" s="385"/>
    </row>
    <row r="154" ht="15.75" customHeight="1">
      <c r="A154" s="385"/>
      <c r="B154" s="385"/>
      <c r="C154" s="385"/>
      <c r="D154" s="385"/>
      <c r="E154" s="385"/>
      <c r="F154" s="385"/>
      <c r="G154" s="385"/>
      <c r="H154" s="385"/>
      <c r="I154" s="385"/>
      <c r="J154" s="385"/>
      <c r="K154" s="385"/>
      <c r="L154" s="385"/>
      <c r="M154" s="385"/>
      <c r="N154" s="385"/>
      <c r="O154" s="385"/>
      <c r="P154" s="385"/>
      <c r="Q154" s="385"/>
      <c r="R154" s="385"/>
      <c r="S154" s="385"/>
      <c r="T154" s="385"/>
      <c r="U154" s="385"/>
      <c r="V154" s="385"/>
      <c r="W154" s="385"/>
      <c r="X154" s="385"/>
      <c r="Y154" s="385"/>
      <c r="Z154" s="385"/>
    </row>
    <row r="155" ht="15.75" customHeight="1">
      <c r="A155" s="385"/>
      <c r="B155" s="385"/>
      <c r="C155" s="385"/>
      <c r="D155" s="385"/>
      <c r="E155" s="385"/>
      <c r="F155" s="385"/>
      <c r="G155" s="385"/>
      <c r="H155" s="385"/>
      <c r="I155" s="385"/>
      <c r="J155" s="385"/>
      <c r="K155" s="385"/>
      <c r="L155" s="385"/>
      <c r="M155" s="385"/>
      <c r="N155" s="385"/>
      <c r="O155" s="385"/>
      <c r="P155" s="385"/>
      <c r="Q155" s="385"/>
      <c r="R155" s="385"/>
      <c r="S155" s="385"/>
      <c r="T155" s="385"/>
      <c r="U155" s="385"/>
      <c r="V155" s="385"/>
      <c r="W155" s="385"/>
      <c r="X155" s="385"/>
      <c r="Y155" s="385"/>
      <c r="Z155" s="385"/>
    </row>
    <row r="156" ht="15.75" customHeight="1">
      <c r="A156" s="385"/>
      <c r="B156" s="385"/>
      <c r="C156" s="385"/>
      <c r="D156" s="385"/>
      <c r="E156" s="385"/>
      <c r="F156" s="385"/>
      <c r="G156" s="385"/>
      <c r="H156" s="385"/>
      <c r="I156" s="385"/>
      <c r="J156" s="385"/>
      <c r="K156" s="385"/>
      <c r="L156" s="385"/>
      <c r="M156" s="385"/>
      <c r="N156" s="385"/>
      <c r="O156" s="385"/>
      <c r="P156" s="385"/>
      <c r="Q156" s="385"/>
      <c r="R156" s="385"/>
      <c r="S156" s="385"/>
      <c r="T156" s="385"/>
      <c r="U156" s="385"/>
      <c r="V156" s="385"/>
      <c r="W156" s="385"/>
      <c r="X156" s="385"/>
      <c r="Y156" s="385"/>
      <c r="Z156" s="385"/>
    </row>
    <row r="157" ht="15.75" customHeight="1">
      <c r="A157" s="385"/>
      <c r="B157" s="385"/>
      <c r="C157" s="385"/>
      <c r="D157" s="385"/>
      <c r="E157" s="385"/>
      <c r="F157" s="385"/>
      <c r="G157" s="385"/>
      <c r="H157" s="385"/>
      <c r="I157" s="385"/>
      <c r="J157" s="385"/>
      <c r="K157" s="385"/>
      <c r="L157" s="385"/>
      <c r="M157" s="385"/>
      <c r="N157" s="385"/>
      <c r="O157" s="385"/>
      <c r="P157" s="385"/>
      <c r="Q157" s="385"/>
      <c r="R157" s="385"/>
      <c r="S157" s="385"/>
      <c r="T157" s="385"/>
      <c r="U157" s="385"/>
      <c r="V157" s="385"/>
      <c r="W157" s="385"/>
      <c r="X157" s="385"/>
      <c r="Y157" s="385"/>
      <c r="Z157" s="385"/>
    </row>
    <row r="158" ht="15.75" customHeight="1">
      <c r="A158" s="385"/>
      <c r="B158" s="385"/>
      <c r="C158" s="385"/>
      <c r="D158" s="385"/>
      <c r="E158" s="385"/>
      <c r="F158" s="385"/>
      <c r="G158" s="385"/>
      <c r="H158" s="385"/>
      <c r="I158" s="385"/>
      <c r="J158" s="385"/>
      <c r="K158" s="385"/>
      <c r="L158" s="385"/>
      <c r="M158" s="385"/>
      <c r="N158" s="385"/>
      <c r="O158" s="385"/>
      <c r="P158" s="385"/>
      <c r="Q158" s="385"/>
      <c r="R158" s="385"/>
      <c r="S158" s="385"/>
      <c r="T158" s="385"/>
      <c r="U158" s="385"/>
      <c r="V158" s="385"/>
      <c r="W158" s="385"/>
      <c r="X158" s="385"/>
      <c r="Y158" s="385"/>
      <c r="Z158" s="385"/>
    </row>
    <row r="159" ht="15.75" customHeight="1">
      <c r="A159" s="385"/>
      <c r="B159" s="385"/>
      <c r="C159" s="385"/>
      <c r="D159" s="385"/>
      <c r="E159" s="385"/>
      <c r="F159" s="385"/>
      <c r="G159" s="385"/>
      <c r="H159" s="385"/>
      <c r="I159" s="385"/>
      <c r="J159" s="385"/>
      <c r="K159" s="385"/>
      <c r="L159" s="385"/>
      <c r="M159" s="385"/>
      <c r="N159" s="385"/>
      <c r="O159" s="385"/>
      <c r="P159" s="385"/>
      <c r="Q159" s="385"/>
      <c r="R159" s="385"/>
      <c r="S159" s="385"/>
      <c r="T159" s="385"/>
      <c r="U159" s="385"/>
      <c r="V159" s="385"/>
      <c r="W159" s="385"/>
      <c r="X159" s="385"/>
      <c r="Y159" s="385"/>
      <c r="Z159" s="385"/>
    </row>
    <row r="160" ht="15.75" customHeight="1">
      <c r="A160" s="385"/>
      <c r="B160" s="385"/>
      <c r="C160" s="385"/>
      <c r="D160" s="385"/>
      <c r="E160" s="385"/>
      <c r="F160" s="385"/>
      <c r="G160" s="385"/>
      <c r="H160" s="385"/>
      <c r="I160" s="385"/>
      <c r="J160" s="385"/>
      <c r="K160" s="385"/>
      <c r="L160" s="385"/>
      <c r="M160" s="385"/>
      <c r="N160" s="385"/>
      <c r="O160" s="385"/>
      <c r="P160" s="385"/>
      <c r="Q160" s="385"/>
      <c r="R160" s="385"/>
      <c r="S160" s="385"/>
      <c r="T160" s="385"/>
      <c r="U160" s="385"/>
      <c r="V160" s="385"/>
      <c r="W160" s="385"/>
      <c r="X160" s="385"/>
      <c r="Y160" s="385"/>
      <c r="Z160" s="385"/>
    </row>
    <row r="161" ht="15.75" customHeight="1">
      <c r="A161" s="385"/>
      <c r="B161" s="385"/>
      <c r="C161" s="385"/>
      <c r="D161" s="385"/>
      <c r="E161" s="385"/>
      <c r="F161" s="385"/>
      <c r="G161" s="385"/>
      <c r="H161" s="385"/>
      <c r="I161" s="385"/>
      <c r="J161" s="385"/>
      <c r="K161" s="385"/>
      <c r="L161" s="385"/>
      <c r="M161" s="385"/>
      <c r="N161" s="385"/>
      <c r="O161" s="385"/>
      <c r="P161" s="385"/>
      <c r="Q161" s="385"/>
      <c r="R161" s="385"/>
      <c r="S161" s="385"/>
      <c r="T161" s="385"/>
      <c r="U161" s="385"/>
      <c r="V161" s="385"/>
      <c r="W161" s="385"/>
      <c r="X161" s="385"/>
      <c r="Y161" s="385"/>
      <c r="Z161" s="385"/>
    </row>
    <row r="162" ht="15.75" customHeight="1">
      <c r="A162" s="385"/>
      <c r="B162" s="385"/>
      <c r="C162" s="385"/>
      <c r="D162" s="385"/>
      <c r="E162" s="385"/>
      <c r="F162" s="385"/>
      <c r="G162" s="385"/>
      <c r="H162" s="385"/>
      <c r="I162" s="385"/>
      <c r="J162" s="385"/>
      <c r="K162" s="385"/>
      <c r="L162" s="385"/>
      <c r="M162" s="385"/>
      <c r="N162" s="385"/>
      <c r="O162" s="385"/>
      <c r="P162" s="385"/>
      <c r="Q162" s="385"/>
      <c r="R162" s="385"/>
      <c r="S162" s="385"/>
      <c r="T162" s="385"/>
      <c r="U162" s="385"/>
      <c r="V162" s="385"/>
      <c r="W162" s="385"/>
      <c r="X162" s="385"/>
      <c r="Y162" s="385"/>
      <c r="Z162" s="385"/>
    </row>
    <row r="163" ht="15.75" customHeight="1">
      <c r="A163" s="385"/>
      <c r="B163" s="385"/>
      <c r="C163" s="385"/>
      <c r="D163" s="385"/>
      <c r="E163" s="385"/>
      <c r="F163" s="385"/>
      <c r="G163" s="385"/>
      <c r="H163" s="385"/>
      <c r="I163" s="385"/>
      <c r="J163" s="385"/>
      <c r="K163" s="385"/>
      <c r="L163" s="385"/>
      <c r="M163" s="385"/>
      <c r="N163" s="385"/>
      <c r="O163" s="385"/>
      <c r="P163" s="385"/>
      <c r="Q163" s="385"/>
      <c r="R163" s="385"/>
      <c r="S163" s="385"/>
      <c r="T163" s="385"/>
      <c r="U163" s="385"/>
      <c r="V163" s="385"/>
      <c r="W163" s="385"/>
      <c r="X163" s="385"/>
      <c r="Y163" s="385"/>
      <c r="Z163" s="385"/>
    </row>
    <row r="164" ht="15.75" customHeight="1">
      <c r="A164" s="385"/>
      <c r="B164" s="385"/>
      <c r="C164" s="385"/>
      <c r="D164" s="385"/>
      <c r="E164" s="385"/>
      <c r="F164" s="385"/>
      <c r="G164" s="385"/>
      <c r="H164" s="385"/>
      <c r="I164" s="385"/>
      <c r="J164" s="385"/>
      <c r="K164" s="385"/>
      <c r="L164" s="385"/>
      <c r="M164" s="385"/>
      <c r="N164" s="385"/>
      <c r="O164" s="385"/>
      <c r="P164" s="385"/>
      <c r="Q164" s="385"/>
      <c r="R164" s="385"/>
      <c r="S164" s="385"/>
      <c r="T164" s="385"/>
      <c r="U164" s="385"/>
      <c r="V164" s="385"/>
      <c r="W164" s="385"/>
      <c r="X164" s="385"/>
      <c r="Y164" s="385"/>
      <c r="Z164" s="385"/>
    </row>
    <row r="165" ht="15.75" customHeight="1">
      <c r="A165" s="385"/>
      <c r="B165" s="385"/>
      <c r="C165" s="385"/>
      <c r="D165" s="385"/>
      <c r="E165" s="385"/>
      <c r="F165" s="385"/>
      <c r="G165" s="385"/>
      <c r="H165" s="385"/>
      <c r="I165" s="385"/>
      <c r="J165" s="385"/>
      <c r="K165" s="385"/>
      <c r="L165" s="385"/>
      <c r="M165" s="385"/>
      <c r="N165" s="385"/>
      <c r="O165" s="385"/>
      <c r="P165" s="385"/>
      <c r="Q165" s="385"/>
      <c r="R165" s="385"/>
      <c r="S165" s="385"/>
      <c r="T165" s="385"/>
      <c r="U165" s="385"/>
      <c r="V165" s="385"/>
      <c r="W165" s="385"/>
      <c r="X165" s="385"/>
      <c r="Y165" s="385"/>
      <c r="Z165" s="385"/>
    </row>
    <row r="166" ht="15.75" customHeight="1">
      <c r="A166" s="385"/>
      <c r="B166" s="385"/>
      <c r="C166" s="385"/>
      <c r="D166" s="385"/>
      <c r="E166" s="385"/>
      <c r="F166" s="385"/>
      <c r="G166" s="385"/>
      <c r="H166" s="385"/>
      <c r="I166" s="385"/>
      <c r="J166" s="385"/>
      <c r="K166" s="385"/>
      <c r="L166" s="385"/>
      <c r="M166" s="385"/>
      <c r="N166" s="385"/>
      <c r="O166" s="385"/>
      <c r="P166" s="385"/>
      <c r="Q166" s="385"/>
      <c r="R166" s="385"/>
      <c r="S166" s="385"/>
      <c r="T166" s="385"/>
      <c r="U166" s="385"/>
      <c r="V166" s="385"/>
      <c r="W166" s="385"/>
      <c r="X166" s="385"/>
      <c r="Y166" s="385"/>
      <c r="Z166" s="385"/>
    </row>
    <row r="167" ht="15.75" customHeight="1">
      <c r="A167" s="385"/>
      <c r="B167" s="385"/>
      <c r="C167" s="385"/>
      <c r="D167" s="385"/>
      <c r="E167" s="385"/>
      <c r="F167" s="385"/>
      <c r="G167" s="385"/>
      <c r="H167" s="385"/>
      <c r="I167" s="385"/>
      <c r="J167" s="385"/>
      <c r="K167" s="385"/>
      <c r="L167" s="385"/>
      <c r="M167" s="385"/>
      <c r="N167" s="385"/>
      <c r="O167" s="385"/>
      <c r="P167" s="385"/>
      <c r="Q167" s="385"/>
      <c r="R167" s="385"/>
      <c r="S167" s="385"/>
      <c r="T167" s="385"/>
      <c r="U167" s="385"/>
      <c r="V167" s="385"/>
      <c r="W167" s="385"/>
      <c r="X167" s="385"/>
      <c r="Y167" s="385"/>
      <c r="Z167" s="385"/>
    </row>
    <row r="168" ht="15.75" customHeight="1">
      <c r="A168" s="385"/>
      <c r="B168" s="385"/>
      <c r="C168" s="385"/>
      <c r="D168" s="385"/>
      <c r="E168" s="385"/>
      <c r="F168" s="385"/>
      <c r="G168" s="385"/>
      <c r="H168" s="385"/>
      <c r="I168" s="385"/>
      <c r="J168" s="385"/>
      <c r="K168" s="385"/>
      <c r="L168" s="385"/>
      <c r="M168" s="385"/>
      <c r="N168" s="385"/>
      <c r="O168" s="385"/>
      <c r="P168" s="385"/>
      <c r="Q168" s="385"/>
      <c r="R168" s="385"/>
      <c r="S168" s="385"/>
      <c r="T168" s="385"/>
      <c r="U168" s="385"/>
      <c r="V168" s="385"/>
      <c r="W168" s="385"/>
      <c r="X168" s="385"/>
      <c r="Y168" s="385"/>
      <c r="Z168" s="385"/>
    </row>
    <row r="169" ht="15.75" customHeight="1">
      <c r="A169" s="385"/>
      <c r="B169" s="385"/>
      <c r="C169" s="385"/>
      <c r="D169" s="385"/>
      <c r="E169" s="385"/>
      <c r="F169" s="385"/>
      <c r="G169" s="385"/>
      <c r="H169" s="385"/>
      <c r="I169" s="385"/>
      <c r="J169" s="385"/>
      <c r="K169" s="385"/>
      <c r="L169" s="385"/>
      <c r="M169" s="385"/>
      <c r="N169" s="385"/>
      <c r="O169" s="385"/>
      <c r="P169" s="385"/>
      <c r="Q169" s="385"/>
      <c r="R169" s="385"/>
      <c r="S169" s="385"/>
      <c r="T169" s="385"/>
      <c r="U169" s="385"/>
      <c r="V169" s="385"/>
      <c r="W169" s="385"/>
      <c r="X169" s="385"/>
      <c r="Y169" s="385"/>
      <c r="Z169" s="385"/>
    </row>
    <row r="170" ht="15.75" customHeight="1">
      <c r="A170" s="385"/>
      <c r="B170" s="385"/>
      <c r="C170" s="385"/>
      <c r="D170" s="385"/>
      <c r="E170" s="385"/>
      <c r="F170" s="385"/>
      <c r="G170" s="385"/>
      <c r="H170" s="385"/>
      <c r="I170" s="385"/>
      <c r="J170" s="385"/>
      <c r="K170" s="385"/>
      <c r="L170" s="385"/>
      <c r="M170" s="385"/>
      <c r="N170" s="385"/>
      <c r="O170" s="385"/>
      <c r="P170" s="385"/>
      <c r="Q170" s="385"/>
      <c r="R170" s="385"/>
      <c r="S170" s="385"/>
      <c r="T170" s="385"/>
      <c r="U170" s="385"/>
      <c r="V170" s="385"/>
      <c r="W170" s="385"/>
      <c r="X170" s="385"/>
      <c r="Y170" s="385"/>
      <c r="Z170" s="385"/>
    </row>
    <row r="171" ht="15.75" customHeight="1">
      <c r="A171" s="385"/>
      <c r="B171" s="385"/>
      <c r="C171" s="385"/>
      <c r="D171" s="385"/>
      <c r="E171" s="385"/>
      <c r="F171" s="385"/>
      <c r="G171" s="385"/>
      <c r="H171" s="385"/>
      <c r="I171" s="385"/>
      <c r="J171" s="385"/>
      <c r="K171" s="385"/>
      <c r="L171" s="385"/>
      <c r="M171" s="385"/>
      <c r="N171" s="385"/>
      <c r="O171" s="385"/>
      <c r="P171" s="385"/>
      <c r="Q171" s="385"/>
      <c r="R171" s="385"/>
      <c r="S171" s="385"/>
      <c r="T171" s="385"/>
      <c r="U171" s="385"/>
      <c r="V171" s="385"/>
      <c r="W171" s="385"/>
      <c r="X171" s="385"/>
      <c r="Y171" s="385"/>
      <c r="Z171" s="385"/>
    </row>
    <row r="172" ht="15.75" customHeight="1">
      <c r="A172" s="385"/>
      <c r="B172" s="385"/>
      <c r="C172" s="385"/>
      <c r="D172" s="385"/>
      <c r="E172" s="385"/>
      <c r="F172" s="385"/>
      <c r="G172" s="385"/>
      <c r="H172" s="385"/>
      <c r="I172" s="385"/>
      <c r="J172" s="385"/>
      <c r="K172" s="385"/>
      <c r="L172" s="385"/>
      <c r="M172" s="385"/>
      <c r="N172" s="385"/>
      <c r="O172" s="385"/>
      <c r="P172" s="385"/>
      <c r="Q172" s="385"/>
      <c r="R172" s="385"/>
      <c r="S172" s="385"/>
      <c r="T172" s="385"/>
      <c r="U172" s="385"/>
      <c r="V172" s="385"/>
      <c r="W172" s="385"/>
      <c r="X172" s="385"/>
      <c r="Y172" s="385"/>
      <c r="Z172" s="385"/>
    </row>
    <row r="173" ht="15.75" customHeight="1">
      <c r="A173" s="385"/>
      <c r="B173" s="385"/>
      <c r="C173" s="385"/>
      <c r="D173" s="385"/>
      <c r="E173" s="385"/>
      <c r="F173" s="385"/>
      <c r="G173" s="385"/>
      <c r="H173" s="385"/>
      <c r="I173" s="385"/>
      <c r="J173" s="385"/>
      <c r="K173" s="385"/>
      <c r="L173" s="385"/>
      <c r="M173" s="385"/>
      <c r="N173" s="385"/>
      <c r="O173" s="385"/>
      <c r="P173" s="385"/>
      <c r="Q173" s="385"/>
      <c r="R173" s="385"/>
      <c r="S173" s="385"/>
      <c r="T173" s="385"/>
      <c r="U173" s="385"/>
      <c r="V173" s="385"/>
      <c r="W173" s="385"/>
      <c r="X173" s="385"/>
      <c r="Y173" s="385"/>
      <c r="Z173" s="385"/>
    </row>
    <row r="174" ht="15.75" customHeight="1">
      <c r="A174" s="385"/>
      <c r="B174" s="385"/>
      <c r="C174" s="385"/>
      <c r="D174" s="385"/>
      <c r="E174" s="385"/>
      <c r="F174" s="385"/>
      <c r="G174" s="385"/>
      <c r="H174" s="385"/>
      <c r="I174" s="385"/>
      <c r="J174" s="385"/>
      <c r="K174" s="385"/>
      <c r="L174" s="385"/>
      <c r="M174" s="385"/>
      <c r="N174" s="385"/>
      <c r="O174" s="385"/>
      <c r="P174" s="385"/>
      <c r="Q174" s="385"/>
      <c r="R174" s="385"/>
      <c r="S174" s="385"/>
      <c r="T174" s="385"/>
      <c r="U174" s="385"/>
      <c r="V174" s="385"/>
      <c r="W174" s="385"/>
      <c r="X174" s="385"/>
      <c r="Y174" s="385"/>
      <c r="Z174" s="385"/>
    </row>
    <row r="175" ht="15.75" customHeight="1">
      <c r="A175" s="385"/>
      <c r="B175" s="385"/>
      <c r="C175" s="385"/>
      <c r="D175" s="385"/>
      <c r="E175" s="385"/>
      <c r="F175" s="385"/>
      <c r="G175" s="385"/>
      <c r="H175" s="385"/>
      <c r="I175" s="385"/>
      <c r="J175" s="385"/>
      <c r="K175" s="385"/>
      <c r="L175" s="385"/>
      <c r="M175" s="385"/>
      <c r="N175" s="385"/>
      <c r="O175" s="385"/>
      <c r="P175" s="385"/>
      <c r="Q175" s="385"/>
      <c r="R175" s="385"/>
      <c r="S175" s="385"/>
      <c r="T175" s="385"/>
      <c r="U175" s="385"/>
      <c r="V175" s="385"/>
      <c r="W175" s="385"/>
      <c r="X175" s="385"/>
      <c r="Y175" s="385"/>
      <c r="Z175" s="385"/>
    </row>
    <row r="176" ht="15.75" customHeight="1">
      <c r="A176" s="385"/>
      <c r="B176" s="385"/>
      <c r="C176" s="385"/>
      <c r="D176" s="385"/>
      <c r="E176" s="385"/>
      <c r="F176" s="385"/>
      <c r="G176" s="385"/>
      <c r="H176" s="385"/>
      <c r="I176" s="385"/>
      <c r="J176" s="385"/>
      <c r="K176" s="385"/>
      <c r="L176" s="385"/>
      <c r="M176" s="385"/>
      <c r="N176" s="385"/>
      <c r="O176" s="385"/>
      <c r="P176" s="385"/>
      <c r="Q176" s="385"/>
      <c r="R176" s="385"/>
      <c r="S176" s="385"/>
      <c r="T176" s="385"/>
      <c r="U176" s="385"/>
      <c r="V176" s="385"/>
      <c r="W176" s="385"/>
      <c r="X176" s="385"/>
      <c r="Y176" s="385"/>
      <c r="Z176" s="385"/>
    </row>
    <row r="177" ht="15.75" customHeight="1">
      <c r="A177" s="385"/>
      <c r="B177" s="385"/>
      <c r="C177" s="385"/>
      <c r="D177" s="385"/>
      <c r="E177" s="385"/>
      <c r="F177" s="385"/>
      <c r="G177" s="385"/>
      <c r="H177" s="385"/>
      <c r="I177" s="385"/>
      <c r="J177" s="385"/>
      <c r="K177" s="385"/>
      <c r="L177" s="385"/>
      <c r="M177" s="385"/>
      <c r="N177" s="385"/>
      <c r="O177" s="385"/>
      <c r="P177" s="385"/>
      <c r="Q177" s="385"/>
      <c r="R177" s="385"/>
      <c r="S177" s="385"/>
      <c r="T177" s="385"/>
      <c r="U177" s="385"/>
      <c r="V177" s="385"/>
      <c r="W177" s="385"/>
      <c r="X177" s="385"/>
      <c r="Y177" s="385"/>
      <c r="Z177" s="385"/>
    </row>
    <row r="178" ht="15.75" customHeight="1">
      <c r="A178" s="385"/>
      <c r="B178" s="385"/>
      <c r="C178" s="385"/>
      <c r="D178" s="385"/>
      <c r="E178" s="385"/>
      <c r="F178" s="385"/>
      <c r="G178" s="385"/>
      <c r="H178" s="385"/>
      <c r="I178" s="385"/>
      <c r="J178" s="385"/>
      <c r="K178" s="385"/>
      <c r="L178" s="385"/>
      <c r="M178" s="385"/>
      <c r="N178" s="385"/>
      <c r="O178" s="385"/>
      <c r="P178" s="385"/>
      <c r="Q178" s="385"/>
      <c r="R178" s="385"/>
      <c r="S178" s="385"/>
      <c r="T178" s="385"/>
      <c r="U178" s="385"/>
      <c r="V178" s="385"/>
      <c r="W178" s="385"/>
      <c r="X178" s="385"/>
      <c r="Y178" s="385"/>
      <c r="Z178" s="385"/>
    </row>
    <row r="179" ht="15.75" customHeight="1">
      <c r="A179" s="385"/>
      <c r="B179" s="385"/>
      <c r="C179" s="385"/>
      <c r="D179" s="385"/>
      <c r="E179" s="385"/>
      <c r="F179" s="385"/>
      <c r="G179" s="385"/>
      <c r="H179" s="385"/>
      <c r="I179" s="385"/>
      <c r="J179" s="385"/>
      <c r="K179" s="385"/>
      <c r="L179" s="385"/>
      <c r="M179" s="385"/>
      <c r="N179" s="385"/>
      <c r="O179" s="385"/>
      <c r="P179" s="385"/>
      <c r="Q179" s="385"/>
      <c r="R179" s="385"/>
      <c r="S179" s="385"/>
      <c r="T179" s="385"/>
      <c r="U179" s="385"/>
      <c r="V179" s="385"/>
      <c r="W179" s="385"/>
      <c r="X179" s="385"/>
      <c r="Y179" s="385"/>
      <c r="Z179" s="385"/>
    </row>
    <row r="180" ht="15.75" customHeight="1">
      <c r="A180" s="385"/>
      <c r="B180" s="385"/>
      <c r="C180" s="385"/>
      <c r="D180" s="385"/>
      <c r="E180" s="385"/>
      <c r="F180" s="385"/>
      <c r="G180" s="385"/>
      <c r="H180" s="385"/>
      <c r="I180" s="385"/>
      <c r="J180" s="385"/>
      <c r="K180" s="385"/>
      <c r="L180" s="385"/>
      <c r="M180" s="385"/>
      <c r="N180" s="385"/>
      <c r="O180" s="385"/>
      <c r="P180" s="385"/>
      <c r="Q180" s="385"/>
      <c r="R180" s="385"/>
      <c r="S180" s="385"/>
      <c r="T180" s="385"/>
      <c r="U180" s="385"/>
      <c r="V180" s="385"/>
      <c r="W180" s="385"/>
      <c r="X180" s="385"/>
      <c r="Y180" s="385"/>
      <c r="Z180" s="385"/>
    </row>
    <row r="181" ht="15.75" customHeight="1">
      <c r="A181" s="385"/>
      <c r="B181" s="385"/>
      <c r="C181" s="385"/>
      <c r="D181" s="385"/>
      <c r="E181" s="385"/>
      <c r="F181" s="385"/>
      <c r="G181" s="385"/>
      <c r="H181" s="385"/>
      <c r="I181" s="385"/>
      <c r="J181" s="385"/>
      <c r="K181" s="385"/>
      <c r="L181" s="385"/>
      <c r="M181" s="385"/>
      <c r="N181" s="385"/>
      <c r="O181" s="385"/>
      <c r="P181" s="385"/>
      <c r="Q181" s="385"/>
      <c r="R181" s="385"/>
      <c r="S181" s="385"/>
      <c r="T181" s="385"/>
      <c r="U181" s="385"/>
      <c r="V181" s="385"/>
      <c r="W181" s="385"/>
      <c r="X181" s="385"/>
      <c r="Y181" s="385"/>
      <c r="Z181" s="385"/>
    </row>
    <row r="182" ht="15.75" customHeight="1">
      <c r="A182" s="385"/>
      <c r="B182" s="385"/>
      <c r="C182" s="385"/>
      <c r="D182" s="385"/>
      <c r="E182" s="385"/>
      <c r="F182" s="385"/>
      <c r="G182" s="385"/>
      <c r="H182" s="385"/>
      <c r="I182" s="385"/>
      <c r="J182" s="385"/>
      <c r="K182" s="385"/>
      <c r="L182" s="385"/>
      <c r="M182" s="385"/>
      <c r="N182" s="385"/>
      <c r="O182" s="385"/>
      <c r="P182" s="385"/>
      <c r="Q182" s="385"/>
      <c r="R182" s="385"/>
      <c r="S182" s="385"/>
      <c r="T182" s="385"/>
      <c r="U182" s="385"/>
      <c r="V182" s="385"/>
      <c r="W182" s="385"/>
      <c r="X182" s="385"/>
      <c r="Y182" s="385"/>
      <c r="Z182" s="385"/>
    </row>
    <row r="183" ht="15.75" customHeight="1">
      <c r="A183" s="385"/>
      <c r="B183" s="385"/>
      <c r="C183" s="385"/>
      <c r="D183" s="385"/>
      <c r="E183" s="385"/>
      <c r="F183" s="385"/>
      <c r="G183" s="385"/>
      <c r="H183" s="385"/>
      <c r="I183" s="385"/>
      <c r="J183" s="385"/>
      <c r="K183" s="385"/>
      <c r="L183" s="385"/>
      <c r="M183" s="385"/>
      <c r="N183" s="385"/>
      <c r="O183" s="385"/>
      <c r="P183" s="385"/>
      <c r="Q183" s="385"/>
      <c r="R183" s="385"/>
      <c r="S183" s="385"/>
      <c r="T183" s="385"/>
      <c r="U183" s="385"/>
      <c r="V183" s="385"/>
      <c r="W183" s="385"/>
      <c r="X183" s="385"/>
      <c r="Y183" s="385"/>
      <c r="Z183" s="385"/>
    </row>
    <row r="184" ht="15.75" customHeight="1">
      <c r="A184" s="385"/>
      <c r="B184" s="385"/>
      <c r="C184" s="385"/>
      <c r="D184" s="385"/>
      <c r="E184" s="385"/>
      <c r="F184" s="385"/>
      <c r="G184" s="385"/>
      <c r="H184" s="385"/>
      <c r="I184" s="385"/>
      <c r="J184" s="385"/>
      <c r="K184" s="385"/>
      <c r="L184" s="385"/>
      <c r="M184" s="385"/>
      <c r="N184" s="385"/>
      <c r="O184" s="385"/>
      <c r="P184" s="385"/>
      <c r="Q184" s="385"/>
      <c r="R184" s="385"/>
      <c r="S184" s="385"/>
      <c r="T184" s="385"/>
      <c r="U184" s="385"/>
      <c r="V184" s="385"/>
      <c r="W184" s="385"/>
      <c r="X184" s="385"/>
      <c r="Y184" s="385"/>
      <c r="Z184" s="385"/>
    </row>
    <row r="185" ht="15.75" customHeight="1">
      <c r="A185" s="385"/>
      <c r="B185" s="385"/>
      <c r="C185" s="385"/>
      <c r="D185" s="385"/>
      <c r="E185" s="385"/>
      <c r="F185" s="385"/>
      <c r="G185" s="385"/>
      <c r="H185" s="385"/>
      <c r="I185" s="385"/>
      <c r="J185" s="385"/>
      <c r="K185" s="385"/>
      <c r="L185" s="385"/>
      <c r="M185" s="385"/>
      <c r="N185" s="385"/>
      <c r="O185" s="385"/>
      <c r="P185" s="385"/>
      <c r="Q185" s="385"/>
      <c r="R185" s="385"/>
      <c r="S185" s="385"/>
      <c r="T185" s="385"/>
      <c r="U185" s="385"/>
      <c r="V185" s="385"/>
      <c r="W185" s="385"/>
      <c r="X185" s="385"/>
      <c r="Y185" s="385"/>
      <c r="Z185" s="385"/>
    </row>
    <row r="186" ht="15.75" customHeight="1">
      <c r="A186" s="385"/>
      <c r="B186" s="385"/>
      <c r="C186" s="385"/>
      <c r="D186" s="385"/>
      <c r="E186" s="385"/>
      <c r="F186" s="385"/>
      <c r="G186" s="385"/>
      <c r="H186" s="385"/>
      <c r="I186" s="385"/>
      <c r="J186" s="385"/>
      <c r="K186" s="385"/>
      <c r="L186" s="385"/>
      <c r="M186" s="385"/>
      <c r="N186" s="385"/>
      <c r="O186" s="385"/>
      <c r="P186" s="385"/>
      <c r="Q186" s="385"/>
      <c r="R186" s="385"/>
      <c r="S186" s="385"/>
      <c r="T186" s="385"/>
      <c r="U186" s="385"/>
      <c r="V186" s="385"/>
      <c r="W186" s="385"/>
      <c r="X186" s="385"/>
      <c r="Y186" s="385"/>
      <c r="Z186" s="385"/>
    </row>
    <row r="187" ht="15.75" customHeight="1">
      <c r="A187" s="385"/>
      <c r="B187" s="385"/>
      <c r="C187" s="385"/>
      <c r="D187" s="385"/>
      <c r="E187" s="385"/>
      <c r="F187" s="385"/>
      <c r="G187" s="385"/>
      <c r="H187" s="385"/>
      <c r="I187" s="385"/>
      <c r="J187" s="385"/>
      <c r="K187" s="385"/>
      <c r="L187" s="385"/>
      <c r="M187" s="385"/>
      <c r="N187" s="385"/>
      <c r="O187" s="385"/>
      <c r="P187" s="385"/>
      <c r="Q187" s="385"/>
      <c r="R187" s="385"/>
      <c r="S187" s="385"/>
      <c r="T187" s="385"/>
      <c r="U187" s="385"/>
      <c r="V187" s="385"/>
      <c r="W187" s="385"/>
      <c r="X187" s="385"/>
      <c r="Y187" s="385"/>
      <c r="Z187" s="385"/>
    </row>
    <row r="188" ht="15.75" customHeight="1">
      <c r="A188" s="385"/>
      <c r="B188" s="385"/>
      <c r="C188" s="385"/>
      <c r="D188" s="385"/>
      <c r="E188" s="385"/>
      <c r="F188" s="385"/>
      <c r="G188" s="385"/>
      <c r="H188" s="385"/>
      <c r="I188" s="385"/>
      <c r="J188" s="385"/>
      <c r="K188" s="385"/>
      <c r="L188" s="385"/>
      <c r="M188" s="385"/>
      <c r="N188" s="385"/>
      <c r="O188" s="385"/>
      <c r="P188" s="385"/>
      <c r="Q188" s="385"/>
      <c r="R188" s="385"/>
      <c r="S188" s="385"/>
      <c r="T188" s="385"/>
      <c r="U188" s="385"/>
      <c r="V188" s="385"/>
      <c r="W188" s="385"/>
      <c r="X188" s="385"/>
      <c r="Y188" s="385"/>
      <c r="Z188" s="385"/>
    </row>
    <row r="189" ht="15.75" customHeight="1">
      <c r="A189" s="385"/>
      <c r="B189" s="385"/>
      <c r="C189" s="385"/>
      <c r="D189" s="385"/>
      <c r="E189" s="385"/>
      <c r="F189" s="385"/>
      <c r="G189" s="385"/>
      <c r="H189" s="385"/>
      <c r="I189" s="385"/>
      <c r="J189" s="385"/>
      <c r="K189" s="385"/>
      <c r="L189" s="385"/>
      <c r="M189" s="385"/>
      <c r="N189" s="385"/>
      <c r="O189" s="385"/>
      <c r="P189" s="385"/>
      <c r="Q189" s="385"/>
      <c r="R189" s="385"/>
      <c r="S189" s="385"/>
      <c r="T189" s="385"/>
      <c r="U189" s="385"/>
      <c r="V189" s="385"/>
      <c r="W189" s="385"/>
      <c r="X189" s="385"/>
      <c r="Y189" s="385"/>
      <c r="Z189" s="385"/>
    </row>
    <row r="190" ht="15.75" customHeight="1">
      <c r="A190" s="385"/>
      <c r="B190" s="385"/>
      <c r="C190" s="385"/>
      <c r="D190" s="385"/>
      <c r="E190" s="385"/>
      <c r="F190" s="385"/>
      <c r="G190" s="385"/>
      <c r="H190" s="385"/>
      <c r="I190" s="385"/>
      <c r="J190" s="385"/>
      <c r="K190" s="385"/>
      <c r="L190" s="385"/>
      <c r="M190" s="385"/>
      <c r="N190" s="385"/>
      <c r="O190" s="385"/>
      <c r="P190" s="385"/>
      <c r="Q190" s="385"/>
      <c r="R190" s="385"/>
      <c r="S190" s="385"/>
      <c r="T190" s="385"/>
      <c r="U190" s="385"/>
      <c r="V190" s="385"/>
      <c r="W190" s="385"/>
      <c r="X190" s="385"/>
      <c r="Y190" s="385"/>
      <c r="Z190" s="385"/>
    </row>
    <row r="191" ht="15.75" customHeight="1">
      <c r="A191" s="385"/>
      <c r="B191" s="385"/>
      <c r="C191" s="385"/>
      <c r="D191" s="385"/>
      <c r="E191" s="385"/>
      <c r="F191" s="385"/>
      <c r="G191" s="385"/>
      <c r="H191" s="385"/>
      <c r="I191" s="385"/>
      <c r="J191" s="385"/>
      <c r="K191" s="385"/>
      <c r="L191" s="385"/>
      <c r="M191" s="385"/>
      <c r="N191" s="385"/>
      <c r="O191" s="385"/>
      <c r="P191" s="385"/>
      <c r="Q191" s="385"/>
      <c r="R191" s="385"/>
      <c r="S191" s="385"/>
      <c r="T191" s="385"/>
      <c r="U191" s="385"/>
      <c r="V191" s="385"/>
      <c r="W191" s="385"/>
      <c r="X191" s="385"/>
      <c r="Y191" s="385"/>
      <c r="Z191" s="385"/>
    </row>
    <row r="192" ht="15.75" customHeight="1">
      <c r="A192" s="385"/>
      <c r="B192" s="385"/>
      <c r="C192" s="385"/>
      <c r="D192" s="385"/>
      <c r="E192" s="385"/>
      <c r="F192" s="385"/>
      <c r="G192" s="385"/>
      <c r="H192" s="385"/>
      <c r="I192" s="385"/>
      <c r="J192" s="385"/>
      <c r="K192" s="385"/>
      <c r="L192" s="385"/>
      <c r="M192" s="385"/>
      <c r="N192" s="385"/>
      <c r="O192" s="385"/>
      <c r="P192" s="385"/>
      <c r="Q192" s="385"/>
      <c r="R192" s="385"/>
      <c r="S192" s="385"/>
      <c r="T192" s="385"/>
      <c r="U192" s="385"/>
      <c r="V192" s="385"/>
      <c r="W192" s="385"/>
      <c r="X192" s="385"/>
      <c r="Y192" s="385"/>
      <c r="Z192" s="385"/>
    </row>
    <row r="193" ht="15.75" customHeight="1">
      <c r="A193" s="385"/>
      <c r="B193" s="385"/>
      <c r="C193" s="385"/>
      <c r="D193" s="385"/>
      <c r="E193" s="385"/>
      <c r="F193" s="385"/>
      <c r="G193" s="385"/>
      <c r="H193" s="385"/>
      <c r="I193" s="385"/>
      <c r="J193" s="385"/>
      <c r="K193" s="385"/>
      <c r="L193" s="385"/>
      <c r="M193" s="385"/>
      <c r="N193" s="385"/>
      <c r="O193" s="385"/>
      <c r="P193" s="385"/>
      <c r="Q193" s="385"/>
      <c r="R193" s="385"/>
      <c r="S193" s="385"/>
      <c r="T193" s="385"/>
      <c r="U193" s="385"/>
      <c r="V193" s="385"/>
      <c r="W193" s="385"/>
      <c r="X193" s="385"/>
      <c r="Y193" s="385"/>
      <c r="Z193" s="385"/>
    </row>
    <row r="194" ht="15.75" customHeight="1">
      <c r="A194" s="385"/>
      <c r="B194" s="385"/>
      <c r="C194" s="385"/>
      <c r="D194" s="385"/>
      <c r="E194" s="385"/>
      <c r="F194" s="385"/>
      <c r="G194" s="385"/>
      <c r="H194" s="385"/>
      <c r="I194" s="385"/>
      <c r="J194" s="385"/>
      <c r="K194" s="385"/>
      <c r="L194" s="385"/>
      <c r="M194" s="385"/>
      <c r="N194" s="385"/>
      <c r="O194" s="385"/>
      <c r="P194" s="385"/>
      <c r="Q194" s="385"/>
      <c r="R194" s="385"/>
      <c r="S194" s="385"/>
      <c r="T194" s="385"/>
      <c r="U194" s="385"/>
      <c r="V194" s="385"/>
      <c r="W194" s="385"/>
      <c r="X194" s="385"/>
      <c r="Y194" s="385"/>
      <c r="Z194" s="385"/>
    </row>
    <row r="195" ht="15.75" customHeight="1">
      <c r="A195" s="385"/>
      <c r="B195" s="385"/>
      <c r="C195" s="385"/>
      <c r="D195" s="385"/>
      <c r="E195" s="385"/>
      <c r="F195" s="385"/>
      <c r="G195" s="385"/>
      <c r="H195" s="385"/>
      <c r="I195" s="385"/>
      <c r="J195" s="385"/>
      <c r="K195" s="385"/>
      <c r="L195" s="385"/>
      <c r="M195" s="385"/>
      <c r="N195" s="385"/>
      <c r="O195" s="385"/>
      <c r="P195" s="385"/>
      <c r="Q195" s="385"/>
      <c r="R195" s="385"/>
      <c r="S195" s="385"/>
      <c r="T195" s="385"/>
      <c r="U195" s="385"/>
      <c r="V195" s="385"/>
      <c r="W195" s="385"/>
      <c r="X195" s="385"/>
      <c r="Y195" s="385"/>
      <c r="Z195" s="385"/>
    </row>
    <row r="196" ht="15.75" customHeight="1">
      <c r="A196" s="385"/>
      <c r="B196" s="385"/>
      <c r="C196" s="385"/>
      <c r="D196" s="385"/>
      <c r="E196" s="385"/>
      <c r="F196" s="385"/>
      <c r="G196" s="385"/>
      <c r="H196" s="385"/>
      <c r="I196" s="385"/>
      <c r="J196" s="385"/>
      <c r="K196" s="385"/>
      <c r="L196" s="385"/>
      <c r="M196" s="385"/>
      <c r="N196" s="385"/>
      <c r="O196" s="385"/>
      <c r="P196" s="385"/>
      <c r="Q196" s="385"/>
      <c r="R196" s="385"/>
      <c r="S196" s="385"/>
      <c r="T196" s="385"/>
      <c r="U196" s="385"/>
      <c r="V196" s="385"/>
      <c r="W196" s="385"/>
      <c r="X196" s="385"/>
      <c r="Y196" s="385"/>
      <c r="Z196" s="385"/>
    </row>
    <row r="197" ht="15.75" customHeight="1">
      <c r="A197" s="385"/>
      <c r="B197" s="385"/>
      <c r="C197" s="385"/>
      <c r="D197" s="385"/>
      <c r="E197" s="385"/>
      <c r="F197" s="385"/>
      <c r="G197" s="385"/>
      <c r="H197" s="385"/>
      <c r="I197" s="385"/>
      <c r="J197" s="385"/>
      <c r="K197" s="385"/>
      <c r="L197" s="385"/>
      <c r="M197" s="385"/>
      <c r="N197" s="385"/>
      <c r="O197" s="385"/>
      <c r="P197" s="385"/>
      <c r="Q197" s="385"/>
      <c r="R197" s="385"/>
      <c r="S197" s="385"/>
      <c r="T197" s="385"/>
      <c r="U197" s="385"/>
      <c r="V197" s="385"/>
      <c r="W197" s="385"/>
      <c r="X197" s="385"/>
      <c r="Y197" s="385"/>
      <c r="Z197" s="385"/>
    </row>
    <row r="198" ht="15.75" customHeight="1">
      <c r="A198" s="385"/>
      <c r="B198" s="385"/>
      <c r="C198" s="385"/>
      <c r="D198" s="385"/>
      <c r="E198" s="385"/>
      <c r="F198" s="385"/>
      <c r="G198" s="385"/>
      <c r="H198" s="385"/>
      <c r="I198" s="385"/>
      <c r="J198" s="385"/>
      <c r="K198" s="385"/>
      <c r="L198" s="385"/>
      <c r="M198" s="385"/>
      <c r="N198" s="385"/>
      <c r="O198" s="385"/>
      <c r="P198" s="385"/>
      <c r="Q198" s="385"/>
      <c r="R198" s="385"/>
      <c r="S198" s="385"/>
      <c r="T198" s="385"/>
      <c r="U198" s="385"/>
      <c r="V198" s="385"/>
      <c r="W198" s="385"/>
      <c r="X198" s="385"/>
      <c r="Y198" s="385"/>
      <c r="Z198" s="385"/>
    </row>
    <row r="199" ht="15.75" customHeight="1">
      <c r="A199" s="385"/>
      <c r="B199" s="385"/>
      <c r="C199" s="385"/>
      <c r="D199" s="385"/>
      <c r="E199" s="385"/>
      <c r="F199" s="385"/>
      <c r="G199" s="385"/>
      <c r="H199" s="385"/>
      <c r="I199" s="385"/>
      <c r="J199" s="385"/>
      <c r="K199" s="385"/>
      <c r="L199" s="385"/>
      <c r="M199" s="385"/>
      <c r="N199" s="385"/>
      <c r="O199" s="385"/>
      <c r="P199" s="385"/>
      <c r="Q199" s="385"/>
      <c r="R199" s="385"/>
      <c r="S199" s="385"/>
      <c r="T199" s="385"/>
      <c r="U199" s="385"/>
      <c r="V199" s="385"/>
      <c r="W199" s="385"/>
      <c r="X199" s="385"/>
      <c r="Y199" s="385"/>
      <c r="Z199" s="385"/>
    </row>
    <row r="200" ht="15.75" customHeight="1">
      <c r="A200" s="385"/>
      <c r="B200" s="385"/>
      <c r="C200" s="385"/>
      <c r="D200" s="385"/>
      <c r="E200" s="385"/>
      <c r="F200" s="385"/>
      <c r="G200" s="385"/>
      <c r="H200" s="385"/>
      <c r="I200" s="385"/>
      <c r="J200" s="385"/>
      <c r="K200" s="385"/>
      <c r="L200" s="385"/>
      <c r="M200" s="385"/>
      <c r="N200" s="385"/>
      <c r="O200" s="385"/>
      <c r="P200" s="385"/>
      <c r="Q200" s="385"/>
      <c r="R200" s="385"/>
      <c r="S200" s="385"/>
      <c r="T200" s="385"/>
      <c r="U200" s="385"/>
      <c r="V200" s="385"/>
      <c r="W200" s="385"/>
      <c r="X200" s="385"/>
      <c r="Y200" s="385"/>
      <c r="Z200" s="385"/>
    </row>
    <row r="201" ht="15.75" customHeight="1">
      <c r="A201" s="385"/>
      <c r="B201" s="385"/>
      <c r="C201" s="385"/>
      <c r="D201" s="385"/>
      <c r="E201" s="385"/>
      <c r="F201" s="385"/>
      <c r="G201" s="385"/>
      <c r="H201" s="385"/>
      <c r="I201" s="385"/>
      <c r="J201" s="385"/>
      <c r="K201" s="385"/>
      <c r="L201" s="385"/>
      <c r="M201" s="385"/>
      <c r="N201" s="385"/>
      <c r="O201" s="385"/>
      <c r="P201" s="385"/>
      <c r="Q201" s="385"/>
      <c r="R201" s="385"/>
      <c r="S201" s="385"/>
      <c r="T201" s="385"/>
      <c r="U201" s="385"/>
      <c r="V201" s="385"/>
      <c r="W201" s="385"/>
      <c r="X201" s="385"/>
      <c r="Y201" s="385"/>
      <c r="Z201" s="385"/>
    </row>
    <row r="202" ht="15.75" customHeight="1">
      <c r="A202" s="385"/>
      <c r="B202" s="385"/>
      <c r="C202" s="385"/>
      <c r="D202" s="385"/>
      <c r="E202" s="385"/>
      <c r="F202" s="385"/>
      <c r="G202" s="385"/>
      <c r="H202" s="385"/>
      <c r="I202" s="385"/>
      <c r="J202" s="385"/>
      <c r="K202" s="385"/>
      <c r="L202" s="385"/>
      <c r="M202" s="385"/>
      <c r="N202" s="385"/>
      <c r="O202" s="385"/>
      <c r="P202" s="385"/>
      <c r="Q202" s="385"/>
      <c r="R202" s="385"/>
      <c r="S202" s="385"/>
      <c r="T202" s="385"/>
      <c r="U202" s="385"/>
      <c r="V202" s="385"/>
      <c r="W202" s="385"/>
      <c r="X202" s="385"/>
      <c r="Y202" s="385"/>
      <c r="Z202" s="385"/>
    </row>
    <row r="203" ht="15.75" customHeight="1">
      <c r="A203" s="385"/>
      <c r="B203" s="385"/>
      <c r="C203" s="385"/>
      <c r="D203" s="385"/>
      <c r="E203" s="385"/>
      <c r="F203" s="385"/>
      <c r="G203" s="385"/>
      <c r="H203" s="385"/>
      <c r="I203" s="385"/>
      <c r="J203" s="385"/>
      <c r="K203" s="385"/>
      <c r="L203" s="385"/>
      <c r="M203" s="385"/>
      <c r="N203" s="385"/>
      <c r="O203" s="385"/>
      <c r="P203" s="385"/>
      <c r="Q203" s="385"/>
      <c r="R203" s="385"/>
      <c r="S203" s="385"/>
      <c r="T203" s="385"/>
      <c r="U203" s="385"/>
      <c r="V203" s="385"/>
      <c r="W203" s="385"/>
      <c r="X203" s="385"/>
      <c r="Y203" s="385"/>
      <c r="Z203" s="385"/>
    </row>
    <row r="204" ht="15.75" customHeight="1">
      <c r="A204" s="385"/>
      <c r="B204" s="385"/>
      <c r="C204" s="385"/>
      <c r="D204" s="385"/>
      <c r="E204" s="385"/>
      <c r="F204" s="385"/>
      <c r="G204" s="385"/>
      <c r="H204" s="385"/>
      <c r="I204" s="385"/>
      <c r="J204" s="385"/>
      <c r="K204" s="385"/>
      <c r="L204" s="385"/>
      <c r="M204" s="385"/>
      <c r="N204" s="385"/>
      <c r="O204" s="385"/>
      <c r="P204" s="385"/>
      <c r="Q204" s="385"/>
      <c r="R204" s="385"/>
      <c r="S204" s="385"/>
      <c r="T204" s="385"/>
      <c r="U204" s="385"/>
      <c r="V204" s="385"/>
      <c r="W204" s="385"/>
      <c r="X204" s="385"/>
      <c r="Y204" s="385"/>
      <c r="Z204" s="385"/>
    </row>
    <row r="205" ht="15.75" customHeight="1">
      <c r="A205" s="385"/>
      <c r="B205" s="385"/>
      <c r="C205" s="385"/>
      <c r="D205" s="385"/>
      <c r="E205" s="385"/>
      <c r="F205" s="385"/>
      <c r="G205" s="385"/>
      <c r="H205" s="385"/>
      <c r="I205" s="385"/>
      <c r="J205" s="385"/>
      <c r="K205" s="385"/>
      <c r="L205" s="385"/>
      <c r="M205" s="385"/>
      <c r="N205" s="385"/>
      <c r="O205" s="385"/>
      <c r="P205" s="385"/>
      <c r="Q205" s="385"/>
      <c r="R205" s="385"/>
      <c r="S205" s="385"/>
      <c r="T205" s="385"/>
      <c r="U205" s="385"/>
      <c r="V205" s="385"/>
      <c r="W205" s="385"/>
      <c r="X205" s="385"/>
      <c r="Y205" s="385"/>
      <c r="Z205" s="385"/>
    </row>
    <row r="206" ht="15.75" customHeight="1">
      <c r="A206" s="385"/>
      <c r="B206" s="385"/>
      <c r="C206" s="385"/>
      <c r="D206" s="385"/>
      <c r="E206" s="385"/>
      <c r="F206" s="385"/>
      <c r="G206" s="385"/>
      <c r="H206" s="385"/>
      <c r="I206" s="385"/>
      <c r="J206" s="385"/>
      <c r="K206" s="385"/>
      <c r="L206" s="385"/>
      <c r="M206" s="385"/>
      <c r="N206" s="385"/>
      <c r="O206" s="385"/>
      <c r="P206" s="385"/>
      <c r="Q206" s="385"/>
      <c r="R206" s="385"/>
      <c r="S206" s="385"/>
      <c r="T206" s="385"/>
      <c r="U206" s="385"/>
      <c r="V206" s="385"/>
      <c r="W206" s="385"/>
      <c r="X206" s="385"/>
      <c r="Y206" s="385"/>
      <c r="Z206" s="385"/>
    </row>
    <row r="207" ht="15.75" customHeight="1">
      <c r="A207" s="385"/>
      <c r="B207" s="385"/>
      <c r="C207" s="385"/>
      <c r="D207" s="385"/>
      <c r="E207" s="385"/>
      <c r="F207" s="385"/>
      <c r="G207" s="385"/>
      <c r="H207" s="385"/>
      <c r="I207" s="385"/>
      <c r="J207" s="385"/>
      <c r="K207" s="385"/>
      <c r="L207" s="385"/>
      <c r="M207" s="385"/>
      <c r="N207" s="385"/>
      <c r="O207" s="385"/>
      <c r="P207" s="385"/>
      <c r="Q207" s="385"/>
      <c r="R207" s="385"/>
      <c r="S207" s="385"/>
      <c r="T207" s="385"/>
      <c r="U207" s="385"/>
      <c r="V207" s="385"/>
      <c r="W207" s="385"/>
      <c r="X207" s="385"/>
      <c r="Y207" s="385"/>
      <c r="Z207" s="385"/>
    </row>
    <row r="208" ht="15.75" customHeight="1">
      <c r="A208" s="385"/>
      <c r="B208" s="385"/>
      <c r="C208" s="385"/>
      <c r="D208" s="385"/>
      <c r="E208" s="385"/>
      <c r="F208" s="385"/>
      <c r="G208" s="385"/>
      <c r="H208" s="385"/>
      <c r="I208" s="385"/>
      <c r="J208" s="385"/>
      <c r="K208" s="385"/>
      <c r="L208" s="385"/>
      <c r="M208" s="385"/>
      <c r="N208" s="385"/>
      <c r="O208" s="385"/>
      <c r="P208" s="385"/>
      <c r="Q208" s="385"/>
      <c r="R208" s="385"/>
      <c r="S208" s="385"/>
      <c r="T208" s="385"/>
      <c r="U208" s="385"/>
      <c r="V208" s="385"/>
      <c r="W208" s="385"/>
      <c r="X208" s="385"/>
      <c r="Y208" s="385"/>
      <c r="Z208" s="385"/>
    </row>
    <row r="209" ht="15.75" customHeight="1">
      <c r="A209" s="385"/>
      <c r="B209" s="385"/>
      <c r="C209" s="385"/>
      <c r="D209" s="385"/>
      <c r="E209" s="385"/>
      <c r="F209" s="385"/>
      <c r="G209" s="385"/>
      <c r="H209" s="385"/>
      <c r="I209" s="385"/>
      <c r="J209" s="385"/>
      <c r="K209" s="385"/>
      <c r="L209" s="385"/>
      <c r="M209" s="385"/>
      <c r="N209" s="385"/>
      <c r="O209" s="385"/>
      <c r="P209" s="385"/>
      <c r="Q209" s="385"/>
      <c r="R209" s="385"/>
      <c r="S209" s="385"/>
      <c r="T209" s="385"/>
      <c r="U209" s="385"/>
      <c r="V209" s="385"/>
      <c r="W209" s="385"/>
      <c r="X209" s="385"/>
      <c r="Y209" s="385"/>
      <c r="Z209" s="385"/>
    </row>
    <row r="210" ht="15.75" customHeight="1">
      <c r="A210" s="385"/>
      <c r="B210" s="385"/>
      <c r="C210" s="385"/>
      <c r="D210" s="385"/>
      <c r="E210" s="385"/>
      <c r="F210" s="385"/>
      <c r="G210" s="385"/>
      <c r="H210" s="385"/>
      <c r="I210" s="385"/>
      <c r="J210" s="385"/>
      <c r="K210" s="385"/>
      <c r="L210" s="385"/>
      <c r="M210" s="385"/>
      <c r="N210" s="385"/>
      <c r="O210" s="385"/>
      <c r="P210" s="385"/>
      <c r="Q210" s="385"/>
      <c r="R210" s="385"/>
      <c r="S210" s="385"/>
      <c r="T210" s="385"/>
      <c r="U210" s="385"/>
      <c r="V210" s="385"/>
      <c r="W210" s="385"/>
      <c r="X210" s="385"/>
      <c r="Y210" s="385"/>
      <c r="Z210" s="385"/>
    </row>
    <row r="211" ht="15.75" customHeight="1">
      <c r="A211" s="385"/>
      <c r="B211" s="385"/>
      <c r="C211" s="385"/>
      <c r="D211" s="385"/>
      <c r="E211" s="385"/>
      <c r="F211" s="385"/>
      <c r="G211" s="385"/>
      <c r="H211" s="385"/>
      <c r="I211" s="385"/>
      <c r="J211" s="385"/>
      <c r="K211" s="385"/>
      <c r="L211" s="385"/>
      <c r="M211" s="385"/>
      <c r="N211" s="385"/>
      <c r="O211" s="385"/>
      <c r="P211" s="385"/>
      <c r="Q211" s="385"/>
      <c r="R211" s="385"/>
      <c r="S211" s="385"/>
      <c r="T211" s="385"/>
      <c r="U211" s="385"/>
      <c r="V211" s="385"/>
      <c r="W211" s="385"/>
      <c r="X211" s="385"/>
      <c r="Y211" s="385"/>
      <c r="Z211" s="385"/>
    </row>
    <row r="212" ht="15.75" customHeight="1">
      <c r="A212" s="385"/>
      <c r="B212" s="385"/>
      <c r="C212" s="385"/>
      <c r="D212" s="385"/>
      <c r="E212" s="385"/>
      <c r="F212" s="385"/>
      <c r="G212" s="385"/>
      <c r="H212" s="385"/>
      <c r="I212" s="385"/>
      <c r="J212" s="385"/>
      <c r="K212" s="385"/>
      <c r="L212" s="385"/>
      <c r="M212" s="385"/>
      <c r="N212" s="385"/>
      <c r="O212" s="385"/>
      <c r="P212" s="385"/>
      <c r="Q212" s="385"/>
      <c r="R212" s="385"/>
      <c r="S212" s="385"/>
      <c r="T212" s="385"/>
      <c r="U212" s="385"/>
      <c r="V212" s="385"/>
      <c r="W212" s="385"/>
      <c r="X212" s="385"/>
      <c r="Y212" s="385"/>
      <c r="Z212" s="385"/>
    </row>
    <row r="213" ht="15.75" customHeight="1">
      <c r="A213" s="385"/>
      <c r="B213" s="385"/>
      <c r="C213" s="385"/>
      <c r="D213" s="385"/>
      <c r="E213" s="385"/>
      <c r="F213" s="385"/>
      <c r="G213" s="385"/>
      <c r="H213" s="385"/>
      <c r="I213" s="385"/>
      <c r="J213" s="385"/>
      <c r="K213" s="385"/>
      <c r="L213" s="385"/>
      <c r="M213" s="385"/>
      <c r="N213" s="385"/>
      <c r="O213" s="385"/>
      <c r="P213" s="385"/>
      <c r="Q213" s="385"/>
      <c r="R213" s="385"/>
      <c r="S213" s="385"/>
      <c r="T213" s="385"/>
      <c r="U213" s="385"/>
      <c r="V213" s="385"/>
      <c r="W213" s="385"/>
      <c r="X213" s="385"/>
      <c r="Y213" s="385"/>
      <c r="Z213" s="385"/>
    </row>
    <row r="214" ht="15.75" customHeight="1">
      <c r="A214" s="385"/>
      <c r="B214" s="385"/>
      <c r="C214" s="385"/>
      <c r="D214" s="385"/>
      <c r="E214" s="385"/>
      <c r="F214" s="385"/>
      <c r="G214" s="385"/>
      <c r="H214" s="385"/>
      <c r="I214" s="385"/>
      <c r="J214" s="385"/>
      <c r="K214" s="385"/>
      <c r="L214" s="385"/>
      <c r="M214" s="385"/>
      <c r="N214" s="385"/>
      <c r="O214" s="385"/>
      <c r="P214" s="385"/>
      <c r="Q214" s="385"/>
      <c r="R214" s="385"/>
      <c r="S214" s="385"/>
      <c r="T214" s="385"/>
      <c r="U214" s="385"/>
      <c r="V214" s="385"/>
      <c r="W214" s="385"/>
      <c r="X214" s="385"/>
      <c r="Y214" s="385"/>
      <c r="Z214" s="385"/>
    </row>
    <row r="215" ht="15.75" customHeight="1">
      <c r="A215" s="385"/>
      <c r="B215" s="385"/>
      <c r="C215" s="385"/>
      <c r="D215" s="385"/>
      <c r="E215" s="385"/>
      <c r="F215" s="385"/>
      <c r="G215" s="385"/>
      <c r="H215" s="385"/>
      <c r="I215" s="385"/>
      <c r="J215" s="385"/>
      <c r="K215" s="385"/>
      <c r="L215" s="385"/>
      <c r="M215" s="385"/>
      <c r="N215" s="385"/>
      <c r="O215" s="385"/>
      <c r="P215" s="385"/>
      <c r="Q215" s="385"/>
      <c r="R215" s="385"/>
      <c r="S215" s="385"/>
      <c r="T215" s="385"/>
      <c r="U215" s="385"/>
      <c r="V215" s="385"/>
      <c r="W215" s="385"/>
      <c r="X215" s="385"/>
      <c r="Y215" s="385"/>
      <c r="Z215" s="385"/>
    </row>
    <row r="216" ht="15.75" customHeight="1">
      <c r="A216" s="385"/>
      <c r="B216" s="385"/>
      <c r="C216" s="385"/>
      <c r="D216" s="385"/>
      <c r="E216" s="385"/>
      <c r="F216" s="385"/>
      <c r="G216" s="385"/>
      <c r="H216" s="385"/>
      <c r="I216" s="385"/>
      <c r="J216" s="385"/>
      <c r="K216" s="385"/>
      <c r="L216" s="385"/>
      <c r="M216" s="385"/>
      <c r="N216" s="385"/>
      <c r="O216" s="385"/>
      <c r="P216" s="385"/>
      <c r="Q216" s="385"/>
      <c r="R216" s="385"/>
      <c r="S216" s="385"/>
      <c r="T216" s="385"/>
      <c r="U216" s="385"/>
      <c r="V216" s="385"/>
      <c r="W216" s="385"/>
      <c r="X216" s="385"/>
      <c r="Y216" s="385"/>
      <c r="Z216" s="385"/>
    </row>
    <row r="217" ht="15.75" customHeight="1">
      <c r="A217" s="385"/>
      <c r="B217" s="385"/>
      <c r="C217" s="385"/>
      <c r="D217" s="385"/>
      <c r="E217" s="385"/>
      <c r="F217" s="385"/>
      <c r="G217" s="385"/>
      <c r="H217" s="385"/>
      <c r="I217" s="385"/>
      <c r="J217" s="385"/>
      <c r="K217" s="385"/>
      <c r="L217" s="385"/>
      <c r="M217" s="385"/>
      <c r="N217" s="385"/>
      <c r="O217" s="385"/>
      <c r="P217" s="385"/>
      <c r="Q217" s="385"/>
      <c r="R217" s="385"/>
      <c r="S217" s="385"/>
      <c r="T217" s="385"/>
      <c r="U217" s="385"/>
      <c r="V217" s="385"/>
      <c r="W217" s="385"/>
      <c r="X217" s="385"/>
      <c r="Y217" s="385"/>
      <c r="Z217" s="385"/>
    </row>
    <row r="218" ht="15.75" customHeight="1">
      <c r="A218" s="385"/>
      <c r="B218" s="385"/>
      <c r="C218" s="385"/>
      <c r="D218" s="385"/>
      <c r="E218" s="385"/>
      <c r="F218" s="385"/>
      <c r="G218" s="385"/>
      <c r="H218" s="385"/>
      <c r="I218" s="385"/>
      <c r="J218" s="385"/>
      <c r="K218" s="385"/>
      <c r="L218" s="385"/>
      <c r="M218" s="385"/>
      <c r="N218" s="385"/>
      <c r="O218" s="385"/>
      <c r="P218" s="385"/>
      <c r="Q218" s="385"/>
      <c r="R218" s="385"/>
      <c r="S218" s="385"/>
      <c r="T218" s="385"/>
      <c r="U218" s="385"/>
      <c r="V218" s="385"/>
      <c r="W218" s="385"/>
      <c r="X218" s="385"/>
      <c r="Y218" s="385"/>
      <c r="Z218" s="385"/>
    </row>
    <row r="219" ht="15.75" customHeight="1">
      <c r="A219" s="385"/>
      <c r="B219" s="385"/>
      <c r="C219" s="385"/>
      <c r="D219" s="385"/>
      <c r="E219" s="385"/>
      <c r="F219" s="385"/>
      <c r="G219" s="385"/>
      <c r="H219" s="385"/>
      <c r="I219" s="385"/>
      <c r="J219" s="385"/>
      <c r="K219" s="385"/>
      <c r="L219" s="385"/>
      <c r="M219" s="385"/>
      <c r="N219" s="385"/>
      <c r="O219" s="385"/>
      <c r="P219" s="385"/>
      <c r="Q219" s="385"/>
      <c r="R219" s="385"/>
      <c r="S219" s="385"/>
      <c r="T219" s="385"/>
      <c r="U219" s="385"/>
      <c r="V219" s="385"/>
      <c r="W219" s="385"/>
      <c r="X219" s="385"/>
      <c r="Y219" s="385"/>
      <c r="Z219" s="385"/>
    </row>
    <row r="220" ht="15.75" customHeight="1">
      <c r="A220" s="385"/>
      <c r="B220" s="385"/>
      <c r="C220" s="385"/>
      <c r="D220" s="385"/>
      <c r="E220" s="385"/>
      <c r="F220" s="385"/>
      <c r="G220" s="385"/>
      <c r="H220" s="385"/>
      <c r="I220" s="385"/>
      <c r="J220" s="385"/>
      <c r="K220" s="385"/>
      <c r="L220" s="385"/>
      <c r="M220" s="385"/>
      <c r="N220" s="385"/>
      <c r="O220" s="385"/>
      <c r="P220" s="385"/>
      <c r="Q220" s="385"/>
      <c r="R220" s="385"/>
      <c r="S220" s="385"/>
      <c r="T220" s="385"/>
      <c r="U220" s="385"/>
      <c r="V220" s="385"/>
      <c r="W220" s="385"/>
      <c r="X220" s="385"/>
      <c r="Y220" s="385"/>
      <c r="Z220" s="385"/>
    </row>
    <row r="221" ht="15.75" customHeight="1">
      <c r="A221" s="385"/>
      <c r="B221" s="385"/>
      <c r="C221" s="385"/>
      <c r="D221" s="385"/>
      <c r="E221" s="385"/>
      <c r="F221" s="385"/>
      <c r="G221" s="385"/>
      <c r="H221" s="385"/>
      <c r="I221" s="385"/>
      <c r="J221" s="385"/>
      <c r="K221" s="385"/>
      <c r="L221" s="385"/>
      <c r="M221" s="385"/>
      <c r="N221" s="385"/>
      <c r="O221" s="385"/>
      <c r="P221" s="385"/>
      <c r="Q221" s="385"/>
      <c r="R221" s="385"/>
      <c r="S221" s="385"/>
      <c r="T221" s="385"/>
      <c r="U221" s="385"/>
      <c r="V221" s="385"/>
      <c r="W221" s="385"/>
      <c r="X221" s="385"/>
      <c r="Y221" s="385"/>
      <c r="Z221" s="385"/>
    </row>
    <row r="222" ht="15.75" customHeight="1">
      <c r="A222" s="385"/>
      <c r="B222" s="385"/>
      <c r="C222" s="385"/>
      <c r="D222" s="385"/>
      <c r="E222" s="385"/>
      <c r="F222" s="385"/>
      <c r="G222" s="385"/>
      <c r="H222" s="385"/>
      <c r="I222" s="385"/>
      <c r="J222" s="385"/>
      <c r="K222" s="385"/>
      <c r="L222" s="385"/>
      <c r="M222" s="385"/>
      <c r="N222" s="385"/>
      <c r="O222" s="385"/>
      <c r="P222" s="385"/>
      <c r="Q222" s="385"/>
      <c r="R222" s="385"/>
      <c r="S222" s="385"/>
      <c r="T222" s="385"/>
      <c r="U222" s="385"/>
      <c r="V222" s="385"/>
      <c r="W222" s="385"/>
      <c r="X222" s="385"/>
      <c r="Y222" s="385"/>
      <c r="Z222" s="385"/>
    </row>
    <row r="223" ht="15.75" customHeight="1">
      <c r="A223" s="385"/>
      <c r="B223" s="385"/>
      <c r="C223" s="385"/>
      <c r="D223" s="385"/>
      <c r="E223" s="385"/>
      <c r="F223" s="385"/>
      <c r="G223" s="385"/>
      <c r="H223" s="385"/>
      <c r="I223" s="385"/>
      <c r="J223" s="385"/>
      <c r="K223" s="385"/>
      <c r="L223" s="385"/>
      <c r="M223" s="385"/>
      <c r="N223" s="385"/>
      <c r="O223" s="385"/>
      <c r="P223" s="385"/>
      <c r="Q223" s="385"/>
      <c r="R223" s="385"/>
      <c r="S223" s="385"/>
      <c r="T223" s="385"/>
      <c r="U223" s="385"/>
      <c r="V223" s="385"/>
      <c r="W223" s="385"/>
      <c r="X223" s="385"/>
      <c r="Y223" s="385"/>
      <c r="Z223" s="385"/>
    </row>
    <row r="224" ht="15.75" customHeight="1">
      <c r="A224" s="385"/>
      <c r="B224" s="385"/>
      <c r="C224" s="385"/>
      <c r="D224" s="385"/>
      <c r="E224" s="385"/>
      <c r="F224" s="385"/>
      <c r="G224" s="385"/>
      <c r="H224" s="385"/>
      <c r="I224" s="385"/>
      <c r="J224" s="385"/>
      <c r="K224" s="385"/>
      <c r="L224" s="385"/>
      <c r="M224" s="385"/>
      <c r="N224" s="385"/>
      <c r="O224" s="385"/>
      <c r="P224" s="385"/>
      <c r="Q224" s="385"/>
      <c r="R224" s="385"/>
      <c r="S224" s="385"/>
      <c r="T224" s="385"/>
      <c r="U224" s="385"/>
      <c r="V224" s="385"/>
      <c r="W224" s="385"/>
      <c r="X224" s="385"/>
      <c r="Y224" s="385"/>
      <c r="Z224" s="385"/>
    </row>
    <row r="225" ht="15.75" customHeight="1">
      <c r="A225" s="385"/>
      <c r="B225" s="385"/>
      <c r="C225" s="385"/>
      <c r="D225" s="385"/>
      <c r="E225" s="385"/>
      <c r="F225" s="385"/>
      <c r="G225" s="385"/>
      <c r="H225" s="385"/>
      <c r="I225" s="385"/>
      <c r="J225" s="385"/>
      <c r="K225" s="385"/>
      <c r="L225" s="385"/>
      <c r="M225" s="385"/>
      <c r="N225" s="385"/>
      <c r="O225" s="385"/>
      <c r="P225" s="385"/>
      <c r="Q225" s="385"/>
      <c r="R225" s="385"/>
      <c r="S225" s="385"/>
      <c r="T225" s="385"/>
      <c r="U225" s="385"/>
      <c r="V225" s="385"/>
      <c r="W225" s="385"/>
      <c r="X225" s="385"/>
      <c r="Y225" s="385"/>
      <c r="Z225" s="385"/>
    </row>
    <row r="226" ht="15.75" customHeight="1">
      <c r="A226" s="385"/>
      <c r="B226" s="385"/>
      <c r="C226" s="385"/>
      <c r="D226" s="385"/>
      <c r="E226" s="385"/>
      <c r="F226" s="385"/>
      <c r="G226" s="385"/>
      <c r="H226" s="385"/>
      <c r="I226" s="385"/>
      <c r="J226" s="385"/>
      <c r="K226" s="385"/>
      <c r="L226" s="385"/>
      <c r="M226" s="385"/>
      <c r="N226" s="385"/>
      <c r="O226" s="385"/>
      <c r="P226" s="385"/>
      <c r="Q226" s="385"/>
      <c r="R226" s="385"/>
      <c r="S226" s="385"/>
      <c r="T226" s="385"/>
      <c r="U226" s="385"/>
      <c r="V226" s="385"/>
      <c r="W226" s="385"/>
      <c r="X226" s="385"/>
      <c r="Y226" s="385"/>
      <c r="Z226" s="385"/>
    </row>
    <row r="227" ht="15.75" customHeight="1">
      <c r="A227" s="385"/>
      <c r="B227" s="385"/>
      <c r="C227" s="385"/>
      <c r="D227" s="385"/>
      <c r="E227" s="385"/>
      <c r="F227" s="385"/>
      <c r="G227" s="385"/>
      <c r="H227" s="385"/>
      <c r="I227" s="385"/>
      <c r="J227" s="385"/>
      <c r="K227" s="385"/>
      <c r="L227" s="385"/>
      <c r="M227" s="385"/>
      <c r="N227" s="385"/>
      <c r="O227" s="385"/>
      <c r="P227" s="385"/>
      <c r="Q227" s="385"/>
      <c r="R227" s="385"/>
      <c r="S227" s="385"/>
      <c r="T227" s="385"/>
      <c r="U227" s="385"/>
      <c r="V227" s="385"/>
      <c r="W227" s="385"/>
      <c r="X227" s="385"/>
      <c r="Y227" s="385"/>
      <c r="Z227" s="385"/>
    </row>
    <row r="228" ht="15.75" customHeight="1">
      <c r="A228" s="385"/>
      <c r="B228" s="385"/>
      <c r="C228" s="385"/>
      <c r="D228" s="385"/>
      <c r="E228" s="385"/>
      <c r="F228" s="385"/>
      <c r="G228" s="385"/>
      <c r="H228" s="385"/>
      <c r="I228" s="385"/>
      <c r="J228" s="385"/>
      <c r="K228" s="385"/>
      <c r="L228" s="385"/>
      <c r="M228" s="385"/>
      <c r="N228" s="385"/>
      <c r="O228" s="385"/>
      <c r="P228" s="385"/>
      <c r="Q228" s="385"/>
      <c r="R228" s="385"/>
      <c r="S228" s="385"/>
      <c r="T228" s="385"/>
      <c r="U228" s="385"/>
      <c r="V228" s="385"/>
      <c r="W228" s="385"/>
      <c r="X228" s="385"/>
      <c r="Y228" s="385"/>
      <c r="Z228" s="385"/>
    </row>
    <row r="229" ht="15.75" customHeight="1">
      <c r="A229" s="385"/>
      <c r="B229" s="385"/>
      <c r="C229" s="385"/>
      <c r="D229" s="385"/>
      <c r="E229" s="385"/>
      <c r="F229" s="385"/>
      <c r="G229" s="385"/>
      <c r="H229" s="385"/>
      <c r="I229" s="385"/>
      <c r="J229" s="385"/>
      <c r="K229" s="385"/>
      <c r="L229" s="385"/>
      <c r="M229" s="385"/>
      <c r="N229" s="385"/>
      <c r="O229" s="385"/>
      <c r="P229" s="385"/>
      <c r="Q229" s="385"/>
      <c r="R229" s="385"/>
      <c r="S229" s="385"/>
      <c r="T229" s="385"/>
      <c r="U229" s="385"/>
      <c r="V229" s="385"/>
      <c r="W229" s="385"/>
      <c r="X229" s="385"/>
      <c r="Y229" s="385"/>
      <c r="Z229" s="385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B15:B17"/>
    <mergeCell ref="D15:F15"/>
    <mergeCell ref="G15:H15"/>
    <mergeCell ref="I15:J15"/>
    <mergeCell ref="D16:F16"/>
    <mergeCell ref="I17:J17"/>
    <mergeCell ref="D20:F20"/>
    <mergeCell ref="G20:H20"/>
    <mergeCell ref="D21:F21"/>
    <mergeCell ref="G21:H21"/>
    <mergeCell ref="I21:J21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L4:M4"/>
    <mergeCell ref="L5:M5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B6:C6"/>
    <mergeCell ref="D6:I6"/>
    <mergeCell ref="J6:K6"/>
    <mergeCell ref="L6:M6"/>
    <mergeCell ref="D7:E7"/>
    <mergeCell ref="F7:G7"/>
    <mergeCell ref="L7:M7"/>
    <mergeCell ref="B11:C11"/>
    <mergeCell ref="B12:B14"/>
    <mergeCell ref="B7:C7"/>
    <mergeCell ref="B8:C8"/>
    <mergeCell ref="B9:D9"/>
    <mergeCell ref="E9:F9"/>
    <mergeCell ref="D11:F11"/>
    <mergeCell ref="G11:H11"/>
    <mergeCell ref="I11:J11"/>
    <mergeCell ref="D28:G28"/>
    <mergeCell ref="H28:I28"/>
    <mergeCell ref="B29:C29"/>
    <mergeCell ref="D29:G29"/>
    <mergeCell ref="H29:I29"/>
    <mergeCell ref="J29:M29"/>
    <mergeCell ref="B30:M30"/>
    <mergeCell ref="D23:M25"/>
    <mergeCell ref="B26:M26"/>
    <mergeCell ref="B27:C27"/>
    <mergeCell ref="D27:G27"/>
    <mergeCell ref="H27:I27"/>
    <mergeCell ref="J27:M27"/>
    <mergeCell ref="B28:C28"/>
    <mergeCell ref="J28:M28"/>
  </mergeCells>
  <printOptions/>
  <pageMargins bottom="0.75" footer="0.0" header="0.0" left="0.25" right="0.25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43"/>
    <col customWidth="1" min="3" max="3" width="24.29"/>
    <col customWidth="1" min="4" max="4" width="13.29"/>
    <col customWidth="1" min="5" max="5" width="12.29"/>
    <col customWidth="1" min="6" max="6" width="0.43"/>
    <col customWidth="1" min="7" max="7" width="17.29"/>
    <col customWidth="1" min="8" max="8" width="19.29"/>
    <col customWidth="1" min="9" max="9" width="11.14"/>
    <col customWidth="1" min="10" max="10" width="27.43"/>
    <col customWidth="1" min="11" max="22" width="11.43"/>
  </cols>
  <sheetData>
    <row r="1" ht="14.25" customHeight="1">
      <c r="A1" s="273"/>
      <c r="B1" s="429"/>
      <c r="C1" s="430" t="s">
        <v>0</v>
      </c>
      <c r="D1" s="46"/>
      <c r="E1" s="46"/>
      <c r="F1" s="47"/>
      <c r="G1" s="431" t="s">
        <v>1</v>
      </c>
      <c r="H1" s="62" t="s">
        <v>384</v>
      </c>
      <c r="I1" s="63"/>
      <c r="J1" s="354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</row>
    <row r="2" ht="12.75" customHeight="1">
      <c r="A2" s="273"/>
      <c r="B2" s="432"/>
      <c r="C2" s="8"/>
      <c r="F2" s="9"/>
      <c r="G2" s="42" t="s">
        <v>3</v>
      </c>
      <c r="H2" s="65">
        <v>1.0</v>
      </c>
      <c r="I2" s="66"/>
      <c r="J2" s="122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</row>
    <row r="3" ht="13.5" customHeight="1">
      <c r="A3" s="273"/>
      <c r="B3" s="432"/>
      <c r="C3" s="10"/>
      <c r="D3" s="11"/>
      <c r="E3" s="11"/>
      <c r="F3" s="12"/>
      <c r="G3" s="42" t="s">
        <v>5</v>
      </c>
      <c r="H3" s="4" t="s">
        <v>6</v>
      </c>
      <c r="I3" s="66"/>
      <c r="J3" s="354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</row>
    <row r="4" ht="19.5" customHeight="1">
      <c r="A4" s="273"/>
      <c r="B4" s="432"/>
      <c r="C4" s="21" t="s">
        <v>385</v>
      </c>
      <c r="F4" s="9"/>
      <c r="G4" s="276" t="s">
        <v>7</v>
      </c>
      <c r="H4" s="4" t="s">
        <v>8</v>
      </c>
      <c r="I4" s="66"/>
      <c r="J4" s="354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</row>
    <row r="5" ht="15.0" customHeight="1">
      <c r="A5" s="273"/>
      <c r="B5" s="433"/>
      <c r="C5" s="113"/>
      <c r="D5" s="113"/>
      <c r="E5" s="113"/>
      <c r="F5" s="260"/>
      <c r="G5" s="434"/>
      <c r="H5" s="435" t="s">
        <v>9</v>
      </c>
      <c r="I5" s="160"/>
      <c r="J5" s="436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</row>
    <row r="6" ht="15.75" customHeight="1">
      <c r="A6" s="273"/>
      <c r="B6" s="437" t="s">
        <v>386</v>
      </c>
      <c r="C6" s="438" t="str">
        <f>OP!$M$11</f>
        <v>OP-L-099</v>
      </c>
      <c r="D6" s="11"/>
      <c r="E6" s="11"/>
      <c r="F6" s="12"/>
      <c r="G6" s="439" t="s">
        <v>184</v>
      </c>
      <c r="H6" s="440"/>
      <c r="I6" s="12"/>
      <c r="J6" s="441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</row>
    <row r="7" ht="15.75" customHeight="1">
      <c r="A7" s="273"/>
      <c r="B7" s="442" t="s">
        <v>387</v>
      </c>
      <c r="C7" s="438" t="str">
        <f>OP!$G$9</f>
        <v>SUERO DE NIACINAMIDA 5%</v>
      </c>
      <c r="D7" s="11"/>
      <c r="E7" s="11"/>
      <c r="F7" s="12"/>
      <c r="G7" s="443" t="s">
        <v>388</v>
      </c>
      <c r="H7" s="444" t="str">
        <f>OP!$M$10</f>
        <v>252111</v>
      </c>
      <c r="I7" s="12"/>
      <c r="J7" s="441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</row>
    <row r="8" ht="15.75" customHeight="1">
      <c r="A8" s="273"/>
      <c r="B8" s="442" t="s">
        <v>389</v>
      </c>
      <c r="C8" s="445" t="str">
        <f>OP!B15</f>
        <v>AGUA DESIONIZADA</v>
      </c>
      <c r="D8" s="24"/>
      <c r="E8" s="24"/>
      <c r="F8" s="5"/>
      <c r="G8" s="446" t="s">
        <v>390</v>
      </c>
      <c r="H8" s="438" t="str">
        <f>OP!J15</f>
        <v>AD252111</v>
      </c>
      <c r="I8" s="12"/>
      <c r="J8" s="441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</row>
    <row r="9" ht="15.75" customHeight="1">
      <c r="A9" s="273"/>
      <c r="B9" s="447" t="s">
        <v>391</v>
      </c>
      <c r="C9" s="448">
        <f>OP!N15</f>
        <v>82287</v>
      </c>
      <c r="D9" s="11"/>
      <c r="E9" s="11"/>
      <c r="F9" s="11"/>
      <c r="G9" s="449"/>
      <c r="H9" s="441"/>
      <c r="I9" s="450"/>
      <c r="J9" s="441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</row>
    <row r="10" ht="15.75" customHeight="1">
      <c r="A10" s="273"/>
      <c r="B10" s="447" t="s">
        <v>392</v>
      </c>
      <c r="C10" s="451"/>
      <c r="D10" s="11"/>
      <c r="E10" s="11"/>
      <c r="F10" s="11"/>
      <c r="G10" s="441"/>
      <c r="H10" s="441"/>
      <c r="I10" s="450"/>
      <c r="J10" s="441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</row>
    <row r="11" ht="15.75" customHeight="1">
      <c r="A11" s="273"/>
      <c r="B11" s="447" t="s">
        <v>393</v>
      </c>
      <c r="C11" s="451"/>
      <c r="D11" s="11"/>
      <c r="E11" s="11"/>
      <c r="F11" s="11"/>
      <c r="G11" s="449" t="s">
        <v>394</v>
      </c>
      <c r="H11" s="451"/>
      <c r="I11" s="452"/>
      <c r="J11" s="441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</row>
    <row r="12" ht="15.75" customHeight="1">
      <c r="A12" s="273"/>
      <c r="B12" s="447" t="s">
        <v>395</v>
      </c>
      <c r="C12" s="451"/>
      <c r="D12" s="11"/>
      <c r="E12" s="11"/>
      <c r="F12" s="11"/>
      <c r="G12" s="449" t="s">
        <v>182</v>
      </c>
      <c r="H12" s="451"/>
      <c r="I12" s="452"/>
      <c r="J12" s="441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</row>
    <row r="13" ht="15.75" customHeight="1">
      <c r="A13" s="273"/>
      <c r="B13" s="453" t="s">
        <v>396</v>
      </c>
      <c r="C13" s="454"/>
      <c r="D13" s="454"/>
      <c r="E13" s="454"/>
      <c r="F13" s="455"/>
      <c r="G13" s="454"/>
      <c r="H13" s="454"/>
      <c r="I13" s="456"/>
      <c r="J13" s="441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</row>
    <row r="14" ht="15.75" customHeight="1">
      <c r="A14" s="273"/>
      <c r="B14" s="55"/>
      <c r="C14" s="55"/>
      <c r="D14" s="55"/>
      <c r="E14" s="55"/>
      <c r="F14" s="55"/>
      <c r="G14" s="55"/>
      <c r="H14" s="55"/>
      <c r="I14" s="55"/>
      <c r="J14" s="55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</row>
    <row r="15" ht="15.75" customHeight="1">
      <c r="A15" s="273"/>
      <c r="B15" s="55"/>
      <c r="C15" s="55"/>
      <c r="D15" s="457"/>
      <c r="E15" s="55"/>
      <c r="F15" s="55"/>
      <c r="G15" s="55"/>
      <c r="H15" s="55"/>
      <c r="I15" s="55"/>
      <c r="J15" s="55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</row>
    <row r="16" ht="15.75" customHeight="1">
      <c r="A16" s="273"/>
      <c r="B16" s="429"/>
      <c r="C16" s="430" t="s">
        <v>0</v>
      </c>
      <c r="D16" s="46"/>
      <c r="E16" s="46"/>
      <c r="F16" s="47"/>
      <c r="G16" s="431" t="s">
        <v>1</v>
      </c>
      <c r="H16" s="62" t="s">
        <v>384</v>
      </c>
      <c r="I16" s="63"/>
      <c r="J16" s="55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</row>
    <row r="17" ht="15.75" customHeight="1">
      <c r="A17" s="273"/>
      <c r="B17" s="432"/>
      <c r="C17" s="8"/>
      <c r="F17" s="9"/>
      <c r="G17" s="42" t="s">
        <v>3</v>
      </c>
      <c r="H17" s="65">
        <v>1.0</v>
      </c>
      <c r="I17" s="66"/>
      <c r="J17" s="55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</row>
    <row r="18" ht="15.75" customHeight="1">
      <c r="A18" s="273"/>
      <c r="B18" s="432"/>
      <c r="C18" s="10"/>
      <c r="D18" s="11"/>
      <c r="E18" s="11"/>
      <c r="F18" s="12"/>
      <c r="G18" s="42" t="s">
        <v>5</v>
      </c>
      <c r="H18" s="4" t="s">
        <v>6</v>
      </c>
      <c r="I18" s="66"/>
      <c r="J18" s="55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</row>
    <row r="19" ht="15.75" customHeight="1">
      <c r="A19" s="273"/>
      <c r="B19" s="432"/>
      <c r="C19" s="458" t="s">
        <v>385</v>
      </c>
      <c r="F19" s="9"/>
      <c r="G19" s="276" t="s">
        <v>7</v>
      </c>
      <c r="H19" s="4" t="s">
        <v>8</v>
      </c>
      <c r="I19" s="66"/>
      <c r="J19" s="55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</row>
    <row r="20" ht="15.75" customHeight="1">
      <c r="A20" s="273"/>
      <c r="B20" s="433"/>
      <c r="C20" s="113"/>
      <c r="D20" s="113"/>
      <c r="E20" s="113"/>
      <c r="F20" s="260"/>
      <c r="G20" s="434"/>
      <c r="H20" s="435" t="s">
        <v>9</v>
      </c>
      <c r="I20" s="160"/>
      <c r="J20" s="55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</row>
    <row r="21" ht="15.75" customHeight="1">
      <c r="A21" s="273"/>
      <c r="B21" s="437" t="s">
        <v>386</v>
      </c>
      <c r="C21" s="438" t="str">
        <f>OP!$M$11</f>
        <v>OP-L-099</v>
      </c>
      <c r="D21" s="11"/>
      <c r="E21" s="11"/>
      <c r="F21" s="12"/>
      <c r="G21" s="439" t="s">
        <v>184</v>
      </c>
      <c r="H21" s="440"/>
      <c r="I21" s="12"/>
      <c r="J21" s="55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273"/>
    </row>
    <row r="22" ht="15.75" customHeight="1">
      <c r="A22" s="273"/>
      <c r="B22" s="442" t="s">
        <v>387</v>
      </c>
      <c r="C22" s="438" t="str">
        <f>OP!$G$9</f>
        <v>SUERO DE NIACINAMIDA 5%</v>
      </c>
      <c r="D22" s="11"/>
      <c r="E22" s="11"/>
      <c r="F22" s="12"/>
      <c r="G22" s="443" t="s">
        <v>388</v>
      </c>
      <c r="H22" s="444" t="str">
        <f>OP!$M$10</f>
        <v>252111</v>
      </c>
      <c r="I22" s="12"/>
      <c r="J22" s="55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</row>
    <row r="23" ht="15.75" customHeight="1">
      <c r="A23" s="273"/>
      <c r="B23" s="442" t="s">
        <v>389</v>
      </c>
      <c r="C23" s="445" t="str">
        <f>OP!B16</f>
        <v>NIACINAMIDA</v>
      </c>
      <c r="D23" s="24"/>
      <c r="E23" s="24"/>
      <c r="F23" s="5"/>
      <c r="G23" s="446" t="s">
        <v>390</v>
      </c>
      <c r="H23" s="438" t="str">
        <f>OP!J16</f>
        <v>YT-NC20250428</v>
      </c>
      <c r="I23" s="12"/>
      <c r="J23" s="55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</row>
    <row r="24" ht="15.75" customHeight="1">
      <c r="A24" s="273"/>
      <c r="B24" s="447" t="s">
        <v>391</v>
      </c>
      <c r="C24" s="448">
        <f>OP!N16</f>
        <v>4500</v>
      </c>
      <c r="D24" s="11"/>
      <c r="E24" s="11"/>
      <c r="F24" s="11"/>
      <c r="G24" s="449"/>
      <c r="H24" s="441"/>
      <c r="I24" s="450"/>
      <c r="J24" s="55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</row>
    <row r="25" ht="15.75" customHeight="1">
      <c r="A25" s="273"/>
      <c r="B25" s="447" t="s">
        <v>392</v>
      </c>
      <c r="C25" s="459"/>
      <c r="D25" s="11"/>
      <c r="E25" s="11"/>
      <c r="F25" s="11"/>
      <c r="G25" s="441"/>
      <c r="H25" s="441"/>
      <c r="I25" s="450"/>
      <c r="J25" s="55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</row>
    <row r="26" ht="15.75" customHeight="1">
      <c r="A26" s="273"/>
      <c r="B26" s="447" t="s">
        <v>393</v>
      </c>
      <c r="C26" s="459"/>
      <c r="D26" s="11"/>
      <c r="E26" s="11"/>
      <c r="F26" s="11"/>
      <c r="G26" s="449" t="s">
        <v>394</v>
      </c>
      <c r="H26" s="451"/>
      <c r="I26" s="452"/>
      <c r="J26" s="55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</row>
    <row r="27" ht="15.75" customHeight="1">
      <c r="A27" s="273"/>
      <c r="B27" s="447" t="s">
        <v>395</v>
      </c>
      <c r="C27" s="459"/>
      <c r="D27" s="11"/>
      <c r="E27" s="11"/>
      <c r="F27" s="11"/>
      <c r="G27" s="449" t="s">
        <v>182</v>
      </c>
      <c r="H27" s="451"/>
      <c r="I27" s="452"/>
      <c r="J27" s="55"/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</row>
    <row r="28" ht="15.75" customHeight="1">
      <c r="A28" s="273"/>
      <c r="B28" s="453" t="s">
        <v>396</v>
      </c>
      <c r="C28" s="460"/>
      <c r="D28" s="460"/>
      <c r="E28" s="460"/>
      <c r="F28" s="461"/>
      <c r="G28" s="454"/>
      <c r="H28" s="454"/>
      <c r="I28" s="456"/>
      <c r="J28" s="55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</row>
    <row r="29" ht="15.75" customHeight="1">
      <c r="A29" s="273"/>
      <c r="B29" s="55"/>
      <c r="C29" s="216"/>
      <c r="D29" s="216"/>
      <c r="E29" s="216"/>
      <c r="F29" s="216"/>
      <c r="G29" s="55"/>
      <c r="H29" s="55"/>
      <c r="I29" s="55"/>
      <c r="J29" s="55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</row>
    <row r="30" ht="15.75" customHeight="1">
      <c r="A30" s="273"/>
      <c r="B30" s="55"/>
      <c r="C30" s="216"/>
      <c r="D30" s="216"/>
      <c r="E30" s="216"/>
      <c r="F30" s="216"/>
      <c r="G30" s="55"/>
      <c r="H30" s="55"/>
      <c r="I30" s="55"/>
      <c r="J30" s="55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</row>
    <row r="31" ht="15.75" customHeight="1">
      <c r="A31" s="273"/>
      <c r="B31" s="462"/>
      <c r="C31" s="463" t="s">
        <v>0</v>
      </c>
      <c r="D31" s="46"/>
      <c r="E31" s="46"/>
      <c r="F31" s="117"/>
      <c r="G31" s="464" t="s">
        <v>1</v>
      </c>
      <c r="H31" s="118" t="s">
        <v>384</v>
      </c>
      <c r="I31" s="120"/>
      <c r="J31" s="55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</row>
    <row r="32" ht="15.75" customHeight="1">
      <c r="A32" s="273"/>
      <c r="B32" s="465"/>
      <c r="C32" s="64"/>
      <c r="F32" s="69"/>
      <c r="G32" s="464" t="s">
        <v>3</v>
      </c>
      <c r="H32" s="466">
        <v>1.0</v>
      </c>
      <c r="I32" s="120"/>
      <c r="J32" s="55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</row>
    <row r="33" ht="15.75" customHeight="1">
      <c r="A33" s="273"/>
      <c r="B33" s="465"/>
      <c r="C33" s="121"/>
      <c r="D33" s="113"/>
      <c r="E33" s="113"/>
      <c r="F33" s="114"/>
      <c r="G33" s="464" t="s">
        <v>5</v>
      </c>
      <c r="H33" s="118" t="s">
        <v>6</v>
      </c>
      <c r="I33" s="120"/>
      <c r="J33" s="55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  <c r="Z33" s="273"/>
    </row>
    <row r="34" ht="15.75" customHeight="1">
      <c r="A34" s="273"/>
      <c r="B34" s="465"/>
      <c r="C34" s="463" t="s">
        <v>385</v>
      </c>
      <c r="D34" s="46"/>
      <c r="E34" s="46"/>
      <c r="F34" s="117"/>
      <c r="G34" s="467" t="s">
        <v>7</v>
      </c>
      <c r="H34" s="118" t="s">
        <v>8</v>
      </c>
      <c r="I34" s="120"/>
      <c r="J34" s="55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  <c r="Z34" s="273"/>
    </row>
    <row r="35" ht="15.75" customHeight="1">
      <c r="A35" s="273"/>
      <c r="B35" s="468"/>
      <c r="C35" s="121"/>
      <c r="D35" s="113"/>
      <c r="E35" s="113"/>
      <c r="F35" s="114"/>
      <c r="G35" s="468"/>
      <c r="H35" s="469" t="s">
        <v>9</v>
      </c>
      <c r="I35" s="120"/>
      <c r="J35" s="55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  <c r="Z35" s="273"/>
    </row>
    <row r="36" ht="15.75" customHeight="1">
      <c r="A36" s="273"/>
      <c r="B36" s="437" t="s">
        <v>386</v>
      </c>
      <c r="C36" s="438" t="str">
        <f>OP!$M$11</f>
        <v>OP-L-099</v>
      </c>
      <c r="D36" s="11"/>
      <c r="E36" s="11"/>
      <c r="F36" s="12"/>
      <c r="G36" s="439" t="s">
        <v>184</v>
      </c>
      <c r="H36" s="440"/>
      <c r="I36" s="12"/>
      <c r="J36" s="55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</row>
    <row r="37" ht="15.75" customHeight="1">
      <c r="A37" s="273"/>
      <c r="B37" s="442" t="s">
        <v>387</v>
      </c>
      <c r="C37" s="438" t="str">
        <f>OP!$G$9</f>
        <v>SUERO DE NIACINAMIDA 5%</v>
      </c>
      <c r="D37" s="11"/>
      <c r="E37" s="11"/>
      <c r="F37" s="12"/>
      <c r="G37" s="443" t="s">
        <v>388</v>
      </c>
      <c r="H37" s="444" t="str">
        <f>OP!$M$10</f>
        <v>252111</v>
      </c>
      <c r="I37" s="12"/>
      <c r="J37" s="55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</row>
    <row r="38" ht="15.75" customHeight="1">
      <c r="A38" s="273"/>
      <c r="B38" s="442" t="s">
        <v>389</v>
      </c>
      <c r="C38" s="445" t="str">
        <f>OP!B17</f>
        <v>BIOSURE FE</v>
      </c>
      <c r="D38" s="24"/>
      <c r="E38" s="24"/>
      <c r="F38" s="5"/>
      <c r="G38" s="446" t="s">
        <v>390</v>
      </c>
      <c r="H38" s="438">
        <f>OP!J17</f>
        <v>250127005</v>
      </c>
      <c r="I38" s="12"/>
      <c r="J38" s="55"/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</row>
    <row r="39" ht="15.75" customHeight="1">
      <c r="A39" s="273"/>
      <c r="B39" s="447" t="s">
        <v>391</v>
      </c>
      <c r="C39" s="448">
        <f>OP!N17</f>
        <v>900</v>
      </c>
      <c r="D39" s="11"/>
      <c r="E39" s="11"/>
      <c r="F39" s="11"/>
      <c r="G39" s="449"/>
      <c r="H39" s="441"/>
      <c r="I39" s="450"/>
      <c r="J39" s="55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  <c r="Z39" s="273"/>
    </row>
    <row r="40" ht="15.75" customHeight="1">
      <c r="A40" s="273"/>
      <c r="B40" s="447" t="s">
        <v>392</v>
      </c>
      <c r="C40" s="459"/>
      <c r="D40" s="11"/>
      <c r="E40" s="11"/>
      <c r="F40" s="11"/>
      <c r="G40" s="441"/>
      <c r="H40" s="441"/>
      <c r="I40" s="450"/>
      <c r="J40" s="55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</row>
    <row r="41" ht="15.75" customHeight="1">
      <c r="A41" s="273"/>
      <c r="B41" s="447" t="s">
        <v>393</v>
      </c>
      <c r="C41" s="459"/>
      <c r="D41" s="11"/>
      <c r="E41" s="11"/>
      <c r="F41" s="11"/>
      <c r="G41" s="449" t="s">
        <v>394</v>
      </c>
      <c r="H41" s="451"/>
      <c r="I41" s="452"/>
      <c r="J41" s="55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</row>
    <row r="42" ht="15.75" customHeight="1">
      <c r="A42" s="273"/>
      <c r="B42" s="447" t="s">
        <v>395</v>
      </c>
      <c r="C42" s="459"/>
      <c r="D42" s="11"/>
      <c r="E42" s="11"/>
      <c r="F42" s="11"/>
      <c r="G42" s="449" t="s">
        <v>182</v>
      </c>
      <c r="H42" s="451"/>
      <c r="I42" s="452"/>
      <c r="J42" s="55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</row>
    <row r="43" ht="15.75" customHeight="1">
      <c r="A43" s="273"/>
      <c r="B43" s="453" t="s">
        <v>396</v>
      </c>
      <c r="C43" s="460"/>
      <c r="D43" s="460"/>
      <c r="E43" s="460"/>
      <c r="F43" s="461"/>
      <c r="G43" s="454"/>
      <c r="H43" s="454"/>
      <c r="I43" s="456"/>
      <c r="J43" s="55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</row>
    <row r="44" ht="15.75" customHeight="1">
      <c r="A44" s="273"/>
      <c r="B44" s="55"/>
      <c r="C44" s="216"/>
      <c r="D44" s="216"/>
      <c r="E44" s="216"/>
      <c r="F44" s="216"/>
      <c r="G44" s="55"/>
      <c r="H44" s="55"/>
      <c r="I44" s="55"/>
      <c r="J44" s="55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</row>
    <row r="45" ht="15.75" customHeight="1">
      <c r="A45" s="273"/>
      <c r="B45" s="429"/>
      <c r="C45" s="470" t="s">
        <v>0</v>
      </c>
      <c r="D45" s="46"/>
      <c r="E45" s="46"/>
      <c r="F45" s="47"/>
      <c r="G45" s="431" t="s">
        <v>1</v>
      </c>
      <c r="H45" s="62" t="s">
        <v>384</v>
      </c>
      <c r="I45" s="63"/>
      <c r="J45" s="55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</row>
    <row r="46" ht="15.75" customHeight="1">
      <c r="A46" s="273"/>
      <c r="B46" s="432"/>
      <c r="C46" s="8"/>
      <c r="F46" s="9"/>
      <c r="G46" s="42" t="s">
        <v>3</v>
      </c>
      <c r="H46" s="65">
        <v>1.0</v>
      </c>
      <c r="I46" s="66"/>
      <c r="J46" s="55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</row>
    <row r="47" ht="15.75" customHeight="1">
      <c r="A47" s="273"/>
      <c r="B47" s="432"/>
      <c r="C47" s="10"/>
      <c r="D47" s="11"/>
      <c r="E47" s="11"/>
      <c r="F47" s="12"/>
      <c r="G47" s="42" t="s">
        <v>5</v>
      </c>
      <c r="H47" s="4" t="s">
        <v>6</v>
      </c>
      <c r="I47" s="66"/>
      <c r="J47" s="55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</row>
    <row r="48" ht="15.75" customHeight="1">
      <c r="A48" s="273"/>
      <c r="B48" s="432"/>
      <c r="C48" s="458" t="s">
        <v>385</v>
      </c>
      <c r="F48" s="9"/>
      <c r="G48" s="276" t="s">
        <v>7</v>
      </c>
      <c r="H48" s="4" t="s">
        <v>8</v>
      </c>
      <c r="I48" s="66"/>
      <c r="J48" s="55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</row>
    <row r="49" ht="15.75" customHeight="1">
      <c r="A49" s="273"/>
      <c r="B49" s="433"/>
      <c r="C49" s="113"/>
      <c r="D49" s="113"/>
      <c r="E49" s="113"/>
      <c r="F49" s="260"/>
      <c r="G49" s="434"/>
      <c r="H49" s="435" t="s">
        <v>9</v>
      </c>
      <c r="I49" s="160"/>
      <c r="J49" s="55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</row>
    <row r="50" ht="15.75" customHeight="1">
      <c r="A50" s="273"/>
      <c r="B50" s="437" t="s">
        <v>386</v>
      </c>
      <c r="C50" s="438" t="str">
        <f>OP!$M$11</f>
        <v>OP-L-099</v>
      </c>
      <c r="D50" s="11"/>
      <c r="E50" s="11"/>
      <c r="F50" s="12"/>
      <c r="G50" s="439" t="s">
        <v>184</v>
      </c>
      <c r="H50" s="440"/>
      <c r="I50" s="12"/>
      <c r="J50" s="55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</row>
    <row r="51" ht="15.75" customHeight="1">
      <c r="A51" s="273"/>
      <c r="B51" s="442" t="s">
        <v>387</v>
      </c>
      <c r="C51" s="438" t="str">
        <f>OP!$G$9</f>
        <v>SUERO DE NIACINAMIDA 5%</v>
      </c>
      <c r="D51" s="11"/>
      <c r="E51" s="11"/>
      <c r="F51" s="12"/>
      <c r="G51" s="443" t="s">
        <v>388</v>
      </c>
      <c r="H51" s="444" t="str">
        <f>OP!$M$10</f>
        <v>252111</v>
      </c>
      <c r="I51" s="12"/>
      <c r="J51" s="55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</row>
    <row r="52" ht="15.75" customHeight="1">
      <c r="A52" s="273"/>
      <c r="B52" s="442" t="s">
        <v>389</v>
      </c>
      <c r="C52" s="445" t="str">
        <f>OP!B18</f>
        <v>N-ACETL GLUCOSAMINA </v>
      </c>
      <c r="D52" s="24"/>
      <c r="E52" s="24"/>
      <c r="F52" s="5"/>
      <c r="G52" s="446" t="s">
        <v>390</v>
      </c>
      <c r="H52" s="438" t="str">
        <f>OP!J18</f>
        <v>YT-20251213</v>
      </c>
      <c r="I52" s="12"/>
      <c r="J52" s="55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</row>
    <row r="53" ht="15.75" customHeight="1">
      <c r="A53" s="273"/>
      <c r="B53" s="447" t="s">
        <v>391</v>
      </c>
      <c r="C53" s="448">
        <f>OP!N18</f>
        <v>450</v>
      </c>
      <c r="D53" s="11"/>
      <c r="E53" s="11"/>
      <c r="F53" s="11"/>
      <c r="G53" s="449"/>
      <c r="H53" s="441"/>
      <c r="I53" s="450"/>
      <c r="J53" s="55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</row>
    <row r="54" ht="15.75" customHeight="1">
      <c r="A54" s="273"/>
      <c r="B54" s="447" t="s">
        <v>392</v>
      </c>
      <c r="C54" s="459"/>
      <c r="D54" s="11"/>
      <c r="E54" s="11"/>
      <c r="F54" s="11"/>
      <c r="G54" s="441"/>
      <c r="H54" s="441"/>
      <c r="I54" s="450"/>
      <c r="J54" s="55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</row>
    <row r="55" ht="15.75" customHeight="1">
      <c r="A55" s="273"/>
      <c r="B55" s="447" t="s">
        <v>393</v>
      </c>
      <c r="C55" s="459"/>
      <c r="D55" s="11"/>
      <c r="E55" s="11"/>
      <c r="F55" s="11"/>
      <c r="G55" s="449" t="s">
        <v>394</v>
      </c>
      <c r="H55" s="451"/>
      <c r="I55" s="452"/>
      <c r="J55" s="55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</row>
    <row r="56" ht="15.75" customHeight="1">
      <c r="A56" s="273"/>
      <c r="B56" s="447" t="s">
        <v>395</v>
      </c>
      <c r="C56" s="459"/>
      <c r="D56" s="11"/>
      <c r="E56" s="11"/>
      <c r="F56" s="11"/>
      <c r="G56" s="449" t="s">
        <v>182</v>
      </c>
      <c r="H56" s="451"/>
      <c r="I56" s="452"/>
      <c r="J56" s="55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</row>
    <row r="57" ht="15.75" customHeight="1">
      <c r="A57" s="273"/>
      <c r="B57" s="453" t="s">
        <v>396</v>
      </c>
      <c r="C57" s="460"/>
      <c r="D57" s="460"/>
      <c r="E57" s="460"/>
      <c r="F57" s="461"/>
      <c r="G57" s="454"/>
      <c r="H57" s="454"/>
      <c r="I57" s="456"/>
      <c r="J57" s="55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</row>
    <row r="58" ht="15.75" customHeight="1">
      <c r="A58" s="273"/>
      <c r="B58" s="55"/>
      <c r="C58" s="216"/>
      <c r="D58" s="216"/>
      <c r="E58" s="216"/>
      <c r="F58" s="216"/>
      <c r="G58" s="55"/>
      <c r="H58" s="55"/>
      <c r="I58" s="55"/>
      <c r="J58" s="55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</row>
    <row r="59" ht="15.75" customHeight="1">
      <c r="A59" s="273"/>
      <c r="B59" s="429"/>
      <c r="C59" s="470" t="s">
        <v>0</v>
      </c>
      <c r="D59" s="46"/>
      <c r="E59" s="46"/>
      <c r="F59" s="47"/>
      <c r="G59" s="431" t="s">
        <v>1</v>
      </c>
      <c r="H59" s="62" t="s">
        <v>384</v>
      </c>
      <c r="I59" s="63"/>
      <c r="J59" s="55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</row>
    <row r="60" ht="15.75" customHeight="1">
      <c r="A60" s="273"/>
      <c r="B60" s="432"/>
      <c r="C60" s="8"/>
      <c r="F60" s="9"/>
      <c r="G60" s="42" t="s">
        <v>3</v>
      </c>
      <c r="H60" s="65">
        <v>1.0</v>
      </c>
      <c r="I60" s="66"/>
      <c r="J60" s="55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</row>
    <row r="61" ht="15.75" customHeight="1">
      <c r="A61" s="273"/>
      <c r="B61" s="432"/>
      <c r="C61" s="10"/>
      <c r="D61" s="11"/>
      <c r="E61" s="11"/>
      <c r="F61" s="12"/>
      <c r="G61" s="42" t="s">
        <v>5</v>
      </c>
      <c r="H61" s="4" t="s">
        <v>6</v>
      </c>
      <c r="I61" s="66"/>
      <c r="J61" s="55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</row>
    <row r="62" ht="15.75" customHeight="1">
      <c r="A62" s="273"/>
      <c r="B62" s="432"/>
      <c r="C62" s="458" t="s">
        <v>385</v>
      </c>
      <c r="F62" s="9"/>
      <c r="G62" s="276" t="s">
        <v>7</v>
      </c>
      <c r="H62" s="4" t="s">
        <v>8</v>
      </c>
      <c r="I62" s="66"/>
      <c r="J62" s="55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</row>
    <row r="63" ht="15.75" customHeight="1">
      <c r="A63" s="273"/>
      <c r="B63" s="433"/>
      <c r="C63" s="113"/>
      <c r="D63" s="113"/>
      <c r="E63" s="113"/>
      <c r="F63" s="260"/>
      <c r="G63" s="434"/>
      <c r="H63" s="435" t="s">
        <v>9</v>
      </c>
      <c r="I63" s="160"/>
      <c r="J63" s="55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</row>
    <row r="64" ht="15.75" customHeight="1">
      <c r="A64" s="273"/>
      <c r="B64" s="437" t="s">
        <v>386</v>
      </c>
      <c r="C64" s="438" t="str">
        <f>OP!$M$11</f>
        <v>OP-L-099</v>
      </c>
      <c r="D64" s="11"/>
      <c r="E64" s="11"/>
      <c r="F64" s="12"/>
      <c r="G64" s="439" t="s">
        <v>184</v>
      </c>
      <c r="H64" s="440"/>
      <c r="I64" s="12"/>
      <c r="J64" s="55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</row>
    <row r="65" ht="15.75" customHeight="1">
      <c r="A65" s="273"/>
      <c r="B65" s="442" t="s">
        <v>387</v>
      </c>
      <c r="C65" s="438" t="str">
        <f>OP!$G$9</f>
        <v>SUERO DE NIACINAMIDA 5%</v>
      </c>
      <c r="D65" s="11"/>
      <c r="E65" s="11"/>
      <c r="F65" s="12"/>
      <c r="G65" s="443" t="s">
        <v>388</v>
      </c>
      <c r="H65" s="444" t="str">
        <f>OP!$M$10</f>
        <v>252111</v>
      </c>
      <c r="I65" s="12"/>
      <c r="J65" s="55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273"/>
    </row>
    <row r="66" ht="15.75" customHeight="1">
      <c r="A66" s="273"/>
      <c r="B66" s="442" t="s">
        <v>389</v>
      </c>
      <c r="C66" s="445" t="str">
        <f>OP!B19</f>
        <v>GLUCONOLACTONA</v>
      </c>
      <c r="D66" s="24"/>
      <c r="E66" s="24"/>
      <c r="F66" s="5"/>
      <c r="G66" s="446" t="s">
        <v>390</v>
      </c>
      <c r="H66" s="438" t="str">
        <f>OP!J19</f>
        <v>YT-G20250419</v>
      </c>
      <c r="I66" s="12"/>
      <c r="J66" s="55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</row>
    <row r="67" ht="15.75" customHeight="1">
      <c r="A67" s="273"/>
      <c r="B67" s="447" t="s">
        <v>391</v>
      </c>
      <c r="C67" s="448">
        <f>OP!N19</f>
        <v>270</v>
      </c>
      <c r="D67" s="11"/>
      <c r="E67" s="11"/>
      <c r="F67" s="11"/>
      <c r="G67" s="449"/>
      <c r="H67" s="441"/>
      <c r="I67" s="450"/>
      <c r="J67" s="55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  <c r="Z67" s="273"/>
    </row>
    <row r="68" ht="15.75" customHeight="1">
      <c r="A68" s="273"/>
      <c r="B68" s="447" t="s">
        <v>392</v>
      </c>
      <c r="C68" s="459"/>
      <c r="D68" s="11"/>
      <c r="E68" s="11"/>
      <c r="F68" s="11"/>
      <c r="G68" s="441"/>
      <c r="H68" s="441"/>
      <c r="I68" s="450"/>
      <c r="J68" s="55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273"/>
    </row>
    <row r="69" ht="15.75" customHeight="1">
      <c r="A69" s="273"/>
      <c r="B69" s="447" t="s">
        <v>393</v>
      </c>
      <c r="C69" s="459"/>
      <c r="D69" s="11"/>
      <c r="E69" s="11"/>
      <c r="F69" s="11"/>
      <c r="G69" s="449" t="s">
        <v>394</v>
      </c>
      <c r="H69" s="451"/>
      <c r="I69" s="452"/>
      <c r="J69" s="55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273"/>
    </row>
    <row r="70" ht="15.75" customHeight="1">
      <c r="A70" s="273"/>
      <c r="B70" s="447" t="s">
        <v>395</v>
      </c>
      <c r="C70" s="459"/>
      <c r="D70" s="11"/>
      <c r="E70" s="11"/>
      <c r="F70" s="11"/>
      <c r="G70" s="449" t="s">
        <v>182</v>
      </c>
      <c r="H70" s="451"/>
      <c r="I70" s="452"/>
      <c r="J70" s="55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</row>
    <row r="71" ht="15.75" customHeight="1">
      <c r="A71" s="273"/>
      <c r="B71" s="453" t="s">
        <v>396</v>
      </c>
      <c r="C71" s="460"/>
      <c r="D71" s="460"/>
      <c r="E71" s="460"/>
      <c r="F71" s="461"/>
      <c r="G71" s="454"/>
      <c r="H71" s="454"/>
      <c r="I71" s="456"/>
      <c r="J71" s="55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</row>
    <row r="72" ht="15.75" customHeight="1">
      <c r="A72" s="273"/>
      <c r="B72" s="55"/>
      <c r="C72" s="216"/>
      <c r="D72" s="216"/>
      <c r="E72" s="216"/>
      <c r="F72" s="216"/>
      <c r="G72" s="55"/>
      <c r="H72" s="55"/>
      <c r="I72" s="55"/>
      <c r="J72" s="55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</row>
    <row r="73" ht="15.75" customHeight="1">
      <c r="A73" s="273"/>
      <c r="B73" s="429"/>
      <c r="C73" s="470" t="s">
        <v>0</v>
      </c>
      <c r="D73" s="46"/>
      <c r="E73" s="46"/>
      <c r="F73" s="47"/>
      <c r="G73" s="431" t="s">
        <v>1</v>
      </c>
      <c r="H73" s="62" t="s">
        <v>384</v>
      </c>
      <c r="I73" s="63"/>
      <c r="J73" s="55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</row>
    <row r="74" ht="15.75" customHeight="1">
      <c r="A74" s="273"/>
      <c r="B74" s="432"/>
      <c r="C74" s="8"/>
      <c r="F74" s="9"/>
      <c r="G74" s="42" t="s">
        <v>3</v>
      </c>
      <c r="H74" s="65">
        <v>1.0</v>
      </c>
      <c r="I74" s="66"/>
      <c r="J74" s="55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</row>
    <row r="75" ht="15.75" customHeight="1">
      <c r="A75" s="273"/>
      <c r="B75" s="432"/>
      <c r="C75" s="10"/>
      <c r="D75" s="11"/>
      <c r="E75" s="11"/>
      <c r="F75" s="12"/>
      <c r="G75" s="42" t="s">
        <v>5</v>
      </c>
      <c r="H75" s="4" t="s">
        <v>6</v>
      </c>
      <c r="I75" s="66"/>
      <c r="J75" s="55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273"/>
    </row>
    <row r="76" ht="15.75" customHeight="1">
      <c r="A76" s="273"/>
      <c r="B76" s="432"/>
      <c r="C76" s="458" t="s">
        <v>385</v>
      </c>
      <c r="F76" s="9"/>
      <c r="G76" s="276" t="s">
        <v>7</v>
      </c>
      <c r="H76" s="4" t="s">
        <v>8</v>
      </c>
      <c r="I76" s="66"/>
      <c r="J76" s="55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</row>
    <row r="77" ht="15.75" customHeight="1">
      <c r="A77" s="273"/>
      <c r="B77" s="433"/>
      <c r="C77" s="113"/>
      <c r="D77" s="113"/>
      <c r="E77" s="113"/>
      <c r="F77" s="260"/>
      <c r="G77" s="434"/>
      <c r="H77" s="435" t="s">
        <v>9</v>
      </c>
      <c r="I77" s="160"/>
      <c r="J77" s="55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273"/>
    </row>
    <row r="78" ht="15.75" customHeight="1">
      <c r="A78" s="273"/>
      <c r="B78" s="437" t="s">
        <v>386</v>
      </c>
      <c r="C78" s="438" t="str">
        <f>OP!$M$11</f>
        <v>OP-L-099</v>
      </c>
      <c r="D78" s="11"/>
      <c r="E78" s="11"/>
      <c r="F78" s="12"/>
      <c r="G78" s="439" t="s">
        <v>184</v>
      </c>
      <c r="H78" s="440"/>
      <c r="I78" s="12"/>
      <c r="J78" s="55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</row>
    <row r="79" ht="15.75" customHeight="1">
      <c r="A79" s="273"/>
      <c r="B79" s="442" t="s">
        <v>387</v>
      </c>
      <c r="C79" s="438" t="str">
        <f>OP!$G$9</f>
        <v>SUERO DE NIACINAMIDA 5%</v>
      </c>
      <c r="D79" s="11"/>
      <c r="E79" s="11"/>
      <c r="F79" s="12"/>
      <c r="G79" s="443" t="s">
        <v>388</v>
      </c>
      <c r="H79" s="444" t="str">
        <f>OP!$M$10</f>
        <v>252111</v>
      </c>
      <c r="I79" s="12"/>
      <c r="J79" s="55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</row>
    <row r="80" ht="15.75" customHeight="1">
      <c r="A80" s="273"/>
      <c r="B80" s="442" t="s">
        <v>389</v>
      </c>
      <c r="C80" s="445" t="str">
        <f>OP!B20</f>
        <v>ÁCIDO HIALURÓNICO 50 KD </v>
      </c>
      <c r="D80" s="24"/>
      <c r="E80" s="24"/>
      <c r="F80" s="5"/>
      <c r="G80" s="446" t="s">
        <v>390</v>
      </c>
      <c r="H80" s="438" t="str">
        <f>OP!J20</f>
        <v>LYPH250219</v>
      </c>
      <c r="I80" s="12"/>
      <c r="J80" s="55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</row>
    <row r="81" ht="15.75" customHeight="1">
      <c r="A81" s="273"/>
      <c r="B81" s="447" t="s">
        <v>391</v>
      </c>
      <c r="C81" s="448">
        <f>OP!N20</f>
        <v>315</v>
      </c>
      <c r="D81" s="11"/>
      <c r="E81" s="11"/>
      <c r="F81" s="11"/>
      <c r="G81" s="449"/>
      <c r="H81" s="441"/>
      <c r="I81" s="450"/>
      <c r="J81" s="55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</row>
    <row r="82" ht="15.75" customHeight="1">
      <c r="A82" s="273"/>
      <c r="B82" s="447" t="s">
        <v>392</v>
      </c>
      <c r="C82" s="459"/>
      <c r="D82" s="11"/>
      <c r="E82" s="11"/>
      <c r="F82" s="11"/>
      <c r="G82" s="441"/>
      <c r="H82" s="441"/>
      <c r="I82" s="450"/>
      <c r="J82" s="55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</row>
    <row r="83" ht="15.75" customHeight="1">
      <c r="A83" s="273"/>
      <c r="B83" s="447" t="s">
        <v>393</v>
      </c>
      <c r="C83" s="459"/>
      <c r="D83" s="11"/>
      <c r="E83" s="11"/>
      <c r="F83" s="11"/>
      <c r="G83" s="449" t="s">
        <v>394</v>
      </c>
      <c r="H83" s="451"/>
      <c r="I83" s="452"/>
      <c r="J83" s="55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</row>
    <row r="84" ht="15.75" customHeight="1">
      <c r="A84" s="273"/>
      <c r="B84" s="447" t="s">
        <v>395</v>
      </c>
      <c r="C84" s="459"/>
      <c r="D84" s="11"/>
      <c r="E84" s="11"/>
      <c r="F84" s="11"/>
      <c r="G84" s="449" t="s">
        <v>182</v>
      </c>
      <c r="H84" s="451"/>
      <c r="I84" s="452"/>
      <c r="J84" s="55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</row>
    <row r="85" ht="15.75" customHeight="1">
      <c r="A85" s="273"/>
      <c r="B85" s="453" t="s">
        <v>396</v>
      </c>
      <c r="C85" s="460"/>
      <c r="D85" s="460"/>
      <c r="E85" s="460"/>
      <c r="F85" s="461"/>
      <c r="G85" s="454"/>
      <c r="H85" s="454"/>
      <c r="I85" s="456"/>
      <c r="J85" s="55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  <c r="Z85" s="273"/>
    </row>
    <row r="86" ht="15.75" customHeight="1">
      <c r="A86" s="273"/>
      <c r="B86" s="55"/>
      <c r="C86" s="216"/>
      <c r="D86" s="216"/>
      <c r="E86" s="216"/>
      <c r="F86" s="216"/>
      <c r="G86" s="55"/>
      <c r="H86" s="55"/>
      <c r="I86" s="55"/>
      <c r="J86" s="55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</row>
    <row r="87" ht="15.75" customHeight="1">
      <c r="A87" s="273"/>
      <c r="B87" s="429"/>
      <c r="C87" s="470" t="s">
        <v>0</v>
      </c>
      <c r="D87" s="46"/>
      <c r="E87" s="46"/>
      <c r="F87" s="47"/>
      <c r="G87" s="431" t="s">
        <v>1</v>
      </c>
      <c r="H87" s="62" t="s">
        <v>384</v>
      </c>
      <c r="I87" s="63"/>
      <c r="J87" s="55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  <c r="Z87" s="273"/>
    </row>
    <row r="88" ht="15.75" customHeight="1">
      <c r="A88" s="273"/>
      <c r="B88" s="432"/>
      <c r="C88" s="8"/>
      <c r="F88" s="9"/>
      <c r="G88" s="42" t="s">
        <v>3</v>
      </c>
      <c r="H88" s="65">
        <v>1.0</v>
      </c>
      <c r="I88" s="66"/>
      <c r="J88" s="55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</row>
    <row r="89" ht="15.75" customHeight="1">
      <c r="A89" s="273"/>
      <c r="B89" s="432"/>
      <c r="C89" s="10"/>
      <c r="D89" s="11"/>
      <c r="E89" s="11"/>
      <c r="F89" s="12"/>
      <c r="G89" s="42" t="s">
        <v>5</v>
      </c>
      <c r="H89" s="4" t="s">
        <v>6</v>
      </c>
      <c r="I89" s="66"/>
      <c r="J89" s="55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  <c r="Z89" s="273"/>
    </row>
    <row r="90" ht="15.75" customHeight="1">
      <c r="A90" s="273"/>
      <c r="B90" s="432"/>
      <c r="C90" s="458" t="s">
        <v>385</v>
      </c>
      <c r="F90" s="9"/>
      <c r="G90" s="276" t="s">
        <v>7</v>
      </c>
      <c r="H90" s="4" t="s">
        <v>8</v>
      </c>
      <c r="I90" s="66"/>
      <c r="J90" s="55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</row>
    <row r="91" ht="15.75" customHeight="1">
      <c r="A91" s="273"/>
      <c r="B91" s="433"/>
      <c r="C91" s="113"/>
      <c r="D91" s="113"/>
      <c r="E91" s="113"/>
      <c r="F91" s="260"/>
      <c r="G91" s="434"/>
      <c r="H91" s="435" t="s">
        <v>9</v>
      </c>
      <c r="I91" s="160"/>
      <c r="J91" s="55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  <c r="Z91" s="273"/>
    </row>
    <row r="92" ht="15.75" customHeight="1">
      <c r="A92" s="273"/>
      <c r="B92" s="437" t="s">
        <v>386</v>
      </c>
      <c r="C92" s="438" t="str">
        <f>OP!$M$11</f>
        <v>OP-L-099</v>
      </c>
      <c r="D92" s="11"/>
      <c r="E92" s="11"/>
      <c r="F92" s="12"/>
      <c r="G92" s="439" t="s">
        <v>184</v>
      </c>
      <c r="H92" s="440"/>
      <c r="I92" s="12"/>
      <c r="J92" s="55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</row>
    <row r="93" ht="15.75" customHeight="1">
      <c r="A93" s="273"/>
      <c r="B93" s="442" t="s">
        <v>387</v>
      </c>
      <c r="C93" s="438" t="str">
        <f>OP!$G$9</f>
        <v>SUERO DE NIACINAMIDA 5%</v>
      </c>
      <c r="D93" s="11"/>
      <c r="E93" s="11"/>
      <c r="F93" s="12"/>
      <c r="G93" s="443" t="s">
        <v>388</v>
      </c>
      <c r="H93" s="444" t="str">
        <f>OP!$M$10</f>
        <v>252111</v>
      </c>
      <c r="I93" s="12"/>
      <c r="J93" s="55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</row>
    <row r="94" ht="15.75" customHeight="1">
      <c r="A94" s="273"/>
      <c r="B94" s="442" t="s">
        <v>389</v>
      </c>
      <c r="C94" s="445" t="str">
        <f>OP!B23</f>
        <v>BETAINA</v>
      </c>
      <c r="D94" s="24"/>
      <c r="E94" s="24"/>
      <c r="F94" s="5"/>
      <c r="G94" s="446" t="s">
        <v>390</v>
      </c>
      <c r="H94" s="438" t="str">
        <f>OP!J23</f>
        <v>YT-20240405</v>
      </c>
      <c r="I94" s="12"/>
      <c r="J94" s="55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</row>
    <row r="95" ht="15.75" customHeight="1">
      <c r="A95" s="273"/>
      <c r="B95" s="447" t="s">
        <v>391</v>
      </c>
      <c r="C95" s="448">
        <f>OP!N23</f>
        <v>45</v>
      </c>
      <c r="D95" s="11"/>
      <c r="E95" s="11"/>
      <c r="F95" s="11"/>
      <c r="G95" s="449"/>
      <c r="H95" s="441"/>
      <c r="I95" s="450"/>
      <c r="J95" s="55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  <c r="Z95" s="273"/>
    </row>
    <row r="96" ht="15.75" customHeight="1">
      <c r="A96" s="273"/>
      <c r="B96" s="447" t="s">
        <v>392</v>
      </c>
      <c r="C96" s="451"/>
      <c r="D96" s="11"/>
      <c r="E96" s="11"/>
      <c r="F96" s="11"/>
      <c r="G96" s="441"/>
      <c r="H96" s="441"/>
      <c r="I96" s="450"/>
      <c r="J96" s="55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</row>
    <row r="97" ht="15.75" customHeight="1">
      <c r="A97" s="273"/>
      <c r="B97" s="447" t="s">
        <v>393</v>
      </c>
      <c r="C97" s="451"/>
      <c r="D97" s="11"/>
      <c r="E97" s="11"/>
      <c r="F97" s="11"/>
      <c r="G97" s="449" t="s">
        <v>394</v>
      </c>
      <c r="H97" s="451"/>
      <c r="I97" s="452"/>
      <c r="J97" s="55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  <c r="Z97" s="273"/>
    </row>
    <row r="98" ht="15.75" customHeight="1">
      <c r="A98" s="273"/>
      <c r="B98" s="447" t="s">
        <v>395</v>
      </c>
      <c r="C98" s="451"/>
      <c r="D98" s="11"/>
      <c r="E98" s="11"/>
      <c r="F98" s="11"/>
      <c r="G98" s="449" t="s">
        <v>182</v>
      </c>
      <c r="H98" s="451"/>
      <c r="I98" s="452"/>
      <c r="J98" s="55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</row>
    <row r="99" ht="15.75" customHeight="1">
      <c r="A99" s="273"/>
      <c r="B99" s="453" t="s">
        <v>396</v>
      </c>
      <c r="C99" s="454"/>
      <c r="D99" s="454"/>
      <c r="E99" s="454"/>
      <c r="F99" s="455"/>
      <c r="G99" s="454"/>
      <c r="H99" s="454"/>
      <c r="I99" s="456"/>
      <c r="J99" s="55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</row>
    <row r="100" ht="15.75" customHeight="1">
      <c r="A100" s="273"/>
      <c r="B100" s="55"/>
      <c r="C100" s="55"/>
      <c r="D100" s="55"/>
      <c r="E100" s="55"/>
      <c r="F100" s="55"/>
      <c r="G100" s="55"/>
      <c r="H100" s="55"/>
      <c r="I100" s="55"/>
      <c r="J100" s="55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</row>
    <row r="101" ht="15.75" customHeight="1">
      <c r="A101" s="273"/>
      <c r="B101" s="429"/>
      <c r="C101" s="430" t="s">
        <v>0</v>
      </c>
      <c r="D101" s="46"/>
      <c r="E101" s="46"/>
      <c r="F101" s="47"/>
      <c r="G101" s="431" t="s">
        <v>1</v>
      </c>
      <c r="H101" s="62" t="s">
        <v>384</v>
      </c>
      <c r="I101" s="63"/>
      <c r="J101" s="55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</row>
    <row r="102" ht="15.75" customHeight="1">
      <c r="A102" s="273"/>
      <c r="B102" s="432"/>
      <c r="C102" s="8"/>
      <c r="F102" s="9"/>
      <c r="G102" s="42" t="s">
        <v>3</v>
      </c>
      <c r="H102" s="65">
        <v>1.0</v>
      </c>
      <c r="I102" s="66"/>
      <c r="J102" s="55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</row>
    <row r="103" ht="15.75" customHeight="1">
      <c r="A103" s="273"/>
      <c r="B103" s="432"/>
      <c r="C103" s="10"/>
      <c r="D103" s="11"/>
      <c r="E103" s="11"/>
      <c r="F103" s="12"/>
      <c r="G103" s="42" t="s">
        <v>5</v>
      </c>
      <c r="H103" s="4" t="s">
        <v>6</v>
      </c>
      <c r="I103" s="66"/>
      <c r="J103" s="55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</row>
    <row r="104" ht="15.75" customHeight="1">
      <c r="A104" s="273"/>
      <c r="B104" s="432"/>
      <c r="C104" s="21" t="s">
        <v>385</v>
      </c>
      <c r="F104" s="9"/>
      <c r="G104" s="276" t="s">
        <v>7</v>
      </c>
      <c r="H104" s="4" t="s">
        <v>8</v>
      </c>
      <c r="I104" s="66"/>
      <c r="J104" s="55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</row>
    <row r="105" ht="15.75" customHeight="1">
      <c r="A105" s="273"/>
      <c r="B105" s="433"/>
      <c r="C105" s="113"/>
      <c r="D105" s="113"/>
      <c r="E105" s="113"/>
      <c r="F105" s="260"/>
      <c r="G105" s="434"/>
      <c r="H105" s="435" t="s">
        <v>9</v>
      </c>
      <c r="I105" s="160"/>
      <c r="J105" s="55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  <c r="Z105" s="273"/>
    </row>
    <row r="106" ht="15.75" customHeight="1">
      <c r="A106" s="273"/>
      <c r="B106" s="437" t="s">
        <v>386</v>
      </c>
      <c r="C106" s="438" t="str">
        <f>OP!$M$11</f>
        <v>OP-L-099</v>
      </c>
      <c r="D106" s="11"/>
      <c r="E106" s="11"/>
      <c r="F106" s="12"/>
      <c r="G106" s="439" t="s">
        <v>184</v>
      </c>
      <c r="H106" s="440"/>
      <c r="I106" s="12"/>
      <c r="J106" s="55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</row>
    <row r="107" ht="15.75" customHeight="1">
      <c r="A107" s="273"/>
      <c r="B107" s="442" t="s">
        <v>387</v>
      </c>
      <c r="C107" s="438" t="str">
        <f>OP!$G$9</f>
        <v>SUERO DE NIACINAMIDA 5%</v>
      </c>
      <c r="D107" s="11"/>
      <c r="E107" s="11"/>
      <c r="F107" s="12"/>
      <c r="G107" s="443" t="s">
        <v>388</v>
      </c>
      <c r="H107" s="444" t="str">
        <f>OP!$M$10</f>
        <v>252111</v>
      </c>
      <c r="I107" s="12"/>
      <c r="J107" s="55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</row>
    <row r="108" ht="15.75" customHeight="1">
      <c r="A108" s="273"/>
      <c r="B108" s="442" t="s">
        <v>389</v>
      </c>
      <c r="C108" s="445" t="str">
        <f>OP!B24</f>
        <v>ECTOINA</v>
      </c>
      <c r="D108" s="24"/>
      <c r="E108" s="24"/>
      <c r="F108" s="5"/>
      <c r="G108" s="446" t="s">
        <v>390</v>
      </c>
      <c r="H108" s="438" t="str">
        <f>OP!J24</f>
        <v>YT-20250123</v>
      </c>
      <c r="I108" s="12"/>
      <c r="J108" s="55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</row>
    <row r="109" ht="15.75" customHeight="1">
      <c r="A109" s="273"/>
      <c r="B109" s="447" t="s">
        <v>391</v>
      </c>
      <c r="C109" s="448">
        <f>OP!N24</f>
        <v>90</v>
      </c>
      <c r="D109" s="11"/>
      <c r="E109" s="11"/>
      <c r="F109" s="11"/>
      <c r="G109" s="449"/>
      <c r="H109" s="441"/>
      <c r="I109" s="450"/>
      <c r="J109" s="55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  <c r="Z109" s="273"/>
    </row>
    <row r="110" ht="15.75" customHeight="1">
      <c r="A110" s="273"/>
      <c r="B110" s="447" t="s">
        <v>392</v>
      </c>
      <c r="C110" s="451"/>
      <c r="D110" s="11"/>
      <c r="E110" s="11"/>
      <c r="F110" s="11"/>
      <c r="G110" s="441"/>
      <c r="H110" s="441"/>
      <c r="I110" s="450"/>
      <c r="J110" s="55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</row>
    <row r="111" ht="15.75" customHeight="1">
      <c r="A111" s="273"/>
      <c r="B111" s="447" t="s">
        <v>393</v>
      </c>
      <c r="C111" s="451"/>
      <c r="D111" s="11"/>
      <c r="E111" s="11"/>
      <c r="F111" s="11"/>
      <c r="G111" s="449" t="s">
        <v>394</v>
      </c>
      <c r="H111" s="451"/>
      <c r="I111" s="452"/>
      <c r="J111" s="55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  <c r="Z111" s="273"/>
    </row>
    <row r="112" ht="15.75" customHeight="1">
      <c r="A112" s="273"/>
      <c r="B112" s="447" t="s">
        <v>395</v>
      </c>
      <c r="C112" s="451"/>
      <c r="D112" s="11"/>
      <c r="E112" s="11"/>
      <c r="F112" s="11"/>
      <c r="G112" s="449" t="s">
        <v>182</v>
      </c>
      <c r="H112" s="451"/>
      <c r="I112" s="452"/>
      <c r="J112" s="55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</row>
    <row r="113" ht="15.75" customHeight="1">
      <c r="A113" s="273"/>
      <c r="B113" s="453" t="s">
        <v>396</v>
      </c>
      <c r="C113" s="454"/>
      <c r="D113" s="454"/>
      <c r="E113" s="454"/>
      <c r="F113" s="455"/>
      <c r="G113" s="454"/>
      <c r="H113" s="454"/>
      <c r="I113" s="456"/>
      <c r="J113" s="55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  <c r="Z113" s="273"/>
    </row>
    <row r="114" ht="15.75" customHeight="1">
      <c r="A114" s="273"/>
      <c r="B114" s="55"/>
      <c r="C114" s="55"/>
      <c r="D114" s="55"/>
      <c r="E114" s="55"/>
      <c r="F114" s="55"/>
      <c r="G114" s="55"/>
      <c r="H114" s="55"/>
      <c r="I114" s="55"/>
      <c r="J114" s="55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</row>
    <row r="115" ht="15.75" customHeight="1">
      <c r="A115" s="273"/>
      <c r="B115" s="429"/>
      <c r="C115" s="430" t="s">
        <v>0</v>
      </c>
      <c r="D115" s="46"/>
      <c r="E115" s="46"/>
      <c r="F115" s="47"/>
      <c r="G115" s="431" t="s">
        <v>1</v>
      </c>
      <c r="H115" s="62" t="s">
        <v>384</v>
      </c>
      <c r="I115" s="63"/>
      <c r="J115" s="55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  <c r="Z115" s="273"/>
    </row>
    <row r="116" ht="15.75" customHeight="1">
      <c r="A116" s="273"/>
      <c r="B116" s="432"/>
      <c r="C116" s="8"/>
      <c r="F116" s="9"/>
      <c r="G116" s="42" t="s">
        <v>3</v>
      </c>
      <c r="H116" s="65">
        <v>1.0</v>
      </c>
      <c r="I116" s="66"/>
      <c r="J116" s="55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</row>
    <row r="117" ht="15.75" customHeight="1">
      <c r="A117" s="273"/>
      <c r="B117" s="432"/>
      <c r="C117" s="10"/>
      <c r="D117" s="11"/>
      <c r="E117" s="11"/>
      <c r="F117" s="12"/>
      <c r="G117" s="42" t="s">
        <v>5</v>
      </c>
      <c r="H117" s="4" t="s">
        <v>6</v>
      </c>
      <c r="I117" s="66"/>
      <c r="J117" s="55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</row>
    <row r="118" ht="15.75" customHeight="1">
      <c r="A118" s="273"/>
      <c r="B118" s="432"/>
      <c r="C118" s="21" t="s">
        <v>385</v>
      </c>
      <c r="F118" s="9"/>
      <c r="G118" s="276" t="s">
        <v>7</v>
      </c>
      <c r="H118" s="4" t="s">
        <v>8</v>
      </c>
      <c r="I118" s="66"/>
      <c r="J118" s="55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</row>
    <row r="119" ht="15.75" customHeight="1">
      <c r="A119" s="273"/>
      <c r="B119" s="433"/>
      <c r="C119" s="113"/>
      <c r="D119" s="113"/>
      <c r="E119" s="113"/>
      <c r="F119" s="260"/>
      <c r="G119" s="434"/>
      <c r="H119" s="435" t="s">
        <v>9</v>
      </c>
      <c r="I119" s="160"/>
      <c r="J119" s="55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</row>
    <row r="120" ht="15.75" customHeight="1">
      <c r="A120" s="273"/>
      <c r="B120" s="437" t="s">
        <v>386</v>
      </c>
      <c r="C120" s="438" t="str">
        <f>OP!$M$11</f>
        <v>OP-L-099</v>
      </c>
      <c r="D120" s="11"/>
      <c r="E120" s="11"/>
      <c r="F120" s="12"/>
      <c r="G120" s="439" t="s">
        <v>184</v>
      </c>
      <c r="H120" s="440"/>
      <c r="I120" s="12"/>
      <c r="J120" s="55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</row>
    <row r="121" ht="15.75" customHeight="1">
      <c r="A121" s="273"/>
      <c r="B121" s="442" t="s">
        <v>387</v>
      </c>
      <c r="C121" s="438" t="str">
        <f>OP!$G$9</f>
        <v>SUERO DE NIACINAMIDA 5%</v>
      </c>
      <c r="D121" s="11"/>
      <c r="E121" s="11"/>
      <c r="F121" s="12"/>
      <c r="G121" s="443" t="s">
        <v>388</v>
      </c>
      <c r="H121" s="444" t="str">
        <f>OP!$M$10</f>
        <v>252111</v>
      </c>
      <c r="I121" s="12"/>
      <c r="J121" s="55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  <c r="Z121" s="273"/>
    </row>
    <row r="122" ht="15.75" customHeight="1">
      <c r="A122" s="273"/>
      <c r="B122" s="442" t="s">
        <v>389</v>
      </c>
      <c r="C122" s="445" t="str">
        <f>OP!B25</f>
        <v>PANTENOL POLVO</v>
      </c>
      <c r="D122" s="24"/>
      <c r="E122" s="24"/>
      <c r="F122" s="5"/>
      <c r="G122" s="446" t="s">
        <v>390</v>
      </c>
      <c r="H122" s="438" t="str">
        <f>OP!J25</f>
        <v>YT-20250402</v>
      </c>
      <c r="I122" s="12"/>
      <c r="J122" s="55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</row>
    <row r="123" ht="15.75" customHeight="1">
      <c r="A123" s="273"/>
      <c r="B123" s="447" t="s">
        <v>391</v>
      </c>
      <c r="C123" s="448">
        <f>OP!N25</f>
        <v>45</v>
      </c>
      <c r="D123" s="11"/>
      <c r="E123" s="11"/>
      <c r="F123" s="11"/>
      <c r="G123" s="449"/>
      <c r="H123" s="441"/>
      <c r="I123" s="450"/>
      <c r="J123" s="55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  <c r="Z123" s="273"/>
    </row>
    <row r="124" ht="15.75" customHeight="1">
      <c r="A124" s="273"/>
      <c r="B124" s="447" t="s">
        <v>392</v>
      </c>
      <c r="C124" s="451"/>
      <c r="D124" s="11"/>
      <c r="E124" s="11"/>
      <c r="F124" s="11"/>
      <c r="G124" s="441"/>
      <c r="H124" s="441"/>
      <c r="I124" s="450"/>
      <c r="J124" s="55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</row>
    <row r="125" ht="15.75" customHeight="1">
      <c r="A125" s="273"/>
      <c r="B125" s="447" t="s">
        <v>393</v>
      </c>
      <c r="C125" s="451"/>
      <c r="D125" s="11"/>
      <c r="E125" s="11"/>
      <c r="F125" s="11"/>
      <c r="G125" s="449" t="s">
        <v>394</v>
      </c>
      <c r="H125" s="451"/>
      <c r="I125" s="452"/>
      <c r="J125" s="55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</row>
    <row r="126" ht="15.75" customHeight="1">
      <c r="A126" s="273"/>
      <c r="B126" s="447" t="s">
        <v>395</v>
      </c>
      <c r="C126" s="451"/>
      <c r="D126" s="11"/>
      <c r="E126" s="11"/>
      <c r="F126" s="11"/>
      <c r="G126" s="449" t="s">
        <v>182</v>
      </c>
      <c r="H126" s="451"/>
      <c r="I126" s="452"/>
      <c r="J126" s="55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</row>
    <row r="127" ht="15.75" customHeight="1">
      <c r="A127" s="273"/>
      <c r="B127" s="453" t="s">
        <v>396</v>
      </c>
      <c r="C127" s="454"/>
      <c r="D127" s="454"/>
      <c r="E127" s="454"/>
      <c r="F127" s="455"/>
      <c r="G127" s="454"/>
      <c r="H127" s="454"/>
      <c r="I127" s="456"/>
      <c r="J127" s="55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</row>
    <row r="128" ht="15.75" customHeight="1">
      <c r="A128" s="273"/>
      <c r="B128" s="55"/>
      <c r="C128" s="55"/>
      <c r="D128" s="55"/>
      <c r="E128" s="55"/>
      <c r="F128" s="55"/>
      <c r="G128" s="55"/>
      <c r="H128" s="55"/>
      <c r="I128" s="55"/>
      <c r="J128" s="55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  <c r="Z128" s="273"/>
    </row>
    <row r="129" ht="15.75" customHeight="1">
      <c r="A129" s="273"/>
      <c r="B129" s="429"/>
      <c r="C129" s="430" t="s">
        <v>0</v>
      </c>
      <c r="D129" s="46"/>
      <c r="E129" s="46"/>
      <c r="F129" s="47"/>
      <c r="G129" s="431" t="s">
        <v>1</v>
      </c>
      <c r="H129" s="62" t="s">
        <v>384</v>
      </c>
      <c r="I129" s="6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  <c r="Z129" s="273"/>
    </row>
    <row r="130" ht="15.75" customHeight="1">
      <c r="A130" s="273"/>
      <c r="B130" s="432"/>
      <c r="C130" s="8"/>
      <c r="F130" s="9"/>
      <c r="G130" s="42" t="s">
        <v>3</v>
      </c>
      <c r="H130" s="65">
        <v>1.0</v>
      </c>
      <c r="I130" s="66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</row>
    <row r="131" ht="15.75" customHeight="1">
      <c r="A131" s="273"/>
      <c r="B131" s="432"/>
      <c r="C131" s="10"/>
      <c r="D131" s="11"/>
      <c r="E131" s="11"/>
      <c r="F131" s="12"/>
      <c r="G131" s="42" t="s">
        <v>5</v>
      </c>
      <c r="H131" s="4" t="s">
        <v>6</v>
      </c>
      <c r="I131" s="66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  <c r="Z131" s="273"/>
    </row>
    <row r="132" ht="15.75" customHeight="1">
      <c r="A132" s="273"/>
      <c r="B132" s="432"/>
      <c r="C132" s="21" t="s">
        <v>385</v>
      </c>
      <c r="F132" s="9"/>
      <c r="G132" s="276" t="s">
        <v>7</v>
      </c>
      <c r="H132" s="4" t="s">
        <v>8</v>
      </c>
      <c r="I132" s="66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</row>
    <row r="133" ht="15.75" customHeight="1">
      <c r="A133" s="273"/>
      <c r="B133" s="433"/>
      <c r="C133" s="113"/>
      <c r="D133" s="113"/>
      <c r="E133" s="113"/>
      <c r="F133" s="260"/>
      <c r="G133" s="434"/>
      <c r="H133" s="435" t="s">
        <v>9</v>
      </c>
      <c r="I133" s="160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  <c r="Z133" s="273"/>
    </row>
    <row r="134" ht="15.75" customHeight="1">
      <c r="A134" s="273"/>
      <c r="B134" s="437" t="s">
        <v>386</v>
      </c>
      <c r="C134" s="438" t="str">
        <f>OP!$M$11</f>
        <v>OP-L-099</v>
      </c>
      <c r="D134" s="11"/>
      <c r="E134" s="11"/>
      <c r="F134" s="12"/>
      <c r="G134" s="439" t="s">
        <v>184</v>
      </c>
      <c r="H134" s="440"/>
      <c r="I134" s="12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</row>
    <row r="135" ht="15.75" customHeight="1">
      <c r="A135" s="273"/>
      <c r="B135" s="442" t="s">
        <v>387</v>
      </c>
      <c r="C135" s="438" t="str">
        <f>OP!$G$9</f>
        <v>SUERO DE NIACINAMIDA 5%</v>
      </c>
      <c r="D135" s="11"/>
      <c r="E135" s="11"/>
      <c r="F135" s="12"/>
      <c r="G135" s="443" t="s">
        <v>388</v>
      </c>
      <c r="H135" s="444" t="str">
        <f>OP!$M$10</f>
        <v>252111</v>
      </c>
      <c r="I135" s="12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</row>
    <row r="136" ht="15.75" customHeight="1">
      <c r="A136" s="273"/>
      <c r="B136" s="442" t="s">
        <v>389</v>
      </c>
      <c r="C136" s="445" t="str">
        <f>OP!B26</f>
        <v>VITAMINA E POLVO</v>
      </c>
      <c r="D136" s="24"/>
      <c r="E136" s="24"/>
      <c r="F136" s="5"/>
      <c r="G136" s="446" t="s">
        <v>390</v>
      </c>
      <c r="H136" s="438">
        <f>OP!J26</f>
        <v>20240217</v>
      </c>
      <c r="I136" s="12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</row>
    <row r="137" ht="15.75" customHeight="1">
      <c r="A137" s="273"/>
      <c r="B137" s="447" t="s">
        <v>391</v>
      </c>
      <c r="C137" s="448">
        <f>OP!N26</f>
        <v>135</v>
      </c>
      <c r="D137" s="11"/>
      <c r="E137" s="11"/>
      <c r="F137" s="11"/>
      <c r="G137" s="449"/>
      <c r="H137" s="441"/>
      <c r="I137" s="450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</row>
    <row r="138" ht="15.75" customHeight="1">
      <c r="A138" s="273"/>
      <c r="B138" s="447" t="s">
        <v>392</v>
      </c>
      <c r="C138" s="451"/>
      <c r="D138" s="11"/>
      <c r="E138" s="11"/>
      <c r="F138" s="11"/>
      <c r="G138" s="441"/>
      <c r="H138" s="441"/>
      <c r="I138" s="450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</row>
    <row r="139" ht="15.75" customHeight="1">
      <c r="A139" s="273"/>
      <c r="B139" s="447" t="s">
        <v>393</v>
      </c>
      <c r="C139" s="451"/>
      <c r="D139" s="11"/>
      <c r="E139" s="11"/>
      <c r="F139" s="11"/>
      <c r="G139" s="449" t="s">
        <v>394</v>
      </c>
      <c r="H139" s="451"/>
      <c r="I139" s="452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  <c r="Z139" s="273"/>
    </row>
    <row r="140" ht="15.75" customHeight="1">
      <c r="A140" s="273"/>
      <c r="B140" s="447" t="s">
        <v>395</v>
      </c>
      <c r="C140" s="451"/>
      <c r="D140" s="11"/>
      <c r="E140" s="11"/>
      <c r="F140" s="11"/>
      <c r="G140" s="449" t="s">
        <v>182</v>
      </c>
      <c r="H140" s="451"/>
      <c r="I140" s="452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</row>
    <row r="141" ht="15.75" customHeight="1">
      <c r="A141" s="273"/>
      <c r="B141" s="453" t="s">
        <v>396</v>
      </c>
      <c r="C141" s="454"/>
      <c r="D141" s="454"/>
      <c r="E141" s="454"/>
      <c r="F141" s="455"/>
      <c r="G141" s="454"/>
      <c r="H141" s="454"/>
      <c r="I141" s="456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  <c r="Z141" s="273"/>
    </row>
    <row r="142" ht="15.7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</row>
    <row r="143" ht="15.75" customHeight="1">
      <c r="A143" s="273"/>
      <c r="B143" s="429"/>
      <c r="C143" s="430" t="s">
        <v>0</v>
      </c>
      <c r="D143" s="46"/>
      <c r="E143" s="46"/>
      <c r="F143" s="47"/>
      <c r="G143" s="431" t="s">
        <v>1</v>
      </c>
      <c r="H143" s="62" t="s">
        <v>384</v>
      </c>
      <c r="I143" s="6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</row>
    <row r="144" ht="15.75" customHeight="1">
      <c r="A144" s="273"/>
      <c r="B144" s="432"/>
      <c r="C144" s="8"/>
      <c r="F144" s="9"/>
      <c r="G144" s="42" t="s">
        <v>3</v>
      </c>
      <c r="H144" s="65">
        <v>1.0</v>
      </c>
      <c r="I144" s="66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</row>
    <row r="145" ht="15.75" customHeight="1">
      <c r="A145" s="273"/>
      <c r="B145" s="432"/>
      <c r="C145" s="10"/>
      <c r="D145" s="11"/>
      <c r="E145" s="11"/>
      <c r="F145" s="12"/>
      <c r="G145" s="42" t="s">
        <v>5</v>
      </c>
      <c r="H145" s="4" t="s">
        <v>6</v>
      </c>
      <c r="I145" s="66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</row>
    <row r="146" ht="15.75" customHeight="1">
      <c r="A146" s="273"/>
      <c r="B146" s="432"/>
      <c r="C146" s="21" t="s">
        <v>385</v>
      </c>
      <c r="F146" s="9"/>
      <c r="G146" s="276" t="s">
        <v>7</v>
      </c>
      <c r="H146" s="4" t="s">
        <v>8</v>
      </c>
      <c r="I146" s="66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</row>
    <row r="147" ht="15.75" customHeight="1">
      <c r="A147" s="273"/>
      <c r="B147" s="433"/>
      <c r="C147" s="113"/>
      <c r="D147" s="113"/>
      <c r="E147" s="113"/>
      <c r="F147" s="260"/>
      <c r="G147" s="434"/>
      <c r="H147" s="435" t="s">
        <v>9</v>
      </c>
      <c r="I147" s="160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  <c r="Z147" s="273"/>
    </row>
    <row r="148" ht="15.75" customHeight="1">
      <c r="A148" s="273"/>
      <c r="B148" s="437" t="s">
        <v>386</v>
      </c>
      <c r="C148" s="438" t="str">
        <f>OP!$M$11</f>
        <v>OP-L-099</v>
      </c>
      <c r="D148" s="11"/>
      <c r="E148" s="11"/>
      <c r="F148" s="12"/>
      <c r="G148" s="439" t="s">
        <v>184</v>
      </c>
      <c r="H148" s="440"/>
      <c r="I148" s="12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</row>
    <row r="149" ht="15.75" customHeight="1">
      <c r="A149" s="273"/>
      <c r="B149" s="442" t="s">
        <v>387</v>
      </c>
      <c r="C149" s="438" t="str">
        <f>OP!$G$9</f>
        <v>SUERO DE NIACINAMIDA 5%</v>
      </c>
      <c r="D149" s="11"/>
      <c r="E149" s="11"/>
      <c r="F149" s="12"/>
      <c r="G149" s="443" t="s">
        <v>388</v>
      </c>
      <c r="H149" s="444" t="str">
        <f>OP!$M$10</f>
        <v>252111</v>
      </c>
      <c r="I149" s="12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  <c r="Z149" s="273"/>
    </row>
    <row r="150" ht="15.75" customHeight="1">
      <c r="A150" s="273"/>
      <c r="B150" s="442" t="s">
        <v>389</v>
      </c>
      <c r="C150" s="445" t="str">
        <f>OP!B27</f>
        <v>TERPENOS SOLUBLES 80%</v>
      </c>
      <c r="D150" s="24"/>
      <c r="E150" s="24"/>
      <c r="F150" s="5"/>
      <c r="G150" s="446" t="s">
        <v>390</v>
      </c>
      <c r="H150" s="438" t="str">
        <f>OP!J27</f>
        <v>YT-20250123</v>
      </c>
      <c r="I150" s="12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</row>
    <row r="151" ht="15.75" customHeight="1">
      <c r="A151" s="273"/>
      <c r="B151" s="447" t="s">
        <v>391</v>
      </c>
      <c r="C151" s="448">
        <f>OP!N27</f>
        <v>9</v>
      </c>
      <c r="D151" s="11"/>
      <c r="E151" s="11"/>
      <c r="F151" s="11"/>
      <c r="G151" s="449"/>
      <c r="H151" s="441"/>
      <c r="I151" s="450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</row>
    <row r="152" ht="15.75" customHeight="1">
      <c r="A152" s="273"/>
      <c r="B152" s="447" t="s">
        <v>392</v>
      </c>
      <c r="C152" s="451"/>
      <c r="D152" s="11"/>
      <c r="E152" s="11"/>
      <c r="F152" s="11"/>
      <c r="G152" s="441"/>
      <c r="H152" s="441"/>
      <c r="I152" s="450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</row>
    <row r="153" ht="15.75" customHeight="1">
      <c r="A153" s="273"/>
      <c r="B153" s="447" t="s">
        <v>393</v>
      </c>
      <c r="C153" s="451"/>
      <c r="D153" s="11"/>
      <c r="E153" s="11"/>
      <c r="F153" s="11"/>
      <c r="G153" s="449" t="s">
        <v>394</v>
      </c>
      <c r="H153" s="451"/>
      <c r="I153" s="452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  <c r="Z153" s="273"/>
    </row>
    <row r="154" ht="15.75" customHeight="1">
      <c r="A154" s="273"/>
      <c r="B154" s="447" t="s">
        <v>395</v>
      </c>
      <c r="C154" s="451"/>
      <c r="D154" s="11"/>
      <c r="E154" s="11"/>
      <c r="F154" s="11"/>
      <c r="G154" s="449" t="s">
        <v>182</v>
      </c>
      <c r="H154" s="451"/>
      <c r="I154" s="452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</row>
    <row r="155" ht="15.75" customHeight="1">
      <c r="A155" s="273"/>
      <c r="B155" s="453" t="s">
        <v>396</v>
      </c>
      <c r="C155" s="454"/>
      <c r="D155" s="454"/>
      <c r="E155" s="454"/>
      <c r="F155" s="455"/>
      <c r="G155" s="454"/>
      <c r="H155" s="454"/>
      <c r="I155" s="456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  <c r="Z155" s="273"/>
    </row>
    <row r="156" ht="15.7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</row>
    <row r="157" ht="15.75" customHeight="1">
      <c r="A157" s="273"/>
      <c r="B157" s="429"/>
      <c r="C157" s="430" t="s">
        <v>0</v>
      </c>
      <c r="D157" s="46"/>
      <c r="E157" s="46"/>
      <c r="F157" s="47"/>
      <c r="G157" s="431" t="s">
        <v>1</v>
      </c>
      <c r="H157" s="62" t="s">
        <v>384</v>
      </c>
      <c r="I157" s="6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  <c r="Z157" s="273"/>
    </row>
    <row r="158" ht="15.75" customHeight="1">
      <c r="A158" s="273"/>
      <c r="B158" s="432"/>
      <c r="C158" s="8"/>
      <c r="F158" s="9"/>
      <c r="G158" s="42" t="s">
        <v>3</v>
      </c>
      <c r="H158" s="65">
        <v>1.0</v>
      </c>
      <c r="I158" s="66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</row>
    <row r="159" ht="15.75" customHeight="1">
      <c r="A159" s="273"/>
      <c r="B159" s="432"/>
      <c r="C159" s="10"/>
      <c r="D159" s="11"/>
      <c r="E159" s="11"/>
      <c r="F159" s="12"/>
      <c r="G159" s="42" t="s">
        <v>5</v>
      </c>
      <c r="H159" s="4" t="s">
        <v>6</v>
      </c>
      <c r="I159" s="66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</row>
    <row r="160" ht="15.75" customHeight="1">
      <c r="A160" s="273"/>
      <c r="B160" s="432"/>
      <c r="C160" s="21" t="s">
        <v>385</v>
      </c>
      <c r="F160" s="9"/>
      <c r="G160" s="276" t="s">
        <v>7</v>
      </c>
      <c r="H160" s="4" t="s">
        <v>8</v>
      </c>
      <c r="I160" s="66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</row>
    <row r="161" ht="15.75" customHeight="1">
      <c r="A161" s="273"/>
      <c r="B161" s="433"/>
      <c r="C161" s="113"/>
      <c r="D161" s="113"/>
      <c r="E161" s="113"/>
      <c r="F161" s="260"/>
      <c r="G161" s="434"/>
      <c r="H161" s="435" t="s">
        <v>9</v>
      </c>
      <c r="I161" s="160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  <c r="Z161" s="273"/>
    </row>
    <row r="162" ht="15.75" customHeight="1">
      <c r="A162" s="273"/>
      <c r="B162" s="437" t="s">
        <v>386</v>
      </c>
      <c r="C162" s="438" t="str">
        <f>OP!$M$11</f>
        <v>OP-L-099</v>
      </c>
      <c r="D162" s="11"/>
      <c r="E162" s="11"/>
      <c r="F162" s="12"/>
      <c r="G162" s="439" t="s">
        <v>184</v>
      </c>
      <c r="H162" s="440"/>
      <c r="I162" s="12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</row>
    <row r="163" ht="15.75" customHeight="1">
      <c r="A163" s="273"/>
      <c r="B163" s="442" t="s">
        <v>387</v>
      </c>
      <c r="C163" s="438" t="str">
        <f>OP!$G$9</f>
        <v>SUERO DE NIACINAMIDA 5%</v>
      </c>
      <c r="D163" s="11"/>
      <c r="E163" s="11"/>
      <c r="F163" s="12"/>
      <c r="G163" s="443" t="s">
        <v>388</v>
      </c>
      <c r="H163" s="444" t="str">
        <f>OP!$M$10</f>
        <v>252111</v>
      </c>
      <c r="I163" s="12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  <c r="Z163" s="273"/>
    </row>
    <row r="164" ht="15.75" customHeight="1">
      <c r="A164" s="273"/>
      <c r="B164" s="442" t="s">
        <v>389</v>
      </c>
      <c r="C164" s="445" t="str">
        <f>OP!B28</f>
        <v>ASIATICOSIDO</v>
      </c>
      <c r="D164" s="24"/>
      <c r="E164" s="24"/>
      <c r="F164" s="5"/>
      <c r="G164" s="446" t="s">
        <v>390</v>
      </c>
      <c r="H164" s="438" t="str">
        <f>OP!J28</f>
        <v>YT-20250115</v>
      </c>
      <c r="I164" s="12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</row>
    <row r="165" ht="15.75" customHeight="1">
      <c r="A165" s="273"/>
      <c r="B165" s="447" t="s">
        <v>391</v>
      </c>
      <c r="C165" s="448">
        <f>OP!N28</f>
        <v>9</v>
      </c>
      <c r="D165" s="11"/>
      <c r="E165" s="11"/>
      <c r="F165" s="11"/>
      <c r="G165" s="449"/>
      <c r="H165" s="441"/>
      <c r="I165" s="450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  <c r="Z165" s="273"/>
    </row>
    <row r="166" ht="15.75" customHeight="1">
      <c r="A166" s="273"/>
      <c r="B166" s="447" t="s">
        <v>392</v>
      </c>
      <c r="C166" s="451"/>
      <c r="D166" s="11"/>
      <c r="E166" s="11"/>
      <c r="F166" s="11"/>
      <c r="G166" s="441"/>
      <c r="H166" s="441"/>
      <c r="I166" s="450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</row>
    <row r="167" ht="15.75" customHeight="1">
      <c r="A167" s="273"/>
      <c r="B167" s="447" t="s">
        <v>393</v>
      </c>
      <c r="C167" s="451"/>
      <c r="D167" s="11"/>
      <c r="E167" s="11"/>
      <c r="F167" s="11"/>
      <c r="G167" s="449" t="s">
        <v>394</v>
      </c>
      <c r="H167" s="451"/>
      <c r="I167" s="452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  <c r="Z167" s="273"/>
    </row>
    <row r="168" ht="15.75" customHeight="1">
      <c r="A168" s="273"/>
      <c r="B168" s="447" t="s">
        <v>395</v>
      </c>
      <c r="C168" s="451"/>
      <c r="D168" s="11"/>
      <c r="E168" s="11"/>
      <c r="F168" s="11"/>
      <c r="G168" s="449" t="s">
        <v>182</v>
      </c>
      <c r="H168" s="451"/>
      <c r="I168" s="452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</row>
    <row r="169" ht="15.75" customHeight="1">
      <c r="A169" s="273"/>
      <c r="B169" s="453" t="s">
        <v>396</v>
      </c>
      <c r="C169" s="454"/>
      <c r="D169" s="454"/>
      <c r="E169" s="454"/>
      <c r="F169" s="455"/>
      <c r="G169" s="454"/>
      <c r="H169" s="454"/>
      <c r="I169" s="456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  <c r="Z169" s="273"/>
    </row>
    <row r="170" ht="15.7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</row>
    <row r="171" ht="15.75" customHeight="1">
      <c r="A171" s="273"/>
      <c r="B171" s="429"/>
      <c r="C171" s="430" t="s">
        <v>0</v>
      </c>
      <c r="D171" s="46"/>
      <c r="E171" s="46"/>
      <c r="F171" s="47"/>
      <c r="G171" s="431" t="s">
        <v>1</v>
      </c>
      <c r="H171" s="62" t="s">
        <v>384</v>
      </c>
      <c r="I171" s="6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</row>
    <row r="172" ht="15.75" customHeight="1">
      <c r="A172" s="273"/>
      <c r="B172" s="432"/>
      <c r="C172" s="8"/>
      <c r="F172" s="9"/>
      <c r="G172" s="42" t="s">
        <v>3</v>
      </c>
      <c r="H172" s="65">
        <v>1.0</v>
      </c>
      <c r="I172" s="66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</row>
    <row r="173" ht="15.75" customHeight="1">
      <c r="A173" s="273"/>
      <c r="B173" s="432"/>
      <c r="C173" s="10"/>
      <c r="D173" s="11"/>
      <c r="E173" s="11"/>
      <c r="F173" s="12"/>
      <c r="G173" s="42" t="s">
        <v>5</v>
      </c>
      <c r="H173" s="4" t="s">
        <v>6</v>
      </c>
      <c r="I173" s="66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  <c r="Z173" s="273"/>
    </row>
    <row r="174" ht="15.75" customHeight="1">
      <c r="A174" s="273"/>
      <c r="B174" s="432"/>
      <c r="C174" s="21" t="s">
        <v>385</v>
      </c>
      <c r="F174" s="9"/>
      <c r="G174" s="276" t="s">
        <v>7</v>
      </c>
      <c r="H174" s="4" t="s">
        <v>8</v>
      </c>
      <c r="I174" s="66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</row>
    <row r="175" ht="15.75" customHeight="1">
      <c r="A175" s="273"/>
      <c r="B175" s="433"/>
      <c r="C175" s="113"/>
      <c r="D175" s="113"/>
      <c r="E175" s="113"/>
      <c r="F175" s="260"/>
      <c r="G175" s="434"/>
      <c r="H175" s="435" t="s">
        <v>9</v>
      </c>
      <c r="I175" s="160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  <c r="Z175" s="273"/>
    </row>
    <row r="176" ht="15.75" customHeight="1">
      <c r="A176" s="273"/>
      <c r="B176" s="437" t="s">
        <v>386</v>
      </c>
      <c r="C176" s="438" t="str">
        <f>OP!$M$11</f>
        <v>OP-L-099</v>
      </c>
      <c r="D176" s="11"/>
      <c r="E176" s="11"/>
      <c r="F176" s="12"/>
      <c r="G176" s="439" t="s">
        <v>184</v>
      </c>
      <c r="H176" s="440"/>
      <c r="I176" s="12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</row>
    <row r="177" ht="15.75" customHeight="1">
      <c r="A177" s="273"/>
      <c r="B177" s="442" t="s">
        <v>387</v>
      </c>
      <c r="C177" s="438" t="str">
        <f>OP!$G$9</f>
        <v>SUERO DE NIACINAMIDA 5%</v>
      </c>
      <c r="D177" s="11"/>
      <c r="E177" s="11"/>
      <c r="F177" s="12"/>
      <c r="G177" s="443" t="s">
        <v>388</v>
      </c>
      <c r="H177" s="444" t="str">
        <f>OP!$M$10</f>
        <v>252111</v>
      </c>
      <c r="I177" s="12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</row>
    <row r="178" ht="15.75" customHeight="1">
      <c r="A178" s="273"/>
      <c r="B178" s="442" t="s">
        <v>389</v>
      </c>
      <c r="C178" s="445" t="str">
        <f>OP!B29</f>
        <v>1,2 HEXANEDIOL</v>
      </c>
      <c r="D178" s="24"/>
      <c r="E178" s="24"/>
      <c r="F178" s="5"/>
      <c r="G178" s="446" t="s">
        <v>390</v>
      </c>
      <c r="H178" s="438" t="str">
        <f>OP!J29</f>
        <v>YT-20250504</v>
      </c>
      <c r="I178" s="12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</row>
    <row r="179" ht="15.75" customHeight="1">
      <c r="A179" s="273"/>
      <c r="B179" s="447" t="s">
        <v>391</v>
      </c>
      <c r="C179" s="448">
        <f>OP!N29</f>
        <v>450</v>
      </c>
      <c r="D179" s="11"/>
      <c r="E179" s="11"/>
      <c r="F179" s="11"/>
      <c r="G179" s="449"/>
      <c r="H179" s="441"/>
      <c r="I179" s="450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  <c r="Z179" s="273"/>
    </row>
    <row r="180" ht="15.75" customHeight="1">
      <c r="A180" s="273"/>
      <c r="B180" s="447" t="s">
        <v>392</v>
      </c>
      <c r="C180" s="451"/>
      <c r="D180" s="11"/>
      <c r="E180" s="11"/>
      <c r="F180" s="11"/>
      <c r="G180" s="441"/>
      <c r="H180" s="441"/>
      <c r="I180" s="450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</row>
    <row r="181" ht="15.75" customHeight="1">
      <c r="A181" s="273"/>
      <c r="B181" s="447" t="s">
        <v>393</v>
      </c>
      <c r="C181" s="451"/>
      <c r="D181" s="11"/>
      <c r="E181" s="11"/>
      <c r="F181" s="11"/>
      <c r="G181" s="449" t="s">
        <v>394</v>
      </c>
      <c r="H181" s="451"/>
      <c r="I181" s="452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  <c r="Z181" s="273"/>
    </row>
    <row r="182" ht="15.75" customHeight="1">
      <c r="A182" s="273"/>
      <c r="B182" s="447" t="s">
        <v>395</v>
      </c>
      <c r="C182" s="451"/>
      <c r="D182" s="11"/>
      <c r="E182" s="11"/>
      <c r="F182" s="11"/>
      <c r="G182" s="449" t="s">
        <v>182</v>
      </c>
      <c r="H182" s="451"/>
      <c r="I182" s="452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</row>
    <row r="183" ht="15.75" customHeight="1">
      <c r="A183" s="273"/>
      <c r="B183" s="453" t="s">
        <v>396</v>
      </c>
      <c r="C183" s="454"/>
      <c r="D183" s="454"/>
      <c r="E183" s="454"/>
      <c r="F183" s="455"/>
      <c r="G183" s="454"/>
      <c r="H183" s="454"/>
      <c r="I183" s="456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  <c r="Z183" s="273"/>
    </row>
    <row r="184" ht="15.7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</row>
    <row r="185" ht="15.75" customHeight="1">
      <c r="A185" s="273"/>
      <c r="B185" s="429"/>
      <c r="C185" s="430" t="s">
        <v>0</v>
      </c>
      <c r="D185" s="46"/>
      <c r="E185" s="46"/>
      <c r="F185" s="47"/>
      <c r="G185" s="431" t="s">
        <v>1</v>
      </c>
      <c r="H185" s="62" t="s">
        <v>384</v>
      </c>
      <c r="I185" s="6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  <c r="Z185" s="273"/>
    </row>
    <row r="186" ht="15.75" customHeight="1">
      <c r="A186" s="273"/>
      <c r="B186" s="432"/>
      <c r="C186" s="8"/>
      <c r="F186" s="9"/>
      <c r="G186" s="42" t="s">
        <v>3</v>
      </c>
      <c r="H186" s="65">
        <v>1.0</v>
      </c>
      <c r="I186" s="66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</row>
    <row r="187" ht="15.75" customHeight="1">
      <c r="A187" s="273"/>
      <c r="B187" s="432"/>
      <c r="C187" s="10"/>
      <c r="D187" s="11"/>
      <c r="E187" s="11"/>
      <c r="F187" s="12"/>
      <c r="G187" s="42" t="s">
        <v>5</v>
      </c>
      <c r="H187" s="4" t="s">
        <v>6</v>
      </c>
      <c r="I187" s="66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  <c r="Z187" s="273"/>
    </row>
    <row r="188" ht="15.75" customHeight="1">
      <c r="A188" s="273"/>
      <c r="B188" s="432"/>
      <c r="C188" s="21" t="s">
        <v>385</v>
      </c>
      <c r="F188" s="9"/>
      <c r="G188" s="276" t="s">
        <v>7</v>
      </c>
      <c r="H188" s="4" t="s">
        <v>8</v>
      </c>
      <c r="I188" s="66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</row>
    <row r="189" ht="15.75" customHeight="1">
      <c r="A189" s="273"/>
      <c r="B189" s="433"/>
      <c r="C189" s="113"/>
      <c r="D189" s="113"/>
      <c r="E189" s="113"/>
      <c r="F189" s="260"/>
      <c r="G189" s="434"/>
      <c r="H189" s="435" t="s">
        <v>9</v>
      </c>
      <c r="I189" s="160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  <c r="Z189" s="273"/>
    </row>
    <row r="190" ht="15.75" customHeight="1">
      <c r="A190" s="273"/>
      <c r="B190" s="437" t="s">
        <v>386</v>
      </c>
      <c r="C190" s="438" t="str">
        <f>OP!$M$11</f>
        <v>OP-L-099</v>
      </c>
      <c r="D190" s="11"/>
      <c r="E190" s="11"/>
      <c r="F190" s="12"/>
      <c r="G190" s="439" t="s">
        <v>184</v>
      </c>
      <c r="H190" s="440"/>
      <c r="I190" s="12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</row>
    <row r="191" ht="15.75" customHeight="1">
      <c r="A191" s="273"/>
      <c r="B191" s="442" t="s">
        <v>387</v>
      </c>
      <c r="C191" s="438" t="str">
        <f>OP!$G$9</f>
        <v>SUERO DE NIACINAMIDA 5%</v>
      </c>
      <c r="D191" s="11"/>
      <c r="E191" s="11"/>
      <c r="F191" s="12"/>
      <c r="G191" s="443" t="s">
        <v>388</v>
      </c>
      <c r="H191" s="444" t="str">
        <f>OP!$M$10</f>
        <v>252111</v>
      </c>
      <c r="I191" s="12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  <c r="Z191" s="273"/>
    </row>
    <row r="192" ht="15.75" customHeight="1">
      <c r="A192" s="273"/>
      <c r="B192" s="442" t="s">
        <v>389</v>
      </c>
      <c r="C192" s="445" t="str">
        <f>OP!B30</f>
        <v>GRANSIL VX419</v>
      </c>
      <c r="D192" s="24"/>
      <c r="E192" s="24"/>
      <c r="F192" s="5"/>
      <c r="G192" s="446" t="s">
        <v>390</v>
      </c>
      <c r="H192" s="438" t="str">
        <f>OP!J30</f>
        <v>980305S1125</v>
      </c>
      <c r="I192" s="12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</row>
    <row r="193" ht="15.75" customHeight="1">
      <c r="A193" s="273"/>
      <c r="B193" s="447" t="s">
        <v>391</v>
      </c>
      <c r="C193" s="448">
        <f>OP!N30</f>
        <v>270</v>
      </c>
      <c r="D193" s="11"/>
      <c r="E193" s="11"/>
      <c r="F193" s="11"/>
      <c r="G193" s="449"/>
      <c r="H193" s="441"/>
      <c r="I193" s="450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</row>
    <row r="194" ht="15.75" customHeight="1">
      <c r="A194" s="273"/>
      <c r="B194" s="447" t="s">
        <v>392</v>
      </c>
      <c r="C194" s="451"/>
      <c r="D194" s="11"/>
      <c r="E194" s="11"/>
      <c r="F194" s="11"/>
      <c r="G194" s="441"/>
      <c r="H194" s="441"/>
      <c r="I194" s="450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</row>
    <row r="195" ht="15.75" customHeight="1">
      <c r="A195" s="273"/>
      <c r="B195" s="447" t="s">
        <v>393</v>
      </c>
      <c r="C195" s="451"/>
      <c r="D195" s="11"/>
      <c r="E195" s="11"/>
      <c r="F195" s="11"/>
      <c r="G195" s="449" t="s">
        <v>394</v>
      </c>
      <c r="H195" s="451"/>
      <c r="I195" s="452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3"/>
    </row>
    <row r="196" ht="15.75" customHeight="1">
      <c r="A196" s="273"/>
      <c r="B196" s="447" t="s">
        <v>395</v>
      </c>
      <c r="C196" s="451"/>
      <c r="D196" s="11"/>
      <c r="E196" s="11"/>
      <c r="F196" s="11"/>
      <c r="G196" s="449" t="s">
        <v>182</v>
      </c>
      <c r="H196" s="451"/>
      <c r="I196" s="452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</row>
    <row r="197" ht="15.75" customHeight="1">
      <c r="A197" s="273"/>
      <c r="B197" s="453" t="s">
        <v>396</v>
      </c>
      <c r="C197" s="454"/>
      <c r="D197" s="454"/>
      <c r="E197" s="454"/>
      <c r="F197" s="455"/>
      <c r="G197" s="454"/>
      <c r="H197" s="454"/>
      <c r="I197" s="456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</row>
    <row r="198" ht="15.7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</row>
    <row r="199" ht="15.75" customHeight="1">
      <c r="A199" s="273"/>
      <c r="B199" s="429"/>
      <c r="C199" s="430" t="s">
        <v>0</v>
      </c>
      <c r="D199" s="46"/>
      <c r="E199" s="46"/>
      <c r="F199" s="47"/>
      <c r="G199" s="431" t="s">
        <v>1</v>
      </c>
      <c r="H199" s="62" t="s">
        <v>384</v>
      </c>
      <c r="I199" s="6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</row>
    <row r="200" ht="15.75" customHeight="1">
      <c r="A200" s="273"/>
      <c r="B200" s="432"/>
      <c r="C200" s="8"/>
      <c r="F200" s="9"/>
      <c r="G200" s="42" t="s">
        <v>3</v>
      </c>
      <c r="H200" s="65">
        <v>1.0</v>
      </c>
      <c r="I200" s="66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</row>
    <row r="201" ht="15.75" customHeight="1">
      <c r="A201" s="273"/>
      <c r="B201" s="432"/>
      <c r="C201" s="10"/>
      <c r="D201" s="11"/>
      <c r="E201" s="11"/>
      <c r="F201" s="12"/>
      <c r="G201" s="42" t="s">
        <v>5</v>
      </c>
      <c r="H201" s="4" t="s">
        <v>6</v>
      </c>
      <c r="I201" s="66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</row>
    <row r="202" ht="15.75" customHeight="1">
      <c r="A202" s="273"/>
      <c r="B202" s="432"/>
      <c r="C202" s="21" t="s">
        <v>385</v>
      </c>
      <c r="F202" s="9"/>
      <c r="G202" s="276" t="s">
        <v>7</v>
      </c>
      <c r="H202" s="4" t="s">
        <v>8</v>
      </c>
      <c r="I202" s="66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</row>
    <row r="203" ht="15.75" customHeight="1">
      <c r="A203" s="273"/>
      <c r="B203" s="433"/>
      <c r="C203" s="113"/>
      <c r="D203" s="113"/>
      <c r="E203" s="113"/>
      <c r="F203" s="260"/>
      <c r="G203" s="434"/>
      <c r="H203" s="435" t="s">
        <v>9</v>
      </c>
      <c r="I203" s="160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</row>
    <row r="204" ht="15.75" customHeight="1">
      <c r="A204" s="273"/>
      <c r="B204" s="437" t="s">
        <v>386</v>
      </c>
      <c r="C204" s="438" t="str">
        <f>OP!$M$11</f>
        <v>OP-L-099</v>
      </c>
      <c r="D204" s="11"/>
      <c r="E204" s="11"/>
      <c r="F204" s="12"/>
      <c r="G204" s="439" t="s">
        <v>184</v>
      </c>
      <c r="H204" s="440"/>
      <c r="I204" s="12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</row>
    <row r="205" ht="15.75" customHeight="1">
      <c r="A205" s="273"/>
      <c r="B205" s="442" t="s">
        <v>387</v>
      </c>
      <c r="C205" s="438" t="str">
        <f>OP!$G$9</f>
        <v>SUERO DE NIACINAMIDA 5%</v>
      </c>
      <c r="D205" s="11"/>
      <c r="E205" s="11"/>
      <c r="F205" s="12"/>
      <c r="G205" s="443" t="s">
        <v>388</v>
      </c>
      <c r="H205" s="444" t="str">
        <f>OP!$M$10</f>
        <v>252111</v>
      </c>
      <c r="I205" s="12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</row>
    <row r="206" ht="15.75" customHeight="1">
      <c r="A206" s="273"/>
      <c r="B206" s="442" t="s">
        <v>389</v>
      </c>
      <c r="C206" s="445" t="str">
        <f>OP!B31</f>
        <v>EDTA DISODICO</v>
      </c>
      <c r="D206" s="24"/>
      <c r="E206" s="24"/>
      <c r="F206" s="5"/>
      <c r="G206" s="446" t="s">
        <v>390</v>
      </c>
      <c r="H206" s="438">
        <f>OP!J31</f>
        <v>20240815</v>
      </c>
      <c r="I206" s="12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</row>
    <row r="207" ht="15.75" customHeight="1">
      <c r="A207" s="273"/>
      <c r="B207" s="447" t="s">
        <v>391</v>
      </c>
      <c r="C207" s="448">
        <f>OP!N31</f>
        <v>45</v>
      </c>
      <c r="D207" s="11"/>
      <c r="E207" s="11"/>
      <c r="F207" s="11"/>
      <c r="G207" s="449"/>
      <c r="H207" s="441"/>
      <c r="I207" s="450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</row>
    <row r="208" ht="15.75" customHeight="1">
      <c r="A208" s="273"/>
      <c r="B208" s="447" t="s">
        <v>392</v>
      </c>
      <c r="C208" s="451"/>
      <c r="D208" s="11"/>
      <c r="E208" s="11"/>
      <c r="F208" s="11"/>
      <c r="G208" s="441"/>
      <c r="H208" s="441"/>
      <c r="I208" s="450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</row>
    <row r="209" ht="15.75" customHeight="1">
      <c r="A209" s="273"/>
      <c r="B209" s="447" t="s">
        <v>393</v>
      </c>
      <c r="C209" s="451"/>
      <c r="D209" s="11"/>
      <c r="E209" s="11"/>
      <c r="F209" s="11"/>
      <c r="G209" s="449" t="s">
        <v>394</v>
      </c>
      <c r="H209" s="451"/>
      <c r="I209" s="452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</row>
    <row r="210" ht="15.75" customHeight="1">
      <c r="A210" s="273"/>
      <c r="B210" s="447" t="s">
        <v>395</v>
      </c>
      <c r="C210" s="451"/>
      <c r="D210" s="11"/>
      <c r="E210" s="11"/>
      <c r="F210" s="11"/>
      <c r="G210" s="449" t="s">
        <v>182</v>
      </c>
      <c r="H210" s="451"/>
      <c r="I210" s="452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</row>
    <row r="211" ht="15.75" customHeight="1">
      <c r="A211" s="273"/>
      <c r="B211" s="453" t="s">
        <v>396</v>
      </c>
      <c r="C211" s="454"/>
      <c r="D211" s="454"/>
      <c r="E211" s="454"/>
      <c r="F211" s="455"/>
      <c r="G211" s="454"/>
      <c r="H211" s="454"/>
      <c r="I211" s="456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</row>
    <row r="212" ht="15.7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</row>
    <row r="213" ht="15.75" customHeight="1">
      <c r="A213" s="273"/>
      <c r="B213" s="429"/>
      <c r="C213" s="430" t="s">
        <v>0</v>
      </c>
      <c r="D213" s="46"/>
      <c r="E213" s="46"/>
      <c r="F213" s="47"/>
      <c r="G213" s="431" t="s">
        <v>1</v>
      </c>
      <c r="H213" s="62" t="s">
        <v>384</v>
      </c>
      <c r="I213" s="6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</row>
    <row r="214" ht="15.75" customHeight="1">
      <c r="A214" s="273"/>
      <c r="B214" s="432"/>
      <c r="C214" s="8"/>
      <c r="F214" s="9"/>
      <c r="G214" s="42" t="s">
        <v>3</v>
      </c>
      <c r="H214" s="65">
        <v>1.0</v>
      </c>
      <c r="I214" s="66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</row>
    <row r="215" ht="15.75" customHeight="1">
      <c r="A215" s="273"/>
      <c r="B215" s="432"/>
      <c r="C215" s="10"/>
      <c r="D215" s="11"/>
      <c r="E215" s="11"/>
      <c r="F215" s="12"/>
      <c r="G215" s="42" t="s">
        <v>5</v>
      </c>
      <c r="H215" s="4" t="s">
        <v>6</v>
      </c>
      <c r="I215" s="66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</row>
    <row r="216" ht="15.75" customHeight="1">
      <c r="A216" s="273"/>
      <c r="B216" s="432"/>
      <c r="C216" s="21" t="s">
        <v>385</v>
      </c>
      <c r="F216" s="9"/>
      <c r="G216" s="276" t="s">
        <v>7</v>
      </c>
      <c r="H216" s="4" t="s">
        <v>8</v>
      </c>
      <c r="I216" s="66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</row>
    <row r="217" ht="15.75" customHeight="1">
      <c r="A217" s="273"/>
      <c r="B217" s="433"/>
      <c r="C217" s="113"/>
      <c r="D217" s="113"/>
      <c r="E217" s="113"/>
      <c r="F217" s="260"/>
      <c r="G217" s="434"/>
      <c r="H217" s="435" t="s">
        <v>9</v>
      </c>
      <c r="I217" s="160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</row>
    <row r="218" ht="15.75" customHeight="1">
      <c r="A218" s="273"/>
      <c r="B218" s="437" t="s">
        <v>386</v>
      </c>
      <c r="C218" s="438" t="str">
        <f>OP!$M$11</f>
        <v>OP-L-099</v>
      </c>
      <c r="D218" s="11"/>
      <c r="E218" s="11"/>
      <c r="F218" s="12"/>
      <c r="G218" s="439" t="s">
        <v>184</v>
      </c>
      <c r="H218" s="440"/>
      <c r="I218" s="12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</row>
    <row r="219" ht="15.75" customHeight="1">
      <c r="A219" s="273"/>
      <c r="B219" s="442" t="s">
        <v>387</v>
      </c>
      <c r="C219" s="438" t="str">
        <f>OP!$G$9</f>
        <v>SUERO DE NIACINAMIDA 5%</v>
      </c>
      <c r="D219" s="11"/>
      <c r="E219" s="11"/>
      <c r="F219" s="12"/>
      <c r="G219" s="443" t="s">
        <v>388</v>
      </c>
      <c r="H219" s="444" t="str">
        <f>OP!$M$10</f>
        <v>252111</v>
      </c>
      <c r="I219" s="12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</row>
    <row r="220" ht="15.75" customHeight="1">
      <c r="A220" s="273"/>
      <c r="B220" s="442" t="s">
        <v>389</v>
      </c>
      <c r="C220" s="445" t="str">
        <f>OP!B32</f>
        <v>GLICERINA</v>
      </c>
      <c r="D220" s="24"/>
      <c r="E220" s="24"/>
      <c r="F220" s="5"/>
      <c r="G220" s="446" t="s">
        <v>390</v>
      </c>
      <c r="H220" s="438" t="str">
        <f>OP!J32</f>
        <v>021067-25</v>
      </c>
      <c r="I220" s="12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</row>
    <row r="221" ht="15.75" customHeight="1">
      <c r="A221" s="273"/>
      <c r="B221" s="447" t="s">
        <v>391</v>
      </c>
      <c r="C221" s="448">
        <f>OP!N32</f>
        <v>90</v>
      </c>
      <c r="D221" s="11"/>
      <c r="E221" s="11"/>
      <c r="F221" s="11"/>
      <c r="G221" s="449"/>
      <c r="H221" s="441"/>
      <c r="I221" s="450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</row>
    <row r="222" ht="15.75" customHeight="1">
      <c r="A222" s="273"/>
      <c r="B222" s="447" t="s">
        <v>392</v>
      </c>
      <c r="C222" s="451"/>
      <c r="D222" s="11"/>
      <c r="E222" s="11"/>
      <c r="F222" s="11"/>
      <c r="G222" s="441"/>
      <c r="H222" s="441"/>
      <c r="I222" s="450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</row>
    <row r="223" ht="15.75" customHeight="1">
      <c r="A223" s="273"/>
      <c r="B223" s="447" t="s">
        <v>393</v>
      </c>
      <c r="C223" s="451"/>
      <c r="D223" s="11"/>
      <c r="E223" s="11"/>
      <c r="F223" s="11"/>
      <c r="G223" s="449" t="s">
        <v>394</v>
      </c>
      <c r="H223" s="451"/>
      <c r="I223" s="452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</row>
    <row r="224" ht="15.75" customHeight="1">
      <c r="A224" s="273"/>
      <c r="B224" s="447" t="s">
        <v>395</v>
      </c>
      <c r="C224" s="451"/>
      <c r="D224" s="11"/>
      <c r="E224" s="11"/>
      <c r="F224" s="11"/>
      <c r="G224" s="449" t="s">
        <v>182</v>
      </c>
      <c r="H224" s="451"/>
      <c r="I224" s="452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</row>
    <row r="225" ht="15.75" customHeight="1">
      <c r="A225" s="273"/>
      <c r="B225" s="453" t="s">
        <v>396</v>
      </c>
      <c r="C225" s="454"/>
      <c r="D225" s="454"/>
      <c r="E225" s="454"/>
      <c r="F225" s="455"/>
      <c r="G225" s="454"/>
      <c r="H225" s="454"/>
      <c r="I225" s="456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</row>
    <row r="226" ht="15.7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</row>
    <row r="227" ht="15.75" customHeight="1">
      <c r="A227" s="273"/>
      <c r="B227" s="429"/>
      <c r="C227" s="430" t="s">
        <v>0</v>
      </c>
      <c r="D227" s="46"/>
      <c r="E227" s="46"/>
      <c r="F227" s="47"/>
      <c r="G227" s="431" t="s">
        <v>1</v>
      </c>
      <c r="H227" s="62" t="s">
        <v>384</v>
      </c>
      <c r="I227" s="6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</row>
    <row r="228" ht="15.75" customHeight="1">
      <c r="A228" s="273"/>
      <c r="B228" s="432"/>
      <c r="C228" s="8"/>
      <c r="F228" s="9"/>
      <c r="G228" s="42" t="s">
        <v>3</v>
      </c>
      <c r="H228" s="65">
        <v>1.0</v>
      </c>
      <c r="I228" s="66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</row>
    <row r="229" ht="15.75" customHeight="1">
      <c r="A229" s="273"/>
      <c r="B229" s="432"/>
      <c r="C229" s="10"/>
      <c r="D229" s="11"/>
      <c r="E229" s="11"/>
      <c r="F229" s="12"/>
      <c r="G229" s="42" t="s">
        <v>5</v>
      </c>
      <c r="H229" s="4" t="s">
        <v>6</v>
      </c>
      <c r="I229" s="66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</row>
    <row r="230" ht="15.75" customHeight="1">
      <c r="A230" s="273"/>
      <c r="B230" s="432"/>
      <c r="C230" s="21" t="s">
        <v>385</v>
      </c>
      <c r="F230" s="9"/>
      <c r="G230" s="276" t="s">
        <v>7</v>
      </c>
      <c r="H230" s="4" t="s">
        <v>8</v>
      </c>
      <c r="I230" s="66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</row>
    <row r="231" ht="15.75" customHeight="1">
      <c r="A231" s="273"/>
      <c r="B231" s="433"/>
      <c r="C231" s="113"/>
      <c r="D231" s="113"/>
      <c r="E231" s="113"/>
      <c r="F231" s="260"/>
      <c r="G231" s="434"/>
      <c r="H231" s="435" t="s">
        <v>9</v>
      </c>
      <c r="I231" s="160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</row>
    <row r="232" ht="15.75" customHeight="1">
      <c r="A232" s="273"/>
      <c r="B232" s="437" t="s">
        <v>386</v>
      </c>
      <c r="C232" s="438" t="str">
        <f>OP!$M$11</f>
        <v>OP-L-099</v>
      </c>
      <c r="D232" s="11"/>
      <c r="E232" s="11"/>
      <c r="F232" s="12"/>
      <c r="G232" s="439" t="s">
        <v>184</v>
      </c>
      <c r="H232" s="440"/>
      <c r="I232" s="12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</row>
    <row r="233" ht="15.75" customHeight="1">
      <c r="A233" s="273"/>
      <c r="B233" s="442" t="s">
        <v>387</v>
      </c>
      <c r="C233" s="438" t="str">
        <f>OP!$G$9</f>
        <v>SUERO DE NIACINAMIDA 5%</v>
      </c>
      <c r="D233" s="11"/>
      <c r="E233" s="11"/>
      <c r="F233" s="12"/>
      <c r="G233" s="443" t="s">
        <v>388</v>
      </c>
      <c r="H233" s="444" t="str">
        <f>OP!$M$10</f>
        <v>252111</v>
      </c>
      <c r="I233" s="12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</row>
    <row r="234" ht="15.75" customHeight="1">
      <c r="A234" s="273"/>
      <c r="B234" s="442" t="s">
        <v>389</v>
      </c>
      <c r="C234" s="445" t="str">
        <f t="shared" ref="C234:C235" si="1">#REF!</f>
        <v>#REF!</v>
      </c>
      <c r="D234" s="24"/>
      <c r="E234" s="24"/>
      <c r="F234" s="5"/>
      <c r="G234" s="446" t="s">
        <v>390</v>
      </c>
      <c r="H234" s="438" t="str">
        <f>#REF!</f>
        <v>#REF!</v>
      </c>
      <c r="I234" s="12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</row>
    <row r="235" ht="15.75" customHeight="1">
      <c r="A235" s="273"/>
      <c r="B235" s="447" t="s">
        <v>391</v>
      </c>
      <c r="C235" s="448" t="str">
        <f t="shared" si="1"/>
        <v>#REF!</v>
      </c>
      <c r="D235" s="11"/>
      <c r="E235" s="11"/>
      <c r="F235" s="11"/>
      <c r="G235" s="449"/>
      <c r="H235" s="441"/>
      <c r="I235" s="450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</row>
    <row r="236" ht="15.75" customHeight="1">
      <c r="A236" s="273"/>
      <c r="B236" s="447" t="s">
        <v>392</v>
      </c>
      <c r="C236" s="451"/>
      <c r="D236" s="11"/>
      <c r="E236" s="11"/>
      <c r="F236" s="11"/>
      <c r="G236" s="441"/>
      <c r="H236" s="441"/>
      <c r="I236" s="450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</row>
    <row r="237" ht="15.75" customHeight="1">
      <c r="A237" s="273"/>
      <c r="B237" s="447" t="s">
        <v>393</v>
      </c>
      <c r="C237" s="451"/>
      <c r="D237" s="11"/>
      <c r="E237" s="11"/>
      <c r="F237" s="11"/>
      <c r="G237" s="449" t="s">
        <v>394</v>
      </c>
      <c r="H237" s="451"/>
      <c r="I237" s="452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  <c r="Z237" s="273"/>
    </row>
    <row r="238" ht="15.75" customHeight="1">
      <c r="A238" s="273"/>
      <c r="B238" s="447" t="s">
        <v>395</v>
      </c>
      <c r="C238" s="451"/>
      <c r="D238" s="11"/>
      <c r="E238" s="11"/>
      <c r="F238" s="11"/>
      <c r="G238" s="449" t="s">
        <v>182</v>
      </c>
      <c r="H238" s="451"/>
      <c r="I238" s="452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</row>
    <row r="239" ht="15.75" customHeight="1">
      <c r="A239" s="273"/>
      <c r="B239" s="453" t="s">
        <v>396</v>
      </c>
      <c r="C239" s="454"/>
      <c r="D239" s="454"/>
      <c r="E239" s="454"/>
      <c r="F239" s="455"/>
      <c r="G239" s="454"/>
      <c r="H239" s="454"/>
      <c r="I239" s="456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  <c r="Z239" s="273"/>
    </row>
    <row r="240" ht="15.7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  <c r="Z240" s="273"/>
    </row>
    <row r="241" ht="15.75" customHeight="1">
      <c r="A241" s="273"/>
      <c r="B241" s="429"/>
      <c r="C241" s="430" t="s">
        <v>0</v>
      </c>
      <c r="D241" s="46"/>
      <c r="E241" s="46"/>
      <c r="F241" s="47"/>
      <c r="G241" s="431" t="s">
        <v>1</v>
      </c>
      <c r="H241" s="62" t="s">
        <v>384</v>
      </c>
      <c r="I241" s="6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  <c r="Z241" s="273"/>
    </row>
    <row r="242" ht="15.75" customHeight="1">
      <c r="A242" s="273"/>
      <c r="B242" s="432"/>
      <c r="C242" s="8"/>
      <c r="F242" s="9"/>
      <c r="G242" s="42" t="s">
        <v>3</v>
      </c>
      <c r="H242" s="65">
        <v>1.0</v>
      </c>
      <c r="I242" s="66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</row>
    <row r="243" ht="15.75" customHeight="1">
      <c r="A243" s="273"/>
      <c r="B243" s="432"/>
      <c r="C243" s="10"/>
      <c r="D243" s="11"/>
      <c r="E243" s="11"/>
      <c r="F243" s="12"/>
      <c r="G243" s="42" t="s">
        <v>5</v>
      </c>
      <c r="H243" s="4" t="s">
        <v>6</v>
      </c>
      <c r="I243" s="66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  <c r="Z243" s="273"/>
    </row>
    <row r="244" ht="15.75" customHeight="1">
      <c r="A244" s="273"/>
      <c r="B244" s="432"/>
      <c r="C244" s="21" t="s">
        <v>385</v>
      </c>
      <c r="F244" s="9"/>
      <c r="G244" s="276" t="s">
        <v>7</v>
      </c>
      <c r="H244" s="4" t="s">
        <v>8</v>
      </c>
      <c r="I244" s="66"/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  <c r="Z244" s="273"/>
    </row>
    <row r="245" ht="15.75" customHeight="1">
      <c r="A245" s="273"/>
      <c r="B245" s="433"/>
      <c r="C245" s="113"/>
      <c r="D245" s="113"/>
      <c r="E245" s="113"/>
      <c r="F245" s="260"/>
      <c r="G245" s="434"/>
      <c r="H245" s="435" t="s">
        <v>9</v>
      </c>
      <c r="I245" s="160"/>
      <c r="J245" s="273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  <c r="Z245" s="273"/>
    </row>
    <row r="246" ht="15.75" customHeight="1">
      <c r="A246" s="273"/>
      <c r="B246" s="437" t="s">
        <v>386</v>
      </c>
      <c r="C246" s="438" t="str">
        <f>OP!$M$11</f>
        <v>OP-L-099</v>
      </c>
      <c r="D246" s="11"/>
      <c r="E246" s="11"/>
      <c r="F246" s="12"/>
      <c r="G246" s="439" t="s">
        <v>184</v>
      </c>
      <c r="H246" s="440"/>
      <c r="I246" s="12"/>
      <c r="J246" s="273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  <c r="Z246" s="273"/>
    </row>
    <row r="247" ht="15.75" customHeight="1">
      <c r="A247" s="273"/>
      <c r="B247" s="442" t="s">
        <v>387</v>
      </c>
      <c r="C247" s="438" t="str">
        <f>OP!$G$9</f>
        <v>SUERO DE NIACINAMIDA 5%</v>
      </c>
      <c r="D247" s="11"/>
      <c r="E247" s="11"/>
      <c r="F247" s="12"/>
      <c r="G247" s="443" t="s">
        <v>388</v>
      </c>
      <c r="H247" s="444" t="str">
        <f>OP!$M$10</f>
        <v>252111</v>
      </c>
      <c r="I247" s="12"/>
      <c r="J247" s="273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  <c r="Z247" s="273"/>
    </row>
    <row r="248" ht="15.75" customHeight="1">
      <c r="A248" s="273"/>
      <c r="B248" s="442" t="s">
        <v>389</v>
      </c>
      <c r="C248" s="445" t="str">
        <f t="shared" ref="C248:C249" si="2">#REF!</f>
        <v>#REF!</v>
      </c>
      <c r="D248" s="24"/>
      <c r="E248" s="24"/>
      <c r="F248" s="5"/>
      <c r="G248" s="446" t="s">
        <v>390</v>
      </c>
      <c r="H248" s="438" t="str">
        <f>#REF!</f>
        <v>#REF!</v>
      </c>
      <c r="I248" s="12"/>
      <c r="J248" s="273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  <c r="Z248" s="273"/>
    </row>
    <row r="249" ht="15.75" customHeight="1">
      <c r="A249" s="273"/>
      <c r="B249" s="447" t="s">
        <v>391</v>
      </c>
      <c r="C249" s="448" t="str">
        <f t="shared" si="2"/>
        <v>#REF!</v>
      </c>
      <c r="D249" s="11"/>
      <c r="E249" s="11"/>
      <c r="F249" s="11"/>
      <c r="G249" s="449"/>
      <c r="H249" s="441"/>
      <c r="I249" s="450"/>
      <c r="J249" s="273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  <c r="Z249" s="273"/>
    </row>
    <row r="250" ht="15.75" customHeight="1">
      <c r="A250" s="273"/>
      <c r="B250" s="447" t="s">
        <v>392</v>
      </c>
      <c r="C250" s="451"/>
      <c r="D250" s="11"/>
      <c r="E250" s="11"/>
      <c r="F250" s="11"/>
      <c r="G250" s="441"/>
      <c r="H250" s="441"/>
      <c r="I250" s="450"/>
      <c r="J250" s="273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  <c r="Z250" s="273"/>
    </row>
    <row r="251" ht="15.75" customHeight="1">
      <c r="A251" s="273"/>
      <c r="B251" s="447" t="s">
        <v>393</v>
      </c>
      <c r="C251" s="451"/>
      <c r="D251" s="11"/>
      <c r="E251" s="11"/>
      <c r="F251" s="11"/>
      <c r="G251" s="449" t="s">
        <v>394</v>
      </c>
      <c r="H251" s="451"/>
      <c r="I251" s="452"/>
      <c r="J251" s="273"/>
      <c r="K251" s="273"/>
      <c r="L251" s="273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3"/>
      <c r="Y251" s="273"/>
      <c r="Z251" s="273"/>
    </row>
    <row r="252" ht="15.75" customHeight="1">
      <c r="A252" s="273"/>
      <c r="B252" s="447" t="s">
        <v>395</v>
      </c>
      <c r="C252" s="451"/>
      <c r="D252" s="11"/>
      <c r="E252" s="11"/>
      <c r="F252" s="11"/>
      <c r="G252" s="449" t="s">
        <v>182</v>
      </c>
      <c r="H252" s="451"/>
      <c r="I252" s="452"/>
      <c r="J252" s="273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  <c r="Z252" s="273"/>
    </row>
    <row r="253" ht="15.75" customHeight="1">
      <c r="A253" s="273"/>
      <c r="B253" s="453" t="s">
        <v>396</v>
      </c>
      <c r="C253" s="454"/>
      <c r="D253" s="454"/>
      <c r="E253" s="454"/>
      <c r="F253" s="455"/>
      <c r="G253" s="454"/>
      <c r="H253" s="454"/>
      <c r="I253" s="456"/>
      <c r="J253" s="273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3"/>
      <c r="Y253" s="273"/>
      <c r="Z253" s="273"/>
    </row>
    <row r="254" ht="15.75" customHeight="1">
      <c r="A254" s="273"/>
      <c r="B254" s="273"/>
      <c r="C254" s="273"/>
      <c r="D254" s="273"/>
      <c r="E254" s="273"/>
      <c r="F254" s="273"/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  <c r="Z254" s="273"/>
    </row>
    <row r="255" ht="15.75" customHeight="1">
      <c r="A255" s="273"/>
      <c r="B255" s="429"/>
      <c r="C255" s="430" t="s">
        <v>0</v>
      </c>
      <c r="D255" s="46"/>
      <c r="E255" s="46"/>
      <c r="F255" s="47"/>
      <c r="G255" s="431" t="s">
        <v>1</v>
      </c>
      <c r="H255" s="62" t="s">
        <v>384</v>
      </c>
      <c r="I255" s="63"/>
      <c r="J255" s="273"/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3"/>
      <c r="Y255" s="273"/>
      <c r="Z255" s="273"/>
    </row>
    <row r="256" ht="15.75" customHeight="1">
      <c r="A256" s="273"/>
      <c r="B256" s="432"/>
      <c r="C256" s="8"/>
      <c r="F256" s="9"/>
      <c r="G256" s="42" t="s">
        <v>3</v>
      </c>
      <c r="H256" s="65">
        <v>1.0</v>
      </c>
      <c r="I256" s="66"/>
      <c r="J256" s="273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  <c r="Z256" s="273"/>
    </row>
    <row r="257" ht="15.75" customHeight="1">
      <c r="A257" s="273"/>
      <c r="B257" s="432"/>
      <c r="C257" s="10"/>
      <c r="D257" s="11"/>
      <c r="E257" s="11"/>
      <c r="F257" s="12"/>
      <c r="G257" s="42" t="s">
        <v>5</v>
      </c>
      <c r="H257" s="4" t="s">
        <v>6</v>
      </c>
      <c r="I257" s="66"/>
      <c r="J257" s="273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  <c r="Z257" s="273"/>
    </row>
    <row r="258" ht="15.75" customHeight="1">
      <c r="A258" s="273"/>
      <c r="B258" s="432"/>
      <c r="C258" s="21" t="s">
        <v>385</v>
      </c>
      <c r="F258" s="9"/>
      <c r="G258" s="276" t="s">
        <v>7</v>
      </c>
      <c r="H258" s="4" t="s">
        <v>8</v>
      </c>
      <c r="I258" s="66"/>
      <c r="J258" s="273"/>
      <c r="K258" s="273"/>
      <c r="L258" s="273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3"/>
      <c r="Y258" s="273"/>
      <c r="Z258" s="273"/>
    </row>
    <row r="259" ht="15.75" customHeight="1">
      <c r="A259" s="273"/>
      <c r="B259" s="433"/>
      <c r="C259" s="113"/>
      <c r="D259" s="113"/>
      <c r="E259" s="113"/>
      <c r="F259" s="260"/>
      <c r="G259" s="434"/>
      <c r="H259" s="435" t="s">
        <v>9</v>
      </c>
      <c r="I259" s="160"/>
      <c r="J259" s="273"/>
      <c r="K259" s="273"/>
      <c r="L259" s="273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3"/>
      <c r="Y259" s="273"/>
      <c r="Z259" s="273"/>
    </row>
    <row r="260" ht="15.75" customHeight="1">
      <c r="A260" s="273"/>
      <c r="B260" s="437" t="s">
        <v>386</v>
      </c>
      <c r="C260" s="438" t="str">
        <f>OP!$M$11</f>
        <v>OP-L-099</v>
      </c>
      <c r="D260" s="11"/>
      <c r="E260" s="11"/>
      <c r="F260" s="12"/>
      <c r="G260" s="439" t="s">
        <v>184</v>
      </c>
      <c r="H260" s="440"/>
      <c r="I260" s="12"/>
      <c r="J260" s="273"/>
      <c r="K260" s="273"/>
      <c r="L260" s="273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3"/>
      <c r="Y260" s="273"/>
      <c r="Z260" s="273"/>
    </row>
    <row r="261" ht="15.75" customHeight="1">
      <c r="A261" s="273"/>
      <c r="B261" s="442" t="s">
        <v>387</v>
      </c>
      <c r="C261" s="438" t="str">
        <f>OP!$G$9</f>
        <v>SUERO DE NIACINAMIDA 5%</v>
      </c>
      <c r="D261" s="11"/>
      <c r="E261" s="11"/>
      <c r="F261" s="12"/>
      <c r="G261" s="443" t="s">
        <v>388</v>
      </c>
      <c r="H261" s="444" t="str">
        <f>OP!$M$10</f>
        <v>252111</v>
      </c>
      <c r="I261" s="12"/>
      <c r="J261" s="273"/>
      <c r="K261" s="273"/>
      <c r="L261" s="273"/>
      <c r="M261" s="273"/>
      <c r="N261" s="273"/>
      <c r="O261" s="273"/>
      <c r="P261" s="273"/>
      <c r="Q261" s="273"/>
      <c r="R261" s="273"/>
      <c r="S261" s="273"/>
      <c r="T261" s="273"/>
      <c r="U261" s="273"/>
      <c r="V261" s="273"/>
      <c r="W261" s="273"/>
      <c r="X261" s="273"/>
      <c r="Y261" s="273"/>
      <c r="Z261" s="273"/>
    </row>
    <row r="262" ht="15.75" customHeight="1">
      <c r="A262" s="273"/>
      <c r="B262" s="442" t="s">
        <v>389</v>
      </c>
      <c r="C262" s="445" t="str">
        <f t="shared" ref="C262:C263" si="3">#REF!</f>
        <v>#REF!</v>
      </c>
      <c r="D262" s="24"/>
      <c r="E262" s="24"/>
      <c r="F262" s="5"/>
      <c r="G262" s="446" t="s">
        <v>390</v>
      </c>
      <c r="H262" s="438" t="str">
        <f>#REF!</f>
        <v>#REF!</v>
      </c>
      <c r="I262" s="12"/>
      <c r="J262" s="273"/>
      <c r="K262" s="273"/>
      <c r="L262" s="273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3"/>
      <c r="Y262" s="273"/>
      <c r="Z262" s="273"/>
    </row>
    <row r="263" ht="15.75" customHeight="1">
      <c r="A263" s="273"/>
      <c r="B263" s="447" t="s">
        <v>391</v>
      </c>
      <c r="C263" s="448" t="str">
        <f t="shared" si="3"/>
        <v>#REF!</v>
      </c>
      <c r="D263" s="11"/>
      <c r="E263" s="11"/>
      <c r="F263" s="11"/>
      <c r="G263" s="449"/>
      <c r="H263" s="441"/>
      <c r="I263" s="450"/>
      <c r="J263" s="273"/>
      <c r="K263" s="273"/>
      <c r="L263" s="273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3"/>
      <c r="Y263" s="273"/>
      <c r="Z263" s="273"/>
    </row>
    <row r="264" ht="15.75" customHeight="1">
      <c r="A264" s="273"/>
      <c r="B264" s="447" t="s">
        <v>392</v>
      </c>
      <c r="C264" s="451"/>
      <c r="D264" s="11"/>
      <c r="E264" s="11"/>
      <c r="F264" s="11"/>
      <c r="G264" s="441"/>
      <c r="H264" s="441"/>
      <c r="I264" s="450"/>
      <c r="J264" s="273"/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3"/>
      <c r="Y264" s="273"/>
      <c r="Z264" s="273"/>
    </row>
    <row r="265" ht="15.75" customHeight="1">
      <c r="A265" s="273"/>
      <c r="B265" s="447" t="s">
        <v>393</v>
      </c>
      <c r="C265" s="451"/>
      <c r="D265" s="11"/>
      <c r="E265" s="11"/>
      <c r="F265" s="11"/>
      <c r="G265" s="449" t="s">
        <v>394</v>
      </c>
      <c r="H265" s="451"/>
      <c r="I265" s="452"/>
      <c r="J265" s="273"/>
      <c r="K265" s="273"/>
      <c r="L265" s="273"/>
      <c r="M265" s="273"/>
      <c r="N265" s="273"/>
      <c r="O265" s="273"/>
      <c r="P265" s="273"/>
      <c r="Q265" s="273"/>
      <c r="R265" s="273"/>
      <c r="S265" s="273"/>
      <c r="T265" s="273"/>
      <c r="U265" s="273"/>
      <c r="V265" s="273"/>
      <c r="W265" s="273"/>
      <c r="X265" s="273"/>
      <c r="Y265" s="273"/>
      <c r="Z265" s="273"/>
    </row>
    <row r="266" ht="15.75" customHeight="1">
      <c r="A266" s="273"/>
      <c r="B266" s="447" t="s">
        <v>395</v>
      </c>
      <c r="C266" s="451"/>
      <c r="D266" s="11"/>
      <c r="E266" s="11"/>
      <c r="F266" s="11"/>
      <c r="G266" s="449" t="s">
        <v>182</v>
      </c>
      <c r="H266" s="451"/>
      <c r="I266" s="452"/>
      <c r="J266" s="273"/>
      <c r="K266" s="273"/>
      <c r="L266" s="273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  <c r="Z266" s="273"/>
    </row>
    <row r="267" ht="15.75" customHeight="1">
      <c r="A267" s="273"/>
      <c r="B267" s="453" t="s">
        <v>396</v>
      </c>
      <c r="C267" s="454"/>
      <c r="D267" s="454"/>
      <c r="E267" s="454"/>
      <c r="F267" s="455"/>
      <c r="G267" s="454"/>
      <c r="H267" s="454"/>
      <c r="I267" s="456"/>
      <c r="J267" s="273"/>
      <c r="K267" s="273"/>
      <c r="L267" s="273"/>
      <c r="M267" s="273"/>
      <c r="N267" s="273"/>
      <c r="O267" s="273"/>
      <c r="P267" s="273"/>
      <c r="Q267" s="273"/>
      <c r="R267" s="273"/>
      <c r="S267" s="273"/>
      <c r="T267" s="273"/>
      <c r="U267" s="273"/>
      <c r="V267" s="273"/>
      <c r="W267" s="273"/>
      <c r="X267" s="273"/>
      <c r="Y267" s="273"/>
      <c r="Z267" s="273"/>
    </row>
    <row r="268" ht="15.75" customHeight="1">
      <c r="A268" s="273"/>
      <c r="B268" s="273"/>
      <c r="C268" s="273"/>
      <c r="D268" s="273"/>
      <c r="E268" s="273"/>
      <c r="F268" s="273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3"/>
      <c r="Y268" s="273"/>
      <c r="Z268" s="273"/>
    </row>
    <row r="269" ht="15.75" customHeight="1">
      <c r="A269" s="273"/>
      <c r="B269" s="429"/>
      <c r="C269" s="430" t="s">
        <v>0</v>
      </c>
      <c r="D269" s="46"/>
      <c r="E269" s="46"/>
      <c r="F269" s="47"/>
      <c r="G269" s="431" t="s">
        <v>1</v>
      </c>
      <c r="H269" s="62" t="s">
        <v>384</v>
      </c>
      <c r="I269" s="63"/>
      <c r="J269" s="273"/>
      <c r="K269" s="273"/>
      <c r="L269" s="273"/>
      <c r="M269" s="273"/>
      <c r="N269" s="273"/>
      <c r="O269" s="273"/>
      <c r="P269" s="273"/>
      <c r="Q269" s="273"/>
      <c r="R269" s="273"/>
      <c r="S269" s="273"/>
      <c r="T269" s="273"/>
      <c r="U269" s="273"/>
      <c r="V269" s="273"/>
      <c r="W269" s="273"/>
      <c r="X269" s="273"/>
      <c r="Y269" s="273"/>
      <c r="Z269" s="273"/>
    </row>
    <row r="270" ht="15.75" customHeight="1">
      <c r="A270" s="273"/>
      <c r="B270" s="432"/>
      <c r="C270" s="8"/>
      <c r="F270" s="9"/>
      <c r="G270" s="42" t="s">
        <v>3</v>
      </c>
      <c r="H270" s="65">
        <v>1.0</v>
      </c>
      <c r="I270" s="66"/>
      <c r="J270" s="273"/>
      <c r="K270" s="273"/>
      <c r="L270" s="273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3"/>
      <c r="Y270" s="273"/>
      <c r="Z270" s="273"/>
    </row>
    <row r="271" ht="15.75" customHeight="1">
      <c r="A271" s="273"/>
      <c r="B271" s="432"/>
      <c r="C271" s="10"/>
      <c r="D271" s="11"/>
      <c r="E271" s="11"/>
      <c r="F271" s="12"/>
      <c r="G271" s="42" t="s">
        <v>5</v>
      </c>
      <c r="H271" s="4" t="s">
        <v>6</v>
      </c>
      <c r="I271" s="66"/>
      <c r="J271" s="273"/>
      <c r="K271" s="273"/>
      <c r="L271" s="273"/>
      <c r="M271" s="273"/>
      <c r="N271" s="273"/>
      <c r="O271" s="273"/>
      <c r="P271" s="273"/>
      <c r="Q271" s="273"/>
      <c r="R271" s="273"/>
      <c r="S271" s="273"/>
      <c r="T271" s="273"/>
      <c r="U271" s="273"/>
      <c r="V271" s="273"/>
      <c r="W271" s="273"/>
      <c r="X271" s="273"/>
      <c r="Y271" s="273"/>
      <c r="Z271" s="273"/>
    </row>
    <row r="272" ht="15.75" customHeight="1">
      <c r="A272" s="273"/>
      <c r="B272" s="432"/>
      <c r="C272" s="21" t="s">
        <v>385</v>
      </c>
      <c r="F272" s="9"/>
      <c r="G272" s="276" t="s">
        <v>7</v>
      </c>
      <c r="H272" s="4" t="s">
        <v>8</v>
      </c>
      <c r="I272" s="66"/>
      <c r="J272" s="273"/>
      <c r="K272" s="273"/>
      <c r="L272" s="273"/>
      <c r="M272" s="273"/>
      <c r="N272" s="273"/>
      <c r="O272" s="273"/>
      <c r="P272" s="273"/>
      <c r="Q272" s="273"/>
      <c r="R272" s="273"/>
      <c r="S272" s="273"/>
      <c r="T272" s="273"/>
      <c r="U272" s="273"/>
      <c r="V272" s="273"/>
      <c r="W272" s="273"/>
      <c r="X272" s="273"/>
      <c r="Y272" s="273"/>
      <c r="Z272" s="273"/>
    </row>
    <row r="273" ht="15.75" customHeight="1">
      <c r="A273" s="273"/>
      <c r="B273" s="433"/>
      <c r="C273" s="113"/>
      <c r="D273" s="113"/>
      <c r="E273" s="113"/>
      <c r="F273" s="260"/>
      <c r="G273" s="434"/>
      <c r="H273" s="435" t="s">
        <v>9</v>
      </c>
      <c r="I273" s="160"/>
      <c r="J273" s="273"/>
      <c r="K273" s="273"/>
      <c r="L273" s="273"/>
      <c r="M273" s="273"/>
      <c r="N273" s="273"/>
      <c r="O273" s="273"/>
      <c r="P273" s="273"/>
      <c r="Q273" s="273"/>
      <c r="R273" s="273"/>
      <c r="S273" s="273"/>
      <c r="T273" s="273"/>
      <c r="U273" s="273"/>
      <c r="V273" s="273"/>
      <c r="W273" s="273"/>
      <c r="X273" s="273"/>
      <c r="Y273" s="273"/>
      <c r="Z273" s="273"/>
    </row>
    <row r="274" ht="15.75" customHeight="1">
      <c r="A274" s="273"/>
      <c r="B274" s="437" t="s">
        <v>386</v>
      </c>
      <c r="C274" s="438" t="str">
        <f>OP!$M$11</f>
        <v>OP-L-099</v>
      </c>
      <c r="D274" s="11"/>
      <c r="E274" s="11"/>
      <c r="F274" s="12"/>
      <c r="G274" s="439" t="s">
        <v>184</v>
      </c>
      <c r="H274" s="440"/>
      <c r="I274" s="12"/>
      <c r="J274" s="273"/>
      <c r="K274" s="273"/>
      <c r="L274" s="273"/>
      <c r="M274" s="273"/>
      <c r="N274" s="273"/>
      <c r="O274" s="273"/>
      <c r="P274" s="273"/>
      <c r="Q274" s="273"/>
      <c r="R274" s="273"/>
      <c r="S274" s="273"/>
      <c r="T274" s="273"/>
      <c r="U274" s="273"/>
      <c r="V274" s="273"/>
      <c r="W274" s="273"/>
      <c r="X274" s="273"/>
      <c r="Y274" s="273"/>
      <c r="Z274" s="273"/>
    </row>
    <row r="275" ht="15.75" customHeight="1">
      <c r="A275" s="273"/>
      <c r="B275" s="442" t="s">
        <v>387</v>
      </c>
      <c r="C275" s="438" t="str">
        <f>OP!$G$9</f>
        <v>SUERO DE NIACINAMIDA 5%</v>
      </c>
      <c r="D275" s="11"/>
      <c r="E275" s="11"/>
      <c r="F275" s="12"/>
      <c r="G275" s="443" t="s">
        <v>388</v>
      </c>
      <c r="H275" s="444" t="str">
        <f>OP!$M$10</f>
        <v>252111</v>
      </c>
      <c r="I275" s="12"/>
      <c r="J275" s="273"/>
      <c r="K275" s="273"/>
      <c r="L275" s="273"/>
      <c r="M275" s="273"/>
      <c r="N275" s="273"/>
      <c r="O275" s="273"/>
      <c r="P275" s="273"/>
      <c r="Q275" s="273"/>
      <c r="R275" s="273"/>
      <c r="S275" s="273"/>
      <c r="T275" s="273"/>
      <c r="U275" s="273"/>
      <c r="V275" s="273"/>
      <c r="W275" s="273"/>
      <c r="X275" s="273"/>
      <c r="Y275" s="273"/>
      <c r="Z275" s="273"/>
    </row>
    <row r="276" ht="15.75" customHeight="1">
      <c r="A276" s="273"/>
      <c r="B276" s="442" t="s">
        <v>389</v>
      </c>
      <c r="C276" s="445" t="str">
        <f t="shared" ref="C276:C277" si="4">#REF!</f>
        <v>#REF!</v>
      </c>
      <c r="D276" s="24"/>
      <c r="E276" s="24"/>
      <c r="F276" s="5"/>
      <c r="G276" s="446" t="s">
        <v>390</v>
      </c>
      <c r="H276" s="438" t="str">
        <f>#REF!</f>
        <v>#REF!</v>
      </c>
      <c r="I276" s="12"/>
      <c r="J276" s="273"/>
      <c r="K276" s="273"/>
      <c r="L276" s="273"/>
      <c r="M276" s="273"/>
      <c r="N276" s="273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</row>
    <row r="277" ht="15.75" customHeight="1">
      <c r="A277" s="273"/>
      <c r="B277" s="447" t="s">
        <v>391</v>
      </c>
      <c r="C277" s="448" t="str">
        <f t="shared" si="4"/>
        <v>#REF!</v>
      </c>
      <c r="D277" s="11"/>
      <c r="E277" s="11"/>
      <c r="F277" s="11"/>
      <c r="G277" s="449"/>
      <c r="H277" s="441"/>
      <c r="I277" s="450"/>
      <c r="J277" s="273"/>
      <c r="K277" s="273"/>
      <c r="L277" s="273"/>
      <c r="M277" s="273"/>
      <c r="N277" s="273"/>
      <c r="O277" s="273"/>
      <c r="P277" s="273"/>
      <c r="Q277" s="273"/>
      <c r="R277" s="273"/>
      <c r="S277" s="273"/>
      <c r="T277" s="273"/>
      <c r="U277" s="273"/>
      <c r="V277" s="273"/>
      <c r="W277" s="273"/>
      <c r="X277" s="273"/>
      <c r="Y277" s="273"/>
      <c r="Z277" s="273"/>
    </row>
    <row r="278" ht="15.75" customHeight="1">
      <c r="A278" s="273"/>
      <c r="B278" s="447" t="s">
        <v>392</v>
      </c>
      <c r="C278" s="451"/>
      <c r="D278" s="11"/>
      <c r="E278" s="11"/>
      <c r="F278" s="11"/>
      <c r="G278" s="441"/>
      <c r="H278" s="441"/>
      <c r="I278" s="450"/>
      <c r="J278" s="273"/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3"/>
      <c r="X278" s="273"/>
      <c r="Y278" s="273"/>
      <c r="Z278" s="273"/>
    </row>
    <row r="279" ht="15.75" customHeight="1">
      <c r="A279" s="273"/>
      <c r="B279" s="447" t="s">
        <v>393</v>
      </c>
      <c r="C279" s="451"/>
      <c r="D279" s="11"/>
      <c r="E279" s="11"/>
      <c r="F279" s="11"/>
      <c r="G279" s="449" t="s">
        <v>394</v>
      </c>
      <c r="H279" s="451"/>
      <c r="I279" s="452"/>
      <c r="J279" s="273"/>
      <c r="K279" s="273"/>
      <c r="L279" s="273"/>
      <c r="M279" s="273"/>
      <c r="N279" s="273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</row>
    <row r="280" ht="15.75" customHeight="1">
      <c r="A280" s="273"/>
      <c r="B280" s="447" t="s">
        <v>395</v>
      </c>
      <c r="C280" s="451"/>
      <c r="D280" s="11"/>
      <c r="E280" s="11"/>
      <c r="F280" s="11"/>
      <c r="G280" s="449" t="s">
        <v>182</v>
      </c>
      <c r="H280" s="451"/>
      <c r="I280" s="452"/>
      <c r="J280" s="273"/>
      <c r="K280" s="273"/>
      <c r="L280" s="273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</row>
    <row r="281" ht="15.75" customHeight="1">
      <c r="A281" s="273"/>
      <c r="B281" s="453" t="s">
        <v>396</v>
      </c>
      <c r="C281" s="454"/>
      <c r="D281" s="454"/>
      <c r="E281" s="454"/>
      <c r="F281" s="455"/>
      <c r="G281" s="454"/>
      <c r="H281" s="454"/>
      <c r="I281" s="456"/>
      <c r="J281" s="273"/>
      <c r="K281" s="273"/>
      <c r="L281" s="273"/>
      <c r="M281" s="273"/>
      <c r="N281" s="273"/>
      <c r="O281" s="273"/>
      <c r="P281" s="273"/>
      <c r="Q281" s="273"/>
      <c r="R281" s="273"/>
      <c r="S281" s="273"/>
      <c r="T281" s="273"/>
      <c r="U281" s="273"/>
      <c r="V281" s="273"/>
      <c r="W281" s="273"/>
      <c r="X281" s="273"/>
      <c r="Y281" s="273"/>
      <c r="Z281" s="273"/>
    </row>
    <row r="282" ht="15.75" customHeight="1">
      <c r="A282" s="273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3"/>
      <c r="M282" s="273"/>
      <c r="N282" s="273"/>
      <c r="O282" s="273"/>
      <c r="P282" s="273"/>
      <c r="Q282" s="273"/>
      <c r="R282" s="273"/>
      <c r="S282" s="273"/>
      <c r="T282" s="273"/>
      <c r="U282" s="273"/>
      <c r="V282" s="273"/>
      <c r="W282" s="273"/>
      <c r="X282" s="273"/>
      <c r="Y282" s="273"/>
      <c r="Z282" s="273"/>
    </row>
    <row r="283" ht="15.75" customHeight="1">
      <c r="A283" s="273"/>
      <c r="B283" s="429"/>
      <c r="C283" s="430" t="s">
        <v>0</v>
      </c>
      <c r="D283" s="46"/>
      <c r="E283" s="46"/>
      <c r="F283" s="47"/>
      <c r="G283" s="431" t="s">
        <v>1</v>
      </c>
      <c r="H283" s="62" t="s">
        <v>384</v>
      </c>
      <c r="I283" s="63"/>
      <c r="J283" s="273"/>
      <c r="K283" s="273"/>
      <c r="L283" s="273"/>
      <c r="M283" s="273"/>
      <c r="N283" s="273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</row>
    <row r="284" ht="15.75" customHeight="1">
      <c r="A284" s="273"/>
      <c r="B284" s="432"/>
      <c r="C284" s="8"/>
      <c r="F284" s="9"/>
      <c r="G284" s="42" t="s">
        <v>3</v>
      </c>
      <c r="H284" s="65">
        <v>1.0</v>
      </c>
      <c r="I284" s="66"/>
      <c r="J284" s="273"/>
      <c r="K284" s="273"/>
      <c r="L284" s="273"/>
      <c r="M284" s="273"/>
      <c r="N284" s="273"/>
      <c r="O284" s="273"/>
      <c r="P284" s="273"/>
      <c r="Q284" s="273"/>
      <c r="R284" s="273"/>
      <c r="S284" s="273"/>
      <c r="T284" s="273"/>
      <c r="U284" s="273"/>
      <c r="V284" s="273"/>
      <c r="W284" s="273"/>
      <c r="X284" s="273"/>
      <c r="Y284" s="273"/>
      <c r="Z284" s="273"/>
    </row>
    <row r="285" ht="15.75" customHeight="1">
      <c r="A285" s="273"/>
      <c r="B285" s="432"/>
      <c r="C285" s="10"/>
      <c r="D285" s="11"/>
      <c r="E285" s="11"/>
      <c r="F285" s="12"/>
      <c r="G285" s="42" t="s">
        <v>5</v>
      </c>
      <c r="H285" s="4" t="s">
        <v>6</v>
      </c>
      <c r="I285" s="66"/>
      <c r="J285" s="273"/>
      <c r="K285" s="273"/>
      <c r="L285" s="273"/>
      <c r="M285" s="273"/>
      <c r="N285" s="273"/>
      <c r="O285" s="273"/>
      <c r="P285" s="273"/>
      <c r="Q285" s="273"/>
      <c r="R285" s="273"/>
      <c r="S285" s="273"/>
      <c r="T285" s="273"/>
      <c r="U285" s="273"/>
      <c r="V285" s="273"/>
      <c r="W285" s="273"/>
      <c r="X285" s="273"/>
      <c r="Y285" s="273"/>
      <c r="Z285" s="273"/>
    </row>
    <row r="286" ht="15.75" customHeight="1">
      <c r="A286" s="273"/>
      <c r="B286" s="432"/>
      <c r="C286" s="21" t="s">
        <v>385</v>
      </c>
      <c r="F286" s="9"/>
      <c r="G286" s="276" t="s">
        <v>7</v>
      </c>
      <c r="H286" s="4" t="s">
        <v>8</v>
      </c>
      <c r="I286" s="66"/>
      <c r="J286" s="273"/>
      <c r="K286" s="273"/>
      <c r="L286" s="273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3"/>
      <c r="Y286" s="273"/>
      <c r="Z286" s="273"/>
    </row>
    <row r="287" ht="15.75" customHeight="1">
      <c r="A287" s="273"/>
      <c r="B287" s="433"/>
      <c r="C287" s="113"/>
      <c r="D287" s="113"/>
      <c r="E287" s="113"/>
      <c r="F287" s="260"/>
      <c r="G287" s="434"/>
      <c r="H287" s="435" t="s">
        <v>9</v>
      </c>
      <c r="I287" s="160"/>
      <c r="J287" s="273"/>
      <c r="K287" s="273"/>
      <c r="L287" s="273"/>
      <c r="M287" s="273"/>
      <c r="N287" s="273"/>
      <c r="O287" s="273"/>
      <c r="P287" s="273"/>
      <c r="Q287" s="273"/>
      <c r="R287" s="273"/>
      <c r="S287" s="273"/>
      <c r="T287" s="273"/>
      <c r="U287" s="273"/>
      <c r="V287" s="273"/>
      <c r="W287" s="273"/>
      <c r="X287" s="273"/>
      <c r="Y287" s="273"/>
      <c r="Z287" s="273"/>
    </row>
    <row r="288" ht="15.75" customHeight="1">
      <c r="A288" s="273"/>
      <c r="B288" s="437" t="s">
        <v>386</v>
      </c>
      <c r="C288" s="438" t="str">
        <f>OP!$M$11</f>
        <v>OP-L-099</v>
      </c>
      <c r="D288" s="11"/>
      <c r="E288" s="11"/>
      <c r="F288" s="12"/>
      <c r="G288" s="439" t="s">
        <v>184</v>
      </c>
      <c r="H288" s="440"/>
      <c r="I288" s="12"/>
      <c r="J288" s="273"/>
      <c r="K288" s="273"/>
      <c r="L288" s="273"/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3"/>
      <c r="Y288" s="273"/>
      <c r="Z288" s="273"/>
    </row>
    <row r="289" ht="15.75" customHeight="1">
      <c r="A289" s="273"/>
      <c r="B289" s="442" t="s">
        <v>387</v>
      </c>
      <c r="C289" s="438" t="str">
        <f>OP!$G$9</f>
        <v>SUERO DE NIACINAMIDA 5%</v>
      </c>
      <c r="D289" s="11"/>
      <c r="E289" s="11"/>
      <c r="F289" s="12"/>
      <c r="G289" s="443" t="s">
        <v>388</v>
      </c>
      <c r="H289" s="444" t="str">
        <f>OP!$M$10</f>
        <v>252111</v>
      </c>
      <c r="I289" s="12"/>
      <c r="J289" s="273"/>
      <c r="K289" s="273"/>
      <c r="L289" s="273"/>
      <c r="M289" s="273"/>
      <c r="N289" s="273"/>
      <c r="O289" s="273"/>
      <c r="P289" s="273"/>
      <c r="Q289" s="273"/>
      <c r="R289" s="273"/>
      <c r="S289" s="273"/>
      <c r="T289" s="273"/>
      <c r="U289" s="273"/>
      <c r="V289" s="273"/>
      <c r="W289" s="273"/>
      <c r="X289" s="273"/>
      <c r="Y289" s="273"/>
      <c r="Z289" s="273"/>
    </row>
    <row r="290" ht="15.75" customHeight="1">
      <c r="A290" s="273"/>
      <c r="B290" s="442" t="s">
        <v>389</v>
      </c>
      <c r="C290" s="445" t="str">
        <f t="shared" ref="C290:C291" si="5">#REF!</f>
        <v>#REF!</v>
      </c>
      <c r="D290" s="24"/>
      <c r="E290" s="24"/>
      <c r="F290" s="5"/>
      <c r="G290" s="446" t="s">
        <v>390</v>
      </c>
      <c r="H290" s="438" t="str">
        <f>#REF!</f>
        <v>#REF!</v>
      </c>
      <c r="I290" s="12"/>
      <c r="J290" s="273"/>
      <c r="K290" s="273"/>
      <c r="L290" s="273"/>
      <c r="M290" s="273"/>
      <c r="N290" s="273"/>
      <c r="O290" s="273"/>
      <c r="P290" s="273"/>
      <c r="Q290" s="273"/>
      <c r="R290" s="273"/>
      <c r="S290" s="273"/>
      <c r="T290" s="273"/>
      <c r="U290" s="273"/>
      <c r="V290" s="273"/>
      <c r="W290" s="273"/>
      <c r="X290" s="273"/>
      <c r="Y290" s="273"/>
      <c r="Z290" s="273"/>
    </row>
    <row r="291" ht="15.75" customHeight="1">
      <c r="A291" s="273"/>
      <c r="B291" s="447" t="s">
        <v>391</v>
      </c>
      <c r="C291" s="448" t="str">
        <f t="shared" si="5"/>
        <v>#REF!</v>
      </c>
      <c r="D291" s="11"/>
      <c r="E291" s="11"/>
      <c r="F291" s="11"/>
      <c r="G291" s="449"/>
      <c r="H291" s="441"/>
      <c r="I291" s="450"/>
      <c r="J291" s="273"/>
      <c r="K291" s="273"/>
      <c r="L291" s="273"/>
      <c r="M291" s="273"/>
      <c r="N291" s="273"/>
      <c r="O291" s="273"/>
      <c r="P291" s="273"/>
      <c r="Q291" s="273"/>
      <c r="R291" s="273"/>
      <c r="S291" s="273"/>
      <c r="T291" s="273"/>
      <c r="U291" s="273"/>
      <c r="V291" s="273"/>
      <c r="W291" s="273"/>
      <c r="X291" s="273"/>
      <c r="Y291" s="273"/>
      <c r="Z291" s="273"/>
    </row>
    <row r="292" ht="15.75" customHeight="1">
      <c r="A292" s="273"/>
      <c r="B292" s="447" t="s">
        <v>392</v>
      </c>
      <c r="C292" s="451"/>
      <c r="D292" s="11"/>
      <c r="E292" s="11"/>
      <c r="F292" s="11"/>
      <c r="G292" s="441"/>
      <c r="H292" s="441"/>
      <c r="I292" s="450"/>
      <c r="J292" s="273"/>
      <c r="K292" s="273"/>
      <c r="L292" s="273"/>
      <c r="M292" s="273"/>
      <c r="N292" s="273"/>
      <c r="O292" s="273"/>
      <c r="P292" s="273"/>
      <c r="Q292" s="273"/>
      <c r="R292" s="273"/>
      <c r="S292" s="273"/>
      <c r="T292" s="273"/>
      <c r="U292" s="273"/>
      <c r="V292" s="273"/>
      <c r="W292" s="273"/>
      <c r="X292" s="273"/>
      <c r="Y292" s="273"/>
      <c r="Z292" s="273"/>
    </row>
    <row r="293" ht="15.75" customHeight="1">
      <c r="A293" s="273"/>
      <c r="B293" s="447" t="s">
        <v>393</v>
      </c>
      <c r="C293" s="451"/>
      <c r="D293" s="11"/>
      <c r="E293" s="11"/>
      <c r="F293" s="11"/>
      <c r="G293" s="449" t="s">
        <v>394</v>
      </c>
      <c r="H293" s="451"/>
      <c r="I293" s="452"/>
      <c r="J293" s="273"/>
      <c r="K293" s="273"/>
      <c r="L293" s="273"/>
      <c r="M293" s="273"/>
      <c r="N293" s="273"/>
      <c r="O293" s="273"/>
      <c r="P293" s="273"/>
      <c r="Q293" s="273"/>
      <c r="R293" s="273"/>
      <c r="S293" s="273"/>
      <c r="T293" s="273"/>
      <c r="U293" s="273"/>
      <c r="V293" s="273"/>
      <c r="W293" s="273"/>
      <c r="X293" s="273"/>
      <c r="Y293" s="273"/>
      <c r="Z293" s="273"/>
    </row>
    <row r="294" ht="15.75" customHeight="1">
      <c r="A294" s="273"/>
      <c r="B294" s="447" t="s">
        <v>395</v>
      </c>
      <c r="C294" s="451"/>
      <c r="D294" s="11"/>
      <c r="E294" s="11"/>
      <c r="F294" s="11"/>
      <c r="G294" s="449" t="s">
        <v>182</v>
      </c>
      <c r="H294" s="451"/>
      <c r="I294" s="452"/>
      <c r="J294" s="273"/>
      <c r="K294" s="273"/>
      <c r="L294" s="273"/>
      <c r="M294" s="273"/>
      <c r="N294" s="273"/>
      <c r="O294" s="273"/>
      <c r="P294" s="273"/>
      <c r="Q294" s="273"/>
      <c r="R294" s="273"/>
      <c r="S294" s="273"/>
      <c r="T294" s="273"/>
      <c r="U294" s="273"/>
      <c r="V294" s="273"/>
      <c r="W294" s="273"/>
      <c r="X294" s="273"/>
      <c r="Y294" s="273"/>
      <c r="Z294" s="273"/>
    </row>
    <row r="295" ht="15.75" customHeight="1">
      <c r="A295" s="273"/>
      <c r="B295" s="453" t="s">
        <v>396</v>
      </c>
      <c r="C295" s="454"/>
      <c r="D295" s="454"/>
      <c r="E295" s="454"/>
      <c r="F295" s="455"/>
      <c r="G295" s="454"/>
      <c r="H295" s="454"/>
      <c r="I295" s="456"/>
      <c r="J295" s="273"/>
      <c r="K295" s="273"/>
      <c r="L295" s="273"/>
      <c r="M295" s="273"/>
      <c r="N295" s="273"/>
      <c r="O295" s="273"/>
      <c r="P295" s="273"/>
      <c r="Q295" s="273"/>
      <c r="R295" s="273"/>
      <c r="S295" s="273"/>
      <c r="T295" s="273"/>
      <c r="U295" s="273"/>
      <c r="V295" s="273"/>
      <c r="W295" s="273"/>
      <c r="X295" s="273"/>
      <c r="Y295" s="273"/>
      <c r="Z295" s="273"/>
    </row>
    <row r="296" ht="15.75" customHeight="1">
      <c r="A296" s="273"/>
      <c r="B296" s="273"/>
      <c r="C296" s="273"/>
      <c r="D296" s="273"/>
      <c r="E296" s="273"/>
      <c r="F296" s="273"/>
      <c r="G296" s="273"/>
      <c r="H296" s="273"/>
      <c r="I296" s="273"/>
      <c r="J296" s="273"/>
      <c r="K296" s="273"/>
      <c r="L296" s="273"/>
      <c r="M296" s="273"/>
      <c r="N296" s="273"/>
      <c r="O296" s="273"/>
      <c r="P296" s="273"/>
      <c r="Q296" s="273"/>
      <c r="R296" s="273"/>
      <c r="S296" s="273"/>
      <c r="T296" s="273"/>
      <c r="U296" s="273"/>
      <c r="V296" s="273"/>
      <c r="W296" s="273"/>
      <c r="X296" s="273"/>
      <c r="Y296" s="273"/>
      <c r="Z296" s="273"/>
    </row>
    <row r="297" ht="15.75" customHeight="1">
      <c r="A297" s="273"/>
      <c r="B297" s="429"/>
      <c r="C297" s="430" t="s">
        <v>0</v>
      </c>
      <c r="D297" s="46"/>
      <c r="E297" s="46"/>
      <c r="F297" s="47"/>
      <c r="G297" s="431" t="s">
        <v>1</v>
      </c>
      <c r="H297" s="62" t="s">
        <v>384</v>
      </c>
      <c r="I297" s="63"/>
      <c r="J297" s="273"/>
      <c r="K297" s="273"/>
      <c r="L297" s="273"/>
      <c r="M297" s="273"/>
      <c r="N297" s="273"/>
      <c r="O297" s="273"/>
      <c r="P297" s="273"/>
      <c r="Q297" s="273"/>
      <c r="R297" s="273"/>
      <c r="S297" s="273"/>
      <c r="T297" s="273"/>
      <c r="U297" s="273"/>
      <c r="V297" s="273"/>
      <c r="W297" s="273"/>
      <c r="X297" s="273"/>
      <c r="Y297" s="273"/>
      <c r="Z297" s="273"/>
    </row>
    <row r="298" ht="15.75" customHeight="1">
      <c r="A298" s="273"/>
      <c r="B298" s="432"/>
      <c r="C298" s="8"/>
      <c r="F298" s="9"/>
      <c r="G298" s="42" t="s">
        <v>3</v>
      </c>
      <c r="H298" s="65">
        <v>1.0</v>
      </c>
      <c r="I298" s="66"/>
      <c r="J298" s="273"/>
      <c r="K298" s="273"/>
      <c r="L298" s="273"/>
      <c r="M298" s="273"/>
      <c r="N298" s="273"/>
      <c r="O298" s="273"/>
      <c r="P298" s="273"/>
      <c r="Q298" s="273"/>
      <c r="R298" s="273"/>
      <c r="S298" s="273"/>
      <c r="T298" s="273"/>
      <c r="U298" s="273"/>
      <c r="V298" s="273"/>
      <c r="W298" s="273"/>
      <c r="X298" s="273"/>
      <c r="Y298" s="273"/>
      <c r="Z298" s="273"/>
    </row>
    <row r="299" ht="15.75" customHeight="1">
      <c r="A299" s="273"/>
      <c r="B299" s="432"/>
      <c r="C299" s="10"/>
      <c r="D299" s="11"/>
      <c r="E299" s="11"/>
      <c r="F299" s="12"/>
      <c r="G299" s="42" t="s">
        <v>5</v>
      </c>
      <c r="H299" s="4" t="s">
        <v>6</v>
      </c>
      <c r="I299" s="66"/>
      <c r="J299" s="273"/>
      <c r="K299" s="273"/>
      <c r="L299" s="273"/>
      <c r="M299" s="273"/>
      <c r="N299" s="273"/>
      <c r="O299" s="273"/>
      <c r="P299" s="273"/>
      <c r="Q299" s="273"/>
      <c r="R299" s="273"/>
      <c r="S299" s="273"/>
      <c r="T299" s="273"/>
      <c r="U299" s="273"/>
      <c r="V299" s="273"/>
      <c r="W299" s="273"/>
      <c r="X299" s="273"/>
      <c r="Y299" s="273"/>
      <c r="Z299" s="273"/>
    </row>
    <row r="300" ht="15.75" customHeight="1">
      <c r="A300" s="273"/>
      <c r="B300" s="432"/>
      <c r="C300" s="21" t="s">
        <v>385</v>
      </c>
      <c r="F300" s="9"/>
      <c r="G300" s="276" t="s">
        <v>7</v>
      </c>
      <c r="H300" s="4" t="s">
        <v>8</v>
      </c>
      <c r="I300" s="66"/>
      <c r="J300" s="273"/>
      <c r="K300" s="273"/>
      <c r="L300" s="273"/>
      <c r="M300" s="273"/>
      <c r="N300" s="273"/>
      <c r="O300" s="273"/>
      <c r="P300" s="273"/>
      <c r="Q300" s="273"/>
      <c r="R300" s="273"/>
      <c r="S300" s="273"/>
      <c r="T300" s="273"/>
      <c r="U300" s="273"/>
      <c r="V300" s="273"/>
      <c r="W300" s="273"/>
      <c r="X300" s="273"/>
      <c r="Y300" s="273"/>
      <c r="Z300" s="273"/>
    </row>
    <row r="301" ht="15.75" customHeight="1">
      <c r="A301" s="273"/>
      <c r="B301" s="433"/>
      <c r="C301" s="113"/>
      <c r="D301" s="113"/>
      <c r="E301" s="113"/>
      <c r="F301" s="260"/>
      <c r="G301" s="434"/>
      <c r="H301" s="435" t="s">
        <v>9</v>
      </c>
      <c r="I301" s="160"/>
      <c r="J301" s="273"/>
      <c r="K301" s="273"/>
      <c r="L301" s="273"/>
      <c r="M301" s="273"/>
      <c r="N301" s="273"/>
      <c r="O301" s="273"/>
      <c r="P301" s="273"/>
      <c r="Q301" s="273"/>
      <c r="R301" s="273"/>
      <c r="S301" s="273"/>
      <c r="T301" s="273"/>
      <c r="U301" s="273"/>
      <c r="V301" s="273"/>
      <c r="W301" s="273"/>
      <c r="X301" s="273"/>
      <c r="Y301" s="273"/>
      <c r="Z301" s="273"/>
    </row>
    <row r="302" ht="15.75" customHeight="1">
      <c r="A302" s="273"/>
      <c r="B302" s="437" t="s">
        <v>386</v>
      </c>
      <c r="C302" s="438" t="str">
        <f>OP!$M$11</f>
        <v>OP-L-099</v>
      </c>
      <c r="D302" s="11"/>
      <c r="E302" s="11"/>
      <c r="F302" s="12"/>
      <c r="G302" s="439" t="s">
        <v>184</v>
      </c>
      <c r="H302" s="440"/>
      <c r="I302" s="12"/>
      <c r="J302" s="273"/>
      <c r="K302" s="273"/>
      <c r="L302" s="273"/>
      <c r="M302" s="273"/>
      <c r="N302" s="273"/>
      <c r="O302" s="273"/>
      <c r="P302" s="273"/>
      <c r="Q302" s="273"/>
      <c r="R302" s="273"/>
      <c r="S302" s="273"/>
      <c r="T302" s="273"/>
      <c r="U302" s="273"/>
      <c r="V302" s="273"/>
      <c r="W302" s="273"/>
      <c r="X302" s="273"/>
      <c r="Y302" s="273"/>
      <c r="Z302" s="273"/>
    </row>
    <row r="303" ht="15.75" customHeight="1">
      <c r="A303" s="273"/>
      <c r="B303" s="442" t="s">
        <v>387</v>
      </c>
      <c r="C303" s="438" t="str">
        <f>OP!$G$9</f>
        <v>SUERO DE NIACINAMIDA 5%</v>
      </c>
      <c r="D303" s="11"/>
      <c r="E303" s="11"/>
      <c r="F303" s="12"/>
      <c r="G303" s="443" t="s">
        <v>388</v>
      </c>
      <c r="H303" s="444" t="str">
        <f>OP!$M$10</f>
        <v>252111</v>
      </c>
      <c r="I303" s="12"/>
      <c r="J303" s="273"/>
      <c r="K303" s="273"/>
      <c r="L303" s="273"/>
      <c r="M303" s="273"/>
      <c r="N303" s="273"/>
      <c r="O303" s="273"/>
      <c r="P303" s="273"/>
      <c r="Q303" s="273"/>
      <c r="R303" s="273"/>
      <c r="S303" s="273"/>
      <c r="T303" s="273"/>
      <c r="U303" s="273"/>
      <c r="V303" s="273"/>
      <c r="W303" s="273"/>
      <c r="X303" s="273"/>
      <c r="Y303" s="273"/>
      <c r="Z303" s="273"/>
    </row>
    <row r="304" ht="15.75" customHeight="1">
      <c r="A304" s="273"/>
      <c r="B304" s="442" t="s">
        <v>389</v>
      </c>
      <c r="C304" s="445" t="str">
        <f t="shared" ref="C304:C305" si="6">#REF!</f>
        <v>#REF!</v>
      </c>
      <c r="D304" s="24"/>
      <c r="E304" s="24"/>
      <c r="F304" s="5"/>
      <c r="G304" s="446" t="s">
        <v>390</v>
      </c>
      <c r="H304" s="438" t="str">
        <f>#REF!</f>
        <v>#REF!</v>
      </c>
      <c r="I304" s="12"/>
      <c r="J304" s="273"/>
      <c r="K304" s="273"/>
      <c r="L304" s="273"/>
      <c r="M304" s="273"/>
      <c r="N304" s="273"/>
      <c r="O304" s="273"/>
      <c r="P304" s="273"/>
      <c r="Q304" s="273"/>
      <c r="R304" s="273"/>
      <c r="S304" s="273"/>
      <c r="T304" s="273"/>
      <c r="U304" s="273"/>
      <c r="V304" s="273"/>
      <c r="W304" s="273"/>
      <c r="X304" s="273"/>
      <c r="Y304" s="273"/>
      <c r="Z304" s="273"/>
    </row>
    <row r="305" ht="15.75" customHeight="1">
      <c r="A305" s="273"/>
      <c r="B305" s="447" t="s">
        <v>391</v>
      </c>
      <c r="C305" s="448" t="str">
        <f t="shared" si="6"/>
        <v>#REF!</v>
      </c>
      <c r="D305" s="11"/>
      <c r="E305" s="11"/>
      <c r="F305" s="11"/>
      <c r="G305" s="449"/>
      <c r="H305" s="441"/>
      <c r="I305" s="450"/>
      <c r="J305" s="273"/>
      <c r="K305" s="273"/>
      <c r="L305" s="273"/>
      <c r="M305" s="273"/>
      <c r="N305" s="273"/>
      <c r="O305" s="273"/>
      <c r="P305" s="273"/>
      <c r="Q305" s="273"/>
      <c r="R305" s="273"/>
      <c r="S305" s="273"/>
      <c r="T305" s="273"/>
      <c r="U305" s="273"/>
      <c r="V305" s="273"/>
      <c r="W305" s="273"/>
      <c r="X305" s="273"/>
      <c r="Y305" s="273"/>
      <c r="Z305" s="273"/>
    </row>
    <row r="306" ht="15.75" customHeight="1">
      <c r="A306" s="273"/>
      <c r="B306" s="447" t="s">
        <v>392</v>
      </c>
      <c r="C306" s="451"/>
      <c r="D306" s="11"/>
      <c r="E306" s="11"/>
      <c r="F306" s="11"/>
      <c r="G306" s="441"/>
      <c r="H306" s="441"/>
      <c r="I306" s="450"/>
      <c r="J306" s="273"/>
      <c r="K306" s="273"/>
      <c r="L306" s="273"/>
      <c r="M306" s="273"/>
      <c r="N306" s="273"/>
      <c r="O306" s="273"/>
      <c r="P306" s="273"/>
      <c r="Q306" s="273"/>
      <c r="R306" s="273"/>
      <c r="S306" s="273"/>
      <c r="T306" s="273"/>
      <c r="U306" s="273"/>
      <c r="V306" s="273"/>
      <c r="W306" s="273"/>
      <c r="X306" s="273"/>
      <c r="Y306" s="273"/>
      <c r="Z306" s="273"/>
    </row>
    <row r="307" ht="15.75" customHeight="1">
      <c r="A307" s="273"/>
      <c r="B307" s="447" t="s">
        <v>393</v>
      </c>
      <c r="C307" s="451"/>
      <c r="D307" s="11"/>
      <c r="E307" s="11"/>
      <c r="F307" s="11"/>
      <c r="G307" s="449" t="s">
        <v>394</v>
      </c>
      <c r="H307" s="451"/>
      <c r="I307" s="452"/>
      <c r="J307" s="273"/>
      <c r="K307" s="273"/>
      <c r="L307" s="273"/>
      <c r="M307" s="273"/>
      <c r="N307" s="273"/>
      <c r="O307" s="273"/>
      <c r="P307" s="273"/>
      <c r="Q307" s="273"/>
      <c r="R307" s="273"/>
      <c r="S307" s="273"/>
      <c r="T307" s="273"/>
      <c r="U307" s="273"/>
      <c r="V307" s="273"/>
      <c r="W307" s="273"/>
      <c r="X307" s="273"/>
      <c r="Y307" s="273"/>
      <c r="Z307" s="273"/>
    </row>
    <row r="308" ht="15.75" customHeight="1">
      <c r="A308" s="273"/>
      <c r="B308" s="447" t="s">
        <v>395</v>
      </c>
      <c r="C308" s="451"/>
      <c r="D308" s="11"/>
      <c r="E308" s="11"/>
      <c r="F308" s="11"/>
      <c r="G308" s="449" t="s">
        <v>182</v>
      </c>
      <c r="H308" s="451"/>
      <c r="I308" s="452"/>
      <c r="J308" s="273"/>
      <c r="K308" s="273"/>
      <c r="L308" s="273"/>
      <c r="M308" s="273"/>
      <c r="N308" s="273"/>
      <c r="O308" s="273"/>
      <c r="P308" s="273"/>
      <c r="Q308" s="273"/>
      <c r="R308" s="273"/>
      <c r="S308" s="273"/>
      <c r="T308" s="273"/>
      <c r="U308" s="273"/>
      <c r="V308" s="273"/>
      <c r="W308" s="273"/>
      <c r="X308" s="273"/>
      <c r="Y308" s="273"/>
      <c r="Z308" s="273"/>
    </row>
    <row r="309" ht="15.75" customHeight="1">
      <c r="A309" s="273"/>
      <c r="B309" s="453" t="s">
        <v>396</v>
      </c>
      <c r="C309" s="454"/>
      <c r="D309" s="454"/>
      <c r="E309" s="454"/>
      <c r="F309" s="455"/>
      <c r="G309" s="454"/>
      <c r="H309" s="454"/>
      <c r="I309" s="456"/>
      <c r="J309" s="273"/>
      <c r="K309" s="273"/>
      <c r="L309" s="273"/>
      <c r="M309" s="273"/>
      <c r="N309" s="273"/>
      <c r="O309" s="273"/>
      <c r="P309" s="273"/>
      <c r="Q309" s="273"/>
      <c r="R309" s="273"/>
      <c r="S309" s="273"/>
      <c r="T309" s="273"/>
      <c r="U309" s="273"/>
      <c r="V309" s="273"/>
      <c r="W309" s="273"/>
      <c r="X309" s="273"/>
      <c r="Y309" s="273"/>
      <c r="Z309" s="273"/>
    </row>
    <row r="310" ht="15.75" customHeight="1">
      <c r="A310" s="273"/>
      <c r="B310" s="273"/>
      <c r="C310" s="273"/>
      <c r="D310" s="273"/>
      <c r="E310" s="273"/>
      <c r="F310" s="273"/>
      <c r="G310" s="273"/>
      <c r="H310" s="273"/>
      <c r="I310" s="273"/>
      <c r="J310" s="273"/>
      <c r="K310" s="273"/>
      <c r="L310" s="273"/>
      <c r="M310" s="273"/>
      <c r="N310" s="273"/>
      <c r="O310" s="273"/>
      <c r="P310" s="273"/>
      <c r="Q310" s="273"/>
      <c r="R310" s="273"/>
      <c r="S310" s="273"/>
      <c r="T310" s="273"/>
      <c r="U310" s="273"/>
      <c r="V310" s="273"/>
      <c r="W310" s="273"/>
      <c r="X310" s="273"/>
      <c r="Y310" s="273"/>
      <c r="Z310" s="273"/>
    </row>
    <row r="311" ht="15.75" customHeight="1">
      <c r="A311" s="273"/>
      <c r="B311" s="273"/>
      <c r="C311" s="273"/>
      <c r="D311" s="273"/>
      <c r="E311" s="273"/>
      <c r="F311" s="273"/>
      <c r="G311" s="273"/>
      <c r="H311" s="273"/>
      <c r="I311" s="273"/>
      <c r="J311" s="273"/>
      <c r="K311" s="273"/>
      <c r="L311" s="273"/>
      <c r="M311" s="273"/>
      <c r="N311" s="273"/>
      <c r="O311" s="273"/>
      <c r="P311" s="273"/>
      <c r="Q311" s="273"/>
      <c r="R311" s="273"/>
      <c r="S311" s="273"/>
      <c r="T311" s="273"/>
      <c r="U311" s="273"/>
      <c r="V311" s="273"/>
      <c r="W311" s="273"/>
      <c r="X311" s="273"/>
      <c r="Y311" s="273"/>
      <c r="Z311" s="273"/>
    </row>
    <row r="312" ht="15.75" customHeight="1">
      <c r="A312" s="273"/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3"/>
      <c r="M312" s="273"/>
      <c r="N312" s="273"/>
      <c r="O312" s="273"/>
      <c r="P312" s="273"/>
      <c r="Q312" s="273"/>
      <c r="R312" s="273"/>
      <c r="S312" s="273"/>
      <c r="T312" s="273"/>
      <c r="U312" s="273"/>
      <c r="V312" s="273"/>
      <c r="W312" s="273"/>
      <c r="X312" s="273"/>
      <c r="Y312" s="273"/>
      <c r="Z312" s="273"/>
    </row>
    <row r="313" ht="15.75" customHeight="1">
      <c r="A313" s="273"/>
      <c r="B313" s="273"/>
      <c r="C313" s="273"/>
      <c r="D313" s="273"/>
      <c r="E313" s="273"/>
      <c r="F313" s="273"/>
      <c r="G313" s="273"/>
      <c r="H313" s="273"/>
      <c r="I313" s="273"/>
      <c r="J313" s="273"/>
      <c r="K313" s="273"/>
      <c r="L313" s="273"/>
      <c r="M313" s="273"/>
      <c r="N313" s="273"/>
      <c r="O313" s="273"/>
      <c r="P313" s="273"/>
      <c r="Q313" s="273"/>
      <c r="R313" s="273"/>
      <c r="S313" s="273"/>
      <c r="T313" s="273"/>
      <c r="U313" s="273"/>
      <c r="V313" s="273"/>
      <c r="W313" s="273"/>
      <c r="X313" s="273"/>
      <c r="Y313" s="273"/>
      <c r="Z313" s="273"/>
    </row>
    <row r="314" ht="15.75" customHeight="1">
      <c r="A314" s="273"/>
      <c r="B314" s="273"/>
      <c r="C314" s="273"/>
      <c r="D314" s="273"/>
      <c r="E314" s="273"/>
      <c r="F314" s="273"/>
      <c r="G314" s="273"/>
      <c r="H314" s="273"/>
      <c r="I314" s="273"/>
      <c r="J314" s="273"/>
      <c r="K314" s="273"/>
      <c r="L314" s="273"/>
      <c r="M314" s="273"/>
      <c r="N314" s="273"/>
      <c r="O314" s="273"/>
      <c r="P314" s="273"/>
      <c r="Q314" s="273"/>
      <c r="R314" s="273"/>
      <c r="S314" s="273"/>
      <c r="T314" s="273"/>
      <c r="U314" s="273"/>
      <c r="V314" s="273"/>
      <c r="W314" s="273"/>
      <c r="X314" s="273"/>
      <c r="Y314" s="273"/>
      <c r="Z314" s="273"/>
    </row>
    <row r="315" ht="15.75" customHeight="1">
      <c r="A315" s="273"/>
      <c r="B315" s="273"/>
      <c r="C315" s="273"/>
      <c r="D315" s="273"/>
      <c r="E315" s="273"/>
      <c r="F315" s="273"/>
      <c r="G315" s="273"/>
      <c r="H315" s="273"/>
      <c r="I315" s="273"/>
      <c r="J315" s="273"/>
      <c r="K315" s="273"/>
      <c r="L315" s="273"/>
      <c r="M315" s="273"/>
      <c r="N315" s="273"/>
      <c r="O315" s="273"/>
      <c r="P315" s="273"/>
      <c r="Q315" s="273"/>
      <c r="R315" s="273"/>
      <c r="S315" s="273"/>
      <c r="T315" s="273"/>
      <c r="U315" s="273"/>
      <c r="V315" s="273"/>
      <c r="W315" s="273"/>
      <c r="X315" s="273"/>
      <c r="Y315" s="273"/>
      <c r="Z315" s="273"/>
    </row>
    <row r="316" ht="15.75" customHeight="1">
      <c r="A316" s="273"/>
      <c r="B316" s="273"/>
      <c r="C316" s="273"/>
      <c r="D316" s="273"/>
      <c r="E316" s="273"/>
      <c r="F316" s="273"/>
      <c r="G316" s="273"/>
      <c r="H316" s="273"/>
      <c r="I316" s="273"/>
      <c r="J316" s="273"/>
      <c r="K316" s="273"/>
      <c r="L316" s="273"/>
      <c r="M316" s="273"/>
      <c r="N316" s="273"/>
      <c r="O316" s="273"/>
      <c r="P316" s="273"/>
      <c r="Q316" s="273"/>
      <c r="R316" s="273"/>
      <c r="S316" s="273"/>
      <c r="T316" s="273"/>
      <c r="U316" s="273"/>
      <c r="V316" s="273"/>
      <c r="W316" s="273"/>
      <c r="X316" s="273"/>
      <c r="Y316" s="273"/>
      <c r="Z316" s="273"/>
    </row>
    <row r="317" ht="15.75" customHeight="1">
      <c r="A317" s="273"/>
      <c r="B317" s="273"/>
      <c r="C317" s="273"/>
      <c r="D317" s="273"/>
      <c r="E317" s="273"/>
      <c r="F317" s="273"/>
      <c r="G317" s="273"/>
      <c r="H317" s="273"/>
      <c r="I317" s="273"/>
      <c r="J317" s="273"/>
      <c r="K317" s="273"/>
      <c r="L317" s="273"/>
      <c r="M317" s="273"/>
      <c r="N317" s="273"/>
      <c r="O317" s="273"/>
      <c r="P317" s="273"/>
      <c r="Q317" s="273"/>
      <c r="R317" s="273"/>
      <c r="S317" s="273"/>
      <c r="T317" s="273"/>
      <c r="U317" s="273"/>
      <c r="V317" s="273"/>
      <c r="W317" s="273"/>
      <c r="X317" s="273"/>
      <c r="Y317" s="273"/>
      <c r="Z317" s="273"/>
    </row>
    <row r="318" ht="15.75" customHeight="1">
      <c r="A318" s="273"/>
      <c r="B318" s="273"/>
      <c r="C318" s="273"/>
      <c r="D318" s="273"/>
      <c r="E318" s="273"/>
      <c r="F318" s="273"/>
      <c r="G318" s="273"/>
      <c r="H318" s="273"/>
      <c r="I318" s="273"/>
      <c r="J318" s="273"/>
      <c r="K318" s="273"/>
      <c r="L318" s="273"/>
      <c r="M318" s="273"/>
      <c r="N318" s="273"/>
      <c r="O318" s="273"/>
      <c r="P318" s="273"/>
      <c r="Q318" s="273"/>
      <c r="R318" s="273"/>
      <c r="S318" s="273"/>
      <c r="T318" s="273"/>
      <c r="U318" s="273"/>
      <c r="V318" s="273"/>
      <c r="W318" s="273"/>
      <c r="X318" s="273"/>
      <c r="Y318" s="273"/>
      <c r="Z318" s="273"/>
    </row>
    <row r="319" ht="15.75" customHeight="1">
      <c r="A319" s="273"/>
      <c r="B319" s="273"/>
      <c r="C319" s="273"/>
      <c r="D319" s="273"/>
      <c r="E319" s="273"/>
      <c r="F319" s="273"/>
      <c r="G319" s="273"/>
      <c r="H319" s="273"/>
      <c r="I319" s="273"/>
      <c r="J319" s="273"/>
      <c r="K319" s="273"/>
      <c r="L319" s="273"/>
      <c r="M319" s="273"/>
      <c r="N319" s="273"/>
      <c r="O319" s="273"/>
      <c r="P319" s="273"/>
      <c r="Q319" s="273"/>
      <c r="R319" s="273"/>
      <c r="S319" s="273"/>
      <c r="T319" s="273"/>
      <c r="U319" s="273"/>
      <c r="V319" s="273"/>
      <c r="W319" s="273"/>
      <c r="X319" s="273"/>
      <c r="Y319" s="273"/>
      <c r="Z319" s="273"/>
    </row>
    <row r="320" ht="15.75" customHeight="1">
      <c r="A320" s="273"/>
      <c r="B320" s="273"/>
      <c r="C320" s="273"/>
      <c r="D320" s="273"/>
      <c r="E320" s="273"/>
      <c r="F320" s="273"/>
      <c r="G320" s="273"/>
      <c r="H320" s="273"/>
      <c r="I320" s="273"/>
      <c r="J320" s="273"/>
      <c r="K320" s="273"/>
      <c r="L320" s="273"/>
      <c r="M320" s="273"/>
      <c r="N320" s="273"/>
      <c r="O320" s="273"/>
      <c r="P320" s="273"/>
      <c r="Q320" s="273"/>
      <c r="R320" s="273"/>
      <c r="S320" s="273"/>
      <c r="T320" s="273"/>
      <c r="U320" s="273"/>
      <c r="V320" s="273"/>
      <c r="W320" s="273"/>
      <c r="X320" s="273"/>
      <c r="Y320" s="273"/>
      <c r="Z320" s="273"/>
    </row>
    <row r="321" ht="15.75" customHeight="1">
      <c r="A321" s="273"/>
      <c r="B321" s="273"/>
      <c r="C321" s="273"/>
      <c r="D321" s="273"/>
      <c r="E321" s="273"/>
      <c r="F321" s="273"/>
      <c r="G321" s="273"/>
      <c r="H321" s="273"/>
      <c r="I321" s="273"/>
      <c r="J321" s="273"/>
      <c r="K321" s="273"/>
      <c r="L321" s="273"/>
      <c r="M321" s="273"/>
      <c r="N321" s="273"/>
      <c r="O321" s="273"/>
      <c r="P321" s="273"/>
      <c r="Q321" s="273"/>
      <c r="R321" s="273"/>
      <c r="S321" s="273"/>
      <c r="T321" s="273"/>
      <c r="U321" s="273"/>
      <c r="V321" s="273"/>
      <c r="W321" s="273"/>
      <c r="X321" s="273"/>
      <c r="Y321" s="273"/>
      <c r="Z321" s="273"/>
    </row>
    <row r="322" ht="15.75" customHeight="1">
      <c r="A322" s="273"/>
      <c r="B322" s="273"/>
      <c r="C322" s="273"/>
      <c r="D322" s="273"/>
      <c r="E322" s="273"/>
      <c r="F322" s="273"/>
      <c r="G322" s="273"/>
      <c r="H322" s="273"/>
      <c r="I322" s="273"/>
      <c r="J322" s="273"/>
      <c r="K322" s="273"/>
      <c r="L322" s="273"/>
      <c r="M322" s="273"/>
      <c r="N322" s="273"/>
      <c r="O322" s="273"/>
      <c r="P322" s="273"/>
      <c r="Q322" s="273"/>
      <c r="R322" s="273"/>
      <c r="S322" s="273"/>
      <c r="T322" s="273"/>
      <c r="U322" s="273"/>
      <c r="V322" s="273"/>
      <c r="W322" s="273"/>
      <c r="X322" s="273"/>
      <c r="Y322" s="273"/>
      <c r="Z322" s="273"/>
    </row>
    <row r="323" ht="15.75" customHeight="1">
      <c r="A323" s="273"/>
      <c r="B323" s="273"/>
      <c r="C323" s="273"/>
      <c r="D323" s="273"/>
      <c r="E323" s="273"/>
      <c r="F323" s="273"/>
      <c r="G323" s="273"/>
      <c r="H323" s="273"/>
      <c r="I323" s="273"/>
      <c r="J323" s="273"/>
      <c r="K323" s="273"/>
      <c r="L323" s="273"/>
      <c r="M323" s="273"/>
      <c r="N323" s="273"/>
      <c r="O323" s="273"/>
      <c r="P323" s="273"/>
      <c r="Q323" s="273"/>
      <c r="R323" s="273"/>
      <c r="S323" s="273"/>
      <c r="T323" s="273"/>
      <c r="U323" s="273"/>
      <c r="V323" s="273"/>
      <c r="W323" s="273"/>
      <c r="X323" s="273"/>
      <c r="Y323" s="273"/>
      <c r="Z323" s="273"/>
    </row>
    <row r="324" ht="15.75" customHeight="1">
      <c r="A324" s="273"/>
      <c r="B324" s="273"/>
      <c r="C324" s="273"/>
      <c r="D324" s="273"/>
      <c r="E324" s="273"/>
      <c r="F324" s="273"/>
      <c r="G324" s="273"/>
      <c r="H324" s="273"/>
      <c r="I324" s="273"/>
      <c r="J324" s="273"/>
      <c r="K324" s="273"/>
      <c r="L324" s="273"/>
      <c r="M324" s="273"/>
      <c r="N324" s="273"/>
      <c r="O324" s="273"/>
      <c r="P324" s="273"/>
      <c r="Q324" s="273"/>
      <c r="R324" s="273"/>
      <c r="S324" s="273"/>
      <c r="T324" s="273"/>
      <c r="U324" s="273"/>
      <c r="V324" s="273"/>
      <c r="W324" s="273"/>
      <c r="X324" s="273"/>
      <c r="Y324" s="273"/>
      <c r="Z324" s="273"/>
    </row>
    <row r="325" ht="15.75" customHeight="1">
      <c r="A325" s="273"/>
      <c r="B325" s="273"/>
      <c r="C325" s="273"/>
      <c r="D325" s="273"/>
      <c r="E325" s="273"/>
      <c r="F325" s="273"/>
      <c r="G325" s="273"/>
      <c r="H325" s="273"/>
      <c r="I325" s="273"/>
      <c r="J325" s="273"/>
      <c r="K325" s="273"/>
      <c r="L325" s="273"/>
      <c r="M325" s="273"/>
      <c r="N325" s="273"/>
      <c r="O325" s="273"/>
      <c r="P325" s="273"/>
      <c r="Q325" s="273"/>
      <c r="R325" s="273"/>
      <c r="S325" s="273"/>
      <c r="T325" s="273"/>
      <c r="U325" s="273"/>
      <c r="V325" s="273"/>
      <c r="W325" s="273"/>
      <c r="X325" s="273"/>
      <c r="Y325" s="273"/>
      <c r="Z325" s="273"/>
    </row>
    <row r="326" ht="15.75" customHeight="1">
      <c r="A326" s="273"/>
      <c r="B326" s="273"/>
      <c r="C326" s="273"/>
      <c r="D326" s="273"/>
      <c r="E326" s="273"/>
      <c r="F326" s="273"/>
      <c r="G326" s="273"/>
      <c r="H326" s="273"/>
      <c r="I326" s="273"/>
      <c r="J326" s="273"/>
      <c r="K326" s="273"/>
      <c r="L326" s="273"/>
      <c r="M326" s="273"/>
      <c r="N326" s="273"/>
      <c r="O326" s="273"/>
      <c r="P326" s="273"/>
      <c r="Q326" s="273"/>
      <c r="R326" s="273"/>
      <c r="S326" s="273"/>
      <c r="T326" s="273"/>
      <c r="U326" s="273"/>
      <c r="V326" s="273"/>
      <c r="W326" s="273"/>
      <c r="X326" s="273"/>
      <c r="Y326" s="273"/>
      <c r="Z326" s="273"/>
    </row>
    <row r="327" ht="15.75" customHeight="1">
      <c r="A327" s="273"/>
      <c r="B327" s="273"/>
      <c r="C327" s="273"/>
      <c r="D327" s="273"/>
      <c r="E327" s="273"/>
      <c r="F327" s="273"/>
      <c r="G327" s="273"/>
      <c r="H327" s="273"/>
      <c r="I327" s="273"/>
      <c r="J327" s="273"/>
      <c r="K327" s="273"/>
      <c r="L327" s="273"/>
      <c r="M327" s="273"/>
      <c r="N327" s="273"/>
      <c r="O327" s="273"/>
      <c r="P327" s="273"/>
      <c r="Q327" s="273"/>
      <c r="R327" s="273"/>
      <c r="S327" s="273"/>
      <c r="T327" s="273"/>
      <c r="U327" s="273"/>
      <c r="V327" s="273"/>
      <c r="W327" s="273"/>
      <c r="X327" s="273"/>
      <c r="Y327" s="273"/>
      <c r="Z327" s="273"/>
    </row>
    <row r="328" ht="15.75" customHeight="1">
      <c r="A328" s="273"/>
      <c r="B328" s="273"/>
      <c r="C328" s="273"/>
      <c r="D328" s="273"/>
      <c r="E328" s="273"/>
      <c r="F328" s="273"/>
      <c r="G328" s="273"/>
      <c r="H328" s="273"/>
      <c r="I328" s="273"/>
      <c r="J328" s="273"/>
      <c r="K328" s="273"/>
      <c r="L328" s="273"/>
      <c r="M328" s="273"/>
      <c r="N328" s="273"/>
      <c r="O328" s="273"/>
      <c r="P328" s="273"/>
      <c r="Q328" s="273"/>
      <c r="R328" s="273"/>
      <c r="S328" s="273"/>
      <c r="T328" s="273"/>
      <c r="U328" s="273"/>
      <c r="V328" s="273"/>
      <c r="W328" s="273"/>
      <c r="X328" s="273"/>
      <c r="Y328" s="273"/>
      <c r="Z328" s="273"/>
    </row>
    <row r="329" ht="15.75" customHeight="1">
      <c r="A329" s="273"/>
      <c r="B329" s="273"/>
      <c r="C329" s="273"/>
      <c r="D329" s="273"/>
      <c r="E329" s="273"/>
      <c r="F329" s="273"/>
      <c r="G329" s="273"/>
      <c r="H329" s="273"/>
      <c r="I329" s="273"/>
      <c r="J329" s="273"/>
      <c r="K329" s="273"/>
      <c r="L329" s="273"/>
      <c r="M329" s="273"/>
      <c r="N329" s="273"/>
      <c r="O329" s="273"/>
      <c r="P329" s="273"/>
      <c r="Q329" s="273"/>
      <c r="R329" s="273"/>
      <c r="S329" s="273"/>
      <c r="T329" s="273"/>
      <c r="U329" s="273"/>
      <c r="V329" s="273"/>
      <c r="W329" s="273"/>
      <c r="X329" s="273"/>
      <c r="Y329" s="273"/>
      <c r="Z329" s="273"/>
    </row>
    <row r="330" ht="15.75" customHeight="1">
      <c r="A330" s="273"/>
      <c r="B330" s="273"/>
      <c r="C330" s="273"/>
      <c r="D330" s="273"/>
      <c r="E330" s="273"/>
      <c r="F330" s="273"/>
      <c r="G330" s="273"/>
      <c r="H330" s="273"/>
      <c r="I330" s="273"/>
      <c r="J330" s="273"/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3"/>
      <c r="X330" s="273"/>
      <c r="Y330" s="273"/>
      <c r="Z330" s="273"/>
    </row>
    <row r="331" ht="15.75" customHeight="1">
      <c r="A331" s="273"/>
      <c r="B331" s="273"/>
      <c r="C331" s="273"/>
      <c r="D331" s="273"/>
      <c r="E331" s="273"/>
      <c r="F331" s="273"/>
      <c r="G331" s="273"/>
      <c r="H331" s="273"/>
      <c r="I331" s="273"/>
      <c r="J331" s="273"/>
      <c r="K331" s="273"/>
      <c r="L331" s="273"/>
      <c r="M331" s="273"/>
      <c r="N331" s="273"/>
      <c r="O331" s="273"/>
      <c r="P331" s="273"/>
      <c r="Q331" s="273"/>
      <c r="R331" s="273"/>
      <c r="S331" s="273"/>
      <c r="T331" s="273"/>
      <c r="U331" s="273"/>
      <c r="V331" s="273"/>
      <c r="W331" s="273"/>
      <c r="X331" s="273"/>
      <c r="Y331" s="273"/>
      <c r="Z331" s="273"/>
    </row>
    <row r="332" ht="15.75" customHeight="1">
      <c r="A332" s="273"/>
      <c r="B332" s="273"/>
      <c r="C332" s="273"/>
      <c r="D332" s="273"/>
      <c r="E332" s="273"/>
      <c r="F332" s="273"/>
      <c r="G332" s="273"/>
      <c r="H332" s="273"/>
      <c r="I332" s="273"/>
      <c r="J332" s="273"/>
      <c r="K332" s="273"/>
      <c r="L332" s="273"/>
      <c r="M332" s="273"/>
      <c r="N332" s="273"/>
      <c r="O332" s="273"/>
      <c r="P332" s="273"/>
      <c r="Q332" s="273"/>
      <c r="R332" s="273"/>
      <c r="S332" s="273"/>
      <c r="T332" s="273"/>
      <c r="U332" s="273"/>
      <c r="V332" s="273"/>
      <c r="W332" s="273"/>
      <c r="X332" s="273"/>
      <c r="Y332" s="273"/>
      <c r="Z332" s="273"/>
    </row>
    <row r="333" ht="15.75" customHeight="1">
      <c r="A333" s="273"/>
      <c r="B333" s="273"/>
      <c r="C333" s="273"/>
      <c r="D333" s="273"/>
      <c r="E333" s="273"/>
      <c r="F333" s="273"/>
      <c r="G333" s="273"/>
      <c r="H333" s="273"/>
      <c r="I333" s="273"/>
      <c r="J333" s="273"/>
      <c r="K333" s="273"/>
      <c r="L333" s="273"/>
      <c r="M333" s="273"/>
      <c r="N333" s="273"/>
      <c r="O333" s="273"/>
      <c r="P333" s="273"/>
      <c r="Q333" s="273"/>
      <c r="R333" s="273"/>
      <c r="S333" s="273"/>
      <c r="T333" s="273"/>
      <c r="U333" s="273"/>
      <c r="V333" s="273"/>
      <c r="W333" s="273"/>
      <c r="X333" s="273"/>
      <c r="Y333" s="273"/>
      <c r="Z333" s="273"/>
    </row>
    <row r="334" ht="15.75" customHeight="1">
      <c r="A334" s="273"/>
      <c r="B334" s="273"/>
      <c r="C334" s="273"/>
      <c r="D334" s="273"/>
      <c r="E334" s="273"/>
      <c r="F334" s="273"/>
      <c r="G334" s="273"/>
      <c r="H334" s="273"/>
      <c r="I334" s="273"/>
      <c r="J334" s="273"/>
      <c r="K334" s="273"/>
      <c r="L334" s="273"/>
      <c r="M334" s="273"/>
      <c r="N334" s="273"/>
      <c r="O334" s="273"/>
      <c r="P334" s="273"/>
      <c r="Q334" s="273"/>
      <c r="R334" s="273"/>
      <c r="S334" s="273"/>
      <c r="T334" s="273"/>
      <c r="U334" s="273"/>
      <c r="V334" s="273"/>
      <c r="W334" s="273"/>
      <c r="X334" s="273"/>
      <c r="Y334" s="273"/>
      <c r="Z334" s="273"/>
    </row>
    <row r="335" ht="15.75" customHeight="1">
      <c r="A335" s="273"/>
      <c r="B335" s="273"/>
      <c r="C335" s="273"/>
      <c r="D335" s="273"/>
      <c r="E335" s="273"/>
      <c r="F335" s="273"/>
      <c r="G335" s="273"/>
      <c r="H335" s="273"/>
      <c r="I335" s="273"/>
      <c r="J335" s="273"/>
      <c r="K335" s="273"/>
      <c r="L335" s="273"/>
      <c r="M335" s="273"/>
      <c r="N335" s="273"/>
      <c r="O335" s="273"/>
      <c r="P335" s="273"/>
      <c r="Q335" s="273"/>
      <c r="R335" s="273"/>
      <c r="S335" s="273"/>
      <c r="T335" s="273"/>
      <c r="U335" s="273"/>
      <c r="V335" s="273"/>
      <c r="W335" s="273"/>
      <c r="X335" s="273"/>
      <c r="Y335" s="273"/>
      <c r="Z335" s="273"/>
    </row>
    <row r="336" ht="15.75" customHeight="1">
      <c r="A336" s="273"/>
      <c r="B336" s="273"/>
      <c r="C336" s="273"/>
      <c r="D336" s="273"/>
      <c r="E336" s="273"/>
      <c r="F336" s="273"/>
      <c r="G336" s="273"/>
      <c r="H336" s="273"/>
      <c r="I336" s="273"/>
      <c r="J336" s="273"/>
      <c r="K336" s="273"/>
      <c r="L336" s="273"/>
      <c r="M336" s="273"/>
      <c r="N336" s="273"/>
      <c r="O336" s="273"/>
      <c r="P336" s="273"/>
      <c r="Q336" s="273"/>
      <c r="R336" s="273"/>
      <c r="S336" s="273"/>
      <c r="T336" s="273"/>
      <c r="U336" s="273"/>
      <c r="V336" s="273"/>
      <c r="W336" s="273"/>
      <c r="X336" s="273"/>
      <c r="Y336" s="273"/>
      <c r="Z336" s="273"/>
    </row>
    <row r="337" ht="15.75" customHeight="1">
      <c r="A337" s="273"/>
      <c r="B337" s="273"/>
      <c r="C337" s="273"/>
      <c r="D337" s="273"/>
      <c r="E337" s="273"/>
      <c r="F337" s="273"/>
      <c r="G337" s="273"/>
      <c r="H337" s="273"/>
      <c r="I337" s="273"/>
      <c r="J337" s="273"/>
      <c r="K337" s="273"/>
      <c r="L337" s="273"/>
      <c r="M337" s="273"/>
      <c r="N337" s="273"/>
      <c r="O337" s="273"/>
      <c r="P337" s="273"/>
      <c r="Q337" s="273"/>
      <c r="R337" s="273"/>
      <c r="S337" s="273"/>
      <c r="T337" s="273"/>
      <c r="U337" s="273"/>
      <c r="V337" s="273"/>
      <c r="W337" s="273"/>
      <c r="X337" s="273"/>
      <c r="Y337" s="273"/>
      <c r="Z337" s="273"/>
    </row>
    <row r="338" ht="15.75" customHeight="1">
      <c r="A338" s="273"/>
      <c r="B338" s="273"/>
      <c r="C338" s="273"/>
      <c r="D338" s="273"/>
      <c r="E338" s="273"/>
      <c r="F338" s="273"/>
      <c r="G338" s="273"/>
      <c r="H338" s="273"/>
      <c r="I338" s="273"/>
      <c r="J338" s="273"/>
      <c r="K338" s="273"/>
      <c r="L338" s="273"/>
      <c r="M338" s="273"/>
      <c r="N338" s="273"/>
      <c r="O338" s="273"/>
      <c r="P338" s="273"/>
      <c r="Q338" s="273"/>
      <c r="R338" s="273"/>
      <c r="S338" s="273"/>
      <c r="T338" s="273"/>
      <c r="U338" s="273"/>
      <c r="V338" s="273"/>
      <c r="W338" s="273"/>
      <c r="X338" s="273"/>
      <c r="Y338" s="273"/>
      <c r="Z338" s="273"/>
    </row>
    <row r="339" ht="15.75" customHeight="1">
      <c r="A339" s="273"/>
      <c r="B339" s="273"/>
      <c r="C339" s="273"/>
      <c r="D339" s="273"/>
      <c r="E339" s="273"/>
      <c r="F339" s="273"/>
      <c r="G339" s="273"/>
      <c r="H339" s="273"/>
      <c r="I339" s="273"/>
      <c r="J339" s="273"/>
      <c r="K339" s="273"/>
      <c r="L339" s="273"/>
      <c r="M339" s="273"/>
      <c r="N339" s="273"/>
      <c r="O339" s="273"/>
      <c r="P339" s="273"/>
      <c r="Q339" s="273"/>
      <c r="R339" s="273"/>
      <c r="S339" s="273"/>
      <c r="T339" s="273"/>
      <c r="U339" s="273"/>
      <c r="V339" s="273"/>
      <c r="W339" s="273"/>
      <c r="X339" s="273"/>
      <c r="Y339" s="273"/>
      <c r="Z339" s="273"/>
    </row>
    <row r="340" ht="15.75" customHeight="1">
      <c r="A340" s="273"/>
      <c r="B340" s="273"/>
      <c r="C340" s="273"/>
      <c r="D340" s="273"/>
      <c r="E340" s="273"/>
      <c r="F340" s="273"/>
      <c r="G340" s="273"/>
      <c r="H340" s="273"/>
      <c r="I340" s="273"/>
      <c r="J340" s="273"/>
      <c r="K340" s="273"/>
      <c r="L340" s="273"/>
      <c r="M340" s="273"/>
      <c r="N340" s="273"/>
      <c r="O340" s="273"/>
      <c r="P340" s="273"/>
      <c r="Q340" s="273"/>
      <c r="R340" s="273"/>
      <c r="S340" s="273"/>
      <c r="T340" s="273"/>
      <c r="U340" s="273"/>
      <c r="V340" s="273"/>
      <c r="W340" s="273"/>
      <c r="X340" s="273"/>
      <c r="Y340" s="273"/>
      <c r="Z340" s="273"/>
    </row>
    <row r="341" ht="15.75" customHeight="1">
      <c r="A341" s="273"/>
      <c r="B341" s="273"/>
      <c r="C341" s="273"/>
      <c r="D341" s="273"/>
      <c r="E341" s="273"/>
      <c r="F341" s="273"/>
      <c r="G341" s="273"/>
      <c r="H341" s="273"/>
      <c r="I341" s="273"/>
      <c r="J341" s="273"/>
      <c r="K341" s="273"/>
      <c r="L341" s="273"/>
      <c r="M341" s="273"/>
      <c r="N341" s="273"/>
      <c r="O341" s="273"/>
      <c r="P341" s="273"/>
      <c r="Q341" s="273"/>
      <c r="R341" s="273"/>
      <c r="S341" s="273"/>
      <c r="T341" s="273"/>
      <c r="U341" s="273"/>
      <c r="V341" s="273"/>
      <c r="W341" s="273"/>
      <c r="X341" s="273"/>
      <c r="Y341" s="273"/>
      <c r="Z341" s="273"/>
    </row>
    <row r="342" ht="15.75" customHeight="1">
      <c r="A342" s="273"/>
      <c r="B342" s="273"/>
      <c r="C342" s="273"/>
      <c r="D342" s="273"/>
      <c r="E342" s="273"/>
      <c r="F342" s="273"/>
      <c r="G342" s="273"/>
      <c r="H342" s="273"/>
      <c r="I342" s="273"/>
      <c r="J342" s="273"/>
      <c r="K342" s="273"/>
      <c r="L342" s="273"/>
      <c r="M342" s="273"/>
      <c r="N342" s="273"/>
      <c r="O342" s="273"/>
      <c r="P342" s="273"/>
      <c r="Q342" s="273"/>
      <c r="R342" s="273"/>
      <c r="S342" s="273"/>
      <c r="T342" s="273"/>
      <c r="U342" s="273"/>
      <c r="V342" s="273"/>
      <c r="W342" s="273"/>
      <c r="X342" s="273"/>
      <c r="Y342" s="273"/>
      <c r="Z342" s="273"/>
    </row>
    <row r="343" ht="15.75" customHeight="1">
      <c r="A343" s="273"/>
      <c r="B343" s="273"/>
      <c r="C343" s="273"/>
      <c r="D343" s="273"/>
      <c r="E343" s="273"/>
      <c r="F343" s="273"/>
      <c r="G343" s="273"/>
      <c r="H343" s="273"/>
      <c r="I343" s="273"/>
      <c r="J343" s="273"/>
      <c r="K343" s="273"/>
      <c r="L343" s="273"/>
      <c r="M343" s="273"/>
      <c r="N343" s="273"/>
      <c r="O343" s="273"/>
      <c r="P343" s="273"/>
      <c r="Q343" s="273"/>
      <c r="R343" s="273"/>
      <c r="S343" s="273"/>
      <c r="T343" s="273"/>
      <c r="U343" s="273"/>
      <c r="V343" s="273"/>
      <c r="W343" s="273"/>
      <c r="X343" s="273"/>
      <c r="Y343" s="273"/>
      <c r="Z343" s="273"/>
    </row>
    <row r="344" ht="15.75" customHeight="1">
      <c r="A344" s="273"/>
      <c r="B344" s="273"/>
      <c r="C344" s="273"/>
      <c r="D344" s="273"/>
      <c r="E344" s="273"/>
      <c r="F344" s="273"/>
      <c r="G344" s="273"/>
      <c r="H344" s="273"/>
      <c r="I344" s="273"/>
      <c r="J344" s="273"/>
      <c r="K344" s="273"/>
      <c r="L344" s="273"/>
      <c r="M344" s="273"/>
      <c r="N344" s="273"/>
      <c r="O344" s="273"/>
      <c r="P344" s="273"/>
      <c r="Q344" s="273"/>
      <c r="R344" s="273"/>
      <c r="S344" s="273"/>
      <c r="T344" s="273"/>
      <c r="U344" s="273"/>
      <c r="V344" s="273"/>
      <c r="W344" s="273"/>
      <c r="X344" s="273"/>
      <c r="Y344" s="273"/>
      <c r="Z344" s="273"/>
    </row>
    <row r="345" ht="15.75" customHeight="1">
      <c r="A345" s="273"/>
      <c r="B345" s="273"/>
      <c r="C345" s="273"/>
      <c r="D345" s="273"/>
      <c r="E345" s="273"/>
      <c r="F345" s="273"/>
      <c r="G345" s="273"/>
      <c r="H345" s="273"/>
      <c r="I345" s="273"/>
      <c r="J345" s="273"/>
      <c r="K345" s="273"/>
      <c r="L345" s="273"/>
      <c r="M345" s="273"/>
      <c r="N345" s="273"/>
      <c r="O345" s="273"/>
      <c r="P345" s="273"/>
      <c r="Q345" s="273"/>
      <c r="R345" s="273"/>
      <c r="S345" s="273"/>
      <c r="T345" s="273"/>
      <c r="U345" s="273"/>
      <c r="V345" s="273"/>
      <c r="W345" s="273"/>
      <c r="X345" s="273"/>
      <c r="Y345" s="273"/>
      <c r="Z345" s="273"/>
    </row>
    <row r="346" ht="15.75" customHeight="1">
      <c r="A346" s="273"/>
      <c r="B346" s="273"/>
      <c r="C346" s="273"/>
      <c r="D346" s="273"/>
      <c r="E346" s="273"/>
      <c r="F346" s="273"/>
      <c r="G346" s="273"/>
      <c r="H346" s="273"/>
      <c r="I346" s="273"/>
      <c r="J346" s="273"/>
      <c r="K346" s="273"/>
      <c r="L346" s="273"/>
      <c r="M346" s="273"/>
      <c r="N346" s="273"/>
      <c r="O346" s="273"/>
      <c r="P346" s="273"/>
      <c r="Q346" s="273"/>
      <c r="R346" s="273"/>
      <c r="S346" s="273"/>
      <c r="T346" s="273"/>
      <c r="U346" s="273"/>
      <c r="V346" s="273"/>
      <c r="W346" s="273"/>
      <c r="X346" s="273"/>
      <c r="Y346" s="273"/>
      <c r="Z346" s="273"/>
    </row>
    <row r="347" ht="15.75" customHeight="1">
      <c r="A347" s="273"/>
      <c r="B347" s="273"/>
      <c r="C347" s="273"/>
      <c r="D347" s="273"/>
      <c r="E347" s="273"/>
      <c r="F347" s="273"/>
      <c r="G347" s="273"/>
      <c r="H347" s="273"/>
      <c r="I347" s="273"/>
      <c r="J347" s="273"/>
      <c r="K347" s="273"/>
      <c r="L347" s="273"/>
      <c r="M347" s="273"/>
      <c r="N347" s="273"/>
      <c r="O347" s="273"/>
      <c r="P347" s="273"/>
      <c r="Q347" s="273"/>
      <c r="R347" s="273"/>
      <c r="S347" s="273"/>
      <c r="T347" s="273"/>
      <c r="U347" s="273"/>
      <c r="V347" s="273"/>
      <c r="W347" s="273"/>
      <c r="X347" s="273"/>
      <c r="Y347" s="273"/>
      <c r="Z347" s="273"/>
    </row>
    <row r="348" ht="15.75" customHeight="1">
      <c r="A348" s="273"/>
      <c r="B348" s="273"/>
      <c r="C348" s="273"/>
      <c r="D348" s="273"/>
      <c r="E348" s="273"/>
      <c r="F348" s="273"/>
      <c r="G348" s="273"/>
      <c r="H348" s="273"/>
      <c r="I348" s="273"/>
      <c r="J348" s="273"/>
      <c r="K348" s="273"/>
      <c r="L348" s="273"/>
      <c r="M348" s="273"/>
      <c r="N348" s="273"/>
      <c r="O348" s="273"/>
      <c r="P348" s="273"/>
      <c r="Q348" s="273"/>
      <c r="R348" s="273"/>
      <c r="S348" s="273"/>
      <c r="T348" s="273"/>
      <c r="U348" s="273"/>
      <c r="V348" s="273"/>
      <c r="W348" s="273"/>
      <c r="X348" s="273"/>
      <c r="Y348" s="273"/>
      <c r="Z348" s="273"/>
    </row>
    <row r="349" ht="15.75" customHeight="1">
      <c r="A349" s="273"/>
      <c r="B349" s="273"/>
      <c r="C349" s="273"/>
      <c r="D349" s="273"/>
      <c r="E349" s="273"/>
      <c r="F349" s="273"/>
      <c r="G349" s="273"/>
      <c r="H349" s="273"/>
      <c r="I349" s="273"/>
      <c r="J349" s="273"/>
      <c r="K349" s="273"/>
      <c r="L349" s="273"/>
      <c r="M349" s="273"/>
      <c r="N349" s="273"/>
      <c r="O349" s="273"/>
      <c r="P349" s="273"/>
      <c r="Q349" s="273"/>
      <c r="R349" s="273"/>
      <c r="S349" s="273"/>
      <c r="T349" s="273"/>
      <c r="U349" s="273"/>
      <c r="V349" s="273"/>
      <c r="W349" s="273"/>
      <c r="X349" s="273"/>
      <c r="Y349" s="273"/>
      <c r="Z349" s="273"/>
    </row>
    <row r="350" ht="15.75" customHeight="1">
      <c r="A350" s="273"/>
      <c r="B350" s="273"/>
      <c r="C350" s="273"/>
      <c r="D350" s="273"/>
      <c r="E350" s="273"/>
      <c r="F350" s="273"/>
      <c r="G350" s="273"/>
      <c r="H350" s="273"/>
      <c r="I350" s="273"/>
      <c r="J350" s="273"/>
      <c r="K350" s="273"/>
      <c r="L350" s="273"/>
      <c r="M350" s="273"/>
      <c r="N350" s="273"/>
      <c r="O350" s="273"/>
      <c r="P350" s="273"/>
      <c r="Q350" s="273"/>
      <c r="R350" s="273"/>
      <c r="S350" s="273"/>
      <c r="T350" s="273"/>
      <c r="U350" s="273"/>
      <c r="V350" s="273"/>
      <c r="W350" s="273"/>
      <c r="X350" s="273"/>
      <c r="Y350" s="273"/>
      <c r="Z350" s="273"/>
    </row>
    <row r="351" ht="15.75" customHeight="1">
      <c r="A351" s="273"/>
      <c r="B351" s="273"/>
      <c r="C351" s="273"/>
      <c r="D351" s="273"/>
      <c r="E351" s="273"/>
      <c r="F351" s="273"/>
      <c r="G351" s="273"/>
      <c r="H351" s="273"/>
      <c r="I351" s="273"/>
      <c r="J351" s="273"/>
      <c r="K351" s="273"/>
      <c r="L351" s="273"/>
      <c r="M351" s="273"/>
      <c r="N351" s="273"/>
      <c r="O351" s="273"/>
      <c r="P351" s="273"/>
      <c r="Q351" s="273"/>
      <c r="R351" s="273"/>
      <c r="S351" s="273"/>
      <c r="T351" s="273"/>
      <c r="U351" s="273"/>
      <c r="V351" s="273"/>
      <c r="W351" s="273"/>
      <c r="X351" s="273"/>
      <c r="Y351" s="273"/>
      <c r="Z351" s="273"/>
    </row>
    <row r="352" ht="15.75" customHeight="1">
      <c r="A352" s="273"/>
      <c r="B352" s="273"/>
      <c r="C352" s="273"/>
      <c r="D352" s="273"/>
      <c r="E352" s="273"/>
      <c r="F352" s="273"/>
      <c r="G352" s="273"/>
      <c r="H352" s="273"/>
      <c r="I352" s="273"/>
      <c r="J352" s="273"/>
      <c r="K352" s="273"/>
      <c r="L352" s="273"/>
      <c r="M352" s="273"/>
      <c r="N352" s="273"/>
      <c r="O352" s="273"/>
      <c r="P352" s="273"/>
      <c r="Q352" s="273"/>
      <c r="R352" s="273"/>
      <c r="S352" s="273"/>
      <c r="T352" s="273"/>
      <c r="U352" s="273"/>
      <c r="V352" s="273"/>
      <c r="W352" s="273"/>
      <c r="X352" s="273"/>
      <c r="Y352" s="273"/>
      <c r="Z352" s="273"/>
    </row>
    <row r="353" ht="15.75" customHeight="1">
      <c r="A353" s="273"/>
      <c r="B353" s="273"/>
      <c r="C353" s="273"/>
      <c r="D353" s="273"/>
      <c r="E353" s="273"/>
      <c r="F353" s="273"/>
      <c r="G353" s="273"/>
      <c r="H353" s="273"/>
      <c r="I353" s="273"/>
      <c r="J353" s="273"/>
      <c r="K353" s="273"/>
      <c r="L353" s="273"/>
      <c r="M353" s="273"/>
      <c r="N353" s="273"/>
      <c r="O353" s="273"/>
      <c r="P353" s="273"/>
      <c r="Q353" s="273"/>
      <c r="R353" s="273"/>
      <c r="S353" s="273"/>
      <c r="T353" s="273"/>
      <c r="U353" s="273"/>
      <c r="V353" s="273"/>
      <c r="W353" s="273"/>
      <c r="X353" s="273"/>
      <c r="Y353" s="273"/>
      <c r="Z353" s="273"/>
    </row>
    <row r="354" ht="15.75" customHeight="1">
      <c r="A354" s="273"/>
      <c r="B354" s="273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3"/>
      <c r="P354" s="273"/>
      <c r="Q354" s="273"/>
      <c r="R354" s="273"/>
      <c r="S354" s="273"/>
      <c r="T354" s="273"/>
      <c r="U354" s="273"/>
      <c r="V354" s="273"/>
      <c r="W354" s="273"/>
      <c r="X354" s="273"/>
      <c r="Y354" s="273"/>
      <c r="Z354" s="273"/>
    </row>
    <row r="355" ht="15.75" customHeight="1">
      <c r="A355" s="273"/>
      <c r="B355" s="273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3"/>
      <c r="P355" s="273"/>
      <c r="Q355" s="273"/>
      <c r="R355" s="273"/>
      <c r="S355" s="273"/>
      <c r="T355" s="273"/>
      <c r="U355" s="273"/>
      <c r="V355" s="273"/>
      <c r="W355" s="273"/>
      <c r="X355" s="273"/>
      <c r="Y355" s="273"/>
      <c r="Z355" s="273"/>
    </row>
    <row r="356" ht="15.75" customHeight="1">
      <c r="A356" s="273"/>
      <c r="B356" s="273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3"/>
      <c r="P356" s="273"/>
      <c r="Q356" s="273"/>
      <c r="R356" s="273"/>
      <c r="S356" s="273"/>
      <c r="T356" s="273"/>
      <c r="U356" s="273"/>
      <c r="V356" s="273"/>
      <c r="W356" s="273"/>
      <c r="X356" s="273"/>
      <c r="Y356" s="273"/>
      <c r="Z356" s="273"/>
    </row>
    <row r="357" ht="15.75" customHeight="1">
      <c r="A357" s="273"/>
      <c r="B357" s="273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3"/>
      <c r="P357" s="273"/>
      <c r="Q357" s="273"/>
      <c r="R357" s="273"/>
      <c r="S357" s="273"/>
      <c r="T357" s="273"/>
      <c r="U357" s="273"/>
      <c r="V357" s="273"/>
      <c r="W357" s="273"/>
      <c r="X357" s="273"/>
      <c r="Y357" s="273"/>
      <c r="Z357" s="273"/>
    </row>
    <row r="358" ht="15.75" customHeight="1">
      <c r="A358" s="273"/>
      <c r="B358" s="273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3"/>
      <c r="P358" s="273"/>
      <c r="Q358" s="273"/>
      <c r="R358" s="273"/>
      <c r="S358" s="273"/>
      <c r="T358" s="273"/>
      <c r="U358" s="273"/>
      <c r="V358" s="273"/>
      <c r="W358" s="273"/>
      <c r="X358" s="273"/>
      <c r="Y358" s="273"/>
      <c r="Z358" s="273"/>
    </row>
    <row r="359" ht="15.75" customHeight="1">
      <c r="A359" s="273"/>
      <c r="B359" s="273"/>
      <c r="C359" s="273"/>
      <c r="D359" s="273"/>
      <c r="E359" s="273"/>
      <c r="F359" s="273"/>
      <c r="G359" s="273"/>
      <c r="H359" s="273"/>
      <c r="I359" s="273"/>
      <c r="J359" s="273"/>
      <c r="K359" s="273"/>
      <c r="L359" s="273"/>
      <c r="M359" s="273"/>
      <c r="N359" s="273"/>
      <c r="O359" s="273"/>
      <c r="P359" s="273"/>
      <c r="Q359" s="273"/>
      <c r="R359" s="273"/>
      <c r="S359" s="273"/>
      <c r="T359" s="273"/>
      <c r="U359" s="273"/>
      <c r="V359" s="273"/>
      <c r="W359" s="273"/>
      <c r="X359" s="273"/>
      <c r="Y359" s="273"/>
      <c r="Z359" s="273"/>
    </row>
    <row r="360" ht="15.75" customHeight="1">
      <c r="A360" s="273"/>
      <c r="B360" s="273"/>
      <c r="C360" s="273"/>
      <c r="D360" s="273"/>
      <c r="E360" s="273"/>
      <c r="F360" s="273"/>
      <c r="G360" s="273"/>
      <c r="H360" s="273"/>
      <c r="I360" s="273"/>
      <c r="J360" s="273"/>
      <c r="K360" s="273"/>
      <c r="L360" s="273"/>
      <c r="M360" s="273"/>
      <c r="N360" s="273"/>
      <c r="O360" s="273"/>
      <c r="P360" s="273"/>
      <c r="Q360" s="273"/>
      <c r="R360" s="273"/>
      <c r="S360" s="273"/>
      <c r="T360" s="273"/>
      <c r="U360" s="273"/>
      <c r="V360" s="273"/>
      <c r="W360" s="273"/>
      <c r="X360" s="273"/>
      <c r="Y360" s="273"/>
      <c r="Z360" s="273"/>
    </row>
    <row r="361" ht="15.75" customHeight="1">
      <c r="A361" s="273"/>
      <c r="B361" s="273"/>
      <c r="C361" s="273"/>
      <c r="D361" s="273"/>
      <c r="E361" s="273"/>
      <c r="F361" s="273"/>
      <c r="G361" s="273"/>
      <c r="H361" s="273"/>
      <c r="I361" s="273"/>
      <c r="J361" s="273"/>
      <c r="K361" s="273"/>
      <c r="L361" s="273"/>
      <c r="M361" s="273"/>
      <c r="N361" s="273"/>
      <c r="O361" s="273"/>
      <c r="P361" s="273"/>
      <c r="Q361" s="273"/>
      <c r="R361" s="273"/>
      <c r="S361" s="273"/>
      <c r="T361" s="273"/>
      <c r="U361" s="273"/>
      <c r="V361" s="273"/>
      <c r="W361" s="273"/>
      <c r="X361" s="273"/>
      <c r="Y361" s="273"/>
      <c r="Z361" s="273"/>
    </row>
    <row r="362" ht="15.75" customHeight="1">
      <c r="A362" s="273"/>
      <c r="B362" s="273"/>
      <c r="C362" s="273"/>
      <c r="D362" s="273"/>
      <c r="E362" s="273"/>
      <c r="F362" s="273"/>
      <c r="G362" s="273"/>
      <c r="H362" s="273"/>
      <c r="I362" s="273"/>
      <c r="J362" s="273"/>
      <c r="K362" s="273"/>
      <c r="L362" s="273"/>
      <c r="M362" s="273"/>
      <c r="N362" s="273"/>
      <c r="O362" s="273"/>
      <c r="P362" s="273"/>
      <c r="Q362" s="273"/>
      <c r="R362" s="273"/>
      <c r="S362" s="273"/>
      <c r="T362" s="273"/>
      <c r="U362" s="273"/>
      <c r="V362" s="273"/>
      <c r="W362" s="273"/>
      <c r="X362" s="273"/>
      <c r="Y362" s="273"/>
      <c r="Z362" s="273"/>
    </row>
    <row r="363" ht="15.75" customHeight="1">
      <c r="A363" s="273"/>
      <c r="B363" s="273"/>
      <c r="C363" s="273"/>
      <c r="D363" s="273"/>
      <c r="E363" s="273"/>
      <c r="F363" s="273"/>
      <c r="G363" s="273"/>
      <c r="H363" s="273"/>
      <c r="I363" s="273"/>
      <c r="J363" s="273"/>
      <c r="K363" s="273"/>
      <c r="L363" s="273"/>
      <c r="M363" s="273"/>
      <c r="N363" s="273"/>
      <c r="O363" s="273"/>
      <c r="P363" s="273"/>
      <c r="Q363" s="273"/>
      <c r="R363" s="273"/>
      <c r="S363" s="273"/>
      <c r="T363" s="273"/>
      <c r="U363" s="273"/>
      <c r="V363" s="273"/>
      <c r="W363" s="273"/>
      <c r="X363" s="273"/>
      <c r="Y363" s="273"/>
      <c r="Z363" s="273"/>
    </row>
    <row r="364" ht="15.75" customHeight="1">
      <c r="A364" s="273"/>
      <c r="B364" s="273"/>
      <c r="C364" s="273"/>
      <c r="D364" s="273"/>
      <c r="E364" s="273"/>
      <c r="F364" s="273"/>
      <c r="G364" s="273"/>
      <c r="H364" s="273"/>
      <c r="I364" s="273"/>
      <c r="J364" s="273"/>
      <c r="K364" s="273"/>
      <c r="L364" s="273"/>
      <c r="M364" s="273"/>
      <c r="N364" s="273"/>
      <c r="O364" s="273"/>
      <c r="P364" s="273"/>
      <c r="Q364" s="273"/>
      <c r="R364" s="273"/>
      <c r="S364" s="273"/>
      <c r="T364" s="273"/>
      <c r="U364" s="273"/>
      <c r="V364" s="273"/>
      <c r="W364" s="273"/>
      <c r="X364" s="273"/>
      <c r="Y364" s="273"/>
      <c r="Z364" s="273"/>
    </row>
    <row r="365" ht="15.75" customHeight="1">
      <c r="A365" s="273"/>
      <c r="B365" s="273"/>
      <c r="C365" s="273"/>
      <c r="D365" s="273"/>
      <c r="E365" s="273"/>
      <c r="F365" s="273"/>
      <c r="G365" s="273"/>
      <c r="H365" s="273"/>
      <c r="I365" s="273"/>
      <c r="J365" s="273"/>
      <c r="K365" s="273"/>
      <c r="L365" s="273"/>
      <c r="M365" s="273"/>
      <c r="N365" s="273"/>
      <c r="O365" s="273"/>
      <c r="P365" s="273"/>
      <c r="Q365" s="273"/>
      <c r="R365" s="273"/>
      <c r="S365" s="273"/>
      <c r="T365" s="273"/>
      <c r="U365" s="273"/>
      <c r="V365" s="273"/>
      <c r="W365" s="273"/>
      <c r="X365" s="273"/>
      <c r="Y365" s="273"/>
      <c r="Z365" s="273"/>
    </row>
    <row r="366" ht="15.75" customHeight="1">
      <c r="A366" s="273"/>
      <c r="B366" s="273"/>
      <c r="C366" s="273"/>
      <c r="D366" s="273"/>
      <c r="E366" s="273"/>
      <c r="F366" s="273"/>
      <c r="G366" s="273"/>
      <c r="H366" s="273"/>
      <c r="I366" s="273"/>
      <c r="J366" s="273"/>
      <c r="K366" s="273"/>
      <c r="L366" s="273"/>
      <c r="M366" s="273"/>
      <c r="N366" s="273"/>
      <c r="O366" s="273"/>
      <c r="P366" s="273"/>
      <c r="Q366" s="273"/>
      <c r="R366" s="273"/>
      <c r="S366" s="273"/>
      <c r="T366" s="273"/>
      <c r="U366" s="273"/>
      <c r="V366" s="273"/>
      <c r="W366" s="273"/>
      <c r="X366" s="273"/>
      <c r="Y366" s="273"/>
      <c r="Z366" s="273"/>
    </row>
    <row r="367" ht="15.75" customHeight="1">
      <c r="A367" s="273"/>
      <c r="B367" s="273"/>
      <c r="C367" s="273"/>
      <c r="D367" s="273"/>
      <c r="E367" s="273"/>
      <c r="F367" s="273"/>
      <c r="G367" s="273"/>
      <c r="H367" s="273"/>
      <c r="I367" s="273"/>
      <c r="J367" s="273"/>
      <c r="K367" s="273"/>
      <c r="L367" s="273"/>
      <c r="M367" s="273"/>
      <c r="N367" s="273"/>
      <c r="O367" s="273"/>
      <c r="P367" s="273"/>
      <c r="Q367" s="273"/>
      <c r="R367" s="273"/>
      <c r="S367" s="273"/>
      <c r="T367" s="273"/>
      <c r="U367" s="273"/>
      <c r="V367" s="273"/>
      <c r="W367" s="273"/>
      <c r="X367" s="273"/>
      <c r="Y367" s="273"/>
      <c r="Z367" s="273"/>
    </row>
    <row r="368" ht="15.75" customHeight="1">
      <c r="A368" s="273"/>
      <c r="B368" s="273"/>
      <c r="C368" s="273"/>
      <c r="D368" s="273"/>
      <c r="E368" s="273"/>
      <c r="F368" s="273"/>
      <c r="G368" s="273"/>
      <c r="H368" s="273"/>
      <c r="I368" s="273"/>
      <c r="J368" s="273"/>
      <c r="K368" s="273"/>
      <c r="L368" s="273"/>
      <c r="M368" s="273"/>
      <c r="N368" s="273"/>
      <c r="O368" s="273"/>
      <c r="P368" s="273"/>
      <c r="Q368" s="273"/>
      <c r="R368" s="273"/>
      <c r="S368" s="273"/>
      <c r="T368" s="273"/>
      <c r="U368" s="273"/>
      <c r="V368" s="273"/>
      <c r="W368" s="273"/>
      <c r="X368" s="273"/>
      <c r="Y368" s="273"/>
      <c r="Z368" s="273"/>
    </row>
    <row r="369" ht="15.75" customHeight="1">
      <c r="A369" s="273"/>
      <c r="B369" s="273"/>
      <c r="C369" s="273"/>
      <c r="D369" s="273"/>
      <c r="E369" s="273"/>
      <c r="F369" s="273"/>
      <c r="G369" s="273"/>
      <c r="H369" s="273"/>
      <c r="I369" s="273"/>
      <c r="J369" s="273"/>
      <c r="K369" s="273"/>
      <c r="L369" s="273"/>
      <c r="M369" s="273"/>
      <c r="N369" s="273"/>
      <c r="O369" s="273"/>
      <c r="P369" s="273"/>
      <c r="Q369" s="273"/>
      <c r="R369" s="273"/>
      <c r="S369" s="273"/>
      <c r="T369" s="273"/>
      <c r="U369" s="273"/>
      <c r="V369" s="273"/>
      <c r="W369" s="273"/>
      <c r="X369" s="273"/>
      <c r="Y369" s="273"/>
      <c r="Z369" s="273"/>
    </row>
    <row r="370" ht="15.75" customHeight="1">
      <c r="A370" s="273"/>
      <c r="B370" s="273"/>
      <c r="C370" s="273"/>
      <c r="D370" s="273"/>
      <c r="E370" s="273"/>
      <c r="F370" s="273"/>
      <c r="G370" s="273"/>
      <c r="H370" s="273"/>
      <c r="I370" s="273"/>
      <c r="J370" s="273"/>
      <c r="K370" s="273"/>
      <c r="L370" s="273"/>
      <c r="M370" s="273"/>
      <c r="N370" s="273"/>
      <c r="O370" s="273"/>
      <c r="P370" s="273"/>
      <c r="Q370" s="273"/>
      <c r="R370" s="273"/>
      <c r="S370" s="273"/>
      <c r="T370" s="273"/>
      <c r="U370" s="273"/>
      <c r="V370" s="273"/>
      <c r="W370" s="273"/>
      <c r="X370" s="273"/>
      <c r="Y370" s="273"/>
      <c r="Z370" s="273"/>
    </row>
    <row r="371" ht="15.75" customHeight="1">
      <c r="A371" s="273"/>
      <c r="B371" s="273"/>
      <c r="C371" s="273"/>
      <c r="D371" s="273"/>
      <c r="E371" s="273"/>
      <c r="F371" s="273"/>
      <c r="G371" s="273"/>
      <c r="H371" s="273"/>
      <c r="I371" s="273"/>
      <c r="J371" s="273"/>
      <c r="K371" s="273"/>
      <c r="L371" s="273"/>
      <c r="M371" s="273"/>
      <c r="N371" s="273"/>
      <c r="O371" s="273"/>
      <c r="P371" s="273"/>
      <c r="Q371" s="273"/>
      <c r="R371" s="273"/>
      <c r="S371" s="273"/>
      <c r="T371" s="273"/>
      <c r="U371" s="273"/>
      <c r="V371" s="273"/>
      <c r="W371" s="273"/>
      <c r="X371" s="273"/>
      <c r="Y371" s="273"/>
      <c r="Z371" s="273"/>
    </row>
    <row r="372" ht="15.75" customHeight="1">
      <c r="A372" s="273"/>
      <c r="B372" s="273"/>
      <c r="C372" s="273"/>
      <c r="D372" s="273"/>
      <c r="E372" s="273"/>
      <c r="F372" s="273"/>
      <c r="G372" s="273"/>
      <c r="H372" s="273"/>
      <c r="I372" s="273"/>
      <c r="J372" s="273"/>
      <c r="K372" s="273"/>
      <c r="L372" s="273"/>
      <c r="M372" s="273"/>
      <c r="N372" s="273"/>
      <c r="O372" s="273"/>
      <c r="P372" s="273"/>
      <c r="Q372" s="273"/>
      <c r="R372" s="273"/>
      <c r="S372" s="273"/>
      <c r="T372" s="273"/>
      <c r="U372" s="273"/>
      <c r="V372" s="273"/>
      <c r="W372" s="273"/>
      <c r="X372" s="273"/>
      <c r="Y372" s="273"/>
      <c r="Z372" s="273"/>
    </row>
    <row r="373" ht="15.75" customHeight="1">
      <c r="A373" s="273"/>
      <c r="B373" s="273"/>
      <c r="C373" s="273"/>
      <c r="D373" s="273"/>
      <c r="E373" s="273"/>
      <c r="F373" s="273"/>
      <c r="G373" s="273"/>
      <c r="H373" s="273"/>
      <c r="I373" s="273"/>
      <c r="J373" s="273"/>
      <c r="K373" s="273"/>
      <c r="L373" s="273"/>
      <c r="M373" s="273"/>
      <c r="N373" s="273"/>
      <c r="O373" s="273"/>
      <c r="P373" s="273"/>
      <c r="Q373" s="273"/>
      <c r="R373" s="273"/>
      <c r="S373" s="273"/>
      <c r="T373" s="273"/>
      <c r="U373" s="273"/>
      <c r="V373" s="273"/>
      <c r="W373" s="273"/>
      <c r="X373" s="273"/>
      <c r="Y373" s="273"/>
      <c r="Z373" s="273"/>
    </row>
    <row r="374" ht="15.75" customHeight="1">
      <c r="A374" s="273"/>
      <c r="B374" s="273"/>
      <c r="C374" s="273"/>
      <c r="D374" s="273"/>
      <c r="E374" s="273"/>
      <c r="F374" s="273"/>
      <c r="G374" s="273"/>
      <c r="H374" s="273"/>
      <c r="I374" s="273"/>
      <c r="J374" s="273"/>
      <c r="K374" s="273"/>
      <c r="L374" s="273"/>
      <c r="M374" s="273"/>
      <c r="N374" s="273"/>
      <c r="O374" s="273"/>
      <c r="P374" s="273"/>
      <c r="Q374" s="273"/>
      <c r="R374" s="273"/>
      <c r="S374" s="273"/>
      <c r="T374" s="273"/>
      <c r="U374" s="273"/>
      <c r="V374" s="273"/>
      <c r="W374" s="273"/>
      <c r="X374" s="273"/>
      <c r="Y374" s="273"/>
      <c r="Z374" s="273"/>
    </row>
    <row r="375" ht="15.75" customHeight="1">
      <c r="A375" s="273"/>
      <c r="B375" s="273"/>
      <c r="C375" s="273"/>
      <c r="D375" s="273"/>
      <c r="E375" s="273"/>
      <c r="F375" s="273"/>
      <c r="G375" s="273"/>
      <c r="H375" s="273"/>
      <c r="I375" s="273"/>
      <c r="J375" s="273"/>
      <c r="K375" s="273"/>
      <c r="L375" s="273"/>
      <c r="M375" s="273"/>
      <c r="N375" s="273"/>
      <c r="O375" s="273"/>
      <c r="P375" s="273"/>
      <c r="Q375" s="273"/>
      <c r="R375" s="273"/>
      <c r="S375" s="273"/>
      <c r="T375" s="273"/>
      <c r="U375" s="273"/>
      <c r="V375" s="273"/>
      <c r="W375" s="273"/>
      <c r="X375" s="273"/>
      <c r="Y375" s="273"/>
      <c r="Z375" s="273"/>
    </row>
    <row r="376" ht="15.75" customHeight="1">
      <c r="A376" s="273"/>
      <c r="B376" s="273"/>
      <c r="C376" s="273"/>
      <c r="D376" s="273"/>
      <c r="E376" s="273"/>
      <c r="F376" s="273"/>
      <c r="G376" s="273"/>
      <c r="H376" s="273"/>
      <c r="I376" s="273"/>
      <c r="J376" s="273"/>
      <c r="K376" s="273"/>
      <c r="L376" s="273"/>
      <c r="M376" s="273"/>
      <c r="N376" s="273"/>
      <c r="O376" s="273"/>
      <c r="P376" s="273"/>
      <c r="Q376" s="273"/>
      <c r="R376" s="273"/>
      <c r="S376" s="273"/>
      <c r="T376" s="273"/>
      <c r="U376" s="273"/>
      <c r="V376" s="273"/>
      <c r="W376" s="273"/>
      <c r="X376" s="273"/>
      <c r="Y376" s="273"/>
      <c r="Z376" s="273"/>
    </row>
    <row r="377" ht="15.75" customHeight="1">
      <c r="A377" s="273"/>
      <c r="B377" s="273"/>
      <c r="C377" s="273"/>
      <c r="D377" s="273"/>
      <c r="E377" s="273"/>
      <c r="F377" s="273"/>
      <c r="G377" s="273"/>
      <c r="H377" s="273"/>
      <c r="I377" s="273"/>
      <c r="J377" s="273"/>
      <c r="K377" s="273"/>
      <c r="L377" s="273"/>
      <c r="M377" s="273"/>
      <c r="N377" s="273"/>
      <c r="O377" s="273"/>
      <c r="P377" s="273"/>
      <c r="Q377" s="273"/>
      <c r="R377" s="273"/>
      <c r="S377" s="273"/>
      <c r="T377" s="273"/>
      <c r="U377" s="273"/>
      <c r="V377" s="273"/>
      <c r="W377" s="273"/>
      <c r="X377" s="273"/>
      <c r="Y377" s="273"/>
      <c r="Z377" s="273"/>
    </row>
    <row r="378" ht="15.75" customHeight="1">
      <c r="A378" s="273"/>
      <c r="B378" s="273"/>
      <c r="C378" s="273"/>
      <c r="D378" s="273"/>
      <c r="E378" s="273"/>
      <c r="F378" s="273"/>
      <c r="G378" s="273"/>
      <c r="H378" s="273"/>
      <c r="I378" s="273"/>
      <c r="J378" s="273"/>
      <c r="K378" s="273"/>
      <c r="L378" s="273"/>
      <c r="M378" s="273"/>
      <c r="N378" s="273"/>
      <c r="O378" s="273"/>
      <c r="P378" s="273"/>
      <c r="Q378" s="273"/>
      <c r="R378" s="273"/>
      <c r="S378" s="273"/>
      <c r="T378" s="273"/>
      <c r="U378" s="273"/>
      <c r="V378" s="273"/>
      <c r="W378" s="273"/>
      <c r="X378" s="273"/>
      <c r="Y378" s="273"/>
      <c r="Z378" s="273"/>
    </row>
    <row r="379" ht="15.75" customHeight="1">
      <c r="A379" s="273"/>
      <c r="B379" s="273"/>
      <c r="C379" s="273"/>
      <c r="D379" s="273"/>
      <c r="E379" s="273"/>
      <c r="F379" s="273"/>
      <c r="G379" s="273"/>
      <c r="H379" s="273"/>
      <c r="I379" s="273"/>
      <c r="J379" s="273"/>
      <c r="K379" s="273"/>
      <c r="L379" s="273"/>
      <c r="M379" s="273"/>
      <c r="N379" s="273"/>
      <c r="O379" s="273"/>
      <c r="P379" s="273"/>
      <c r="Q379" s="273"/>
      <c r="R379" s="273"/>
      <c r="S379" s="273"/>
      <c r="T379" s="273"/>
      <c r="U379" s="273"/>
      <c r="V379" s="273"/>
      <c r="W379" s="273"/>
      <c r="X379" s="273"/>
      <c r="Y379" s="273"/>
      <c r="Z379" s="273"/>
    </row>
    <row r="380" ht="15.75" customHeight="1">
      <c r="A380" s="273"/>
      <c r="B380" s="273"/>
      <c r="C380" s="273"/>
      <c r="D380" s="273"/>
      <c r="E380" s="273"/>
      <c r="F380" s="273"/>
      <c r="G380" s="273"/>
      <c r="H380" s="273"/>
      <c r="I380" s="273"/>
      <c r="J380" s="273"/>
      <c r="K380" s="273"/>
      <c r="L380" s="273"/>
      <c r="M380" s="273"/>
      <c r="N380" s="273"/>
      <c r="O380" s="273"/>
      <c r="P380" s="273"/>
      <c r="Q380" s="273"/>
      <c r="R380" s="273"/>
      <c r="S380" s="273"/>
      <c r="T380" s="273"/>
      <c r="U380" s="273"/>
      <c r="V380" s="273"/>
      <c r="W380" s="273"/>
      <c r="X380" s="273"/>
      <c r="Y380" s="273"/>
      <c r="Z380" s="273"/>
    </row>
    <row r="381" ht="15.75" customHeight="1">
      <c r="A381" s="273"/>
      <c r="B381" s="273"/>
      <c r="C381" s="273"/>
      <c r="D381" s="273"/>
      <c r="E381" s="273"/>
      <c r="F381" s="273"/>
      <c r="G381" s="273"/>
      <c r="H381" s="273"/>
      <c r="I381" s="273"/>
      <c r="J381" s="273"/>
      <c r="K381" s="273"/>
      <c r="L381" s="273"/>
      <c r="M381" s="273"/>
      <c r="N381" s="273"/>
      <c r="O381" s="273"/>
      <c r="P381" s="273"/>
      <c r="Q381" s="273"/>
      <c r="R381" s="273"/>
      <c r="S381" s="273"/>
      <c r="T381" s="273"/>
      <c r="U381" s="273"/>
      <c r="V381" s="273"/>
      <c r="W381" s="273"/>
      <c r="X381" s="273"/>
      <c r="Y381" s="273"/>
      <c r="Z381" s="273"/>
    </row>
    <row r="382" ht="15.75" customHeight="1">
      <c r="A382" s="273"/>
      <c r="B382" s="273"/>
      <c r="C382" s="273"/>
      <c r="D382" s="273"/>
      <c r="E382" s="273"/>
      <c r="F382" s="273"/>
      <c r="G382" s="273"/>
      <c r="H382" s="273"/>
      <c r="I382" s="273"/>
      <c r="J382" s="273"/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3"/>
      <c r="X382" s="273"/>
      <c r="Y382" s="273"/>
      <c r="Z382" s="273"/>
    </row>
    <row r="383" ht="15.75" customHeight="1">
      <c r="A383" s="273"/>
      <c r="B383" s="273"/>
      <c r="C383" s="273"/>
      <c r="D383" s="273"/>
      <c r="E383" s="273"/>
      <c r="F383" s="273"/>
      <c r="G383" s="273"/>
      <c r="H383" s="273"/>
      <c r="I383" s="273"/>
      <c r="J383" s="273"/>
      <c r="K383" s="273"/>
      <c r="L383" s="273"/>
      <c r="M383" s="273"/>
      <c r="N383" s="273"/>
      <c r="O383" s="273"/>
      <c r="P383" s="273"/>
      <c r="Q383" s="273"/>
      <c r="R383" s="273"/>
      <c r="S383" s="273"/>
      <c r="T383" s="273"/>
      <c r="U383" s="273"/>
      <c r="V383" s="273"/>
      <c r="W383" s="273"/>
      <c r="X383" s="273"/>
      <c r="Y383" s="273"/>
      <c r="Z383" s="273"/>
    </row>
    <row r="384" ht="15.75" customHeight="1">
      <c r="A384" s="273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3"/>
      <c r="M384" s="273"/>
      <c r="N384" s="273"/>
      <c r="O384" s="273"/>
      <c r="P384" s="273"/>
      <c r="Q384" s="273"/>
      <c r="R384" s="273"/>
      <c r="S384" s="273"/>
      <c r="T384" s="273"/>
      <c r="U384" s="273"/>
      <c r="V384" s="273"/>
      <c r="W384" s="273"/>
      <c r="X384" s="273"/>
      <c r="Y384" s="273"/>
      <c r="Z384" s="273"/>
    </row>
    <row r="385" ht="15.75" customHeight="1">
      <c r="A385" s="273"/>
      <c r="B385" s="273"/>
      <c r="C385" s="273"/>
      <c r="D385" s="273"/>
      <c r="E385" s="273"/>
      <c r="F385" s="273"/>
      <c r="G385" s="273"/>
      <c r="H385" s="273"/>
      <c r="I385" s="273"/>
      <c r="J385" s="273"/>
      <c r="K385" s="273"/>
      <c r="L385" s="273"/>
      <c r="M385" s="273"/>
      <c r="N385" s="273"/>
      <c r="O385" s="273"/>
      <c r="P385" s="273"/>
      <c r="Q385" s="273"/>
      <c r="R385" s="273"/>
      <c r="S385" s="273"/>
      <c r="T385" s="273"/>
      <c r="U385" s="273"/>
      <c r="V385" s="273"/>
      <c r="W385" s="273"/>
      <c r="X385" s="273"/>
      <c r="Y385" s="273"/>
      <c r="Z385" s="273"/>
    </row>
    <row r="386" ht="15.75" customHeight="1">
      <c r="A386" s="273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3"/>
      <c r="M386" s="273"/>
      <c r="N386" s="273"/>
      <c r="O386" s="273"/>
      <c r="P386" s="273"/>
      <c r="Q386" s="273"/>
      <c r="R386" s="273"/>
      <c r="S386" s="273"/>
      <c r="T386" s="273"/>
      <c r="U386" s="273"/>
      <c r="V386" s="273"/>
      <c r="W386" s="273"/>
      <c r="X386" s="273"/>
      <c r="Y386" s="273"/>
      <c r="Z386" s="273"/>
    </row>
    <row r="387" ht="15.75" customHeight="1">
      <c r="A387" s="273"/>
      <c r="B387" s="273"/>
      <c r="C387" s="273"/>
      <c r="D387" s="273"/>
      <c r="E387" s="273"/>
      <c r="F387" s="273"/>
      <c r="G387" s="273"/>
      <c r="H387" s="273"/>
      <c r="I387" s="273"/>
      <c r="J387" s="273"/>
      <c r="K387" s="273"/>
      <c r="L387" s="273"/>
      <c r="M387" s="273"/>
      <c r="N387" s="273"/>
      <c r="O387" s="273"/>
      <c r="P387" s="273"/>
      <c r="Q387" s="273"/>
      <c r="R387" s="273"/>
      <c r="S387" s="273"/>
      <c r="T387" s="273"/>
      <c r="U387" s="273"/>
      <c r="V387" s="273"/>
      <c r="W387" s="273"/>
      <c r="X387" s="273"/>
      <c r="Y387" s="273"/>
      <c r="Z387" s="273"/>
    </row>
    <row r="388" ht="15.75" customHeight="1">
      <c r="A388" s="273"/>
      <c r="B388" s="273"/>
      <c r="C388" s="273"/>
      <c r="D388" s="273"/>
      <c r="E388" s="273"/>
      <c r="F388" s="273"/>
      <c r="G388" s="273"/>
      <c r="H388" s="273"/>
      <c r="I388" s="273"/>
      <c r="J388" s="273"/>
      <c r="K388" s="273"/>
      <c r="L388" s="273"/>
      <c r="M388" s="273"/>
      <c r="N388" s="273"/>
      <c r="O388" s="273"/>
      <c r="P388" s="273"/>
      <c r="Q388" s="273"/>
      <c r="R388" s="273"/>
      <c r="S388" s="273"/>
      <c r="T388" s="273"/>
      <c r="U388" s="273"/>
      <c r="V388" s="273"/>
      <c r="W388" s="273"/>
      <c r="X388" s="273"/>
      <c r="Y388" s="273"/>
      <c r="Z388" s="273"/>
    </row>
    <row r="389" ht="15.75" customHeight="1">
      <c r="A389" s="273"/>
      <c r="B389" s="273"/>
      <c r="C389" s="273"/>
      <c r="D389" s="273"/>
      <c r="E389" s="273"/>
      <c r="F389" s="273"/>
      <c r="G389" s="273"/>
      <c r="H389" s="273"/>
      <c r="I389" s="273"/>
      <c r="J389" s="273"/>
      <c r="K389" s="273"/>
      <c r="L389" s="273"/>
      <c r="M389" s="273"/>
      <c r="N389" s="273"/>
      <c r="O389" s="273"/>
      <c r="P389" s="273"/>
      <c r="Q389" s="273"/>
      <c r="R389" s="273"/>
      <c r="S389" s="273"/>
      <c r="T389" s="273"/>
      <c r="U389" s="273"/>
      <c r="V389" s="273"/>
      <c r="W389" s="273"/>
      <c r="X389" s="273"/>
      <c r="Y389" s="273"/>
      <c r="Z389" s="273"/>
    </row>
    <row r="390" ht="15.75" customHeight="1">
      <c r="A390" s="273"/>
      <c r="B390" s="273"/>
      <c r="C390" s="273"/>
      <c r="D390" s="273"/>
      <c r="E390" s="273"/>
      <c r="F390" s="273"/>
      <c r="G390" s="273"/>
      <c r="H390" s="273"/>
      <c r="I390" s="273"/>
      <c r="J390" s="273"/>
      <c r="K390" s="273"/>
      <c r="L390" s="273"/>
      <c r="M390" s="273"/>
      <c r="N390" s="273"/>
      <c r="O390" s="273"/>
      <c r="P390" s="273"/>
      <c r="Q390" s="273"/>
      <c r="R390" s="273"/>
      <c r="S390" s="273"/>
      <c r="T390" s="273"/>
      <c r="U390" s="273"/>
      <c r="V390" s="273"/>
      <c r="W390" s="273"/>
      <c r="X390" s="273"/>
      <c r="Y390" s="273"/>
      <c r="Z390" s="273"/>
    </row>
    <row r="391" ht="15.75" customHeight="1">
      <c r="A391" s="273"/>
      <c r="B391" s="273"/>
      <c r="C391" s="273"/>
      <c r="D391" s="273"/>
      <c r="E391" s="273"/>
      <c r="F391" s="273"/>
      <c r="G391" s="273"/>
      <c r="H391" s="273"/>
      <c r="I391" s="273"/>
      <c r="J391" s="273"/>
      <c r="K391" s="273"/>
      <c r="L391" s="273"/>
      <c r="M391" s="273"/>
      <c r="N391" s="273"/>
      <c r="O391" s="273"/>
      <c r="P391" s="273"/>
      <c r="Q391" s="273"/>
      <c r="R391" s="273"/>
      <c r="S391" s="273"/>
      <c r="T391" s="273"/>
      <c r="U391" s="273"/>
      <c r="V391" s="273"/>
      <c r="W391" s="273"/>
      <c r="X391" s="273"/>
      <c r="Y391" s="273"/>
      <c r="Z391" s="273"/>
    </row>
    <row r="392" ht="15.75" customHeight="1">
      <c r="A392" s="273"/>
      <c r="B392" s="273"/>
      <c r="C392" s="273"/>
      <c r="D392" s="273"/>
      <c r="E392" s="273"/>
      <c r="F392" s="273"/>
      <c r="G392" s="273"/>
      <c r="H392" s="273"/>
      <c r="I392" s="273"/>
      <c r="J392" s="273"/>
      <c r="K392" s="273"/>
      <c r="L392" s="273"/>
      <c r="M392" s="273"/>
      <c r="N392" s="273"/>
      <c r="O392" s="273"/>
      <c r="P392" s="273"/>
      <c r="Q392" s="273"/>
      <c r="R392" s="273"/>
      <c r="S392" s="273"/>
      <c r="T392" s="273"/>
      <c r="U392" s="273"/>
      <c r="V392" s="273"/>
      <c r="W392" s="273"/>
      <c r="X392" s="273"/>
      <c r="Y392" s="273"/>
      <c r="Z392" s="273"/>
    </row>
    <row r="393" ht="15.75" customHeight="1">
      <c r="A393" s="273"/>
      <c r="B393" s="273"/>
      <c r="C393" s="273"/>
      <c r="D393" s="273"/>
      <c r="E393" s="273"/>
      <c r="F393" s="273"/>
      <c r="G393" s="273"/>
      <c r="H393" s="273"/>
      <c r="I393" s="273"/>
      <c r="J393" s="273"/>
      <c r="K393" s="273"/>
      <c r="L393" s="273"/>
      <c r="M393" s="273"/>
      <c r="N393" s="273"/>
      <c r="O393" s="273"/>
      <c r="P393" s="273"/>
      <c r="Q393" s="273"/>
      <c r="R393" s="273"/>
      <c r="S393" s="273"/>
      <c r="T393" s="273"/>
      <c r="U393" s="273"/>
      <c r="V393" s="273"/>
      <c r="W393" s="273"/>
      <c r="X393" s="273"/>
      <c r="Y393" s="273"/>
      <c r="Z393" s="273"/>
    </row>
    <row r="394" ht="15.75" customHeight="1">
      <c r="A394" s="273"/>
      <c r="B394" s="273"/>
      <c r="C394" s="273"/>
      <c r="D394" s="273"/>
      <c r="E394" s="273"/>
      <c r="F394" s="273"/>
      <c r="G394" s="273"/>
      <c r="H394" s="273"/>
      <c r="I394" s="273"/>
      <c r="J394" s="273"/>
      <c r="K394" s="273"/>
      <c r="L394" s="273"/>
      <c r="M394" s="273"/>
      <c r="N394" s="273"/>
      <c r="O394" s="273"/>
      <c r="P394" s="273"/>
      <c r="Q394" s="273"/>
      <c r="R394" s="273"/>
      <c r="S394" s="273"/>
      <c r="T394" s="273"/>
      <c r="U394" s="273"/>
      <c r="V394" s="273"/>
      <c r="W394" s="273"/>
      <c r="X394" s="273"/>
      <c r="Y394" s="273"/>
      <c r="Z394" s="273"/>
    </row>
    <row r="395" ht="15.75" customHeight="1">
      <c r="A395" s="273"/>
      <c r="B395" s="273"/>
      <c r="C395" s="273"/>
      <c r="D395" s="273"/>
      <c r="E395" s="273"/>
      <c r="F395" s="273"/>
      <c r="G395" s="273"/>
      <c r="H395" s="273"/>
      <c r="I395" s="273"/>
      <c r="J395" s="273"/>
      <c r="K395" s="273"/>
      <c r="L395" s="273"/>
      <c r="M395" s="273"/>
      <c r="N395" s="273"/>
      <c r="O395" s="273"/>
      <c r="P395" s="273"/>
      <c r="Q395" s="273"/>
      <c r="R395" s="273"/>
      <c r="S395" s="273"/>
      <c r="T395" s="273"/>
      <c r="U395" s="273"/>
      <c r="V395" s="273"/>
      <c r="W395" s="273"/>
      <c r="X395" s="273"/>
      <c r="Y395" s="273"/>
      <c r="Z395" s="273"/>
    </row>
    <row r="396" ht="15.75" customHeight="1">
      <c r="A396" s="273"/>
      <c r="B396" s="273"/>
      <c r="C396" s="273"/>
      <c r="D396" s="273"/>
      <c r="E396" s="273"/>
      <c r="F396" s="273"/>
      <c r="G396" s="273"/>
      <c r="H396" s="273"/>
      <c r="I396" s="273"/>
      <c r="J396" s="273"/>
      <c r="K396" s="273"/>
      <c r="L396" s="273"/>
      <c r="M396" s="273"/>
      <c r="N396" s="273"/>
      <c r="O396" s="273"/>
      <c r="P396" s="273"/>
      <c r="Q396" s="273"/>
      <c r="R396" s="273"/>
      <c r="S396" s="273"/>
      <c r="T396" s="273"/>
      <c r="U396" s="273"/>
      <c r="V396" s="273"/>
      <c r="W396" s="273"/>
      <c r="X396" s="273"/>
      <c r="Y396" s="273"/>
      <c r="Z396" s="273"/>
    </row>
    <row r="397" ht="15.75" customHeight="1">
      <c r="A397" s="273"/>
      <c r="B397" s="273"/>
      <c r="C397" s="273"/>
      <c r="D397" s="273"/>
      <c r="E397" s="273"/>
      <c r="F397" s="273"/>
      <c r="G397" s="273"/>
      <c r="H397" s="273"/>
      <c r="I397" s="273"/>
      <c r="J397" s="273"/>
      <c r="K397" s="273"/>
      <c r="L397" s="273"/>
      <c r="M397" s="273"/>
      <c r="N397" s="273"/>
      <c r="O397" s="273"/>
      <c r="P397" s="273"/>
      <c r="Q397" s="273"/>
      <c r="R397" s="273"/>
      <c r="S397" s="273"/>
      <c r="T397" s="273"/>
      <c r="U397" s="273"/>
      <c r="V397" s="273"/>
      <c r="W397" s="273"/>
      <c r="X397" s="273"/>
      <c r="Y397" s="273"/>
      <c r="Z397" s="273"/>
    </row>
    <row r="398" ht="15.75" customHeight="1">
      <c r="A398" s="273"/>
      <c r="B398" s="273"/>
      <c r="C398" s="273"/>
      <c r="D398" s="273"/>
      <c r="E398" s="273"/>
      <c r="F398" s="273"/>
      <c r="G398" s="273"/>
      <c r="H398" s="273"/>
      <c r="I398" s="273"/>
      <c r="J398" s="273"/>
      <c r="K398" s="273"/>
      <c r="L398" s="273"/>
      <c r="M398" s="273"/>
      <c r="N398" s="273"/>
      <c r="O398" s="273"/>
      <c r="P398" s="273"/>
      <c r="Q398" s="273"/>
      <c r="R398" s="273"/>
      <c r="S398" s="273"/>
      <c r="T398" s="273"/>
      <c r="U398" s="273"/>
      <c r="V398" s="273"/>
      <c r="W398" s="273"/>
      <c r="X398" s="273"/>
      <c r="Y398" s="273"/>
      <c r="Z398" s="273"/>
    </row>
    <row r="399" ht="15.75" customHeight="1">
      <c r="A399" s="273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3"/>
      <c r="M399" s="273"/>
      <c r="N399" s="273"/>
      <c r="O399" s="273"/>
      <c r="P399" s="273"/>
      <c r="Q399" s="273"/>
      <c r="R399" s="273"/>
      <c r="S399" s="273"/>
      <c r="T399" s="273"/>
      <c r="U399" s="273"/>
      <c r="V399" s="273"/>
      <c r="W399" s="273"/>
      <c r="X399" s="273"/>
      <c r="Y399" s="273"/>
      <c r="Z399" s="273"/>
    </row>
    <row r="400" ht="15.75" customHeight="1">
      <c r="A400" s="273"/>
      <c r="B400" s="273"/>
      <c r="C400" s="273"/>
      <c r="D400" s="273"/>
      <c r="E400" s="273"/>
      <c r="F400" s="273"/>
      <c r="G400" s="273"/>
      <c r="H400" s="273"/>
      <c r="I400" s="273"/>
      <c r="J400" s="273"/>
      <c r="K400" s="273"/>
      <c r="L400" s="273"/>
      <c r="M400" s="273"/>
      <c r="N400" s="273"/>
      <c r="O400" s="273"/>
      <c r="P400" s="273"/>
      <c r="Q400" s="273"/>
      <c r="R400" s="273"/>
      <c r="S400" s="273"/>
      <c r="T400" s="273"/>
      <c r="U400" s="273"/>
      <c r="V400" s="273"/>
      <c r="W400" s="273"/>
      <c r="X400" s="273"/>
      <c r="Y400" s="273"/>
      <c r="Z400" s="273"/>
    </row>
    <row r="401" ht="15.75" customHeight="1">
      <c r="A401" s="273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3"/>
      <c r="P401" s="273"/>
      <c r="Q401" s="273"/>
      <c r="R401" s="273"/>
      <c r="S401" s="273"/>
      <c r="T401" s="273"/>
      <c r="U401" s="273"/>
      <c r="V401" s="273"/>
      <c r="W401" s="273"/>
      <c r="X401" s="273"/>
      <c r="Y401" s="273"/>
      <c r="Z401" s="273"/>
    </row>
    <row r="402" ht="15.75" customHeight="1">
      <c r="A402" s="273"/>
      <c r="B402" s="273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3"/>
      <c r="P402" s="273"/>
      <c r="Q402" s="273"/>
      <c r="R402" s="273"/>
      <c r="S402" s="273"/>
      <c r="T402" s="273"/>
      <c r="U402" s="273"/>
      <c r="V402" s="273"/>
      <c r="W402" s="273"/>
      <c r="X402" s="273"/>
      <c r="Y402" s="273"/>
      <c r="Z402" s="273"/>
    </row>
    <row r="403" ht="15.75" customHeight="1">
      <c r="A403" s="273"/>
      <c r="B403" s="273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3"/>
      <c r="P403" s="273"/>
      <c r="Q403" s="273"/>
      <c r="R403" s="273"/>
      <c r="S403" s="273"/>
      <c r="T403" s="273"/>
      <c r="U403" s="273"/>
      <c r="V403" s="273"/>
      <c r="W403" s="273"/>
      <c r="X403" s="273"/>
      <c r="Y403" s="273"/>
      <c r="Z403" s="273"/>
    </row>
    <row r="404" ht="15.75" customHeight="1">
      <c r="A404" s="273"/>
      <c r="B404" s="273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3"/>
      <c r="P404" s="273"/>
      <c r="Q404" s="273"/>
      <c r="R404" s="273"/>
      <c r="S404" s="273"/>
      <c r="T404" s="273"/>
      <c r="U404" s="273"/>
      <c r="V404" s="273"/>
      <c r="W404" s="273"/>
      <c r="X404" s="273"/>
      <c r="Y404" s="273"/>
      <c r="Z404" s="273"/>
    </row>
    <row r="405" ht="15.75" customHeight="1">
      <c r="A405" s="273"/>
      <c r="B405" s="273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3"/>
      <c r="P405" s="273"/>
      <c r="Q405" s="273"/>
      <c r="R405" s="273"/>
      <c r="S405" s="273"/>
      <c r="T405" s="273"/>
      <c r="U405" s="273"/>
      <c r="V405" s="273"/>
      <c r="W405" s="273"/>
      <c r="X405" s="273"/>
      <c r="Y405" s="273"/>
      <c r="Z405" s="273"/>
    </row>
    <row r="406" ht="15.75" customHeight="1">
      <c r="A406" s="273"/>
      <c r="B406" s="273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3"/>
      <c r="P406" s="273"/>
      <c r="Q406" s="273"/>
      <c r="R406" s="273"/>
      <c r="S406" s="273"/>
      <c r="T406" s="273"/>
      <c r="U406" s="273"/>
      <c r="V406" s="273"/>
      <c r="W406" s="273"/>
      <c r="X406" s="273"/>
      <c r="Y406" s="273"/>
      <c r="Z406" s="273"/>
    </row>
    <row r="407" ht="15.75" customHeight="1">
      <c r="A407" s="273"/>
      <c r="B407" s="273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3"/>
      <c r="P407" s="273"/>
      <c r="Q407" s="273"/>
      <c r="R407" s="273"/>
      <c r="S407" s="273"/>
      <c r="T407" s="273"/>
      <c r="U407" s="273"/>
      <c r="V407" s="273"/>
      <c r="W407" s="273"/>
      <c r="X407" s="273"/>
      <c r="Y407" s="273"/>
      <c r="Z407" s="273"/>
    </row>
    <row r="408" ht="15.75" customHeight="1">
      <c r="A408" s="273"/>
      <c r="B408" s="273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3"/>
      <c r="P408" s="273"/>
      <c r="Q408" s="273"/>
      <c r="R408" s="273"/>
      <c r="S408" s="273"/>
      <c r="T408" s="273"/>
      <c r="U408" s="273"/>
      <c r="V408" s="273"/>
      <c r="W408" s="273"/>
      <c r="X408" s="273"/>
      <c r="Y408" s="273"/>
      <c r="Z408" s="273"/>
    </row>
    <row r="409" ht="15.75" customHeight="1">
      <c r="A409" s="273"/>
      <c r="B409" s="273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3"/>
      <c r="P409" s="273"/>
      <c r="Q409" s="273"/>
      <c r="R409" s="273"/>
      <c r="S409" s="273"/>
      <c r="T409" s="273"/>
      <c r="U409" s="273"/>
      <c r="V409" s="273"/>
      <c r="W409" s="273"/>
      <c r="X409" s="273"/>
      <c r="Y409" s="273"/>
      <c r="Z409" s="273"/>
    </row>
    <row r="410" ht="15.75" customHeight="1">
      <c r="A410" s="273"/>
      <c r="B410" s="273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3"/>
      <c r="P410" s="273"/>
      <c r="Q410" s="273"/>
      <c r="R410" s="273"/>
      <c r="S410" s="273"/>
      <c r="T410" s="273"/>
      <c r="U410" s="273"/>
      <c r="V410" s="273"/>
      <c r="W410" s="273"/>
      <c r="X410" s="273"/>
      <c r="Y410" s="273"/>
      <c r="Z410" s="273"/>
    </row>
    <row r="411" ht="15.75" customHeight="1">
      <c r="A411" s="273"/>
      <c r="B411" s="273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3"/>
      <c r="P411" s="273"/>
      <c r="Q411" s="273"/>
      <c r="R411" s="273"/>
      <c r="S411" s="273"/>
      <c r="T411" s="273"/>
      <c r="U411" s="273"/>
      <c r="V411" s="273"/>
      <c r="W411" s="273"/>
      <c r="X411" s="273"/>
      <c r="Y411" s="273"/>
      <c r="Z411" s="273"/>
    </row>
    <row r="412" ht="15.75" customHeight="1">
      <c r="A412" s="273"/>
      <c r="B412" s="273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3"/>
      <c r="P412" s="273"/>
      <c r="Q412" s="273"/>
      <c r="R412" s="273"/>
      <c r="S412" s="273"/>
      <c r="T412" s="273"/>
      <c r="U412" s="273"/>
      <c r="V412" s="273"/>
      <c r="W412" s="273"/>
      <c r="X412" s="273"/>
      <c r="Y412" s="273"/>
      <c r="Z412" s="273"/>
    </row>
    <row r="413" ht="15.75" customHeight="1">
      <c r="A413" s="273"/>
      <c r="B413" s="273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3"/>
      <c r="P413" s="273"/>
      <c r="Q413" s="273"/>
      <c r="R413" s="273"/>
      <c r="S413" s="273"/>
      <c r="T413" s="273"/>
      <c r="U413" s="273"/>
      <c r="V413" s="273"/>
      <c r="W413" s="273"/>
      <c r="X413" s="273"/>
      <c r="Y413" s="273"/>
      <c r="Z413" s="273"/>
    </row>
    <row r="414" ht="15.75" customHeight="1">
      <c r="A414" s="273"/>
      <c r="B414" s="273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3"/>
      <c r="P414" s="273"/>
      <c r="Q414" s="273"/>
      <c r="R414" s="273"/>
      <c r="S414" s="273"/>
      <c r="T414" s="273"/>
      <c r="U414" s="273"/>
      <c r="V414" s="273"/>
      <c r="W414" s="273"/>
      <c r="X414" s="273"/>
      <c r="Y414" s="273"/>
      <c r="Z414" s="273"/>
    </row>
    <row r="415" ht="15.75" customHeight="1">
      <c r="A415" s="273"/>
      <c r="B415" s="273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3"/>
      <c r="P415" s="273"/>
      <c r="Q415" s="273"/>
      <c r="R415" s="273"/>
      <c r="S415" s="273"/>
      <c r="T415" s="273"/>
      <c r="U415" s="273"/>
      <c r="V415" s="273"/>
      <c r="W415" s="273"/>
      <c r="X415" s="273"/>
      <c r="Y415" s="273"/>
      <c r="Z415" s="273"/>
    </row>
    <row r="416" ht="15.75" customHeight="1">
      <c r="A416" s="273"/>
      <c r="B416" s="273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3"/>
      <c r="P416" s="273"/>
      <c r="Q416" s="273"/>
      <c r="R416" s="273"/>
      <c r="S416" s="273"/>
      <c r="T416" s="273"/>
      <c r="U416" s="273"/>
      <c r="V416" s="273"/>
      <c r="W416" s="273"/>
      <c r="X416" s="273"/>
      <c r="Y416" s="273"/>
      <c r="Z416" s="273"/>
    </row>
    <row r="417" ht="15.75" customHeight="1">
      <c r="A417" s="273"/>
      <c r="B417" s="273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3"/>
      <c r="P417" s="273"/>
      <c r="Q417" s="273"/>
      <c r="R417" s="273"/>
      <c r="S417" s="273"/>
      <c r="T417" s="273"/>
      <c r="U417" s="273"/>
      <c r="V417" s="273"/>
      <c r="W417" s="273"/>
      <c r="X417" s="273"/>
      <c r="Y417" s="273"/>
      <c r="Z417" s="273"/>
    </row>
    <row r="418" ht="15.75" customHeight="1">
      <c r="A418" s="273"/>
      <c r="B418" s="273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3"/>
      <c r="P418" s="273"/>
      <c r="Q418" s="273"/>
      <c r="R418" s="273"/>
      <c r="S418" s="273"/>
      <c r="T418" s="273"/>
      <c r="U418" s="273"/>
      <c r="V418" s="273"/>
      <c r="W418" s="273"/>
      <c r="X418" s="273"/>
      <c r="Y418" s="273"/>
      <c r="Z418" s="273"/>
    </row>
    <row r="419" ht="15.75" customHeight="1">
      <c r="A419" s="273"/>
      <c r="B419" s="273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3"/>
      <c r="P419" s="273"/>
      <c r="Q419" s="273"/>
      <c r="R419" s="273"/>
      <c r="S419" s="273"/>
      <c r="T419" s="273"/>
      <c r="U419" s="273"/>
      <c r="V419" s="273"/>
      <c r="W419" s="273"/>
      <c r="X419" s="273"/>
      <c r="Y419" s="273"/>
      <c r="Z419" s="273"/>
    </row>
    <row r="420" ht="15.75" customHeight="1">
      <c r="A420" s="273"/>
      <c r="B420" s="273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3"/>
      <c r="P420" s="273"/>
      <c r="Q420" s="273"/>
      <c r="R420" s="273"/>
      <c r="S420" s="273"/>
      <c r="T420" s="273"/>
      <c r="U420" s="273"/>
      <c r="V420" s="273"/>
      <c r="W420" s="273"/>
      <c r="X420" s="273"/>
      <c r="Y420" s="273"/>
      <c r="Z420" s="273"/>
    </row>
    <row r="421" ht="15.75" customHeight="1">
      <c r="A421" s="273"/>
      <c r="B421" s="273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3"/>
      <c r="P421" s="273"/>
      <c r="Q421" s="273"/>
      <c r="R421" s="273"/>
      <c r="S421" s="273"/>
      <c r="T421" s="273"/>
      <c r="U421" s="273"/>
      <c r="V421" s="273"/>
      <c r="W421" s="273"/>
      <c r="X421" s="273"/>
      <c r="Y421" s="273"/>
      <c r="Z421" s="273"/>
    </row>
    <row r="422" ht="15.75" customHeight="1">
      <c r="A422" s="273"/>
      <c r="B422" s="273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3"/>
      <c r="P422" s="273"/>
      <c r="Q422" s="273"/>
      <c r="R422" s="273"/>
      <c r="S422" s="273"/>
      <c r="T422" s="273"/>
      <c r="U422" s="273"/>
      <c r="V422" s="273"/>
      <c r="W422" s="273"/>
      <c r="X422" s="273"/>
      <c r="Y422" s="273"/>
      <c r="Z422" s="273"/>
    </row>
    <row r="423" ht="15.75" customHeight="1">
      <c r="A423" s="273"/>
      <c r="B423" s="273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3"/>
      <c r="P423" s="273"/>
      <c r="Q423" s="273"/>
      <c r="R423" s="273"/>
      <c r="S423" s="273"/>
      <c r="T423" s="273"/>
      <c r="U423" s="273"/>
      <c r="V423" s="273"/>
      <c r="W423" s="273"/>
      <c r="X423" s="273"/>
      <c r="Y423" s="273"/>
      <c r="Z423" s="273"/>
    </row>
    <row r="424" ht="15.75" customHeight="1">
      <c r="A424" s="273"/>
      <c r="B424" s="273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3"/>
      <c r="P424" s="273"/>
      <c r="Q424" s="273"/>
      <c r="R424" s="273"/>
      <c r="S424" s="273"/>
      <c r="T424" s="273"/>
      <c r="U424" s="273"/>
      <c r="V424" s="273"/>
      <c r="W424" s="273"/>
      <c r="X424" s="273"/>
      <c r="Y424" s="273"/>
      <c r="Z424" s="273"/>
    </row>
    <row r="425" ht="15.75" customHeight="1">
      <c r="A425" s="273"/>
      <c r="B425" s="273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3"/>
      <c r="P425" s="273"/>
      <c r="Q425" s="273"/>
      <c r="R425" s="273"/>
      <c r="S425" s="273"/>
      <c r="T425" s="273"/>
      <c r="U425" s="273"/>
      <c r="V425" s="273"/>
      <c r="W425" s="273"/>
      <c r="X425" s="273"/>
      <c r="Y425" s="273"/>
      <c r="Z425" s="273"/>
    </row>
    <row r="426" ht="15.75" customHeight="1">
      <c r="A426" s="273"/>
      <c r="B426" s="273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3"/>
      <c r="P426" s="273"/>
      <c r="Q426" s="273"/>
      <c r="R426" s="273"/>
      <c r="S426" s="273"/>
      <c r="T426" s="273"/>
      <c r="U426" s="273"/>
      <c r="V426" s="273"/>
      <c r="W426" s="273"/>
      <c r="X426" s="273"/>
      <c r="Y426" s="273"/>
      <c r="Z426" s="273"/>
    </row>
    <row r="427" ht="15.75" customHeight="1">
      <c r="A427" s="273"/>
      <c r="B427" s="273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3"/>
      <c r="P427" s="273"/>
      <c r="Q427" s="273"/>
      <c r="R427" s="273"/>
      <c r="S427" s="273"/>
      <c r="T427" s="273"/>
      <c r="U427" s="273"/>
      <c r="V427" s="273"/>
      <c r="W427" s="273"/>
      <c r="X427" s="273"/>
      <c r="Y427" s="273"/>
      <c r="Z427" s="273"/>
    </row>
    <row r="428" ht="15.75" customHeight="1">
      <c r="A428" s="273"/>
      <c r="B428" s="273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3"/>
      <c r="P428" s="273"/>
      <c r="Q428" s="273"/>
      <c r="R428" s="273"/>
      <c r="S428" s="273"/>
      <c r="T428" s="273"/>
      <c r="U428" s="273"/>
      <c r="V428" s="273"/>
      <c r="W428" s="273"/>
      <c r="X428" s="273"/>
      <c r="Y428" s="273"/>
      <c r="Z428" s="273"/>
    </row>
    <row r="429" ht="15.75" customHeight="1">
      <c r="A429" s="273"/>
      <c r="B429" s="273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3"/>
      <c r="P429" s="273"/>
      <c r="Q429" s="273"/>
      <c r="R429" s="273"/>
      <c r="S429" s="273"/>
      <c r="T429" s="273"/>
      <c r="U429" s="273"/>
      <c r="V429" s="273"/>
      <c r="W429" s="273"/>
      <c r="X429" s="273"/>
      <c r="Y429" s="273"/>
      <c r="Z429" s="273"/>
    </row>
    <row r="430" ht="15.75" customHeight="1">
      <c r="A430" s="273"/>
      <c r="B430" s="273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3"/>
      <c r="P430" s="273"/>
      <c r="Q430" s="273"/>
      <c r="R430" s="273"/>
      <c r="S430" s="273"/>
      <c r="T430" s="273"/>
      <c r="U430" s="273"/>
      <c r="V430" s="273"/>
      <c r="W430" s="273"/>
      <c r="X430" s="273"/>
      <c r="Y430" s="273"/>
      <c r="Z430" s="273"/>
    </row>
    <row r="431" ht="15.75" customHeight="1">
      <c r="A431" s="273"/>
      <c r="B431" s="273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3"/>
      <c r="P431" s="273"/>
      <c r="Q431" s="273"/>
      <c r="R431" s="273"/>
      <c r="S431" s="273"/>
      <c r="T431" s="273"/>
      <c r="U431" s="273"/>
      <c r="V431" s="273"/>
      <c r="W431" s="273"/>
      <c r="X431" s="273"/>
      <c r="Y431" s="273"/>
      <c r="Z431" s="273"/>
    </row>
    <row r="432" ht="15.75" customHeight="1">
      <c r="A432" s="273"/>
      <c r="B432" s="273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3"/>
      <c r="P432" s="273"/>
      <c r="Q432" s="273"/>
      <c r="R432" s="273"/>
      <c r="S432" s="273"/>
      <c r="T432" s="273"/>
      <c r="U432" s="273"/>
      <c r="V432" s="273"/>
      <c r="W432" s="273"/>
      <c r="X432" s="273"/>
      <c r="Y432" s="273"/>
      <c r="Z432" s="273"/>
    </row>
    <row r="433" ht="15.75" customHeight="1">
      <c r="A433" s="273"/>
      <c r="B433" s="273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3"/>
      <c r="P433" s="273"/>
      <c r="Q433" s="273"/>
      <c r="R433" s="273"/>
      <c r="S433" s="273"/>
      <c r="T433" s="273"/>
      <c r="U433" s="273"/>
      <c r="V433" s="273"/>
      <c r="W433" s="273"/>
      <c r="X433" s="273"/>
      <c r="Y433" s="273"/>
      <c r="Z433" s="273"/>
    </row>
    <row r="434" ht="15.75" customHeight="1">
      <c r="A434" s="273"/>
      <c r="B434" s="273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3"/>
      <c r="X434" s="273"/>
      <c r="Y434" s="273"/>
      <c r="Z434" s="273"/>
    </row>
    <row r="435" ht="15.75" customHeight="1">
      <c r="A435" s="273"/>
      <c r="B435" s="273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3"/>
      <c r="P435" s="273"/>
      <c r="Q435" s="273"/>
      <c r="R435" s="273"/>
      <c r="S435" s="273"/>
      <c r="T435" s="273"/>
      <c r="U435" s="273"/>
      <c r="V435" s="273"/>
      <c r="W435" s="273"/>
      <c r="X435" s="273"/>
      <c r="Y435" s="273"/>
      <c r="Z435" s="273"/>
    </row>
    <row r="436" ht="15.75" customHeight="1">
      <c r="A436" s="273"/>
      <c r="B436" s="273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3"/>
      <c r="P436" s="273"/>
      <c r="Q436" s="273"/>
      <c r="R436" s="273"/>
      <c r="S436" s="273"/>
      <c r="T436" s="273"/>
      <c r="U436" s="273"/>
      <c r="V436" s="273"/>
      <c r="W436" s="273"/>
      <c r="X436" s="273"/>
      <c r="Y436" s="273"/>
      <c r="Z436" s="273"/>
    </row>
    <row r="437" ht="15.75" customHeight="1">
      <c r="A437" s="273"/>
      <c r="B437" s="273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3"/>
      <c r="P437" s="273"/>
      <c r="Q437" s="273"/>
      <c r="R437" s="273"/>
      <c r="S437" s="273"/>
      <c r="T437" s="273"/>
      <c r="U437" s="273"/>
      <c r="V437" s="273"/>
      <c r="W437" s="273"/>
      <c r="X437" s="273"/>
      <c r="Y437" s="273"/>
      <c r="Z437" s="273"/>
    </row>
    <row r="438" ht="15.75" customHeight="1">
      <c r="A438" s="273"/>
      <c r="B438" s="273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3"/>
      <c r="P438" s="273"/>
      <c r="Q438" s="273"/>
      <c r="R438" s="273"/>
      <c r="S438" s="273"/>
      <c r="T438" s="273"/>
      <c r="U438" s="273"/>
      <c r="V438" s="273"/>
      <c r="W438" s="273"/>
      <c r="X438" s="273"/>
      <c r="Y438" s="273"/>
      <c r="Z438" s="273"/>
    </row>
    <row r="439" ht="15.75" customHeight="1">
      <c r="A439" s="273"/>
      <c r="B439" s="273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3"/>
      <c r="P439" s="273"/>
      <c r="Q439" s="273"/>
      <c r="R439" s="273"/>
      <c r="S439" s="273"/>
      <c r="T439" s="273"/>
      <c r="U439" s="273"/>
      <c r="V439" s="273"/>
      <c r="W439" s="273"/>
      <c r="X439" s="273"/>
      <c r="Y439" s="273"/>
      <c r="Z439" s="273"/>
    </row>
    <row r="440" ht="15.75" customHeight="1">
      <c r="A440" s="273"/>
      <c r="B440" s="273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3"/>
      <c r="P440" s="273"/>
      <c r="Q440" s="273"/>
      <c r="R440" s="273"/>
      <c r="S440" s="273"/>
      <c r="T440" s="273"/>
      <c r="U440" s="273"/>
      <c r="V440" s="273"/>
      <c r="W440" s="273"/>
      <c r="X440" s="273"/>
      <c r="Y440" s="273"/>
      <c r="Z440" s="273"/>
    </row>
    <row r="441" ht="15.75" customHeight="1">
      <c r="A441" s="273"/>
      <c r="B441" s="273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3"/>
      <c r="P441" s="273"/>
      <c r="Q441" s="273"/>
      <c r="R441" s="273"/>
      <c r="S441" s="273"/>
      <c r="T441" s="273"/>
      <c r="U441" s="273"/>
      <c r="V441" s="273"/>
      <c r="W441" s="273"/>
      <c r="X441" s="273"/>
      <c r="Y441" s="273"/>
      <c r="Z441" s="273"/>
    </row>
    <row r="442" ht="15.75" customHeight="1">
      <c r="A442" s="273"/>
      <c r="B442" s="273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3"/>
      <c r="P442" s="273"/>
      <c r="Q442" s="273"/>
      <c r="R442" s="273"/>
      <c r="S442" s="273"/>
      <c r="T442" s="273"/>
      <c r="U442" s="273"/>
      <c r="V442" s="273"/>
      <c r="W442" s="273"/>
      <c r="X442" s="273"/>
      <c r="Y442" s="273"/>
      <c r="Z442" s="273"/>
    </row>
    <row r="443" ht="15.75" customHeight="1">
      <c r="A443" s="273"/>
      <c r="B443" s="273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3"/>
      <c r="P443" s="273"/>
      <c r="Q443" s="273"/>
      <c r="R443" s="273"/>
      <c r="S443" s="273"/>
      <c r="T443" s="273"/>
      <c r="U443" s="273"/>
      <c r="V443" s="273"/>
      <c r="W443" s="273"/>
      <c r="X443" s="273"/>
      <c r="Y443" s="273"/>
      <c r="Z443" s="273"/>
    </row>
    <row r="444" ht="15.75" customHeight="1">
      <c r="A444" s="273"/>
      <c r="B444" s="273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3"/>
      <c r="P444" s="273"/>
      <c r="Q444" s="273"/>
      <c r="R444" s="273"/>
      <c r="S444" s="273"/>
      <c r="T444" s="273"/>
      <c r="U444" s="273"/>
      <c r="V444" s="273"/>
      <c r="W444" s="273"/>
      <c r="X444" s="273"/>
      <c r="Y444" s="273"/>
      <c r="Z444" s="273"/>
    </row>
    <row r="445" ht="15.75" customHeight="1">
      <c r="A445" s="273"/>
      <c r="B445" s="273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3"/>
      <c r="P445" s="273"/>
      <c r="Q445" s="273"/>
      <c r="R445" s="273"/>
      <c r="S445" s="273"/>
      <c r="T445" s="273"/>
      <c r="U445" s="273"/>
      <c r="V445" s="273"/>
      <c r="W445" s="273"/>
      <c r="X445" s="273"/>
      <c r="Y445" s="273"/>
      <c r="Z445" s="273"/>
    </row>
    <row r="446" ht="15.75" customHeight="1">
      <c r="A446" s="273"/>
      <c r="B446" s="273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3"/>
      <c r="P446" s="273"/>
      <c r="Q446" s="273"/>
      <c r="R446" s="273"/>
      <c r="S446" s="273"/>
      <c r="T446" s="273"/>
      <c r="U446" s="273"/>
      <c r="V446" s="273"/>
      <c r="W446" s="273"/>
      <c r="X446" s="273"/>
      <c r="Y446" s="273"/>
      <c r="Z446" s="273"/>
    </row>
    <row r="447" ht="15.75" customHeight="1">
      <c r="A447" s="273"/>
      <c r="B447" s="273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3"/>
      <c r="P447" s="273"/>
      <c r="Q447" s="273"/>
      <c r="R447" s="273"/>
      <c r="S447" s="273"/>
      <c r="T447" s="273"/>
      <c r="U447" s="273"/>
      <c r="V447" s="273"/>
      <c r="W447" s="273"/>
      <c r="X447" s="273"/>
      <c r="Y447" s="273"/>
      <c r="Z447" s="273"/>
    </row>
    <row r="448" ht="15.75" customHeight="1">
      <c r="A448" s="273"/>
      <c r="B448" s="273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3"/>
      <c r="P448" s="273"/>
      <c r="Q448" s="273"/>
      <c r="R448" s="273"/>
      <c r="S448" s="273"/>
      <c r="T448" s="273"/>
      <c r="U448" s="273"/>
      <c r="V448" s="273"/>
      <c r="W448" s="273"/>
      <c r="X448" s="273"/>
      <c r="Y448" s="273"/>
      <c r="Z448" s="273"/>
    </row>
    <row r="449" ht="15.75" customHeight="1">
      <c r="A449" s="273"/>
      <c r="B449" s="273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3"/>
      <c r="P449" s="273"/>
      <c r="Q449" s="273"/>
      <c r="R449" s="273"/>
      <c r="S449" s="273"/>
      <c r="T449" s="273"/>
      <c r="U449" s="273"/>
      <c r="V449" s="273"/>
      <c r="W449" s="273"/>
      <c r="X449" s="273"/>
      <c r="Y449" s="273"/>
      <c r="Z449" s="273"/>
    </row>
    <row r="450" ht="15.75" customHeight="1">
      <c r="A450" s="273"/>
      <c r="B450" s="273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3"/>
      <c r="P450" s="273"/>
      <c r="Q450" s="273"/>
      <c r="R450" s="273"/>
      <c r="S450" s="273"/>
      <c r="T450" s="273"/>
      <c r="U450" s="273"/>
      <c r="V450" s="273"/>
      <c r="W450" s="273"/>
      <c r="X450" s="273"/>
      <c r="Y450" s="273"/>
      <c r="Z450" s="273"/>
    </row>
    <row r="451" ht="15.75" customHeight="1">
      <c r="A451" s="273"/>
      <c r="B451" s="273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3"/>
      <c r="P451" s="273"/>
      <c r="Q451" s="273"/>
      <c r="R451" s="273"/>
      <c r="S451" s="273"/>
      <c r="T451" s="273"/>
      <c r="U451" s="273"/>
      <c r="V451" s="273"/>
      <c r="W451" s="273"/>
      <c r="X451" s="273"/>
      <c r="Y451" s="273"/>
      <c r="Z451" s="273"/>
    </row>
    <row r="452" ht="15.75" customHeight="1">
      <c r="A452" s="273"/>
      <c r="B452" s="273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3"/>
      <c r="P452" s="273"/>
      <c r="Q452" s="273"/>
      <c r="R452" s="273"/>
      <c r="S452" s="273"/>
      <c r="T452" s="273"/>
      <c r="U452" s="273"/>
      <c r="V452" s="273"/>
      <c r="W452" s="273"/>
      <c r="X452" s="273"/>
      <c r="Y452" s="273"/>
      <c r="Z452" s="273"/>
    </row>
    <row r="453" ht="15.75" customHeight="1">
      <c r="A453" s="273"/>
      <c r="B453" s="273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3"/>
      <c r="P453" s="273"/>
      <c r="Q453" s="273"/>
      <c r="R453" s="273"/>
      <c r="S453" s="273"/>
      <c r="T453" s="273"/>
      <c r="U453" s="273"/>
      <c r="V453" s="273"/>
      <c r="W453" s="273"/>
      <c r="X453" s="273"/>
      <c r="Y453" s="273"/>
      <c r="Z453" s="273"/>
    </row>
    <row r="454" ht="15.75" customHeight="1">
      <c r="A454" s="273"/>
      <c r="B454" s="273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3"/>
      <c r="P454" s="273"/>
      <c r="Q454" s="273"/>
      <c r="R454" s="273"/>
      <c r="S454" s="273"/>
      <c r="T454" s="273"/>
      <c r="U454" s="273"/>
      <c r="V454" s="273"/>
      <c r="W454" s="273"/>
      <c r="X454" s="273"/>
      <c r="Y454" s="273"/>
      <c r="Z454" s="273"/>
    </row>
    <row r="455" ht="15.75" customHeight="1">
      <c r="A455" s="273"/>
      <c r="B455" s="273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3"/>
      <c r="P455" s="273"/>
      <c r="Q455" s="273"/>
      <c r="R455" s="273"/>
      <c r="S455" s="273"/>
      <c r="T455" s="273"/>
      <c r="U455" s="273"/>
      <c r="V455" s="273"/>
      <c r="W455" s="273"/>
      <c r="X455" s="273"/>
      <c r="Y455" s="273"/>
      <c r="Z455" s="273"/>
    </row>
    <row r="456" ht="15.75" customHeight="1">
      <c r="A456" s="273"/>
      <c r="B456" s="273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3"/>
      <c r="P456" s="273"/>
      <c r="Q456" s="273"/>
      <c r="R456" s="273"/>
      <c r="S456" s="273"/>
      <c r="T456" s="273"/>
      <c r="U456" s="273"/>
      <c r="V456" s="273"/>
      <c r="W456" s="273"/>
      <c r="X456" s="273"/>
      <c r="Y456" s="273"/>
      <c r="Z456" s="273"/>
    </row>
    <row r="457" ht="15.75" customHeight="1">
      <c r="A457" s="273"/>
      <c r="B457" s="273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3"/>
      <c r="P457" s="273"/>
      <c r="Q457" s="273"/>
      <c r="R457" s="273"/>
      <c r="S457" s="273"/>
      <c r="T457" s="273"/>
      <c r="U457" s="273"/>
      <c r="V457" s="273"/>
      <c r="W457" s="273"/>
      <c r="X457" s="273"/>
      <c r="Y457" s="273"/>
      <c r="Z457" s="273"/>
    </row>
    <row r="458" ht="15.75" customHeight="1">
      <c r="A458" s="273"/>
      <c r="B458" s="273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3"/>
      <c r="P458" s="273"/>
      <c r="Q458" s="273"/>
      <c r="R458" s="273"/>
      <c r="S458" s="273"/>
      <c r="T458" s="273"/>
      <c r="U458" s="273"/>
      <c r="V458" s="273"/>
      <c r="W458" s="273"/>
      <c r="X458" s="273"/>
      <c r="Y458" s="273"/>
      <c r="Z458" s="273"/>
    </row>
    <row r="459" ht="15.75" customHeight="1">
      <c r="A459" s="273"/>
      <c r="B459" s="273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3"/>
      <c r="P459" s="273"/>
      <c r="Q459" s="273"/>
      <c r="R459" s="273"/>
      <c r="S459" s="273"/>
      <c r="T459" s="273"/>
      <c r="U459" s="273"/>
      <c r="V459" s="273"/>
      <c r="W459" s="273"/>
      <c r="X459" s="273"/>
      <c r="Y459" s="273"/>
      <c r="Z459" s="273"/>
    </row>
    <row r="460" ht="15.75" customHeight="1">
      <c r="A460" s="273"/>
      <c r="B460" s="273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3"/>
      <c r="P460" s="273"/>
      <c r="Q460" s="273"/>
      <c r="R460" s="273"/>
      <c r="S460" s="273"/>
      <c r="T460" s="273"/>
      <c r="U460" s="273"/>
      <c r="V460" s="273"/>
      <c r="W460" s="273"/>
      <c r="X460" s="273"/>
      <c r="Y460" s="273"/>
      <c r="Z460" s="273"/>
    </row>
    <row r="461" ht="15.75" customHeight="1">
      <c r="A461" s="273"/>
      <c r="B461" s="273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3"/>
      <c r="P461" s="273"/>
      <c r="Q461" s="273"/>
      <c r="R461" s="273"/>
      <c r="S461" s="273"/>
      <c r="T461" s="273"/>
      <c r="U461" s="273"/>
      <c r="V461" s="273"/>
      <c r="W461" s="273"/>
      <c r="X461" s="273"/>
      <c r="Y461" s="273"/>
      <c r="Z461" s="273"/>
    </row>
    <row r="462" ht="15.75" customHeight="1">
      <c r="A462" s="273"/>
      <c r="B462" s="273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3"/>
      <c r="P462" s="273"/>
      <c r="Q462" s="273"/>
      <c r="R462" s="273"/>
      <c r="S462" s="273"/>
      <c r="T462" s="273"/>
      <c r="U462" s="273"/>
      <c r="V462" s="273"/>
      <c r="W462" s="273"/>
      <c r="X462" s="273"/>
      <c r="Y462" s="273"/>
      <c r="Z462" s="273"/>
    </row>
    <row r="463" ht="15.75" customHeight="1">
      <c r="A463" s="273"/>
      <c r="B463" s="273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3"/>
      <c r="P463" s="273"/>
      <c r="Q463" s="273"/>
      <c r="R463" s="273"/>
      <c r="S463" s="273"/>
      <c r="T463" s="273"/>
      <c r="U463" s="273"/>
      <c r="V463" s="273"/>
      <c r="W463" s="273"/>
      <c r="X463" s="273"/>
      <c r="Y463" s="273"/>
      <c r="Z463" s="273"/>
    </row>
    <row r="464" ht="15.75" customHeight="1">
      <c r="A464" s="273"/>
      <c r="B464" s="273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3"/>
      <c r="P464" s="273"/>
      <c r="Q464" s="273"/>
      <c r="R464" s="273"/>
      <c r="S464" s="273"/>
      <c r="T464" s="273"/>
      <c r="U464" s="273"/>
      <c r="V464" s="273"/>
      <c r="W464" s="273"/>
      <c r="X464" s="273"/>
      <c r="Y464" s="273"/>
      <c r="Z464" s="273"/>
    </row>
    <row r="465" ht="15.75" customHeight="1">
      <c r="A465" s="273"/>
      <c r="B465" s="273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3"/>
      <c r="P465" s="273"/>
      <c r="Q465" s="273"/>
      <c r="R465" s="273"/>
      <c r="S465" s="273"/>
      <c r="T465" s="273"/>
      <c r="U465" s="273"/>
      <c r="V465" s="273"/>
      <c r="W465" s="273"/>
      <c r="X465" s="273"/>
      <c r="Y465" s="273"/>
      <c r="Z465" s="273"/>
    </row>
    <row r="466" ht="15.75" customHeight="1">
      <c r="A466" s="273"/>
      <c r="B466" s="273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3"/>
      <c r="P466" s="273"/>
      <c r="Q466" s="273"/>
      <c r="R466" s="273"/>
      <c r="S466" s="273"/>
      <c r="T466" s="273"/>
      <c r="U466" s="273"/>
      <c r="V466" s="273"/>
      <c r="W466" s="273"/>
      <c r="X466" s="273"/>
      <c r="Y466" s="273"/>
      <c r="Z466" s="273"/>
    </row>
    <row r="467" ht="15.75" customHeight="1">
      <c r="A467" s="273"/>
      <c r="B467" s="273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3"/>
      <c r="P467" s="273"/>
      <c r="Q467" s="273"/>
      <c r="R467" s="273"/>
      <c r="S467" s="273"/>
      <c r="T467" s="273"/>
      <c r="U467" s="273"/>
      <c r="V467" s="273"/>
      <c r="W467" s="273"/>
      <c r="X467" s="273"/>
      <c r="Y467" s="273"/>
      <c r="Z467" s="273"/>
    </row>
    <row r="468" ht="15.75" customHeight="1">
      <c r="A468" s="273"/>
      <c r="B468" s="273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3"/>
      <c r="P468" s="273"/>
      <c r="Q468" s="273"/>
      <c r="R468" s="273"/>
      <c r="S468" s="273"/>
      <c r="T468" s="273"/>
      <c r="U468" s="273"/>
      <c r="V468" s="273"/>
      <c r="W468" s="273"/>
      <c r="X468" s="273"/>
      <c r="Y468" s="273"/>
      <c r="Z468" s="273"/>
    </row>
    <row r="469" ht="15.75" customHeight="1">
      <c r="A469" s="273"/>
      <c r="B469" s="273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3"/>
      <c r="P469" s="273"/>
      <c r="Q469" s="273"/>
      <c r="R469" s="273"/>
      <c r="S469" s="273"/>
      <c r="T469" s="273"/>
      <c r="U469" s="273"/>
      <c r="V469" s="273"/>
      <c r="W469" s="273"/>
      <c r="X469" s="273"/>
      <c r="Y469" s="273"/>
      <c r="Z469" s="273"/>
    </row>
    <row r="470" ht="15.75" customHeight="1">
      <c r="A470" s="273"/>
      <c r="B470" s="273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3"/>
      <c r="P470" s="273"/>
      <c r="Q470" s="273"/>
      <c r="R470" s="273"/>
      <c r="S470" s="273"/>
      <c r="T470" s="273"/>
      <c r="U470" s="273"/>
      <c r="V470" s="273"/>
      <c r="W470" s="273"/>
      <c r="X470" s="273"/>
      <c r="Y470" s="273"/>
      <c r="Z470" s="273"/>
    </row>
    <row r="471" ht="15.75" customHeight="1">
      <c r="A471" s="273"/>
      <c r="B471" s="273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3"/>
      <c r="P471" s="273"/>
      <c r="Q471" s="273"/>
      <c r="R471" s="273"/>
      <c r="S471" s="273"/>
      <c r="T471" s="273"/>
      <c r="U471" s="273"/>
      <c r="V471" s="273"/>
      <c r="W471" s="273"/>
      <c r="X471" s="273"/>
      <c r="Y471" s="273"/>
      <c r="Z471" s="273"/>
    </row>
    <row r="472" ht="15.75" customHeight="1">
      <c r="A472" s="273"/>
      <c r="B472" s="273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3"/>
      <c r="P472" s="273"/>
      <c r="Q472" s="273"/>
      <c r="R472" s="273"/>
      <c r="S472" s="273"/>
      <c r="T472" s="273"/>
      <c r="U472" s="273"/>
      <c r="V472" s="273"/>
      <c r="W472" s="273"/>
      <c r="X472" s="273"/>
      <c r="Y472" s="273"/>
      <c r="Z472" s="273"/>
    </row>
    <row r="473" ht="15.75" customHeight="1">
      <c r="A473" s="273"/>
      <c r="B473" s="273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3"/>
      <c r="P473" s="273"/>
      <c r="Q473" s="273"/>
      <c r="R473" s="273"/>
      <c r="S473" s="273"/>
      <c r="T473" s="273"/>
      <c r="U473" s="273"/>
      <c r="V473" s="273"/>
      <c r="W473" s="273"/>
      <c r="X473" s="273"/>
      <c r="Y473" s="273"/>
      <c r="Z473" s="273"/>
    </row>
    <row r="474" ht="15.75" customHeight="1">
      <c r="A474" s="273"/>
      <c r="B474" s="273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3"/>
      <c r="P474" s="273"/>
      <c r="Q474" s="273"/>
      <c r="R474" s="273"/>
      <c r="S474" s="273"/>
      <c r="T474" s="273"/>
      <c r="U474" s="273"/>
      <c r="V474" s="273"/>
      <c r="W474" s="273"/>
      <c r="X474" s="273"/>
      <c r="Y474" s="273"/>
      <c r="Z474" s="273"/>
    </row>
    <row r="475" ht="15.75" customHeight="1">
      <c r="A475" s="273"/>
      <c r="B475" s="273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3"/>
      <c r="P475" s="273"/>
      <c r="Q475" s="273"/>
      <c r="R475" s="273"/>
      <c r="S475" s="273"/>
      <c r="T475" s="273"/>
      <c r="U475" s="273"/>
      <c r="V475" s="273"/>
      <c r="W475" s="273"/>
      <c r="X475" s="273"/>
      <c r="Y475" s="273"/>
      <c r="Z475" s="273"/>
    </row>
    <row r="476" ht="15.75" customHeight="1">
      <c r="A476" s="273"/>
      <c r="B476" s="273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3"/>
      <c r="P476" s="273"/>
      <c r="Q476" s="273"/>
      <c r="R476" s="273"/>
      <c r="S476" s="273"/>
      <c r="T476" s="273"/>
      <c r="U476" s="273"/>
      <c r="V476" s="273"/>
      <c r="W476" s="273"/>
      <c r="X476" s="273"/>
      <c r="Y476" s="273"/>
      <c r="Z476" s="273"/>
    </row>
    <row r="477" ht="15.75" customHeight="1">
      <c r="A477" s="273"/>
      <c r="B477" s="273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3"/>
      <c r="P477" s="273"/>
      <c r="Q477" s="273"/>
      <c r="R477" s="273"/>
      <c r="S477" s="273"/>
      <c r="T477" s="273"/>
      <c r="U477" s="273"/>
      <c r="V477" s="273"/>
      <c r="W477" s="273"/>
      <c r="X477" s="273"/>
      <c r="Y477" s="273"/>
      <c r="Z477" s="273"/>
    </row>
    <row r="478" ht="15.75" customHeight="1">
      <c r="A478" s="273"/>
      <c r="B478" s="273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3"/>
      <c r="P478" s="273"/>
      <c r="Q478" s="273"/>
      <c r="R478" s="273"/>
      <c r="S478" s="273"/>
      <c r="T478" s="273"/>
      <c r="U478" s="273"/>
      <c r="V478" s="273"/>
      <c r="W478" s="273"/>
      <c r="X478" s="273"/>
      <c r="Y478" s="273"/>
      <c r="Z478" s="273"/>
    </row>
    <row r="479" ht="15.75" customHeight="1">
      <c r="A479" s="273"/>
      <c r="B479" s="273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3"/>
      <c r="P479" s="273"/>
      <c r="Q479" s="273"/>
      <c r="R479" s="273"/>
      <c r="S479" s="273"/>
      <c r="T479" s="273"/>
      <c r="U479" s="273"/>
      <c r="V479" s="273"/>
      <c r="W479" s="273"/>
      <c r="X479" s="273"/>
      <c r="Y479" s="273"/>
      <c r="Z479" s="273"/>
    </row>
    <row r="480" ht="15.75" customHeight="1">
      <c r="A480" s="273"/>
      <c r="B480" s="273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3"/>
      <c r="P480" s="273"/>
      <c r="Q480" s="273"/>
      <c r="R480" s="273"/>
      <c r="S480" s="273"/>
      <c r="T480" s="273"/>
      <c r="U480" s="273"/>
      <c r="V480" s="273"/>
      <c r="W480" s="273"/>
      <c r="X480" s="273"/>
      <c r="Y480" s="273"/>
      <c r="Z480" s="273"/>
    </row>
    <row r="481" ht="15.75" customHeight="1">
      <c r="A481" s="273"/>
      <c r="B481" s="273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3"/>
      <c r="P481" s="273"/>
      <c r="Q481" s="273"/>
      <c r="R481" s="273"/>
      <c r="S481" s="273"/>
      <c r="T481" s="273"/>
      <c r="U481" s="273"/>
      <c r="V481" s="273"/>
      <c r="W481" s="273"/>
      <c r="X481" s="273"/>
      <c r="Y481" s="273"/>
      <c r="Z481" s="273"/>
    </row>
    <row r="482" ht="15.75" customHeight="1">
      <c r="A482" s="273"/>
      <c r="B482" s="273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3"/>
      <c r="P482" s="273"/>
      <c r="Q482" s="273"/>
      <c r="R482" s="273"/>
      <c r="S482" s="273"/>
      <c r="T482" s="273"/>
      <c r="U482" s="273"/>
      <c r="V482" s="273"/>
      <c r="W482" s="273"/>
      <c r="X482" s="273"/>
      <c r="Y482" s="273"/>
      <c r="Z482" s="273"/>
    </row>
    <row r="483" ht="15.75" customHeight="1">
      <c r="A483" s="273"/>
      <c r="B483" s="273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3"/>
      <c r="P483" s="273"/>
      <c r="Q483" s="273"/>
      <c r="R483" s="273"/>
      <c r="S483" s="273"/>
      <c r="T483" s="273"/>
      <c r="U483" s="273"/>
      <c r="V483" s="273"/>
      <c r="W483" s="273"/>
      <c r="X483" s="273"/>
      <c r="Y483" s="273"/>
      <c r="Z483" s="273"/>
    </row>
    <row r="484" ht="15.75" customHeight="1">
      <c r="A484" s="273"/>
      <c r="B484" s="273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3"/>
      <c r="P484" s="273"/>
      <c r="Q484" s="273"/>
      <c r="R484" s="273"/>
      <c r="S484" s="273"/>
      <c r="T484" s="273"/>
      <c r="U484" s="273"/>
      <c r="V484" s="273"/>
      <c r="W484" s="273"/>
      <c r="X484" s="273"/>
      <c r="Y484" s="273"/>
      <c r="Z484" s="273"/>
    </row>
    <row r="485" ht="15.75" customHeight="1">
      <c r="A485" s="273"/>
      <c r="B485" s="273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3"/>
      <c r="P485" s="273"/>
      <c r="Q485" s="273"/>
      <c r="R485" s="273"/>
      <c r="S485" s="273"/>
      <c r="T485" s="273"/>
      <c r="U485" s="273"/>
      <c r="V485" s="273"/>
      <c r="W485" s="273"/>
      <c r="X485" s="273"/>
      <c r="Y485" s="273"/>
      <c r="Z485" s="273"/>
    </row>
    <row r="486" ht="15.75" customHeight="1">
      <c r="A486" s="273"/>
      <c r="B486" s="273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3"/>
      <c r="X486" s="273"/>
      <c r="Y486" s="273"/>
      <c r="Z486" s="273"/>
    </row>
    <row r="487" ht="15.75" customHeight="1">
      <c r="A487" s="273"/>
      <c r="B487" s="273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3"/>
      <c r="P487" s="273"/>
      <c r="Q487" s="273"/>
      <c r="R487" s="273"/>
      <c r="S487" s="273"/>
      <c r="T487" s="273"/>
      <c r="U487" s="273"/>
      <c r="V487" s="273"/>
      <c r="W487" s="273"/>
      <c r="X487" s="273"/>
      <c r="Y487" s="273"/>
      <c r="Z487" s="273"/>
    </row>
    <row r="488" ht="15.75" customHeight="1">
      <c r="A488" s="273"/>
      <c r="B488" s="273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3"/>
      <c r="P488" s="273"/>
      <c r="Q488" s="273"/>
      <c r="R488" s="273"/>
      <c r="S488" s="273"/>
      <c r="T488" s="273"/>
      <c r="U488" s="273"/>
      <c r="V488" s="273"/>
      <c r="W488" s="273"/>
      <c r="X488" s="273"/>
      <c r="Y488" s="273"/>
      <c r="Z488" s="273"/>
    </row>
    <row r="489" ht="15.75" customHeight="1">
      <c r="A489" s="273"/>
      <c r="B489" s="273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3"/>
      <c r="P489" s="273"/>
      <c r="Q489" s="273"/>
      <c r="R489" s="273"/>
      <c r="S489" s="273"/>
      <c r="T489" s="273"/>
      <c r="U489" s="273"/>
      <c r="V489" s="273"/>
      <c r="W489" s="273"/>
      <c r="X489" s="273"/>
      <c r="Y489" s="273"/>
      <c r="Z489" s="273"/>
    </row>
    <row r="490" ht="15.75" customHeight="1">
      <c r="A490" s="273"/>
      <c r="B490" s="273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3"/>
      <c r="P490" s="273"/>
      <c r="Q490" s="273"/>
      <c r="R490" s="273"/>
      <c r="S490" s="273"/>
      <c r="T490" s="273"/>
      <c r="U490" s="273"/>
      <c r="V490" s="273"/>
      <c r="W490" s="273"/>
      <c r="X490" s="273"/>
      <c r="Y490" s="273"/>
      <c r="Z490" s="273"/>
    </row>
    <row r="491" ht="15.75" customHeight="1">
      <c r="A491" s="273"/>
      <c r="B491" s="273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3"/>
      <c r="P491" s="273"/>
      <c r="Q491" s="273"/>
      <c r="R491" s="273"/>
      <c r="S491" s="273"/>
      <c r="T491" s="273"/>
      <c r="U491" s="273"/>
      <c r="V491" s="273"/>
      <c r="W491" s="273"/>
      <c r="X491" s="273"/>
      <c r="Y491" s="273"/>
      <c r="Z491" s="273"/>
    </row>
    <row r="492" ht="15.75" customHeight="1">
      <c r="A492" s="273"/>
      <c r="B492" s="273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3"/>
      <c r="P492" s="273"/>
      <c r="Q492" s="273"/>
      <c r="R492" s="273"/>
      <c r="S492" s="273"/>
      <c r="T492" s="273"/>
      <c r="U492" s="273"/>
      <c r="V492" s="273"/>
      <c r="W492" s="273"/>
      <c r="X492" s="273"/>
      <c r="Y492" s="273"/>
      <c r="Z492" s="273"/>
    </row>
    <row r="493" ht="15.75" customHeight="1">
      <c r="A493" s="273"/>
      <c r="B493" s="273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3"/>
      <c r="P493" s="273"/>
      <c r="Q493" s="273"/>
      <c r="R493" s="273"/>
      <c r="S493" s="273"/>
      <c r="T493" s="273"/>
      <c r="U493" s="273"/>
      <c r="V493" s="273"/>
      <c r="W493" s="273"/>
      <c r="X493" s="273"/>
      <c r="Y493" s="273"/>
      <c r="Z493" s="273"/>
    </row>
    <row r="494" ht="15.75" customHeight="1">
      <c r="A494" s="273"/>
      <c r="B494" s="273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3"/>
      <c r="P494" s="273"/>
      <c r="Q494" s="273"/>
      <c r="R494" s="273"/>
      <c r="S494" s="273"/>
      <c r="T494" s="273"/>
      <c r="U494" s="273"/>
      <c r="V494" s="273"/>
      <c r="W494" s="273"/>
      <c r="X494" s="273"/>
      <c r="Y494" s="273"/>
      <c r="Z494" s="273"/>
    </row>
    <row r="495" ht="15.75" customHeight="1">
      <c r="A495" s="273"/>
      <c r="B495" s="273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3"/>
      <c r="P495" s="273"/>
      <c r="Q495" s="273"/>
      <c r="R495" s="273"/>
      <c r="S495" s="273"/>
      <c r="T495" s="273"/>
      <c r="U495" s="273"/>
      <c r="V495" s="273"/>
      <c r="W495" s="273"/>
      <c r="X495" s="273"/>
      <c r="Y495" s="273"/>
      <c r="Z495" s="273"/>
    </row>
    <row r="496" ht="15.75" customHeight="1">
      <c r="A496" s="273"/>
      <c r="B496" s="273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3"/>
      <c r="P496" s="273"/>
      <c r="Q496" s="273"/>
      <c r="R496" s="273"/>
      <c r="S496" s="273"/>
      <c r="T496" s="273"/>
      <c r="U496" s="273"/>
      <c r="V496" s="273"/>
      <c r="W496" s="273"/>
      <c r="X496" s="273"/>
      <c r="Y496" s="273"/>
      <c r="Z496" s="273"/>
    </row>
    <row r="497" ht="15.75" customHeight="1">
      <c r="A497" s="273"/>
      <c r="B497" s="273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3"/>
      <c r="P497" s="273"/>
      <c r="Q497" s="273"/>
      <c r="R497" s="273"/>
      <c r="S497" s="273"/>
      <c r="T497" s="273"/>
      <c r="U497" s="273"/>
      <c r="V497" s="273"/>
      <c r="W497" s="273"/>
      <c r="X497" s="273"/>
      <c r="Y497" s="273"/>
      <c r="Z497" s="273"/>
    </row>
    <row r="498" ht="15.75" customHeight="1">
      <c r="A498" s="273"/>
      <c r="B498" s="273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3"/>
      <c r="P498" s="273"/>
      <c r="Q498" s="273"/>
      <c r="R498" s="273"/>
      <c r="S498" s="273"/>
      <c r="T498" s="273"/>
      <c r="U498" s="273"/>
      <c r="V498" s="273"/>
      <c r="W498" s="273"/>
      <c r="X498" s="273"/>
      <c r="Y498" s="273"/>
      <c r="Z498" s="273"/>
    </row>
    <row r="499" ht="15.75" customHeight="1">
      <c r="A499" s="273"/>
      <c r="B499" s="273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3"/>
      <c r="P499" s="273"/>
      <c r="Q499" s="273"/>
      <c r="R499" s="273"/>
      <c r="S499" s="273"/>
      <c r="T499" s="273"/>
      <c r="U499" s="273"/>
      <c r="V499" s="273"/>
      <c r="W499" s="273"/>
      <c r="X499" s="273"/>
      <c r="Y499" s="273"/>
      <c r="Z499" s="273"/>
    </row>
    <row r="500" ht="15.75" customHeight="1">
      <c r="A500" s="273"/>
      <c r="B500" s="273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3"/>
      <c r="P500" s="273"/>
      <c r="Q500" s="273"/>
      <c r="R500" s="273"/>
      <c r="S500" s="273"/>
      <c r="T500" s="273"/>
      <c r="U500" s="273"/>
      <c r="V500" s="273"/>
      <c r="W500" s="273"/>
      <c r="X500" s="273"/>
      <c r="Y500" s="273"/>
      <c r="Z500" s="273"/>
    </row>
    <row r="501" ht="15.75" customHeight="1">
      <c r="A501" s="273"/>
      <c r="B501" s="273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3"/>
      <c r="P501" s="273"/>
      <c r="Q501" s="273"/>
      <c r="R501" s="273"/>
      <c r="S501" s="273"/>
      <c r="T501" s="273"/>
      <c r="U501" s="273"/>
      <c r="V501" s="273"/>
      <c r="W501" s="273"/>
      <c r="X501" s="273"/>
      <c r="Y501" s="273"/>
      <c r="Z501" s="273"/>
    </row>
    <row r="502" ht="15.75" customHeight="1">
      <c r="A502" s="273"/>
      <c r="B502" s="273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3"/>
      <c r="P502" s="273"/>
      <c r="Q502" s="273"/>
      <c r="R502" s="273"/>
      <c r="S502" s="273"/>
      <c r="T502" s="273"/>
      <c r="U502" s="273"/>
      <c r="V502" s="273"/>
      <c r="W502" s="273"/>
      <c r="X502" s="273"/>
      <c r="Y502" s="273"/>
      <c r="Z502" s="273"/>
    </row>
    <row r="503" ht="15.75" customHeight="1">
      <c r="A503" s="273"/>
      <c r="B503" s="273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3"/>
      <c r="P503" s="273"/>
      <c r="Q503" s="273"/>
      <c r="R503" s="273"/>
      <c r="S503" s="273"/>
      <c r="T503" s="273"/>
      <c r="U503" s="273"/>
      <c r="V503" s="273"/>
      <c r="W503" s="273"/>
      <c r="X503" s="273"/>
      <c r="Y503" s="273"/>
      <c r="Z503" s="273"/>
    </row>
    <row r="504" ht="15.75" customHeight="1">
      <c r="A504" s="273"/>
      <c r="B504" s="273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3"/>
      <c r="P504" s="273"/>
      <c r="Q504" s="273"/>
      <c r="R504" s="273"/>
      <c r="S504" s="273"/>
      <c r="T504" s="273"/>
      <c r="U504" s="273"/>
      <c r="V504" s="273"/>
      <c r="W504" s="273"/>
      <c r="X504" s="273"/>
      <c r="Y504" s="273"/>
      <c r="Z504" s="273"/>
    </row>
    <row r="505" ht="15.75" customHeight="1">
      <c r="A505" s="273"/>
      <c r="B505" s="273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3"/>
      <c r="P505" s="273"/>
      <c r="Q505" s="273"/>
      <c r="R505" s="273"/>
      <c r="S505" s="273"/>
      <c r="T505" s="273"/>
      <c r="U505" s="273"/>
      <c r="V505" s="273"/>
      <c r="W505" s="273"/>
      <c r="X505" s="273"/>
      <c r="Y505" s="273"/>
      <c r="Z505" s="273"/>
    </row>
    <row r="506" ht="15.75" customHeight="1">
      <c r="A506" s="273"/>
      <c r="B506" s="273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3"/>
      <c r="P506" s="273"/>
      <c r="Q506" s="273"/>
      <c r="R506" s="273"/>
      <c r="S506" s="273"/>
      <c r="T506" s="273"/>
      <c r="U506" s="273"/>
      <c r="V506" s="273"/>
      <c r="W506" s="273"/>
      <c r="X506" s="273"/>
      <c r="Y506" s="273"/>
      <c r="Z506" s="273"/>
    </row>
    <row r="507" ht="15.75" customHeight="1">
      <c r="A507" s="273"/>
      <c r="B507" s="273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3"/>
      <c r="P507" s="273"/>
      <c r="Q507" s="273"/>
      <c r="R507" s="273"/>
      <c r="S507" s="273"/>
      <c r="T507" s="273"/>
      <c r="U507" s="273"/>
      <c r="V507" s="273"/>
      <c r="W507" s="273"/>
      <c r="X507" s="273"/>
      <c r="Y507" s="273"/>
      <c r="Z507" s="273"/>
    </row>
    <row r="508" ht="15.75" customHeight="1">
      <c r="A508" s="273"/>
      <c r="B508" s="273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3"/>
      <c r="P508" s="273"/>
      <c r="Q508" s="273"/>
      <c r="R508" s="273"/>
      <c r="S508" s="273"/>
      <c r="T508" s="273"/>
      <c r="U508" s="273"/>
      <c r="V508" s="273"/>
      <c r="W508" s="273"/>
      <c r="X508" s="273"/>
      <c r="Y508" s="273"/>
      <c r="Z508" s="273"/>
    </row>
    <row r="509" ht="15.75" customHeight="1">
      <c r="A509" s="273"/>
      <c r="B509" s="273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3"/>
      <c r="P509" s="273"/>
      <c r="Q509" s="273"/>
      <c r="R509" s="273"/>
      <c r="S509" s="273"/>
      <c r="T509" s="273"/>
      <c r="U509" s="273"/>
      <c r="V509" s="273"/>
      <c r="W509" s="273"/>
      <c r="X509" s="273"/>
      <c r="Y509" s="273"/>
      <c r="Z509" s="273"/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8">
    <mergeCell ref="H34:I34"/>
    <mergeCell ref="H35:I35"/>
    <mergeCell ref="B31:B35"/>
    <mergeCell ref="C31:F33"/>
    <mergeCell ref="H31:I31"/>
    <mergeCell ref="H32:I32"/>
    <mergeCell ref="H33:I33"/>
    <mergeCell ref="C34:F35"/>
    <mergeCell ref="G34:G35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C7:F7"/>
    <mergeCell ref="H7:I7"/>
    <mergeCell ref="C8:F8"/>
    <mergeCell ref="H8:I8"/>
    <mergeCell ref="C9:F9"/>
    <mergeCell ref="C10:F10"/>
    <mergeCell ref="C11:F11"/>
    <mergeCell ref="C12:F12"/>
    <mergeCell ref="B16:B20"/>
    <mergeCell ref="C16:F18"/>
    <mergeCell ref="C19:F20"/>
    <mergeCell ref="G19:G20"/>
    <mergeCell ref="H21:I21"/>
    <mergeCell ref="H22:I22"/>
    <mergeCell ref="H23:I23"/>
    <mergeCell ref="H4:I4"/>
    <mergeCell ref="H5:I5"/>
    <mergeCell ref="H16:I16"/>
    <mergeCell ref="H17:I17"/>
    <mergeCell ref="H18:I18"/>
    <mergeCell ref="H19:I19"/>
    <mergeCell ref="H20:I20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C37:F37"/>
    <mergeCell ref="H37:I37"/>
    <mergeCell ref="C38:F38"/>
    <mergeCell ref="H38:I38"/>
    <mergeCell ref="C39:F39"/>
    <mergeCell ref="C73:F75"/>
    <mergeCell ref="C76:F77"/>
    <mergeCell ref="G76:G77"/>
    <mergeCell ref="C65:F65"/>
    <mergeCell ref="C66:F66"/>
    <mergeCell ref="C67:F67"/>
    <mergeCell ref="C68:F68"/>
    <mergeCell ref="C69:F69"/>
    <mergeCell ref="C70:F70"/>
    <mergeCell ref="B73:B77"/>
    <mergeCell ref="H61:I61"/>
    <mergeCell ref="H62:I62"/>
    <mergeCell ref="H63:I63"/>
    <mergeCell ref="H64:I64"/>
    <mergeCell ref="H65:I65"/>
    <mergeCell ref="H66:I66"/>
    <mergeCell ref="H73:I73"/>
    <mergeCell ref="H74:I74"/>
    <mergeCell ref="H75:I75"/>
    <mergeCell ref="H76:I76"/>
    <mergeCell ref="H77:I77"/>
    <mergeCell ref="H78:I78"/>
    <mergeCell ref="H79:I79"/>
    <mergeCell ref="H80:I80"/>
    <mergeCell ref="H94:I94"/>
    <mergeCell ref="H101:I101"/>
    <mergeCell ref="H87:I87"/>
    <mergeCell ref="H88:I88"/>
    <mergeCell ref="H89:I89"/>
    <mergeCell ref="H90:I90"/>
    <mergeCell ref="H91:I91"/>
    <mergeCell ref="H92:I92"/>
    <mergeCell ref="H93:I93"/>
    <mergeCell ref="C129:F131"/>
    <mergeCell ref="C132:F133"/>
    <mergeCell ref="G132:G133"/>
    <mergeCell ref="C121:F121"/>
    <mergeCell ref="C122:F122"/>
    <mergeCell ref="C123:F123"/>
    <mergeCell ref="C124:F124"/>
    <mergeCell ref="C125:F125"/>
    <mergeCell ref="C126:F126"/>
    <mergeCell ref="B129:B133"/>
    <mergeCell ref="H144:I144"/>
    <mergeCell ref="H145:I145"/>
    <mergeCell ref="H131:I131"/>
    <mergeCell ref="H132:I132"/>
    <mergeCell ref="H133:I133"/>
    <mergeCell ref="H134:I134"/>
    <mergeCell ref="H135:I135"/>
    <mergeCell ref="H136:I136"/>
    <mergeCell ref="H143:I143"/>
    <mergeCell ref="C216:F217"/>
    <mergeCell ref="G216:G217"/>
    <mergeCell ref="C209:F209"/>
    <mergeCell ref="C210:F210"/>
    <mergeCell ref="B213:B217"/>
    <mergeCell ref="C213:F215"/>
    <mergeCell ref="H213:I213"/>
    <mergeCell ref="H214:I214"/>
    <mergeCell ref="H215:I215"/>
    <mergeCell ref="C164:F164"/>
    <mergeCell ref="C165:F165"/>
    <mergeCell ref="C166:F166"/>
    <mergeCell ref="C167:F167"/>
    <mergeCell ref="C168:F168"/>
    <mergeCell ref="B171:B175"/>
    <mergeCell ref="C171:F173"/>
    <mergeCell ref="H171:I171"/>
    <mergeCell ref="H172:I172"/>
    <mergeCell ref="H173:I173"/>
    <mergeCell ref="G174:G175"/>
    <mergeCell ref="H174:I174"/>
    <mergeCell ref="H175:I175"/>
    <mergeCell ref="H176:I176"/>
    <mergeCell ref="C174:F175"/>
    <mergeCell ref="C176:F176"/>
    <mergeCell ref="C177:F177"/>
    <mergeCell ref="C178:F178"/>
    <mergeCell ref="C179:F179"/>
    <mergeCell ref="C180:F180"/>
    <mergeCell ref="C181:F181"/>
    <mergeCell ref="H177:I177"/>
    <mergeCell ref="H178:I178"/>
    <mergeCell ref="H185:I185"/>
    <mergeCell ref="H186:I186"/>
    <mergeCell ref="H187:I187"/>
    <mergeCell ref="H188:I188"/>
    <mergeCell ref="H189:I189"/>
    <mergeCell ref="C182:F182"/>
    <mergeCell ref="B185:B189"/>
    <mergeCell ref="C185:F187"/>
    <mergeCell ref="C188:F189"/>
    <mergeCell ref="G188:G189"/>
    <mergeCell ref="C190:F190"/>
    <mergeCell ref="C191:F191"/>
    <mergeCell ref="C192:F192"/>
    <mergeCell ref="C193:F193"/>
    <mergeCell ref="C194:F194"/>
    <mergeCell ref="C195:F195"/>
    <mergeCell ref="C196:F196"/>
    <mergeCell ref="B199:B203"/>
    <mergeCell ref="C199:F201"/>
    <mergeCell ref="H216:I216"/>
    <mergeCell ref="H217:I217"/>
    <mergeCell ref="C218:F218"/>
    <mergeCell ref="H218:I218"/>
    <mergeCell ref="C219:F219"/>
    <mergeCell ref="H219:I219"/>
    <mergeCell ref="H220:I220"/>
    <mergeCell ref="C258:F259"/>
    <mergeCell ref="G258:G259"/>
    <mergeCell ref="C260:F260"/>
    <mergeCell ref="C261:F261"/>
    <mergeCell ref="H261:I261"/>
    <mergeCell ref="C262:F262"/>
    <mergeCell ref="H262:I262"/>
    <mergeCell ref="C263:F263"/>
    <mergeCell ref="C264:F264"/>
    <mergeCell ref="C272:F273"/>
    <mergeCell ref="G272:G273"/>
    <mergeCell ref="C265:F265"/>
    <mergeCell ref="C266:F266"/>
    <mergeCell ref="B269:B273"/>
    <mergeCell ref="C269:F271"/>
    <mergeCell ref="H269:I269"/>
    <mergeCell ref="H270:I270"/>
    <mergeCell ref="H271:I271"/>
    <mergeCell ref="C276:F276"/>
    <mergeCell ref="C277:F277"/>
    <mergeCell ref="C278:F278"/>
    <mergeCell ref="C279:F279"/>
    <mergeCell ref="C280:F280"/>
    <mergeCell ref="B283:B287"/>
    <mergeCell ref="C283:F285"/>
    <mergeCell ref="H283:I283"/>
    <mergeCell ref="H284:I284"/>
    <mergeCell ref="H285:I285"/>
    <mergeCell ref="G286:G287"/>
    <mergeCell ref="H286:I286"/>
    <mergeCell ref="H287:I287"/>
    <mergeCell ref="H288:I288"/>
    <mergeCell ref="C286:F287"/>
    <mergeCell ref="C288:F288"/>
    <mergeCell ref="C289:F289"/>
    <mergeCell ref="C290:F290"/>
    <mergeCell ref="C291:F291"/>
    <mergeCell ref="C292:F292"/>
    <mergeCell ref="C293:F293"/>
    <mergeCell ref="H302:I302"/>
    <mergeCell ref="H303:I303"/>
    <mergeCell ref="H304:I304"/>
    <mergeCell ref="H289:I289"/>
    <mergeCell ref="H290:I290"/>
    <mergeCell ref="H297:I297"/>
    <mergeCell ref="H298:I298"/>
    <mergeCell ref="H299:I299"/>
    <mergeCell ref="H300:I300"/>
    <mergeCell ref="H301:I301"/>
    <mergeCell ref="C304:F304"/>
    <mergeCell ref="C305:F305"/>
    <mergeCell ref="C306:F306"/>
    <mergeCell ref="C307:F307"/>
    <mergeCell ref="C308:F308"/>
    <mergeCell ref="C294:F294"/>
    <mergeCell ref="B297:B301"/>
    <mergeCell ref="C297:F299"/>
    <mergeCell ref="C300:F301"/>
    <mergeCell ref="G300:G301"/>
    <mergeCell ref="C302:F302"/>
    <mergeCell ref="C303:F303"/>
    <mergeCell ref="C220:F220"/>
    <mergeCell ref="C221:F221"/>
    <mergeCell ref="C222:F222"/>
    <mergeCell ref="C223:F223"/>
    <mergeCell ref="C224:F224"/>
    <mergeCell ref="B227:B231"/>
    <mergeCell ref="C227:F229"/>
    <mergeCell ref="H227:I227"/>
    <mergeCell ref="H228:I228"/>
    <mergeCell ref="H229:I229"/>
    <mergeCell ref="G230:G231"/>
    <mergeCell ref="H230:I230"/>
    <mergeCell ref="H231:I231"/>
    <mergeCell ref="H232:I232"/>
    <mergeCell ref="C230:F231"/>
    <mergeCell ref="C232:F232"/>
    <mergeCell ref="C233:F233"/>
    <mergeCell ref="C234:F234"/>
    <mergeCell ref="C235:F235"/>
    <mergeCell ref="C236:F236"/>
    <mergeCell ref="C237:F237"/>
    <mergeCell ref="H233:I233"/>
    <mergeCell ref="H234:I234"/>
    <mergeCell ref="H241:I241"/>
    <mergeCell ref="H242:I242"/>
    <mergeCell ref="H243:I243"/>
    <mergeCell ref="H244:I244"/>
    <mergeCell ref="H245:I245"/>
    <mergeCell ref="C238:F238"/>
    <mergeCell ref="B241:B245"/>
    <mergeCell ref="C241:F243"/>
    <mergeCell ref="C244:F245"/>
    <mergeCell ref="G244:G245"/>
    <mergeCell ref="C246:F246"/>
    <mergeCell ref="C247:F247"/>
    <mergeCell ref="C248:F248"/>
    <mergeCell ref="C249:F249"/>
    <mergeCell ref="C250:F250"/>
    <mergeCell ref="C251:F251"/>
    <mergeCell ref="C252:F252"/>
    <mergeCell ref="B255:B259"/>
    <mergeCell ref="C255:F257"/>
    <mergeCell ref="H272:I272"/>
    <mergeCell ref="H273:I273"/>
    <mergeCell ref="C274:F274"/>
    <mergeCell ref="H274:I274"/>
    <mergeCell ref="C275:F275"/>
    <mergeCell ref="H275:I275"/>
    <mergeCell ref="H276:I276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H52:I52"/>
    <mergeCell ref="H59:I59"/>
    <mergeCell ref="H60:I60"/>
    <mergeCell ref="C55:F55"/>
    <mergeCell ref="C56:F56"/>
    <mergeCell ref="B59:B63"/>
    <mergeCell ref="C59:F61"/>
    <mergeCell ref="C62:F63"/>
    <mergeCell ref="G62:G63"/>
    <mergeCell ref="C64:F64"/>
    <mergeCell ref="C78:F78"/>
    <mergeCell ref="C79:F79"/>
    <mergeCell ref="C80:F80"/>
    <mergeCell ref="C81:F81"/>
    <mergeCell ref="C82:F82"/>
    <mergeCell ref="C83:F83"/>
    <mergeCell ref="C84:F84"/>
    <mergeCell ref="B87:B91"/>
    <mergeCell ref="C87:F89"/>
    <mergeCell ref="C90:F91"/>
    <mergeCell ref="G90:G91"/>
    <mergeCell ref="C92:F92"/>
    <mergeCell ref="C93:F93"/>
    <mergeCell ref="C94:F94"/>
    <mergeCell ref="H103:I103"/>
    <mergeCell ref="H104:I104"/>
    <mergeCell ref="B143:B147"/>
    <mergeCell ref="C143:F145"/>
    <mergeCell ref="C146:F147"/>
    <mergeCell ref="G146:G147"/>
    <mergeCell ref="H146:I146"/>
    <mergeCell ref="H147:I147"/>
    <mergeCell ref="H148:I148"/>
    <mergeCell ref="C148:F148"/>
    <mergeCell ref="C149:F149"/>
    <mergeCell ref="H149:I149"/>
    <mergeCell ref="C150:F150"/>
    <mergeCell ref="H150:I150"/>
    <mergeCell ref="C151:F151"/>
    <mergeCell ref="C152:F152"/>
    <mergeCell ref="C160:F161"/>
    <mergeCell ref="G160:G161"/>
    <mergeCell ref="C153:F153"/>
    <mergeCell ref="C154:F154"/>
    <mergeCell ref="B157:B161"/>
    <mergeCell ref="C157:F159"/>
    <mergeCell ref="H157:I157"/>
    <mergeCell ref="H158:I158"/>
    <mergeCell ref="H159:I159"/>
    <mergeCell ref="C95:F95"/>
    <mergeCell ref="C96:F96"/>
    <mergeCell ref="C97:F97"/>
    <mergeCell ref="C98:F98"/>
    <mergeCell ref="B101:B105"/>
    <mergeCell ref="H102:I102"/>
    <mergeCell ref="G104:G105"/>
    <mergeCell ref="C101:F103"/>
    <mergeCell ref="C104:F105"/>
    <mergeCell ref="C106:F106"/>
    <mergeCell ref="C107:F107"/>
    <mergeCell ref="C108:F108"/>
    <mergeCell ref="C109:F109"/>
    <mergeCell ref="C110:F110"/>
    <mergeCell ref="H105:I105"/>
    <mergeCell ref="H106:I106"/>
    <mergeCell ref="H107:I107"/>
    <mergeCell ref="H108:I108"/>
    <mergeCell ref="H115:I115"/>
    <mergeCell ref="H116:I116"/>
    <mergeCell ref="H117:I117"/>
    <mergeCell ref="C111:F111"/>
    <mergeCell ref="C112:F112"/>
    <mergeCell ref="B115:B119"/>
    <mergeCell ref="C115:F117"/>
    <mergeCell ref="C118:F119"/>
    <mergeCell ref="G118:G119"/>
    <mergeCell ref="C120:F120"/>
    <mergeCell ref="H118:I118"/>
    <mergeCell ref="H119:I119"/>
    <mergeCell ref="H120:I120"/>
    <mergeCell ref="H121:I121"/>
    <mergeCell ref="H122:I122"/>
    <mergeCell ref="H129:I129"/>
    <mergeCell ref="H130:I130"/>
    <mergeCell ref="C134:F134"/>
    <mergeCell ref="C135:F135"/>
    <mergeCell ref="C136:F136"/>
    <mergeCell ref="C137:F137"/>
    <mergeCell ref="C138:F138"/>
    <mergeCell ref="C139:F139"/>
    <mergeCell ref="C140:F140"/>
    <mergeCell ref="H160:I160"/>
    <mergeCell ref="H161:I161"/>
    <mergeCell ref="C162:F162"/>
    <mergeCell ref="H162:I162"/>
    <mergeCell ref="C163:F163"/>
    <mergeCell ref="H163:I163"/>
    <mergeCell ref="H164:I164"/>
    <mergeCell ref="H203:I203"/>
    <mergeCell ref="H204:I204"/>
    <mergeCell ref="H190:I190"/>
    <mergeCell ref="H191:I191"/>
    <mergeCell ref="H192:I192"/>
    <mergeCell ref="H199:I199"/>
    <mergeCell ref="H200:I200"/>
    <mergeCell ref="H201:I201"/>
    <mergeCell ref="H202:I202"/>
    <mergeCell ref="C202:F203"/>
    <mergeCell ref="G202:G203"/>
    <mergeCell ref="C204:F204"/>
    <mergeCell ref="C205:F205"/>
    <mergeCell ref="H205:I205"/>
    <mergeCell ref="C206:F206"/>
    <mergeCell ref="H206:I206"/>
    <mergeCell ref="C207:F207"/>
    <mergeCell ref="C208:F208"/>
    <mergeCell ref="H259:I259"/>
    <mergeCell ref="H260:I260"/>
    <mergeCell ref="H246:I246"/>
    <mergeCell ref="H247:I247"/>
    <mergeCell ref="H248:I248"/>
    <mergeCell ref="H255:I255"/>
    <mergeCell ref="H256:I256"/>
    <mergeCell ref="H257:I257"/>
    <mergeCell ref="H258:I258"/>
  </mergeCells>
  <printOptions/>
  <pageMargins bottom="0.75" footer="0.0" header="0.0" left="0.7" right="0.7" top="0.75"/>
  <pageSetup fitToHeight="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6.86"/>
    <col customWidth="1" min="3" max="3" width="21.71"/>
    <col customWidth="1" min="4" max="5" width="15.71"/>
    <col customWidth="1" min="6" max="6" width="14.29"/>
    <col customWidth="1" min="7" max="7" width="25.14"/>
    <col customWidth="1" min="8" max="8" width="17.29"/>
    <col customWidth="1" min="10" max="10" width="18.57"/>
    <col customWidth="1" min="11" max="11" width="34.0"/>
    <col customWidth="1" min="12" max="23" width="11.43"/>
  </cols>
  <sheetData>
    <row r="1" ht="24.75" customHeight="1">
      <c r="A1" s="275"/>
      <c r="B1" s="380"/>
      <c r="C1" s="3"/>
      <c r="D1" s="380" t="s">
        <v>0</v>
      </c>
      <c r="E1" s="2"/>
      <c r="F1" s="2"/>
      <c r="G1" s="2"/>
      <c r="H1" s="2"/>
      <c r="I1" s="3"/>
      <c r="J1" s="381" t="s">
        <v>1</v>
      </c>
      <c r="K1" s="381" t="s">
        <v>397</v>
      </c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3"/>
      <c r="Y1" s="273"/>
      <c r="Z1" s="273"/>
    </row>
    <row r="2" ht="24.75" customHeight="1">
      <c r="A2" s="275"/>
      <c r="B2" s="8"/>
      <c r="C2" s="9"/>
      <c r="D2" s="8"/>
      <c r="I2" s="9"/>
      <c r="J2" s="381" t="s">
        <v>3</v>
      </c>
      <c r="K2" s="382">
        <v>1.0</v>
      </c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3"/>
      <c r="Y2" s="273"/>
      <c r="Z2" s="273"/>
    </row>
    <row r="3" ht="24.75" customHeight="1">
      <c r="A3" s="275"/>
      <c r="B3" s="8"/>
      <c r="C3" s="9"/>
      <c r="D3" s="10"/>
      <c r="E3" s="11"/>
      <c r="F3" s="11"/>
      <c r="G3" s="11"/>
      <c r="H3" s="11"/>
      <c r="I3" s="12"/>
      <c r="J3" s="381" t="s">
        <v>5</v>
      </c>
      <c r="K3" s="381" t="s">
        <v>6</v>
      </c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3"/>
      <c r="Y3" s="273"/>
      <c r="Z3" s="273"/>
    </row>
    <row r="4" ht="21.0" customHeight="1">
      <c r="A4" s="273"/>
      <c r="B4" s="8"/>
      <c r="C4" s="9"/>
      <c r="D4" s="380" t="s">
        <v>398</v>
      </c>
      <c r="E4" s="2"/>
      <c r="F4" s="2"/>
      <c r="G4" s="2"/>
      <c r="H4" s="2"/>
      <c r="I4" s="3"/>
      <c r="J4" s="389" t="s">
        <v>7</v>
      </c>
      <c r="K4" s="381" t="s">
        <v>205</v>
      </c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</row>
    <row r="5" ht="18.0" customHeight="1">
      <c r="A5" s="273"/>
      <c r="B5" s="10"/>
      <c r="C5" s="12"/>
      <c r="D5" s="10"/>
      <c r="E5" s="11"/>
      <c r="F5" s="11"/>
      <c r="G5" s="11"/>
      <c r="H5" s="11"/>
      <c r="I5" s="12"/>
      <c r="J5" s="277"/>
      <c r="K5" s="383" t="s">
        <v>206</v>
      </c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</row>
    <row r="6" ht="24.75" customHeight="1">
      <c r="A6" s="273"/>
      <c r="B6" s="38"/>
      <c r="C6" s="354"/>
      <c r="D6" s="354"/>
      <c r="E6" s="354"/>
      <c r="F6" s="354"/>
      <c r="G6" s="354"/>
      <c r="H6" s="354"/>
      <c r="I6" s="354"/>
      <c r="J6" s="354"/>
      <c r="K6" s="471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</row>
    <row r="7" ht="24.75" customHeight="1">
      <c r="A7" s="273"/>
      <c r="B7" s="54"/>
      <c r="C7" s="55"/>
      <c r="D7" s="55"/>
      <c r="E7" s="55"/>
      <c r="F7" s="55"/>
      <c r="G7" s="55"/>
      <c r="H7" s="55"/>
      <c r="I7" s="55"/>
      <c r="J7" s="55"/>
      <c r="K7" s="472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</row>
    <row r="8" ht="57.0" customHeight="1">
      <c r="A8" s="273"/>
      <c r="B8" s="473" t="s">
        <v>10</v>
      </c>
      <c r="C8" s="25" t="str">
        <f>'COA PT'!D6</f>
        <v>SUERO DE NIACINAMIDA 5%</v>
      </c>
      <c r="D8" s="24"/>
      <c r="E8" s="24"/>
      <c r="F8" s="66"/>
      <c r="G8" s="473" t="s">
        <v>21</v>
      </c>
      <c r="H8" s="474" t="str">
        <f>OP!G10</f>
        <v>NSOC33886-24CO</v>
      </c>
      <c r="I8" s="24"/>
      <c r="J8" s="24"/>
      <c r="K8" s="5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</row>
    <row r="9" ht="42.75" customHeight="1">
      <c r="A9" s="273"/>
      <c r="B9" s="473" t="s">
        <v>237</v>
      </c>
      <c r="C9" s="399" t="str">
        <f>'COA PT'!H7</f>
        <v>OP-L-099</v>
      </c>
      <c r="D9" s="24"/>
      <c r="E9" s="24"/>
      <c r="F9" s="5"/>
      <c r="G9" s="473" t="s">
        <v>59</v>
      </c>
      <c r="H9" s="475"/>
      <c r="I9" s="24"/>
      <c r="J9" s="24"/>
      <c r="K9" s="5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</row>
    <row r="10" ht="54.75" customHeight="1">
      <c r="A10" s="273"/>
      <c r="B10" s="473" t="s">
        <v>351</v>
      </c>
      <c r="C10" s="476" t="str">
        <f>'COA PT'!D7</f>
        <v>252111</v>
      </c>
      <c r="D10" s="24"/>
      <c r="E10" s="24"/>
      <c r="F10" s="5"/>
      <c r="G10" s="473" t="s">
        <v>16</v>
      </c>
      <c r="H10" s="474" t="str">
        <f>ACONDICIONAMIENTO!O8</f>
        <v>10 mL</v>
      </c>
      <c r="I10" s="24"/>
      <c r="J10" s="24"/>
      <c r="K10" s="5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</row>
    <row r="11" ht="33.75" customHeight="1">
      <c r="A11" s="273"/>
      <c r="B11" s="477"/>
      <c r="C11" s="478"/>
      <c r="D11" s="478"/>
      <c r="E11" s="478"/>
      <c r="F11" s="478"/>
      <c r="G11" s="478"/>
      <c r="H11" s="478"/>
      <c r="I11" s="478"/>
      <c r="J11" s="478"/>
      <c r="K11" s="479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</row>
    <row r="12" ht="37.5" customHeight="1">
      <c r="A12" s="273"/>
      <c r="B12" s="480" t="s">
        <v>399</v>
      </c>
      <c r="C12" s="24"/>
      <c r="D12" s="24"/>
      <c r="E12" s="24"/>
      <c r="F12" s="24"/>
      <c r="G12" s="24"/>
      <c r="H12" s="24"/>
      <c r="I12" s="24"/>
      <c r="J12" s="24"/>
      <c r="K12" s="5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</row>
    <row r="13" ht="42.0" customHeight="1">
      <c r="A13" s="273"/>
      <c r="B13" s="473" t="s">
        <v>28</v>
      </c>
      <c r="C13" s="480" t="s">
        <v>29</v>
      </c>
      <c r="D13" s="24"/>
      <c r="E13" s="24"/>
      <c r="F13" s="24"/>
      <c r="G13" s="5"/>
      <c r="H13" s="480" t="s">
        <v>30</v>
      </c>
      <c r="I13" s="5"/>
      <c r="J13" s="480" t="s">
        <v>31</v>
      </c>
      <c r="K13" s="5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</row>
    <row r="14" ht="36.0" customHeight="1">
      <c r="A14" s="273"/>
      <c r="B14" s="391">
        <v>1.0</v>
      </c>
      <c r="C14" s="481" t="s">
        <v>400</v>
      </c>
      <c r="D14" s="24"/>
      <c r="E14" s="24"/>
      <c r="F14" s="24"/>
      <c r="G14" s="5"/>
      <c r="H14" s="392"/>
      <c r="I14" s="5"/>
      <c r="J14" s="482"/>
      <c r="K14" s="5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</row>
    <row r="15" ht="42.0" customHeight="1">
      <c r="A15" s="273"/>
      <c r="B15" s="417">
        <v>2.0</v>
      </c>
      <c r="C15" s="481" t="s">
        <v>401</v>
      </c>
      <c r="D15" s="24"/>
      <c r="E15" s="24"/>
      <c r="F15" s="24"/>
      <c r="G15" s="5"/>
      <c r="H15" s="392"/>
      <c r="I15" s="5"/>
      <c r="J15" s="482"/>
      <c r="K15" s="5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</row>
    <row r="16" ht="39.75" customHeight="1">
      <c r="A16" s="273"/>
      <c r="B16" s="483">
        <v>3.0</v>
      </c>
      <c r="C16" s="481" t="s">
        <v>402</v>
      </c>
      <c r="D16" s="24"/>
      <c r="E16" s="24"/>
      <c r="F16" s="24"/>
      <c r="G16" s="5"/>
      <c r="H16" s="392"/>
      <c r="I16" s="484"/>
      <c r="J16" s="482"/>
      <c r="K16" s="5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</row>
    <row r="17" ht="35.25" customHeight="1">
      <c r="A17" s="273"/>
      <c r="B17" s="483">
        <v>4.0</v>
      </c>
      <c r="C17" s="481" t="s">
        <v>403</v>
      </c>
      <c r="D17" s="24"/>
      <c r="E17" s="24"/>
      <c r="F17" s="24"/>
      <c r="G17" s="5"/>
      <c r="H17" s="392"/>
      <c r="I17" s="484"/>
      <c r="J17" s="482"/>
      <c r="K17" s="5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</row>
    <row r="18" ht="35.25" customHeight="1">
      <c r="A18" s="273"/>
      <c r="B18" s="483">
        <v>5.0</v>
      </c>
      <c r="C18" s="481" t="s">
        <v>404</v>
      </c>
      <c r="D18" s="24"/>
      <c r="E18" s="24"/>
      <c r="F18" s="24"/>
      <c r="G18" s="5"/>
      <c r="H18" s="392"/>
      <c r="I18" s="484"/>
      <c r="J18" s="482"/>
      <c r="K18" s="485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</row>
    <row r="19" ht="33.75" customHeight="1">
      <c r="A19" s="273"/>
      <c r="B19" s="483">
        <v>6.0</v>
      </c>
      <c r="C19" s="481" t="s">
        <v>405</v>
      </c>
      <c r="D19" s="24"/>
      <c r="E19" s="24"/>
      <c r="F19" s="24"/>
      <c r="G19" s="5"/>
      <c r="H19" s="392"/>
      <c r="I19" s="484"/>
      <c r="J19" s="482"/>
      <c r="K19" s="5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</row>
    <row r="20" ht="36.0" customHeight="1">
      <c r="A20" s="273"/>
      <c r="B20" s="483">
        <v>7.0</v>
      </c>
      <c r="C20" s="481" t="s">
        <v>406</v>
      </c>
      <c r="D20" s="24"/>
      <c r="E20" s="24"/>
      <c r="F20" s="24"/>
      <c r="G20" s="5"/>
      <c r="H20" s="392"/>
      <c r="I20" s="484"/>
      <c r="J20" s="482"/>
      <c r="K20" s="5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</row>
    <row r="21" ht="36.0" customHeight="1">
      <c r="A21" s="273"/>
      <c r="B21" s="483">
        <v>8.0</v>
      </c>
      <c r="C21" s="481" t="s">
        <v>407</v>
      </c>
      <c r="D21" s="24"/>
      <c r="E21" s="24"/>
      <c r="F21" s="24"/>
      <c r="G21" s="5"/>
      <c r="H21" s="392"/>
      <c r="I21" s="484"/>
      <c r="J21" s="482"/>
      <c r="K21" s="5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273"/>
    </row>
    <row r="22" ht="39.0" customHeight="1">
      <c r="A22" s="273"/>
      <c r="B22" s="483">
        <v>9.0</v>
      </c>
      <c r="C22" s="481" t="s">
        <v>408</v>
      </c>
      <c r="D22" s="24"/>
      <c r="E22" s="24"/>
      <c r="F22" s="24"/>
      <c r="G22" s="5"/>
      <c r="H22" s="392"/>
      <c r="I22" s="484"/>
      <c r="J22" s="482"/>
      <c r="K22" s="5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</row>
    <row r="23" ht="39.0" customHeight="1">
      <c r="A23" s="273"/>
      <c r="B23" s="483">
        <v>10.0</v>
      </c>
      <c r="C23" s="481" t="s">
        <v>409</v>
      </c>
      <c r="D23" s="24"/>
      <c r="E23" s="24"/>
      <c r="F23" s="24"/>
      <c r="G23" s="5"/>
      <c r="H23" s="392"/>
      <c r="I23" s="484"/>
      <c r="J23" s="482"/>
      <c r="K23" s="485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</row>
    <row r="24" ht="39.0" customHeight="1">
      <c r="A24" s="273"/>
      <c r="B24" s="483">
        <v>11.0</v>
      </c>
      <c r="C24" s="481" t="s">
        <v>410</v>
      </c>
      <c r="D24" s="24"/>
      <c r="E24" s="24"/>
      <c r="F24" s="24"/>
      <c r="G24" s="5"/>
      <c r="H24" s="392"/>
      <c r="I24" s="484"/>
      <c r="J24" s="482"/>
      <c r="K24" s="485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</row>
    <row r="25" ht="39.0" customHeight="1">
      <c r="A25" s="273"/>
      <c r="B25" s="483">
        <v>12.0</v>
      </c>
      <c r="C25" s="481" t="s">
        <v>411</v>
      </c>
      <c r="D25" s="24"/>
      <c r="E25" s="24"/>
      <c r="F25" s="24"/>
      <c r="G25" s="5"/>
      <c r="H25" s="392"/>
      <c r="I25" s="484"/>
      <c r="J25" s="482"/>
      <c r="K25" s="485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</row>
    <row r="26" ht="22.5" customHeight="1">
      <c r="A26" s="273"/>
      <c r="B26" s="402"/>
      <c r="C26" s="486"/>
      <c r="D26" s="486"/>
      <c r="E26" s="487"/>
      <c r="F26" s="487"/>
      <c r="G26" s="487"/>
      <c r="H26" s="488"/>
      <c r="I26" s="488"/>
      <c r="J26" s="488"/>
      <c r="K26" s="489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</row>
    <row r="27" ht="26.25" customHeight="1">
      <c r="A27" s="273"/>
      <c r="B27" s="490" t="s">
        <v>45</v>
      </c>
      <c r="C27" s="491"/>
      <c r="D27" s="2"/>
      <c r="E27" s="2"/>
      <c r="F27" s="2"/>
      <c r="G27" s="2"/>
      <c r="H27" s="2"/>
      <c r="I27" s="2"/>
      <c r="J27" s="2"/>
      <c r="K27" s="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</row>
    <row r="28" ht="28.5" customHeight="1">
      <c r="A28" s="273"/>
      <c r="B28" s="277"/>
      <c r="C28" s="10"/>
      <c r="D28" s="11"/>
      <c r="E28" s="11"/>
      <c r="F28" s="11"/>
      <c r="G28" s="11"/>
      <c r="H28" s="11"/>
      <c r="I28" s="11"/>
      <c r="J28" s="11"/>
      <c r="K28" s="12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</row>
    <row r="29" ht="22.5" customHeight="1">
      <c r="A29" s="273"/>
      <c r="B29" s="477"/>
      <c r="C29" s="478"/>
      <c r="D29" s="478"/>
      <c r="E29" s="478"/>
      <c r="F29" s="478"/>
      <c r="G29" s="478"/>
      <c r="H29" s="478"/>
      <c r="I29" s="478"/>
      <c r="J29" s="478"/>
      <c r="K29" s="479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</row>
    <row r="30" ht="273.0" customHeight="1">
      <c r="A30" s="273"/>
      <c r="B30" s="490" t="s">
        <v>412</v>
      </c>
      <c r="C30" s="491"/>
      <c r="D30" s="2"/>
      <c r="E30" s="2"/>
      <c r="F30" s="2"/>
      <c r="G30" s="2"/>
      <c r="H30" s="2"/>
      <c r="I30" s="2"/>
      <c r="J30" s="2"/>
      <c r="K30" s="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</row>
    <row r="31" ht="228.75" customHeight="1">
      <c r="A31" s="273"/>
      <c r="B31" s="277"/>
      <c r="C31" s="10"/>
      <c r="D31" s="11"/>
      <c r="E31" s="11"/>
      <c r="F31" s="11"/>
      <c r="G31" s="11"/>
      <c r="H31" s="11"/>
      <c r="I31" s="11"/>
      <c r="J31" s="11"/>
      <c r="K31" s="12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</row>
    <row r="32" ht="34.5" customHeight="1">
      <c r="A32" s="273"/>
      <c r="B32" s="492" t="s">
        <v>413</v>
      </c>
      <c r="C32" s="24"/>
      <c r="D32" s="24"/>
      <c r="E32" s="24"/>
      <c r="F32" s="5"/>
      <c r="G32" s="493"/>
      <c r="H32" s="493"/>
      <c r="I32" s="493"/>
      <c r="J32" s="493"/>
      <c r="K32" s="494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</row>
    <row r="33" ht="34.5" customHeight="1">
      <c r="A33" s="273"/>
      <c r="B33" s="492" t="s">
        <v>414</v>
      </c>
      <c r="C33" s="24"/>
      <c r="D33" s="24"/>
      <c r="E33" s="24"/>
      <c r="F33" s="5"/>
      <c r="G33" s="392"/>
      <c r="H33" s="24"/>
      <c r="I33" s="24"/>
      <c r="J33" s="391" t="s">
        <v>67</v>
      </c>
      <c r="K33" s="484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  <c r="Z33" s="273"/>
    </row>
    <row r="34" ht="37.5" customHeight="1">
      <c r="A34" s="273"/>
      <c r="B34" s="492" t="s">
        <v>335</v>
      </c>
      <c r="C34" s="24"/>
      <c r="D34" s="24"/>
      <c r="E34" s="24"/>
      <c r="F34" s="5"/>
      <c r="G34" s="392"/>
      <c r="H34" s="24"/>
      <c r="I34" s="24"/>
      <c r="J34" s="24"/>
      <c r="K34" s="5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  <c r="Z34" s="273"/>
    </row>
    <row r="35" ht="15.75" customHeight="1">
      <c r="A35" s="273"/>
      <c r="B35" s="59" t="s">
        <v>52</v>
      </c>
      <c r="C35" s="11"/>
      <c r="D35" s="11"/>
      <c r="E35" s="11"/>
      <c r="F35" s="11"/>
      <c r="G35" s="11"/>
      <c r="H35" s="11"/>
      <c r="I35" s="11"/>
      <c r="J35" s="11"/>
      <c r="K35" s="12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  <c r="Z35" s="273"/>
    </row>
    <row r="36" ht="15.75" customHeight="1">
      <c r="A36" s="273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</row>
    <row r="37" ht="15.75" customHeight="1">
      <c r="A37" s="273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</row>
    <row r="38" ht="15.75" customHeight="1">
      <c r="A38" s="273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</row>
    <row r="39" ht="15.75" customHeight="1">
      <c r="A39" s="273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  <c r="Z39" s="273"/>
    </row>
    <row r="40" ht="15.75" customHeight="1">
      <c r="A40" s="273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</row>
    <row r="41" ht="15.75" customHeight="1">
      <c r="A41" s="273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</row>
    <row r="42" ht="15.75" customHeight="1">
      <c r="A42" s="273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</row>
    <row r="43" ht="15.75" customHeight="1">
      <c r="A43" s="273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</row>
    <row r="44" ht="15.75" customHeight="1">
      <c r="A44" s="273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</row>
    <row r="45" ht="15.75" customHeight="1">
      <c r="A45" s="273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</row>
    <row r="46" ht="15.75" customHeight="1">
      <c r="A46" s="273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</row>
    <row r="47" ht="15.75" customHeight="1">
      <c r="A47" s="273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</row>
    <row r="48" ht="15.75" customHeight="1">
      <c r="A48" s="273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</row>
    <row r="49" ht="15.75" customHeight="1">
      <c r="A49" s="273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</row>
    <row r="50" ht="15.75" customHeight="1">
      <c r="A50" s="273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</row>
    <row r="51" ht="15.75" customHeight="1">
      <c r="A51" s="273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</row>
    <row r="52" ht="15.75" customHeight="1">
      <c r="A52" s="273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</row>
    <row r="53" ht="15.75" customHeight="1">
      <c r="A53" s="273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</row>
    <row r="54" ht="15.75" customHeight="1">
      <c r="A54" s="273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</row>
    <row r="55" ht="15.75" customHeight="1">
      <c r="A55" s="273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</row>
    <row r="56" ht="15.75" customHeight="1">
      <c r="A56" s="273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</row>
    <row r="57" ht="15.75" customHeight="1">
      <c r="A57" s="273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</row>
    <row r="58" ht="15.75" customHeight="1">
      <c r="A58" s="273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</row>
    <row r="59" ht="15.75" customHeight="1">
      <c r="A59" s="273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</row>
    <row r="60" ht="15.75" customHeight="1">
      <c r="A60" s="273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</row>
    <row r="61" ht="15.75" customHeight="1">
      <c r="A61" s="273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</row>
    <row r="62" ht="15.75" customHeight="1">
      <c r="A62" s="273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</row>
    <row r="63" ht="15.75" customHeight="1">
      <c r="A63" s="273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</row>
    <row r="64" ht="15.75" customHeight="1">
      <c r="A64" s="273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</row>
    <row r="65" ht="15.75" customHeight="1">
      <c r="A65" s="273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273"/>
    </row>
    <row r="66" ht="15.75" customHeight="1">
      <c r="A66" s="273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</row>
    <row r="67" ht="15.75" customHeight="1">
      <c r="A67" s="273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  <c r="Z67" s="273"/>
    </row>
    <row r="68" ht="15.75" customHeight="1">
      <c r="A68" s="273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273"/>
    </row>
    <row r="69" ht="15.75" customHeight="1">
      <c r="A69" s="273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273"/>
    </row>
    <row r="70" ht="15.75" customHeight="1">
      <c r="A70" s="273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</row>
    <row r="71" ht="15.75" customHeight="1">
      <c r="A71" s="273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</row>
    <row r="72" ht="15.75" customHeight="1">
      <c r="A72" s="273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</row>
    <row r="73" ht="15.75" customHeight="1">
      <c r="A73" s="273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</row>
    <row r="74" ht="15.75" customHeight="1">
      <c r="A74" s="273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</row>
    <row r="75" ht="15.75" customHeight="1">
      <c r="A75" s="273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273"/>
    </row>
    <row r="76" ht="15.75" customHeight="1">
      <c r="A76" s="273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</row>
    <row r="77" ht="15.75" customHeight="1">
      <c r="A77" s="273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273"/>
    </row>
    <row r="78" ht="15.75" customHeight="1">
      <c r="A78" s="273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</row>
    <row r="79" ht="15.75" customHeight="1">
      <c r="A79" s="273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</row>
    <row r="80" ht="15.75" customHeight="1">
      <c r="A80" s="273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</row>
    <row r="81" ht="15.75" customHeight="1">
      <c r="A81" s="273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</row>
    <row r="82" ht="15.75" customHeight="1">
      <c r="A82" s="273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</row>
    <row r="83" ht="15.75" customHeight="1">
      <c r="A83" s="273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</row>
    <row r="84" ht="15.75" customHeight="1">
      <c r="A84" s="273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</row>
    <row r="85" ht="15.75" customHeight="1">
      <c r="A85" s="273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  <c r="Z85" s="273"/>
    </row>
    <row r="86" ht="15.75" customHeight="1">
      <c r="A86" s="273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</row>
    <row r="87" ht="15.75" customHeight="1">
      <c r="A87" s="273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  <c r="Z87" s="273"/>
    </row>
    <row r="88" ht="15.75" customHeight="1">
      <c r="A88" s="273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</row>
    <row r="89" ht="15.75" customHeight="1">
      <c r="A89" s="273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  <c r="Z89" s="273"/>
    </row>
    <row r="90" ht="15.75" customHeight="1">
      <c r="A90" s="273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</row>
    <row r="91" ht="15.75" customHeight="1">
      <c r="A91" s="273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  <c r="Z91" s="273"/>
    </row>
    <row r="92" ht="15.75" customHeight="1">
      <c r="A92" s="273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</row>
    <row r="93" ht="15.75" customHeight="1">
      <c r="A93" s="273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</row>
    <row r="94" ht="15.75" customHeight="1">
      <c r="A94" s="273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</row>
    <row r="95" ht="15.75" customHeight="1">
      <c r="A95" s="273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  <c r="Z95" s="273"/>
    </row>
    <row r="96" ht="15.75" customHeight="1">
      <c r="A96" s="273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</row>
    <row r="97" ht="15.75" customHeight="1">
      <c r="A97" s="273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  <c r="Z97" s="273"/>
    </row>
    <row r="98" ht="15.75" customHeight="1">
      <c r="A98" s="273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</row>
    <row r="99" ht="15.75" customHeight="1">
      <c r="A99" s="273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</row>
    <row r="100" ht="15.75" customHeight="1">
      <c r="A100" s="273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</row>
    <row r="101" ht="15.75" customHeight="1">
      <c r="A101" s="273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</row>
    <row r="102" ht="15.75" customHeight="1">
      <c r="A102" s="273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</row>
    <row r="103" ht="15.75" customHeight="1">
      <c r="A103" s="273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</row>
    <row r="104" ht="15.75" customHeight="1">
      <c r="A104" s="273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</row>
    <row r="105" ht="15.75" customHeight="1">
      <c r="A105" s="273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  <c r="Z105" s="273"/>
    </row>
    <row r="106" ht="15.75" customHeight="1">
      <c r="A106" s="273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</row>
    <row r="107" ht="15.75" customHeight="1">
      <c r="A107" s="273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</row>
    <row r="108" ht="15.75" customHeight="1">
      <c r="A108" s="273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</row>
    <row r="109" ht="15.75" customHeight="1">
      <c r="A109" s="273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  <c r="Z109" s="273"/>
    </row>
    <row r="110" ht="15.75" customHeight="1">
      <c r="A110" s="273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</row>
    <row r="111" ht="15.75" customHeight="1">
      <c r="A111" s="273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  <c r="Z111" s="273"/>
    </row>
    <row r="112" ht="15.75" customHeight="1">
      <c r="A112" s="273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</row>
    <row r="113" ht="15.75" customHeight="1">
      <c r="A113" s="273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  <c r="Z113" s="273"/>
    </row>
    <row r="114" ht="15.75" customHeight="1">
      <c r="A114" s="273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</row>
    <row r="115" ht="15.75" customHeight="1">
      <c r="A115" s="273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  <c r="Z115" s="273"/>
    </row>
    <row r="116" ht="15.75" customHeight="1">
      <c r="A116" s="273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</row>
    <row r="117" ht="15.75" customHeight="1">
      <c r="A117" s="273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</row>
    <row r="118" ht="15.75" customHeight="1">
      <c r="A118" s="273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</row>
    <row r="119" ht="15.75" customHeight="1">
      <c r="A119" s="273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</row>
    <row r="120" ht="15.75" customHeight="1">
      <c r="A120" s="273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</row>
    <row r="121" ht="15.75" customHeight="1">
      <c r="A121" s="273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  <c r="Z121" s="273"/>
    </row>
    <row r="122" ht="15.75" customHeight="1">
      <c r="A122" s="273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</row>
    <row r="123" ht="15.75" customHeight="1">
      <c r="A123" s="273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  <c r="Z123" s="273"/>
    </row>
    <row r="124" ht="15.75" customHeight="1">
      <c r="A124" s="273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</row>
    <row r="125" ht="15.75" customHeight="1">
      <c r="A125" s="273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</row>
    <row r="126" ht="15.75" customHeight="1">
      <c r="A126" s="273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</row>
    <row r="127" ht="15.75" customHeight="1">
      <c r="A127" s="273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</row>
    <row r="128" ht="15.75" customHeight="1">
      <c r="A128" s="273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  <c r="Z128" s="273"/>
    </row>
    <row r="129" ht="15.75" customHeight="1">
      <c r="A129" s="273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  <c r="Z129" s="273"/>
    </row>
    <row r="130" ht="15.75" customHeight="1">
      <c r="A130" s="273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</row>
    <row r="131" ht="15.75" customHeight="1">
      <c r="A131" s="273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  <c r="Z131" s="273"/>
    </row>
    <row r="132" ht="15.75" customHeight="1">
      <c r="A132" s="273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</row>
    <row r="133" ht="15.75" customHeight="1">
      <c r="A133" s="273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  <c r="Z133" s="273"/>
    </row>
    <row r="134" ht="15.75" customHeight="1">
      <c r="A134" s="273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</row>
    <row r="135" ht="15.75" customHeight="1">
      <c r="A135" s="273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</row>
    <row r="136" ht="15.75" customHeight="1">
      <c r="A136" s="273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</row>
    <row r="137" ht="15.75" customHeight="1">
      <c r="A137" s="273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</row>
    <row r="138" ht="15.75" customHeight="1">
      <c r="A138" s="273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</row>
    <row r="139" ht="15.75" customHeight="1">
      <c r="A139" s="273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  <c r="Z139" s="273"/>
    </row>
    <row r="140" ht="15.75" customHeight="1">
      <c r="A140" s="273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</row>
    <row r="141" ht="15.75" customHeight="1">
      <c r="A141" s="273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  <c r="Z141" s="273"/>
    </row>
    <row r="142" ht="15.75" customHeight="1">
      <c r="A142" s="273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</row>
    <row r="143" ht="15.75" customHeight="1">
      <c r="A143" s="273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</row>
    <row r="144" ht="15.75" customHeight="1">
      <c r="A144" s="273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</row>
    <row r="145" ht="15.75" customHeight="1">
      <c r="A145" s="273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</row>
    <row r="146" ht="15.75" customHeight="1">
      <c r="A146" s="273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</row>
    <row r="147" ht="15.75" customHeight="1">
      <c r="A147" s="273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  <c r="Z147" s="273"/>
    </row>
    <row r="148" ht="15.75" customHeight="1">
      <c r="A148" s="273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</row>
    <row r="149" ht="15.75" customHeight="1">
      <c r="A149" s="273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  <c r="Z149" s="273"/>
    </row>
    <row r="150" ht="15.75" customHeight="1">
      <c r="A150" s="273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</row>
    <row r="151" ht="15.75" customHeight="1">
      <c r="A151" s="273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</row>
    <row r="152" ht="15.75" customHeight="1">
      <c r="A152" s="273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</row>
    <row r="153" ht="15.75" customHeight="1">
      <c r="A153" s="273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  <c r="Z153" s="273"/>
    </row>
    <row r="154" ht="15.75" customHeight="1">
      <c r="A154" s="273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</row>
    <row r="155" ht="15.75" customHeight="1">
      <c r="A155" s="273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  <c r="Z155" s="273"/>
    </row>
    <row r="156" ht="15.75" customHeight="1">
      <c r="A156" s="273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</row>
    <row r="157" ht="15.75" customHeight="1">
      <c r="A157" s="273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  <c r="Z157" s="273"/>
    </row>
    <row r="158" ht="15.75" customHeight="1">
      <c r="A158" s="273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</row>
    <row r="159" ht="15.75" customHeight="1">
      <c r="A159" s="273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</row>
    <row r="160" ht="15.75" customHeight="1">
      <c r="A160" s="273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</row>
    <row r="161" ht="15.75" customHeight="1">
      <c r="A161" s="273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  <c r="Z161" s="273"/>
    </row>
    <row r="162" ht="15.75" customHeight="1">
      <c r="A162" s="273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</row>
    <row r="163" ht="15.75" customHeight="1">
      <c r="A163" s="273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  <c r="Z163" s="273"/>
    </row>
    <row r="164" ht="15.75" customHeight="1">
      <c r="A164" s="273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</row>
    <row r="165" ht="15.75" customHeight="1">
      <c r="A165" s="273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  <c r="Z165" s="273"/>
    </row>
    <row r="166" ht="15.75" customHeight="1">
      <c r="A166" s="273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</row>
    <row r="167" ht="15.75" customHeight="1">
      <c r="A167" s="273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  <c r="Z167" s="273"/>
    </row>
    <row r="168" ht="15.75" customHeight="1">
      <c r="A168" s="273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</row>
    <row r="169" ht="15.75" customHeight="1">
      <c r="A169" s="273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  <c r="Z169" s="273"/>
    </row>
    <row r="170" ht="15.75" customHeight="1">
      <c r="A170" s="273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</row>
    <row r="171" ht="15.75" customHeight="1">
      <c r="A171" s="273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</row>
    <row r="172" ht="15.75" customHeight="1">
      <c r="A172" s="273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</row>
    <row r="173" ht="15.75" customHeight="1">
      <c r="A173" s="273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  <c r="Z173" s="273"/>
    </row>
    <row r="174" ht="15.75" customHeight="1">
      <c r="A174" s="273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</row>
    <row r="175" ht="15.75" customHeight="1">
      <c r="A175" s="273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  <c r="Z175" s="273"/>
    </row>
    <row r="176" ht="15.75" customHeight="1">
      <c r="A176" s="273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</row>
    <row r="177" ht="15.75" customHeight="1">
      <c r="A177" s="273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</row>
    <row r="178" ht="15.75" customHeight="1">
      <c r="A178" s="273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</row>
    <row r="179" ht="15.75" customHeight="1">
      <c r="A179" s="273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  <c r="Z179" s="273"/>
    </row>
    <row r="180" ht="15.75" customHeight="1">
      <c r="A180" s="273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</row>
    <row r="181" ht="15.75" customHeight="1">
      <c r="A181" s="273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  <c r="Z181" s="273"/>
    </row>
    <row r="182" ht="15.75" customHeight="1">
      <c r="A182" s="273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</row>
    <row r="183" ht="15.75" customHeight="1">
      <c r="A183" s="273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  <c r="Z183" s="273"/>
    </row>
    <row r="184" ht="15.75" customHeight="1">
      <c r="A184" s="273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</row>
    <row r="185" ht="15.75" customHeight="1">
      <c r="A185" s="273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  <c r="Z185" s="273"/>
    </row>
    <row r="186" ht="15.75" customHeight="1">
      <c r="A186" s="273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</row>
    <row r="187" ht="15.75" customHeight="1">
      <c r="A187" s="273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  <c r="Z187" s="273"/>
    </row>
    <row r="188" ht="15.75" customHeight="1">
      <c r="A188" s="273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</row>
    <row r="189" ht="15.75" customHeight="1">
      <c r="A189" s="273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  <c r="Z189" s="273"/>
    </row>
    <row r="190" ht="15.75" customHeight="1">
      <c r="A190" s="273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</row>
    <row r="191" ht="15.75" customHeight="1">
      <c r="A191" s="273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  <c r="Z191" s="273"/>
    </row>
    <row r="192" ht="15.75" customHeight="1">
      <c r="A192" s="273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</row>
    <row r="193" ht="15.75" customHeight="1">
      <c r="A193" s="273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</row>
    <row r="194" ht="15.75" customHeight="1">
      <c r="A194" s="273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</row>
    <row r="195" ht="15.75" customHeight="1">
      <c r="A195" s="273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3"/>
    </row>
    <row r="196" ht="15.75" customHeight="1">
      <c r="A196" s="273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</row>
    <row r="197" ht="15.75" customHeight="1">
      <c r="A197" s="273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</row>
    <row r="198" ht="15.75" customHeight="1">
      <c r="A198" s="273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</row>
    <row r="199" ht="15.75" customHeight="1">
      <c r="A199" s="273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</row>
    <row r="200" ht="15.75" customHeight="1">
      <c r="A200" s="273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</row>
    <row r="201" ht="15.75" customHeight="1">
      <c r="A201" s="273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</row>
    <row r="202" ht="15.75" customHeight="1">
      <c r="A202" s="273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</row>
    <row r="203" ht="15.75" customHeight="1">
      <c r="A203" s="273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</row>
    <row r="204" ht="15.75" customHeight="1">
      <c r="A204" s="273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</row>
    <row r="205" ht="15.75" customHeight="1">
      <c r="A205" s="273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</row>
    <row r="206" ht="15.75" customHeight="1">
      <c r="A206" s="273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</row>
    <row r="207" ht="15.75" customHeight="1">
      <c r="A207" s="273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</row>
    <row r="208" ht="15.75" customHeight="1">
      <c r="A208" s="273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</row>
    <row r="209" ht="15.75" customHeight="1">
      <c r="A209" s="273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</row>
    <row r="210" ht="15.75" customHeight="1">
      <c r="A210" s="273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</row>
    <row r="211" ht="15.75" customHeight="1">
      <c r="A211" s="273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</row>
    <row r="212" ht="15.75" customHeight="1">
      <c r="A212" s="273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</row>
    <row r="213" ht="15.75" customHeight="1">
      <c r="A213" s="273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</row>
    <row r="214" ht="15.75" customHeight="1">
      <c r="A214" s="273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</row>
    <row r="215" ht="15.75" customHeight="1">
      <c r="A215" s="273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</row>
    <row r="216" ht="15.75" customHeight="1">
      <c r="A216" s="273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</row>
    <row r="217" ht="15.75" customHeight="1">
      <c r="A217" s="273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</row>
    <row r="218" ht="15.75" customHeight="1">
      <c r="A218" s="273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</row>
    <row r="219" ht="15.75" customHeight="1">
      <c r="A219" s="273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</row>
    <row r="220" ht="15.75" customHeight="1">
      <c r="A220" s="273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</row>
    <row r="221" ht="15.75" customHeight="1">
      <c r="A221" s="273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</row>
    <row r="222" ht="15.75" customHeight="1">
      <c r="A222" s="273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</row>
    <row r="223" ht="15.75" customHeight="1">
      <c r="A223" s="273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</row>
    <row r="224" ht="15.75" customHeight="1">
      <c r="A224" s="273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</row>
    <row r="225" ht="15.75" customHeight="1">
      <c r="A225" s="273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</row>
    <row r="226" ht="15.75" customHeight="1">
      <c r="A226" s="273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</row>
    <row r="227" ht="15.75" customHeight="1">
      <c r="A227" s="273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</row>
    <row r="228" ht="15.75" customHeight="1">
      <c r="A228" s="273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</row>
    <row r="229" ht="15.75" customHeight="1">
      <c r="A229" s="273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</row>
    <row r="230" ht="15.75" customHeight="1">
      <c r="A230" s="273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</row>
    <row r="231" ht="15.75" customHeight="1">
      <c r="A231" s="273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</row>
    <row r="232" ht="15.75" customHeight="1">
      <c r="A232" s="273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</row>
    <row r="233" ht="15.75" customHeight="1">
      <c r="A233" s="273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</row>
    <row r="234" ht="15.75" customHeight="1">
      <c r="A234" s="273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</row>
    <row r="235" ht="15.75" customHeight="1">
      <c r="A235" s="273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C9:F9"/>
    <mergeCell ref="C10:F10"/>
    <mergeCell ref="B1:C5"/>
    <mergeCell ref="D1:I3"/>
    <mergeCell ref="D4:I5"/>
    <mergeCell ref="J4:J5"/>
    <mergeCell ref="C8:F8"/>
    <mergeCell ref="H8:K8"/>
    <mergeCell ref="H9:K9"/>
    <mergeCell ref="H10:K10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2:F32"/>
    <mergeCell ref="B33:F33"/>
    <mergeCell ref="G33:I33"/>
    <mergeCell ref="B34:F34"/>
    <mergeCell ref="G34:K34"/>
    <mergeCell ref="B35:K35"/>
    <mergeCell ref="C21:G21"/>
    <mergeCell ref="C22:G22"/>
    <mergeCell ref="J22:K22"/>
    <mergeCell ref="C23:G23"/>
    <mergeCell ref="C24:G24"/>
    <mergeCell ref="C25:G25"/>
    <mergeCell ref="C27:K28"/>
  </mergeCells>
  <printOptions/>
  <pageMargins bottom="0.75" footer="0.0" header="0.0" left="0.7" right="0.7" top="0.75"/>
  <pageSetup fitToHeight="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95"/>
      <c r="B1" s="496"/>
      <c r="C1" s="497" t="s">
        <v>0</v>
      </c>
      <c r="D1" s="46"/>
      <c r="E1" s="46"/>
      <c r="F1" s="46"/>
      <c r="G1" s="46"/>
      <c r="H1" s="117"/>
      <c r="I1" s="498" t="s">
        <v>1</v>
      </c>
      <c r="J1" s="499" t="s">
        <v>415</v>
      </c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3"/>
      <c r="X1" s="273"/>
      <c r="Y1" s="273"/>
      <c r="Z1" s="273"/>
    </row>
    <row r="2" ht="24.75" customHeight="1">
      <c r="A2" s="495"/>
      <c r="C2" s="64"/>
      <c r="H2" s="69"/>
      <c r="I2" s="384" t="s">
        <v>3</v>
      </c>
      <c r="J2" s="500">
        <v>1.0</v>
      </c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3"/>
      <c r="X2" s="273"/>
      <c r="Y2" s="273"/>
      <c r="Z2" s="273"/>
    </row>
    <row r="3" ht="24.75" customHeight="1">
      <c r="A3" s="495"/>
      <c r="C3" s="67"/>
      <c r="D3" s="11"/>
      <c r="E3" s="11"/>
      <c r="F3" s="11"/>
      <c r="G3" s="11"/>
      <c r="H3" s="88"/>
      <c r="I3" s="501" t="s">
        <v>5</v>
      </c>
      <c r="J3" s="501" t="s">
        <v>6</v>
      </c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3"/>
      <c r="X3" s="273"/>
      <c r="Y3" s="273"/>
      <c r="Z3" s="273"/>
    </row>
    <row r="4" ht="24.75" customHeight="1">
      <c r="A4" s="502"/>
      <c r="C4" s="497" t="s">
        <v>416</v>
      </c>
      <c r="D4" s="46"/>
      <c r="E4" s="46"/>
      <c r="F4" s="46"/>
      <c r="G4" s="46"/>
      <c r="H4" s="117"/>
      <c r="I4" s="503" t="s">
        <v>7</v>
      </c>
      <c r="J4" s="504" t="s">
        <v>8</v>
      </c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</row>
    <row r="5" ht="24.75" customHeight="1">
      <c r="A5" s="502"/>
      <c r="B5" s="113"/>
      <c r="C5" s="121"/>
      <c r="D5" s="113"/>
      <c r="E5" s="113"/>
      <c r="F5" s="113"/>
      <c r="G5" s="113"/>
      <c r="H5" s="114"/>
      <c r="I5" s="468"/>
      <c r="J5" s="505" t="s">
        <v>9</v>
      </c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</row>
    <row r="6" ht="24.75" customHeight="1">
      <c r="A6" s="273"/>
      <c r="B6" s="354"/>
      <c r="C6" s="354"/>
      <c r="D6" s="354"/>
      <c r="E6" s="354"/>
      <c r="F6" s="354"/>
      <c r="G6" s="354"/>
      <c r="H6" s="354"/>
      <c r="I6" s="354"/>
      <c r="J6" s="436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</row>
    <row r="7" ht="15.75" customHeight="1">
      <c r="A7" s="273"/>
      <c r="B7" s="55"/>
      <c r="C7" s="55"/>
      <c r="D7" s="55"/>
      <c r="E7" s="55"/>
      <c r="F7" s="55"/>
      <c r="G7" s="55"/>
      <c r="H7" s="55"/>
      <c r="I7" s="55"/>
      <c r="J7" s="55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</row>
    <row r="8" ht="18.75" customHeight="1">
      <c r="A8" s="273"/>
      <c r="B8" s="506"/>
      <c r="C8" s="462" t="s">
        <v>0</v>
      </c>
      <c r="D8" s="464" t="s">
        <v>1</v>
      </c>
      <c r="E8" s="464" t="s">
        <v>415</v>
      </c>
      <c r="F8" s="55"/>
      <c r="G8" s="506"/>
      <c r="H8" s="462" t="s">
        <v>0</v>
      </c>
      <c r="I8" s="464" t="s">
        <v>1</v>
      </c>
      <c r="J8" s="464" t="s">
        <v>415</v>
      </c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</row>
    <row r="9" ht="20.25" customHeight="1">
      <c r="A9" s="273"/>
      <c r="B9" s="64"/>
      <c r="C9" s="465"/>
      <c r="D9" s="467" t="s">
        <v>3</v>
      </c>
      <c r="E9" s="507">
        <v>1.0</v>
      </c>
      <c r="F9" s="55"/>
      <c r="G9" s="64"/>
      <c r="H9" s="465"/>
      <c r="I9" s="467" t="s">
        <v>3</v>
      </c>
      <c r="J9" s="507">
        <v>1.0</v>
      </c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</row>
    <row r="10" ht="18.0" customHeight="1">
      <c r="A10" s="273"/>
      <c r="B10" s="64"/>
      <c r="C10" s="468"/>
      <c r="D10" s="464" t="s">
        <v>5</v>
      </c>
      <c r="E10" s="464" t="s">
        <v>6</v>
      </c>
      <c r="F10" s="55"/>
      <c r="G10" s="64"/>
      <c r="H10" s="468"/>
      <c r="I10" s="464" t="s">
        <v>5</v>
      </c>
      <c r="J10" s="464" t="s">
        <v>6</v>
      </c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</row>
    <row r="11" ht="18.75" customHeight="1">
      <c r="A11" s="273"/>
      <c r="B11" s="64"/>
      <c r="C11" s="462" t="s">
        <v>416</v>
      </c>
      <c r="D11" s="508" t="s">
        <v>7</v>
      </c>
      <c r="E11" s="508" t="s">
        <v>8</v>
      </c>
      <c r="F11" s="55"/>
      <c r="G11" s="64"/>
      <c r="H11" s="462" t="s">
        <v>416</v>
      </c>
      <c r="I11" s="508" t="s">
        <v>7</v>
      </c>
      <c r="J11" s="508" t="s">
        <v>8</v>
      </c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</row>
    <row r="12" ht="15.0" customHeight="1">
      <c r="A12" s="502"/>
      <c r="B12" s="64"/>
      <c r="C12" s="468"/>
      <c r="D12" s="88"/>
      <c r="E12" s="509" t="s">
        <v>9</v>
      </c>
      <c r="F12" s="55"/>
      <c r="G12" s="64"/>
      <c r="H12" s="468"/>
      <c r="I12" s="88"/>
      <c r="J12" s="509" t="s">
        <v>9</v>
      </c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</row>
    <row r="13" ht="36.0" customHeight="1">
      <c r="A13" s="273"/>
      <c r="B13" s="510" t="s">
        <v>417</v>
      </c>
      <c r="C13" s="126" t="str">
        <f>'INSPECCIÓN ETIQUETAS'!C8</f>
        <v>SUERO DE NIACINAMIDA 5%</v>
      </c>
      <c r="D13" s="46"/>
      <c r="E13" s="117"/>
      <c r="F13" s="511"/>
      <c r="G13" s="510" t="s">
        <v>417</v>
      </c>
      <c r="H13" s="126" t="str">
        <f t="shared" ref="H13:H16" si="1">C13</f>
        <v>SUERO DE NIACINAMIDA 5%</v>
      </c>
      <c r="I13" s="46"/>
      <c r="J13" s="117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</row>
    <row r="14" ht="35.25" customHeight="1">
      <c r="A14" s="273"/>
      <c r="B14" s="512" t="s">
        <v>344</v>
      </c>
      <c r="C14" s="513" t="str">
        <f>'INSPECCIÓN ETIQUETAS'!C10</f>
        <v>252111</v>
      </c>
      <c r="D14" s="512" t="s">
        <v>184</v>
      </c>
      <c r="E14" s="514"/>
      <c r="F14" s="511"/>
      <c r="G14" s="512" t="s">
        <v>344</v>
      </c>
      <c r="H14" s="513" t="str">
        <f t="shared" si="1"/>
        <v>252111</v>
      </c>
      <c r="I14" s="512" t="s">
        <v>184</v>
      </c>
      <c r="J14" s="514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</row>
    <row r="15" ht="33.0" customHeight="1">
      <c r="A15" s="273"/>
      <c r="B15" s="510" t="s">
        <v>418</v>
      </c>
      <c r="C15" s="515" t="str">
        <f>'INSPECCIÓN ETIQUETAS'!C9</f>
        <v>OP-L-099</v>
      </c>
      <c r="D15" s="138"/>
      <c r="E15" s="120"/>
      <c r="F15" s="511"/>
      <c r="G15" s="510" t="s">
        <v>418</v>
      </c>
      <c r="H15" s="515" t="str">
        <f t="shared" si="1"/>
        <v>OP-L-099</v>
      </c>
      <c r="I15" s="138"/>
      <c r="J15" s="120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</row>
    <row r="16" ht="32.25" customHeight="1">
      <c r="A16" s="273"/>
      <c r="B16" s="510" t="s">
        <v>419</v>
      </c>
      <c r="C16" s="516">
        <f>OP!P12</f>
        <v>90</v>
      </c>
      <c r="D16" s="138"/>
      <c r="E16" s="120"/>
      <c r="F16" s="517"/>
      <c r="G16" s="510" t="s">
        <v>419</v>
      </c>
      <c r="H16" s="516">
        <f t="shared" si="1"/>
        <v>90</v>
      </c>
      <c r="I16" s="138"/>
      <c r="J16" s="120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</row>
    <row r="17" ht="15.75" customHeight="1">
      <c r="A17" s="273"/>
      <c r="B17" s="518" t="s">
        <v>31</v>
      </c>
      <c r="C17" s="519"/>
      <c r="D17" s="46"/>
      <c r="E17" s="117"/>
      <c r="F17" s="517"/>
      <c r="G17" s="518" t="s">
        <v>31</v>
      </c>
      <c r="H17" s="519"/>
      <c r="I17" s="46"/>
      <c r="J17" s="117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</row>
    <row r="18" ht="15.0" customHeight="1">
      <c r="A18" s="273"/>
      <c r="B18" s="465"/>
      <c r="C18" s="64"/>
      <c r="E18" s="69"/>
      <c r="F18" s="511"/>
      <c r="G18" s="465"/>
      <c r="H18" s="64"/>
      <c r="J18" s="69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</row>
    <row r="19" ht="15.75" customHeight="1">
      <c r="A19" s="273"/>
      <c r="B19" s="465"/>
      <c r="C19" s="64"/>
      <c r="E19" s="69"/>
      <c r="F19" s="511"/>
      <c r="G19" s="465"/>
      <c r="H19" s="64"/>
      <c r="J19" s="69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</row>
    <row r="20" ht="15.75" customHeight="1">
      <c r="A20" s="273"/>
      <c r="B20" s="468"/>
      <c r="C20" s="121"/>
      <c r="D20" s="113"/>
      <c r="E20" s="114"/>
      <c r="F20" s="511"/>
      <c r="G20" s="468"/>
      <c r="H20" s="121"/>
      <c r="I20" s="113"/>
      <c r="J20" s="114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</row>
    <row r="21" ht="21.0" customHeight="1">
      <c r="A21" s="273"/>
      <c r="B21" s="520" t="s">
        <v>86</v>
      </c>
      <c r="C21" s="521"/>
      <c r="D21" s="138"/>
      <c r="E21" s="120"/>
      <c r="F21" s="55"/>
      <c r="G21" s="520" t="s">
        <v>86</v>
      </c>
      <c r="H21" s="521"/>
      <c r="I21" s="138"/>
      <c r="J21" s="120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273"/>
    </row>
    <row r="22" ht="15.75" customHeight="1">
      <c r="A22" s="273"/>
      <c r="B22" s="55"/>
      <c r="C22" s="55"/>
      <c r="D22" s="55"/>
      <c r="E22" s="55"/>
      <c r="F22" s="55"/>
      <c r="G22" s="55"/>
      <c r="H22" s="55"/>
      <c r="I22" s="55"/>
      <c r="J22" s="55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</row>
    <row r="23" ht="15.75" customHeight="1">
      <c r="A23" s="273"/>
      <c r="B23" s="506"/>
      <c r="C23" s="462" t="s">
        <v>0</v>
      </c>
      <c r="D23" s="464" t="s">
        <v>1</v>
      </c>
      <c r="E23" s="464" t="s">
        <v>415</v>
      </c>
      <c r="F23" s="55"/>
      <c r="G23" s="506"/>
      <c r="H23" s="462" t="s">
        <v>0</v>
      </c>
      <c r="I23" s="464" t="s">
        <v>1</v>
      </c>
      <c r="J23" s="464" t="s">
        <v>415</v>
      </c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</row>
    <row r="24" ht="15.75" customHeight="1">
      <c r="A24" s="273"/>
      <c r="B24" s="64"/>
      <c r="C24" s="465"/>
      <c r="D24" s="467" t="s">
        <v>3</v>
      </c>
      <c r="E24" s="507">
        <v>1.0</v>
      </c>
      <c r="F24" s="55"/>
      <c r="G24" s="64"/>
      <c r="H24" s="465"/>
      <c r="I24" s="467" t="s">
        <v>3</v>
      </c>
      <c r="J24" s="507">
        <v>1.0</v>
      </c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</row>
    <row r="25" ht="15.75" customHeight="1">
      <c r="A25" s="273"/>
      <c r="B25" s="64"/>
      <c r="C25" s="468"/>
      <c r="D25" s="464" t="s">
        <v>5</v>
      </c>
      <c r="E25" s="464" t="s">
        <v>6</v>
      </c>
      <c r="F25" s="55"/>
      <c r="G25" s="64"/>
      <c r="H25" s="468"/>
      <c r="I25" s="464" t="s">
        <v>5</v>
      </c>
      <c r="J25" s="464" t="s">
        <v>6</v>
      </c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</row>
    <row r="26" ht="15.75" customHeight="1">
      <c r="A26" s="273"/>
      <c r="B26" s="64"/>
      <c r="C26" s="462" t="s">
        <v>416</v>
      </c>
      <c r="D26" s="508" t="s">
        <v>7</v>
      </c>
      <c r="E26" s="508" t="s">
        <v>8</v>
      </c>
      <c r="F26" s="55"/>
      <c r="G26" s="64"/>
      <c r="H26" s="462" t="s">
        <v>416</v>
      </c>
      <c r="I26" s="508" t="s">
        <v>7</v>
      </c>
      <c r="J26" s="508" t="s">
        <v>8</v>
      </c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</row>
    <row r="27" ht="15.75" customHeight="1">
      <c r="A27" s="273"/>
      <c r="B27" s="64"/>
      <c r="C27" s="468"/>
      <c r="D27" s="88"/>
      <c r="E27" s="509" t="s">
        <v>9</v>
      </c>
      <c r="F27" s="55"/>
      <c r="G27" s="64"/>
      <c r="H27" s="468"/>
      <c r="I27" s="88"/>
      <c r="J27" s="509" t="s">
        <v>9</v>
      </c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</row>
    <row r="28" ht="34.5" customHeight="1">
      <c r="A28" s="273"/>
      <c r="B28" s="510" t="s">
        <v>417</v>
      </c>
      <c r="C28" s="522"/>
      <c r="D28" s="46"/>
      <c r="E28" s="117"/>
      <c r="F28" s="511"/>
      <c r="G28" s="510" t="s">
        <v>417</v>
      </c>
      <c r="H28" s="522"/>
      <c r="I28" s="46"/>
      <c r="J28" s="117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</row>
    <row r="29" ht="35.25" customHeight="1">
      <c r="A29" s="273"/>
      <c r="B29" s="512" t="s">
        <v>344</v>
      </c>
      <c r="C29" s="523"/>
      <c r="D29" s="512" t="s">
        <v>184</v>
      </c>
      <c r="E29" s="514"/>
      <c r="F29" s="511"/>
      <c r="G29" s="512" t="s">
        <v>344</v>
      </c>
      <c r="H29" s="523"/>
      <c r="I29" s="512" t="s">
        <v>184</v>
      </c>
      <c r="J29" s="514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</row>
    <row r="30" ht="36.0" customHeight="1">
      <c r="A30" s="273"/>
      <c r="B30" s="510" t="s">
        <v>418</v>
      </c>
      <c r="C30" s="523"/>
      <c r="D30" s="138"/>
      <c r="E30" s="120"/>
      <c r="F30" s="511"/>
      <c r="G30" s="510" t="s">
        <v>418</v>
      </c>
      <c r="H30" s="523"/>
      <c r="I30" s="138"/>
      <c r="J30" s="120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</row>
    <row r="31" ht="42.75" customHeight="1">
      <c r="A31" s="273"/>
      <c r="B31" s="510" t="s">
        <v>419</v>
      </c>
      <c r="C31" s="523"/>
      <c r="D31" s="138"/>
      <c r="E31" s="120"/>
      <c r="F31" s="517"/>
      <c r="G31" s="510" t="s">
        <v>419</v>
      </c>
      <c r="H31" s="523"/>
      <c r="I31" s="138"/>
      <c r="J31" s="120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</row>
    <row r="32" ht="15.75" customHeight="1">
      <c r="A32" s="273"/>
      <c r="B32" s="518" t="s">
        <v>31</v>
      </c>
      <c r="C32" s="519"/>
      <c r="D32" s="46"/>
      <c r="E32" s="117"/>
      <c r="F32" s="517"/>
      <c r="G32" s="518" t="s">
        <v>31</v>
      </c>
      <c r="H32" s="519"/>
      <c r="I32" s="46"/>
      <c r="J32" s="117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</row>
    <row r="33" ht="15.75" customHeight="1">
      <c r="A33" s="273"/>
      <c r="B33" s="465"/>
      <c r="C33" s="64"/>
      <c r="E33" s="69"/>
      <c r="F33" s="511"/>
      <c r="G33" s="465"/>
      <c r="H33" s="64"/>
      <c r="J33" s="69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  <c r="Z33" s="273"/>
    </row>
    <row r="34" ht="15.75" customHeight="1">
      <c r="A34" s="273"/>
      <c r="B34" s="465"/>
      <c r="C34" s="64"/>
      <c r="E34" s="69"/>
      <c r="F34" s="511"/>
      <c r="G34" s="465"/>
      <c r="H34" s="64"/>
      <c r="J34" s="69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  <c r="Z34" s="273"/>
    </row>
    <row r="35" ht="15.75" customHeight="1">
      <c r="A35" s="273"/>
      <c r="B35" s="468"/>
      <c r="C35" s="121"/>
      <c r="D35" s="113"/>
      <c r="E35" s="114"/>
      <c r="F35" s="511"/>
      <c r="G35" s="468"/>
      <c r="H35" s="121"/>
      <c r="I35" s="113"/>
      <c r="J35" s="114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  <c r="Z35" s="273"/>
    </row>
    <row r="36" ht="18.75" customHeight="1">
      <c r="A36" s="273"/>
      <c r="B36" s="520" t="s">
        <v>86</v>
      </c>
      <c r="C36" s="521"/>
      <c r="D36" s="138"/>
      <c r="E36" s="120"/>
      <c r="F36" s="55"/>
      <c r="G36" s="520" t="s">
        <v>86</v>
      </c>
      <c r="H36" s="521"/>
      <c r="I36" s="138"/>
      <c r="J36" s="120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</row>
    <row r="37" ht="15.75" customHeight="1">
      <c r="A37" s="273"/>
      <c r="B37" s="55"/>
      <c r="C37" s="55"/>
      <c r="D37" s="55"/>
      <c r="E37" s="55"/>
      <c r="F37" s="55"/>
      <c r="G37" s="55"/>
      <c r="H37" s="55"/>
      <c r="I37" s="55"/>
      <c r="J37" s="55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</row>
    <row r="38" ht="15.75" customHeight="1">
      <c r="A38" s="273"/>
      <c r="B38" s="506"/>
      <c r="C38" s="462" t="s">
        <v>0</v>
      </c>
      <c r="D38" s="464" t="s">
        <v>1</v>
      </c>
      <c r="E38" s="464" t="s">
        <v>415</v>
      </c>
      <c r="F38" s="55"/>
      <c r="G38" s="506"/>
      <c r="H38" s="462" t="s">
        <v>0</v>
      </c>
      <c r="I38" s="464" t="s">
        <v>1</v>
      </c>
      <c r="J38" s="464" t="s">
        <v>415</v>
      </c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</row>
    <row r="39" ht="15.75" customHeight="1">
      <c r="A39" s="273"/>
      <c r="B39" s="64"/>
      <c r="C39" s="465"/>
      <c r="D39" s="467" t="s">
        <v>3</v>
      </c>
      <c r="E39" s="507">
        <v>1.0</v>
      </c>
      <c r="F39" s="55"/>
      <c r="G39" s="64"/>
      <c r="H39" s="465"/>
      <c r="I39" s="467" t="s">
        <v>3</v>
      </c>
      <c r="J39" s="507">
        <v>1.0</v>
      </c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  <c r="Z39" s="273"/>
    </row>
    <row r="40" ht="15.75" customHeight="1">
      <c r="A40" s="273"/>
      <c r="B40" s="64"/>
      <c r="C40" s="468"/>
      <c r="D40" s="464" t="s">
        <v>5</v>
      </c>
      <c r="E40" s="464" t="s">
        <v>6</v>
      </c>
      <c r="F40" s="55"/>
      <c r="G40" s="64"/>
      <c r="H40" s="468"/>
      <c r="I40" s="464" t="s">
        <v>5</v>
      </c>
      <c r="J40" s="464" t="s">
        <v>6</v>
      </c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</row>
    <row r="41" ht="15.75" customHeight="1">
      <c r="A41" s="273"/>
      <c r="B41" s="64"/>
      <c r="C41" s="462" t="s">
        <v>416</v>
      </c>
      <c r="D41" s="508" t="s">
        <v>7</v>
      </c>
      <c r="E41" s="508" t="s">
        <v>8</v>
      </c>
      <c r="F41" s="55"/>
      <c r="G41" s="64"/>
      <c r="H41" s="462" t="s">
        <v>416</v>
      </c>
      <c r="I41" s="508" t="s">
        <v>7</v>
      </c>
      <c r="J41" s="508" t="s">
        <v>8</v>
      </c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</row>
    <row r="42" ht="15.75" customHeight="1">
      <c r="A42" s="273"/>
      <c r="B42" s="64"/>
      <c r="C42" s="468"/>
      <c r="D42" s="88"/>
      <c r="E42" s="509" t="s">
        <v>9</v>
      </c>
      <c r="F42" s="55"/>
      <c r="G42" s="64"/>
      <c r="H42" s="468"/>
      <c r="I42" s="88"/>
      <c r="J42" s="509" t="s">
        <v>9</v>
      </c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</row>
    <row r="43" ht="24.75" customHeight="1">
      <c r="A43" s="273"/>
      <c r="B43" s="510" t="s">
        <v>417</v>
      </c>
      <c r="C43" s="522"/>
      <c r="D43" s="46"/>
      <c r="E43" s="117"/>
      <c r="F43" s="511"/>
      <c r="G43" s="510" t="s">
        <v>417</v>
      </c>
      <c r="H43" s="522"/>
      <c r="I43" s="46"/>
      <c r="J43" s="117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</row>
    <row r="44" ht="45.75" customHeight="1">
      <c r="A44" s="273"/>
      <c r="B44" s="512" t="s">
        <v>344</v>
      </c>
      <c r="C44" s="523"/>
      <c r="D44" s="512" t="s">
        <v>184</v>
      </c>
      <c r="E44" s="514"/>
      <c r="F44" s="511"/>
      <c r="G44" s="512" t="s">
        <v>344</v>
      </c>
      <c r="H44" s="523"/>
      <c r="I44" s="138"/>
      <c r="J44" s="120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</row>
    <row r="45" ht="34.5" customHeight="1">
      <c r="A45" s="273"/>
      <c r="B45" s="510" t="s">
        <v>418</v>
      </c>
      <c r="C45" s="523"/>
      <c r="D45" s="138"/>
      <c r="E45" s="120"/>
      <c r="F45" s="511"/>
      <c r="G45" s="510" t="s">
        <v>418</v>
      </c>
      <c r="H45" s="523"/>
      <c r="I45" s="138"/>
      <c r="J45" s="120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</row>
    <row r="46" ht="38.25" customHeight="1">
      <c r="A46" s="273"/>
      <c r="B46" s="510" t="s">
        <v>419</v>
      </c>
      <c r="C46" s="523"/>
      <c r="D46" s="138"/>
      <c r="E46" s="120"/>
      <c r="F46" s="517"/>
      <c r="G46" s="510" t="s">
        <v>419</v>
      </c>
      <c r="H46" s="523"/>
      <c r="I46" s="138"/>
      <c r="J46" s="120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</row>
    <row r="47" ht="15.75" customHeight="1">
      <c r="A47" s="273"/>
      <c r="B47" s="518" t="s">
        <v>31</v>
      </c>
      <c r="C47" s="519"/>
      <c r="D47" s="46"/>
      <c r="E47" s="117"/>
      <c r="F47" s="517"/>
      <c r="G47" s="518" t="s">
        <v>31</v>
      </c>
      <c r="H47" s="519"/>
      <c r="I47" s="46"/>
      <c r="J47" s="117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</row>
    <row r="48" ht="15.75" customHeight="1">
      <c r="A48" s="273"/>
      <c r="B48" s="465"/>
      <c r="C48" s="64"/>
      <c r="E48" s="69"/>
      <c r="F48" s="511"/>
      <c r="G48" s="465"/>
      <c r="H48" s="64"/>
      <c r="J48" s="69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</row>
    <row r="49" ht="15.75" customHeight="1">
      <c r="A49" s="273"/>
      <c r="B49" s="465"/>
      <c r="C49" s="64"/>
      <c r="E49" s="69"/>
      <c r="F49" s="511"/>
      <c r="G49" s="465"/>
      <c r="H49" s="64"/>
      <c r="J49" s="69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</row>
    <row r="50" ht="15.75" customHeight="1">
      <c r="A50" s="273"/>
      <c r="B50" s="468"/>
      <c r="C50" s="121"/>
      <c r="D50" s="113"/>
      <c r="E50" s="114"/>
      <c r="F50" s="511"/>
      <c r="G50" s="468"/>
      <c r="H50" s="121"/>
      <c r="I50" s="113"/>
      <c r="J50" s="114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</row>
    <row r="51" ht="18.75" customHeight="1">
      <c r="A51" s="273"/>
      <c r="B51" s="520" t="s">
        <v>86</v>
      </c>
      <c r="C51" s="521"/>
      <c r="D51" s="138"/>
      <c r="E51" s="120"/>
      <c r="F51" s="55"/>
      <c r="G51" s="520" t="s">
        <v>86</v>
      </c>
      <c r="H51" s="521"/>
      <c r="I51" s="138"/>
      <c r="J51" s="120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</row>
    <row r="52" ht="15.75" customHeight="1">
      <c r="A52" s="273"/>
      <c r="B52" s="55"/>
      <c r="C52" s="55"/>
      <c r="D52" s="55"/>
      <c r="E52" s="55"/>
      <c r="F52" s="55"/>
      <c r="G52" s="55"/>
      <c r="H52" s="55"/>
      <c r="I52" s="55"/>
      <c r="J52" s="55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</row>
    <row r="53" ht="15.75" customHeight="1">
      <c r="A53" s="273"/>
      <c r="B53" s="506"/>
      <c r="C53" s="462" t="s">
        <v>0</v>
      </c>
      <c r="D53" s="464" t="s">
        <v>1</v>
      </c>
      <c r="E53" s="464" t="s">
        <v>415</v>
      </c>
      <c r="F53" s="55"/>
      <c r="G53" s="506"/>
      <c r="H53" s="462" t="s">
        <v>0</v>
      </c>
      <c r="I53" s="464" t="s">
        <v>1</v>
      </c>
      <c r="J53" s="464" t="s">
        <v>415</v>
      </c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</row>
    <row r="54" ht="15.75" customHeight="1">
      <c r="A54" s="273"/>
      <c r="B54" s="64"/>
      <c r="C54" s="465"/>
      <c r="D54" s="467" t="s">
        <v>3</v>
      </c>
      <c r="E54" s="507">
        <v>1.0</v>
      </c>
      <c r="F54" s="55"/>
      <c r="G54" s="64"/>
      <c r="H54" s="465"/>
      <c r="I54" s="467" t="s">
        <v>3</v>
      </c>
      <c r="J54" s="507">
        <v>1.0</v>
      </c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</row>
    <row r="55" ht="15.75" customHeight="1">
      <c r="A55" s="273"/>
      <c r="B55" s="64"/>
      <c r="C55" s="468"/>
      <c r="D55" s="464" t="s">
        <v>5</v>
      </c>
      <c r="E55" s="464" t="s">
        <v>6</v>
      </c>
      <c r="F55" s="55"/>
      <c r="G55" s="64"/>
      <c r="H55" s="468"/>
      <c r="I55" s="464" t="s">
        <v>5</v>
      </c>
      <c r="J55" s="464" t="s">
        <v>6</v>
      </c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</row>
    <row r="56" ht="15.75" customHeight="1">
      <c r="A56" s="273"/>
      <c r="B56" s="64"/>
      <c r="C56" s="462" t="s">
        <v>416</v>
      </c>
      <c r="D56" s="508" t="s">
        <v>7</v>
      </c>
      <c r="E56" s="508" t="s">
        <v>8</v>
      </c>
      <c r="F56" s="55"/>
      <c r="G56" s="64"/>
      <c r="H56" s="462" t="s">
        <v>416</v>
      </c>
      <c r="I56" s="508" t="s">
        <v>7</v>
      </c>
      <c r="J56" s="508" t="s">
        <v>8</v>
      </c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</row>
    <row r="57" ht="15.75" customHeight="1">
      <c r="A57" s="273"/>
      <c r="B57" s="64"/>
      <c r="C57" s="468"/>
      <c r="D57" s="88"/>
      <c r="E57" s="509" t="s">
        <v>9</v>
      </c>
      <c r="F57" s="55"/>
      <c r="G57" s="64"/>
      <c r="H57" s="468"/>
      <c r="I57" s="88"/>
      <c r="J57" s="509" t="s">
        <v>9</v>
      </c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</row>
    <row r="58" ht="33.0" customHeight="1">
      <c r="A58" s="273"/>
      <c r="B58" s="510" t="s">
        <v>417</v>
      </c>
      <c r="C58" s="522"/>
      <c r="D58" s="46"/>
      <c r="E58" s="117"/>
      <c r="F58" s="511"/>
      <c r="G58" s="510" t="s">
        <v>417</v>
      </c>
      <c r="H58" s="522"/>
      <c r="I58" s="46"/>
      <c r="J58" s="117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</row>
    <row r="59" ht="33.0" customHeight="1">
      <c r="A59" s="273"/>
      <c r="B59" s="512" t="s">
        <v>344</v>
      </c>
      <c r="C59" s="523"/>
      <c r="D59" s="512" t="s">
        <v>184</v>
      </c>
      <c r="E59" s="514"/>
      <c r="F59" s="511"/>
      <c r="G59" s="512" t="s">
        <v>344</v>
      </c>
      <c r="H59" s="523"/>
      <c r="I59" s="512" t="s">
        <v>184</v>
      </c>
      <c r="J59" s="514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</row>
    <row r="60" ht="45.0" customHeight="1">
      <c r="A60" s="273"/>
      <c r="B60" s="510" t="s">
        <v>418</v>
      </c>
      <c r="C60" s="523"/>
      <c r="D60" s="138"/>
      <c r="E60" s="120"/>
      <c r="F60" s="511"/>
      <c r="G60" s="510" t="s">
        <v>418</v>
      </c>
      <c r="H60" s="523"/>
      <c r="I60" s="138"/>
      <c r="J60" s="120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</row>
    <row r="61" ht="36.0" customHeight="1">
      <c r="A61" s="273"/>
      <c r="B61" s="510" t="s">
        <v>419</v>
      </c>
      <c r="C61" s="523"/>
      <c r="D61" s="138"/>
      <c r="E61" s="120"/>
      <c r="F61" s="517"/>
      <c r="G61" s="510" t="s">
        <v>419</v>
      </c>
      <c r="H61" s="523"/>
      <c r="I61" s="138"/>
      <c r="J61" s="120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</row>
    <row r="62" ht="15.75" customHeight="1">
      <c r="A62" s="273"/>
      <c r="B62" s="518" t="s">
        <v>31</v>
      </c>
      <c r="C62" s="519"/>
      <c r="D62" s="46"/>
      <c r="E62" s="117"/>
      <c r="F62" s="517"/>
      <c r="G62" s="518" t="s">
        <v>31</v>
      </c>
      <c r="H62" s="519"/>
      <c r="I62" s="46"/>
      <c r="J62" s="117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</row>
    <row r="63" ht="15.75" customHeight="1">
      <c r="A63" s="273"/>
      <c r="B63" s="465"/>
      <c r="C63" s="64"/>
      <c r="E63" s="69"/>
      <c r="F63" s="511"/>
      <c r="G63" s="465"/>
      <c r="H63" s="64"/>
      <c r="J63" s="69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</row>
    <row r="64" ht="15.75" customHeight="1">
      <c r="A64" s="273"/>
      <c r="B64" s="465"/>
      <c r="C64" s="64"/>
      <c r="E64" s="69"/>
      <c r="F64" s="511"/>
      <c r="G64" s="465"/>
      <c r="H64" s="64"/>
      <c r="J64" s="69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</row>
    <row r="65" ht="15.75" customHeight="1">
      <c r="A65" s="273"/>
      <c r="B65" s="468"/>
      <c r="C65" s="121"/>
      <c r="D65" s="113"/>
      <c r="E65" s="114"/>
      <c r="F65" s="511"/>
      <c r="G65" s="468"/>
      <c r="H65" s="121"/>
      <c r="I65" s="113"/>
      <c r="J65" s="114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273"/>
    </row>
    <row r="66" ht="21.0" customHeight="1">
      <c r="A66" s="273"/>
      <c r="B66" s="520" t="s">
        <v>86</v>
      </c>
      <c r="C66" s="521"/>
      <c r="D66" s="138"/>
      <c r="E66" s="120"/>
      <c r="F66" s="55"/>
      <c r="G66" s="520" t="s">
        <v>86</v>
      </c>
      <c r="H66" s="521"/>
      <c r="I66" s="138"/>
      <c r="J66" s="120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</row>
    <row r="67" ht="15.75" customHeight="1">
      <c r="A67" s="273"/>
      <c r="B67" s="55"/>
      <c r="C67" s="55"/>
      <c r="D67" s="55"/>
      <c r="E67" s="55"/>
      <c r="F67" s="55"/>
      <c r="G67" s="55"/>
      <c r="H67" s="55"/>
      <c r="I67" s="55"/>
      <c r="J67" s="55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  <c r="Z67" s="273"/>
    </row>
    <row r="68" ht="15.75" customHeight="1">
      <c r="A68" s="273"/>
      <c r="B68" s="55"/>
      <c r="C68" s="55"/>
      <c r="D68" s="55"/>
      <c r="E68" s="55"/>
      <c r="F68" s="55"/>
      <c r="G68" s="55"/>
      <c r="H68" s="55"/>
      <c r="I68" s="55"/>
      <c r="J68" s="55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273"/>
    </row>
    <row r="69" ht="15.75" customHeight="1">
      <c r="A69" s="273"/>
      <c r="B69" s="55"/>
      <c r="C69" s="55"/>
      <c r="D69" s="55"/>
      <c r="E69" s="55"/>
      <c r="F69" s="55"/>
      <c r="G69" s="55"/>
      <c r="H69" s="55"/>
      <c r="I69" s="55"/>
      <c r="J69" s="55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273"/>
    </row>
    <row r="70" ht="15.75" customHeight="1">
      <c r="A70" s="273"/>
      <c r="B70" s="55"/>
      <c r="C70" s="55"/>
      <c r="D70" s="55"/>
      <c r="E70" s="55"/>
      <c r="F70" s="55"/>
      <c r="G70" s="55"/>
      <c r="H70" s="55"/>
      <c r="I70" s="55"/>
      <c r="J70" s="55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</row>
    <row r="71" ht="15.75" customHeight="1">
      <c r="A71" s="273"/>
      <c r="B71" s="55"/>
      <c r="C71" s="55"/>
      <c r="D71" s="55"/>
      <c r="E71" s="55"/>
      <c r="F71" s="55"/>
      <c r="G71" s="55"/>
      <c r="H71" s="55"/>
      <c r="I71" s="55"/>
      <c r="J71" s="55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</row>
    <row r="72" ht="15.75" customHeight="1">
      <c r="A72" s="273"/>
      <c r="B72" s="55"/>
      <c r="C72" s="55"/>
      <c r="D72" s="55"/>
      <c r="E72" s="55"/>
      <c r="F72" s="55"/>
      <c r="G72" s="55"/>
      <c r="H72" s="55"/>
      <c r="I72" s="55"/>
      <c r="J72" s="55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</row>
    <row r="73" ht="15.75" customHeight="1">
      <c r="A73" s="273"/>
      <c r="B73" s="55"/>
      <c r="C73" s="55"/>
      <c r="D73" s="55"/>
      <c r="E73" s="55"/>
      <c r="F73" s="55"/>
      <c r="G73" s="55"/>
      <c r="H73" s="55"/>
      <c r="I73" s="55"/>
      <c r="J73" s="55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</row>
    <row r="74" ht="15.75" customHeight="1">
      <c r="A74" s="273"/>
      <c r="B74" s="55"/>
      <c r="C74" s="55"/>
      <c r="D74" s="55"/>
      <c r="E74" s="55"/>
      <c r="F74" s="55"/>
      <c r="G74" s="55"/>
      <c r="H74" s="55"/>
      <c r="I74" s="55"/>
      <c r="J74" s="55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</row>
    <row r="75" ht="15.75" customHeight="1">
      <c r="A75" s="273"/>
      <c r="B75" s="55"/>
      <c r="C75" s="55"/>
      <c r="D75" s="55"/>
      <c r="E75" s="55"/>
      <c r="F75" s="55"/>
      <c r="G75" s="55"/>
      <c r="H75" s="55"/>
      <c r="I75" s="55"/>
      <c r="J75" s="55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273"/>
    </row>
    <row r="76" ht="15.75" customHeight="1">
      <c r="A76" s="273"/>
      <c r="B76" s="55"/>
      <c r="C76" s="55"/>
      <c r="D76" s="55"/>
      <c r="E76" s="55"/>
      <c r="F76" s="55"/>
      <c r="G76" s="55"/>
      <c r="H76" s="55"/>
      <c r="I76" s="55"/>
      <c r="J76" s="55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</row>
    <row r="77" ht="15.75" customHeight="1">
      <c r="A77" s="273"/>
      <c r="B77" s="55"/>
      <c r="C77" s="55"/>
      <c r="D77" s="55"/>
      <c r="E77" s="55"/>
      <c r="F77" s="55"/>
      <c r="G77" s="55"/>
      <c r="H77" s="55"/>
      <c r="I77" s="55"/>
      <c r="J77" s="55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273"/>
    </row>
    <row r="78" ht="15.75" customHeight="1">
      <c r="A78" s="273"/>
      <c r="B78" s="55"/>
      <c r="C78" s="55"/>
      <c r="D78" s="55"/>
      <c r="E78" s="55"/>
      <c r="F78" s="55"/>
      <c r="G78" s="55"/>
      <c r="H78" s="55"/>
      <c r="I78" s="55"/>
      <c r="J78" s="55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</row>
    <row r="79" ht="15.75" customHeight="1">
      <c r="A79" s="273"/>
      <c r="B79" s="55"/>
      <c r="C79" s="55"/>
      <c r="D79" s="55"/>
      <c r="E79" s="55"/>
      <c r="F79" s="55"/>
      <c r="G79" s="55"/>
      <c r="H79" s="55"/>
      <c r="I79" s="55"/>
      <c r="J79" s="55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</row>
    <row r="80" ht="15.75" customHeight="1">
      <c r="A80" s="273"/>
      <c r="B80" s="55"/>
      <c r="C80" s="55"/>
      <c r="D80" s="55"/>
      <c r="E80" s="55"/>
      <c r="F80" s="55"/>
      <c r="G80" s="55"/>
      <c r="H80" s="55"/>
      <c r="I80" s="55"/>
      <c r="J80" s="55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</row>
    <row r="81" ht="15.75" customHeight="1">
      <c r="A81" s="273"/>
      <c r="B81" s="55"/>
      <c r="C81" s="55"/>
      <c r="D81" s="55"/>
      <c r="E81" s="55"/>
      <c r="F81" s="55"/>
      <c r="G81" s="55"/>
      <c r="H81" s="55"/>
      <c r="I81" s="55"/>
      <c r="J81" s="55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</row>
    <row r="82" ht="15.75" customHeight="1">
      <c r="A82" s="273"/>
      <c r="B82" s="55"/>
      <c r="C82" s="55"/>
      <c r="D82" s="55"/>
      <c r="E82" s="55"/>
      <c r="F82" s="55"/>
      <c r="G82" s="55"/>
      <c r="H82" s="55"/>
      <c r="I82" s="55"/>
      <c r="J82" s="55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</row>
    <row r="83" ht="15.75" customHeight="1">
      <c r="A83" s="273"/>
      <c r="B83" s="55"/>
      <c r="C83" s="55"/>
      <c r="D83" s="55"/>
      <c r="E83" s="55"/>
      <c r="F83" s="55"/>
      <c r="G83" s="55"/>
      <c r="H83" s="55"/>
      <c r="I83" s="55"/>
      <c r="J83" s="55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</row>
    <row r="84" ht="15.75" customHeight="1">
      <c r="A84" s="273"/>
      <c r="B84" s="55"/>
      <c r="C84" s="55"/>
      <c r="D84" s="55"/>
      <c r="E84" s="55"/>
      <c r="F84" s="55"/>
      <c r="G84" s="55"/>
      <c r="H84" s="55"/>
      <c r="I84" s="55"/>
      <c r="J84" s="55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</row>
    <row r="85" ht="15.75" customHeight="1">
      <c r="A85" s="273"/>
      <c r="B85" s="55"/>
      <c r="C85" s="55"/>
      <c r="D85" s="55"/>
      <c r="E85" s="55"/>
      <c r="F85" s="55"/>
      <c r="G85" s="55"/>
      <c r="H85" s="55"/>
      <c r="I85" s="55"/>
      <c r="J85" s="55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  <c r="Z85" s="273"/>
    </row>
    <row r="86" ht="15.75" customHeight="1">
      <c r="A86" s="273"/>
      <c r="B86" s="55"/>
      <c r="C86" s="55"/>
      <c r="D86" s="55"/>
      <c r="E86" s="55"/>
      <c r="F86" s="55"/>
      <c r="G86" s="55"/>
      <c r="H86" s="55"/>
      <c r="I86" s="55"/>
      <c r="J86" s="55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</row>
    <row r="87" ht="15.75" customHeight="1">
      <c r="A87" s="273"/>
      <c r="B87" s="55"/>
      <c r="C87" s="55"/>
      <c r="D87" s="55"/>
      <c r="E87" s="55"/>
      <c r="F87" s="55"/>
      <c r="G87" s="55"/>
      <c r="H87" s="55"/>
      <c r="I87" s="55"/>
      <c r="J87" s="55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  <c r="Z87" s="273"/>
    </row>
    <row r="88" ht="15.75" customHeight="1">
      <c r="A88" s="273"/>
      <c r="B88" s="55"/>
      <c r="C88" s="55"/>
      <c r="D88" s="55"/>
      <c r="E88" s="55"/>
      <c r="F88" s="55"/>
      <c r="G88" s="55"/>
      <c r="H88" s="55"/>
      <c r="I88" s="55"/>
      <c r="J88" s="55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</row>
    <row r="89" ht="15.75" customHeight="1">
      <c r="A89" s="273"/>
      <c r="B89" s="55"/>
      <c r="C89" s="55"/>
      <c r="D89" s="55"/>
      <c r="E89" s="55"/>
      <c r="F89" s="55"/>
      <c r="G89" s="55"/>
      <c r="H89" s="55"/>
      <c r="I89" s="55"/>
      <c r="J89" s="55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  <c r="Z89" s="273"/>
    </row>
    <row r="90" ht="15.75" customHeight="1">
      <c r="A90" s="273"/>
      <c r="B90" s="55"/>
      <c r="C90" s="55"/>
      <c r="D90" s="55"/>
      <c r="E90" s="55"/>
      <c r="F90" s="55"/>
      <c r="G90" s="55"/>
      <c r="H90" s="55"/>
      <c r="I90" s="55"/>
      <c r="J90" s="55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</row>
    <row r="91" ht="15.75" customHeight="1">
      <c r="A91" s="273"/>
      <c r="B91" s="55"/>
      <c r="C91" s="55"/>
      <c r="D91" s="55"/>
      <c r="E91" s="55"/>
      <c r="F91" s="55"/>
      <c r="G91" s="55"/>
      <c r="H91" s="55"/>
      <c r="I91" s="55"/>
      <c r="J91" s="55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  <c r="Z91" s="273"/>
    </row>
    <row r="92" ht="15.75" customHeight="1">
      <c r="A92" s="273"/>
      <c r="B92" s="55"/>
      <c r="C92" s="55"/>
      <c r="D92" s="55"/>
      <c r="E92" s="55"/>
      <c r="F92" s="55"/>
      <c r="G92" s="55"/>
      <c r="H92" s="55"/>
      <c r="I92" s="55"/>
      <c r="J92" s="55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</row>
    <row r="93" ht="15.75" customHeight="1">
      <c r="A93" s="273"/>
      <c r="B93" s="55"/>
      <c r="C93" s="55"/>
      <c r="D93" s="55"/>
      <c r="E93" s="55"/>
      <c r="F93" s="55"/>
      <c r="G93" s="55"/>
      <c r="H93" s="55"/>
      <c r="I93" s="55"/>
      <c r="J93" s="55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</row>
    <row r="94" ht="15.75" customHeight="1">
      <c r="A94" s="273"/>
      <c r="B94" s="55"/>
      <c r="C94" s="55"/>
      <c r="D94" s="55"/>
      <c r="E94" s="55"/>
      <c r="F94" s="55"/>
      <c r="G94" s="55"/>
      <c r="H94" s="55"/>
      <c r="I94" s="55"/>
      <c r="J94" s="55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</row>
    <row r="95" ht="15.75" customHeight="1">
      <c r="A95" s="273"/>
      <c r="B95" s="55"/>
      <c r="C95" s="55"/>
      <c r="D95" s="55"/>
      <c r="E95" s="55"/>
      <c r="F95" s="55"/>
      <c r="G95" s="55"/>
      <c r="H95" s="55"/>
      <c r="I95" s="55"/>
      <c r="J95" s="55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  <c r="Z95" s="273"/>
    </row>
    <row r="96" ht="15.75" customHeight="1">
      <c r="A96" s="273"/>
      <c r="B96" s="55"/>
      <c r="C96" s="55"/>
      <c r="D96" s="55"/>
      <c r="E96" s="55"/>
      <c r="F96" s="55"/>
      <c r="G96" s="55"/>
      <c r="H96" s="55"/>
      <c r="I96" s="55"/>
      <c r="J96" s="55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</row>
    <row r="97" ht="15.75" customHeight="1">
      <c r="A97" s="273"/>
      <c r="B97" s="55"/>
      <c r="C97" s="55"/>
      <c r="D97" s="55"/>
      <c r="E97" s="55"/>
      <c r="F97" s="55"/>
      <c r="G97" s="55"/>
      <c r="H97" s="55"/>
      <c r="I97" s="55"/>
      <c r="J97" s="55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  <c r="Z97" s="273"/>
    </row>
    <row r="98" ht="15.75" customHeight="1">
      <c r="A98" s="273"/>
      <c r="B98" s="55"/>
      <c r="C98" s="55"/>
      <c r="D98" s="55"/>
      <c r="E98" s="55"/>
      <c r="F98" s="55"/>
      <c r="G98" s="55"/>
      <c r="H98" s="55"/>
      <c r="I98" s="55"/>
      <c r="J98" s="55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</row>
    <row r="99" ht="15.75" customHeight="1">
      <c r="A99" s="273"/>
      <c r="B99" s="55"/>
      <c r="C99" s="55"/>
      <c r="D99" s="55"/>
      <c r="E99" s="55"/>
      <c r="F99" s="55"/>
      <c r="G99" s="55"/>
      <c r="H99" s="55"/>
      <c r="I99" s="55"/>
      <c r="J99" s="55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</row>
    <row r="100" ht="15.75" customHeight="1">
      <c r="A100" s="273"/>
      <c r="B100" s="55"/>
      <c r="C100" s="55"/>
      <c r="D100" s="55"/>
      <c r="E100" s="55"/>
      <c r="F100" s="55"/>
      <c r="G100" s="55"/>
      <c r="H100" s="55"/>
      <c r="I100" s="55"/>
      <c r="J100" s="55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</row>
    <row r="101" ht="15.75" customHeight="1">
      <c r="A101" s="273"/>
      <c r="B101" s="55"/>
      <c r="C101" s="55"/>
      <c r="D101" s="55"/>
      <c r="E101" s="55"/>
      <c r="F101" s="55"/>
      <c r="G101" s="55"/>
      <c r="H101" s="55"/>
      <c r="I101" s="55"/>
      <c r="J101" s="55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</row>
    <row r="102" ht="15.75" customHeight="1">
      <c r="A102" s="273"/>
      <c r="B102" s="55"/>
      <c r="C102" s="55"/>
      <c r="D102" s="55"/>
      <c r="E102" s="55"/>
      <c r="F102" s="55"/>
      <c r="G102" s="55"/>
      <c r="H102" s="55"/>
      <c r="I102" s="55"/>
      <c r="J102" s="55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</row>
    <row r="103" ht="15.75" customHeight="1">
      <c r="A103" s="273"/>
      <c r="B103" s="55"/>
      <c r="C103" s="55"/>
      <c r="D103" s="55"/>
      <c r="E103" s="55"/>
      <c r="F103" s="55"/>
      <c r="G103" s="55"/>
      <c r="H103" s="55"/>
      <c r="I103" s="55"/>
      <c r="J103" s="55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</row>
    <row r="104" ht="15.75" customHeight="1">
      <c r="A104" s="273"/>
      <c r="B104" s="55"/>
      <c r="C104" s="55"/>
      <c r="D104" s="55"/>
      <c r="E104" s="55"/>
      <c r="F104" s="55"/>
      <c r="G104" s="55"/>
      <c r="H104" s="55"/>
      <c r="I104" s="55"/>
      <c r="J104" s="55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</row>
    <row r="105" ht="15.75" customHeight="1">
      <c r="A105" s="273"/>
      <c r="B105" s="55"/>
      <c r="C105" s="55"/>
      <c r="D105" s="55"/>
      <c r="E105" s="55"/>
      <c r="F105" s="55"/>
      <c r="G105" s="55"/>
      <c r="H105" s="55"/>
      <c r="I105" s="55"/>
      <c r="J105" s="55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  <c r="Z105" s="273"/>
    </row>
    <row r="106" ht="15.75" customHeight="1">
      <c r="A106" s="273"/>
      <c r="B106" s="55"/>
      <c r="C106" s="55"/>
      <c r="D106" s="55"/>
      <c r="E106" s="55"/>
      <c r="F106" s="55"/>
      <c r="G106" s="55"/>
      <c r="H106" s="55"/>
      <c r="I106" s="55"/>
      <c r="J106" s="55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</row>
    <row r="107" ht="15.75" customHeight="1">
      <c r="A107" s="273"/>
      <c r="B107" s="55"/>
      <c r="C107" s="55"/>
      <c r="D107" s="55"/>
      <c r="E107" s="55"/>
      <c r="F107" s="55"/>
      <c r="G107" s="55"/>
      <c r="H107" s="55"/>
      <c r="I107" s="55"/>
      <c r="J107" s="55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</row>
    <row r="108" ht="15.75" customHeight="1">
      <c r="A108" s="273"/>
      <c r="B108" s="55"/>
      <c r="C108" s="55"/>
      <c r="D108" s="55"/>
      <c r="E108" s="55"/>
      <c r="F108" s="55"/>
      <c r="G108" s="55"/>
      <c r="H108" s="55"/>
      <c r="I108" s="55"/>
      <c r="J108" s="55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</row>
    <row r="109" ht="15.75" customHeight="1">
      <c r="A109" s="273"/>
      <c r="B109" s="55"/>
      <c r="C109" s="55"/>
      <c r="D109" s="55"/>
      <c r="E109" s="55"/>
      <c r="F109" s="55"/>
      <c r="G109" s="55"/>
      <c r="H109" s="55"/>
      <c r="I109" s="55"/>
      <c r="J109" s="55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  <c r="Z109" s="273"/>
    </row>
    <row r="110" ht="15.75" customHeight="1">
      <c r="A110" s="273"/>
      <c r="B110" s="55"/>
      <c r="C110" s="55"/>
      <c r="D110" s="55"/>
      <c r="E110" s="55"/>
      <c r="F110" s="55"/>
      <c r="G110" s="55"/>
      <c r="H110" s="55"/>
      <c r="I110" s="55"/>
      <c r="J110" s="55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</row>
    <row r="111" ht="15.75" customHeight="1">
      <c r="A111" s="273"/>
      <c r="B111" s="55"/>
      <c r="C111" s="55"/>
      <c r="D111" s="55"/>
      <c r="E111" s="55"/>
      <c r="F111" s="55"/>
      <c r="G111" s="55"/>
      <c r="H111" s="55"/>
      <c r="I111" s="55"/>
      <c r="J111" s="55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  <c r="Z111" s="273"/>
    </row>
    <row r="112" ht="15.75" customHeight="1">
      <c r="A112" s="273"/>
      <c r="B112" s="55"/>
      <c r="C112" s="55"/>
      <c r="D112" s="55"/>
      <c r="E112" s="55"/>
      <c r="F112" s="55"/>
      <c r="G112" s="55"/>
      <c r="H112" s="55"/>
      <c r="I112" s="55"/>
      <c r="J112" s="55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</row>
    <row r="113" ht="15.75" customHeight="1">
      <c r="A113" s="273"/>
      <c r="B113" s="55"/>
      <c r="C113" s="55"/>
      <c r="D113" s="55"/>
      <c r="E113" s="55"/>
      <c r="F113" s="55"/>
      <c r="G113" s="55"/>
      <c r="H113" s="55"/>
      <c r="I113" s="55"/>
      <c r="J113" s="55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  <c r="Z113" s="273"/>
    </row>
    <row r="114" ht="15.75" customHeight="1">
      <c r="A114" s="273"/>
      <c r="B114" s="55"/>
      <c r="C114" s="55"/>
      <c r="D114" s="55"/>
      <c r="E114" s="55"/>
      <c r="F114" s="55"/>
      <c r="G114" s="55"/>
      <c r="H114" s="55"/>
      <c r="I114" s="55"/>
      <c r="J114" s="55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</row>
    <row r="115" ht="15.75" customHeight="1">
      <c r="A115" s="273"/>
      <c r="B115" s="55"/>
      <c r="C115" s="55"/>
      <c r="D115" s="55"/>
      <c r="E115" s="55"/>
      <c r="F115" s="55"/>
      <c r="G115" s="55"/>
      <c r="H115" s="55"/>
      <c r="I115" s="55"/>
      <c r="J115" s="55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  <c r="Z115" s="273"/>
    </row>
    <row r="116" ht="15.75" customHeight="1">
      <c r="A116" s="273"/>
      <c r="B116" s="55"/>
      <c r="C116" s="55"/>
      <c r="D116" s="55"/>
      <c r="E116" s="55"/>
      <c r="F116" s="55"/>
      <c r="G116" s="55"/>
      <c r="H116" s="55"/>
      <c r="I116" s="55"/>
      <c r="J116" s="55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</row>
    <row r="117" ht="15.75" customHeight="1">
      <c r="A117" s="273"/>
      <c r="B117" s="55"/>
      <c r="C117" s="55"/>
      <c r="D117" s="55"/>
      <c r="E117" s="55"/>
      <c r="F117" s="55"/>
      <c r="G117" s="55"/>
      <c r="H117" s="55"/>
      <c r="I117" s="55"/>
      <c r="J117" s="55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</row>
    <row r="118" ht="15.75" customHeight="1">
      <c r="A118" s="273"/>
      <c r="B118" s="55"/>
      <c r="C118" s="55"/>
      <c r="D118" s="55"/>
      <c r="E118" s="55"/>
      <c r="F118" s="55"/>
      <c r="G118" s="55"/>
      <c r="H118" s="55"/>
      <c r="I118" s="55"/>
      <c r="J118" s="55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</row>
    <row r="119" ht="15.75" customHeight="1">
      <c r="A119" s="273"/>
      <c r="B119" s="55"/>
      <c r="C119" s="55"/>
      <c r="D119" s="55"/>
      <c r="E119" s="55"/>
      <c r="F119" s="55"/>
      <c r="G119" s="55"/>
      <c r="H119" s="55"/>
      <c r="I119" s="55"/>
      <c r="J119" s="55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</row>
    <row r="120" ht="15.75" customHeight="1">
      <c r="A120" s="273"/>
      <c r="B120" s="55"/>
      <c r="C120" s="55"/>
      <c r="D120" s="55"/>
      <c r="E120" s="55"/>
      <c r="F120" s="55"/>
      <c r="G120" s="55"/>
      <c r="H120" s="55"/>
      <c r="I120" s="55"/>
      <c r="J120" s="55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</row>
    <row r="121" ht="15.75" customHeight="1">
      <c r="A121" s="273"/>
      <c r="B121" s="55"/>
      <c r="C121" s="55"/>
      <c r="D121" s="55"/>
      <c r="E121" s="55"/>
      <c r="F121" s="55"/>
      <c r="G121" s="55"/>
      <c r="H121" s="55"/>
      <c r="I121" s="55"/>
      <c r="J121" s="55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  <c r="Z121" s="273"/>
    </row>
    <row r="122" ht="15.75" customHeight="1">
      <c r="A122" s="273"/>
      <c r="B122" s="55"/>
      <c r="C122" s="55"/>
      <c r="D122" s="55"/>
      <c r="E122" s="55"/>
      <c r="F122" s="55"/>
      <c r="G122" s="55"/>
      <c r="H122" s="55"/>
      <c r="I122" s="55"/>
      <c r="J122" s="55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</row>
    <row r="123" ht="15.75" customHeight="1">
      <c r="A123" s="273"/>
      <c r="B123" s="55"/>
      <c r="C123" s="55"/>
      <c r="D123" s="55"/>
      <c r="E123" s="55"/>
      <c r="F123" s="55"/>
      <c r="G123" s="55"/>
      <c r="H123" s="55"/>
      <c r="I123" s="55"/>
      <c r="J123" s="55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  <c r="Z123" s="273"/>
    </row>
    <row r="124" ht="15.75" customHeight="1">
      <c r="A124" s="273"/>
      <c r="B124" s="55"/>
      <c r="C124" s="55"/>
      <c r="D124" s="55"/>
      <c r="E124" s="55"/>
      <c r="F124" s="55"/>
      <c r="G124" s="55"/>
      <c r="H124" s="55"/>
      <c r="I124" s="55"/>
      <c r="J124" s="55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</row>
    <row r="125" ht="15.75" customHeight="1">
      <c r="A125" s="273"/>
      <c r="B125" s="55"/>
      <c r="C125" s="55"/>
      <c r="D125" s="55"/>
      <c r="E125" s="55"/>
      <c r="F125" s="55"/>
      <c r="G125" s="55"/>
      <c r="H125" s="55"/>
      <c r="I125" s="55"/>
      <c r="J125" s="55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</row>
    <row r="126" ht="15.75" customHeight="1">
      <c r="A126" s="273"/>
      <c r="B126" s="55"/>
      <c r="C126" s="55"/>
      <c r="D126" s="55"/>
      <c r="E126" s="55"/>
      <c r="F126" s="55"/>
      <c r="G126" s="55"/>
      <c r="H126" s="55"/>
      <c r="I126" s="55"/>
      <c r="J126" s="55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</row>
    <row r="127" ht="15.75" customHeight="1">
      <c r="A127" s="273"/>
      <c r="B127" s="55"/>
      <c r="C127" s="55"/>
      <c r="D127" s="55"/>
      <c r="E127" s="55"/>
      <c r="F127" s="55"/>
      <c r="G127" s="55"/>
      <c r="H127" s="55"/>
      <c r="I127" s="55"/>
      <c r="J127" s="55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</row>
    <row r="128" ht="15.75" customHeight="1">
      <c r="A128" s="273"/>
      <c r="B128" s="55"/>
      <c r="C128" s="55"/>
      <c r="D128" s="55"/>
      <c r="E128" s="55"/>
      <c r="F128" s="55"/>
      <c r="G128" s="55"/>
      <c r="H128" s="55"/>
      <c r="I128" s="55"/>
      <c r="J128" s="55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  <c r="Z128" s="273"/>
    </row>
    <row r="129" ht="15.75" customHeight="1">
      <c r="A129" s="273"/>
      <c r="B129" s="55"/>
      <c r="C129" s="55"/>
      <c r="D129" s="55"/>
      <c r="E129" s="55"/>
      <c r="F129" s="55"/>
      <c r="G129" s="55"/>
      <c r="H129" s="55"/>
      <c r="I129" s="55"/>
      <c r="J129" s="55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  <c r="Z129" s="273"/>
    </row>
    <row r="130" ht="15.75" customHeight="1">
      <c r="A130" s="273"/>
      <c r="B130" s="55"/>
      <c r="C130" s="55"/>
      <c r="D130" s="55"/>
      <c r="E130" s="55"/>
      <c r="F130" s="55"/>
      <c r="G130" s="55"/>
      <c r="H130" s="55"/>
      <c r="I130" s="55"/>
      <c r="J130" s="55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</row>
    <row r="131" ht="15.75" customHeight="1">
      <c r="A131" s="273"/>
      <c r="B131" s="55"/>
      <c r="C131" s="55"/>
      <c r="D131" s="55"/>
      <c r="E131" s="55"/>
      <c r="F131" s="55"/>
      <c r="G131" s="55"/>
      <c r="H131" s="55"/>
      <c r="I131" s="55"/>
      <c r="J131" s="55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  <c r="Z131" s="273"/>
    </row>
    <row r="132" ht="15.75" customHeight="1">
      <c r="A132" s="273"/>
      <c r="B132" s="55"/>
      <c r="C132" s="55"/>
      <c r="D132" s="55"/>
      <c r="E132" s="55"/>
      <c r="F132" s="55"/>
      <c r="G132" s="55"/>
      <c r="H132" s="55"/>
      <c r="I132" s="55"/>
      <c r="J132" s="55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</row>
    <row r="133" ht="15.75" customHeight="1">
      <c r="A133" s="273"/>
      <c r="B133" s="55"/>
      <c r="C133" s="55"/>
      <c r="D133" s="55"/>
      <c r="E133" s="55"/>
      <c r="F133" s="55"/>
      <c r="G133" s="55"/>
      <c r="H133" s="55"/>
      <c r="I133" s="55"/>
      <c r="J133" s="55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  <c r="Z133" s="273"/>
    </row>
    <row r="134" ht="15.75" customHeight="1">
      <c r="A134" s="273"/>
      <c r="B134" s="55"/>
      <c r="C134" s="55"/>
      <c r="D134" s="55"/>
      <c r="E134" s="55"/>
      <c r="F134" s="55"/>
      <c r="G134" s="55"/>
      <c r="H134" s="55"/>
      <c r="I134" s="55"/>
      <c r="J134" s="55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</row>
    <row r="135" ht="15.75" customHeight="1">
      <c r="A135" s="273"/>
      <c r="B135" s="55"/>
      <c r="C135" s="55"/>
      <c r="D135" s="55"/>
      <c r="E135" s="55"/>
      <c r="F135" s="55"/>
      <c r="G135" s="55"/>
      <c r="H135" s="55"/>
      <c r="I135" s="55"/>
      <c r="J135" s="55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</row>
    <row r="136" ht="15.75" customHeight="1">
      <c r="A136" s="273"/>
      <c r="B136" s="55"/>
      <c r="C136" s="55"/>
      <c r="D136" s="55"/>
      <c r="E136" s="55"/>
      <c r="F136" s="55"/>
      <c r="G136" s="55"/>
      <c r="H136" s="55"/>
      <c r="I136" s="55"/>
      <c r="J136" s="55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</row>
    <row r="137" ht="15.75" customHeight="1">
      <c r="A137" s="273"/>
      <c r="B137" s="55"/>
      <c r="C137" s="55"/>
      <c r="D137" s="55"/>
      <c r="E137" s="55"/>
      <c r="F137" s="55"/>
      <c r="G137" s="55"/>
      <c r="H137" s="55"/>
      <c r="I137" s="55"/>
      <c r="J137" s="55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</row>
    <row r="138" ht="15.75" customHeight="1">
      <c r="A138" s="273"/>
      <c r="B138" s="55"/>
      <c r="C138" s="55"/>
      <c r="D138" s="55"/>
      <c r="E138" s="55"/>
      <c r="F138" s="55"/>
      <c r="G138" s="55"/>
      <c r="H138" s="55"/>
      <c r="I138" s="55"/>
      <c r="J138" s="55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</row>
    <row r="139" ht="15.75" customHeight="1">
      <c r="A139" s="273"/>
      <c r="B139" s="55"/>
      <c r="C139" s="55"/>
      <c r="D139" s="55"/>
      <c r="E139" s="55"/>
      <c r="F139" s="55"/>
      <c r="G139" s="55"/>
      <c r="H139" s="55"/>
      <c r="I139" s="55"/>
      <c r="J139" s="55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  <c r="Z139" s="273"/>
    </row>
    <row r="140" ht="15.75" customHeight="1">
      <c r="A140" s="273"/>
      <c r="B140" s="55"/>
      <c r="C140" s="55"/>
      <c r="D140" s="55"/>
      <c r="E140" s="55"/>
      <c r="F140" s="55"/>
      <c r="G140" s="55"/>
      <c r="H140" s="55"/>
      <c r="I140" s="55"/>
      <c r="J140" s="55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</row>
    <row r="141" ht="15.75" customHeight="1">
      <c r="A141" s="273"/>
      <c r="B141" s="55"/>
      <c r="C141" s="55"/>
      <c r="D141" s="55"/>
      <c r="E141" s="55"/>
      <c r="F141" s="55"/>
      <c r="G141" s="55"/>
      <c r="H141" s="55"/>
      <c r="I141" s="55"/>
      <c r="J141" s="55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  <c r="Z141" s="273"/>
    </row>
    <row r="142" ht="15.75" customHeight="1">
      <c r="A142" s="273"/>
      <c r="B142" s="55"/>
      <c r="C142" s="55"/>
      <c r="D142" s="55"/>
      <c r="E142" s="55"/>
      <c r="F142" s="55"/>
      <c r="G142" s="55"/>
      <c r="H142" s="55"/>
      <c r="I142" s="55"/>
      <c r="J142" s="55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</row>
    <row r="143" ht="15.75" customHeight="1">
      <c r="A143" s="273"/>
      <c r="B143" s="55"/>
      <c r="C143" s="55"/>
      <c r="D143" s="55"/>
      <c r="E143" s="55"/>
      <c r="F143" s="55"/>
      <c r="G143" s="55"/>
      <c r="H143" s="55"/>
      <c r="I143" s="55"/>
      <c r="J143" s="55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</row>
    <row r="144" ht="15.75" customHeight="1">
      <c r="A144" s="273"/>
      <c r="B144" s="55"/>
      <c r="C144" s="55"/>
      <c r="D144" s="55"/>
      <c r="E144" s="55"/>
      <c r="F144" s="55"/>
      <c r="G144" s="55"/>
      <c r="H144" s="55"/>
      <c r="I144" s="55"/>
      <c r="J144" s="55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</row>
    <row r="145" ht="15.75" customHeight="1">
      <c r="A145" s="273"/>
      <c r="B145" s="55"/>
      <c r="C145" s="55"/>
      <c r="D145" s="55"/>
      <c r="E145" s="55"/>
      <c r="F145" s="55"/>
      <c r="G145" s="55"/>
      <c r="H145" s="55"/>
      <c r="I145" s="55"/>
      <c r="J145" s="55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</row>
    <row r="146" ht="15.75" customHeight="1">
      <c r="A146" s="273"/>
      <c r="B146" s="55"/>
      <c r="C146" s="55"/>
      <c r="D146" s="55"/>
      <c r="E146" s="55"/>
      <c r="F146" s="55"/>
      <c r="G146" s="55"/>
      <c r="H146" s="55"/>
      <c r="I146" s="55"/>
      <c r="J146" s="55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</row>
    <row r="147" ht="15.75" customHeight="1">
      <c r="A147" s="273"/>
      <c r="B147" s="55"/>
      <c r="C147" s="55"/>
      <c r="D147" s="55"/>
      <c r="E147" s="55"/>
      <c r="F147" s="55"/>
      <c r="G147" s="55"/>
      <c r="H147" s="55"/>
      <c r="I147" s="55"/>
      <c r="J147" s="55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  <c r="Z147" s="273"/>
    </row>
    <row r="148" ht="15.75" customHeight="1">
      <c r="A148" s="273"/>
      <c r="B148" s="55"/>
      <c r="C148" s="55"/>
      <c r="D148" s="55"/>
      <c r="E148" s="55"/>
      <c r="F148" s="55"/>
      <c r="G148" s="55"/>
      <c r="H148" s="55"/>
      <c r="I148" s="55"/>
      <c r="J148" s="55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</row>
    <row r="149" ht="15.75" customHeight="1">
      <c r="A149" s="273"/>
      <c r="B149" s="55"/>
      <c r="C149" s="55"/>
      <c r="D149" s="55"/>
      <c r="E149" s="55"/>
      <c r="F149" s="55"/>
      <c r="G149" s="55"/>
      <c r="H149" s="55"/>
      <c r="I149" s="55"/>
      <c r="J149" s="55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  <c r="Z149" s="273"/>
    </row>
    <row r="150" ht="15.75" customHeight="1">
      <c r="A150" s="273"/>
      <c r="B150" s="55"/>
      <c r="C150" s="55"/>
      <c r="D150" s="55"/>
      <c r="E150" s="55"/>
      <c r="F150" s="55"/>
      <c r="G150" s="55"/>
      <c r="H150" s="55"/>
      <c r="I150" s="55"/>
      <c r="J150" s="55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</row>
    <row r="151" ht="15.75" customHeight="1">
      <c r="A151" s="273"/>
      <c r="B151" s="55"/>
      <c r="C151" s="55"/>
      <c r="D151" s="55"/>
      <c r="E151" s="55"/>
      <c r="F151" s="55"/>
      <c r="G151" s="55"/>
      <c r="H151" s="55"/>
      <c r="I151" s="55"/>
      <c r="J151" s="55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</row>
    <row r="152" ht="15.75" customHeight="1">
      <c r="A152" s="273"/>
      <c r="B152" s="55"/>
      <c r="C152" s="55"/>
      <c r="D152" s="55"/>
      <c r="E152" s="55"/>
      <c r="F152" s="55"/>
      <c r="G152" s="55"/>
      <c r="H152" s="55"/>
      <c r="I152" s="55"/>
      <c r="J152" s="55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</row>
    <row r="153" ht="15.75" customHeight="1">
      <c r="A153" s="273"/>
      <c r="B153" s="55"/>
      <c r="C153" s="55"/>
      <c r="D153" s="55"/>
      <c r="E153" s="55"/>
      <c r="F153" s="55"/>
      <c r="G153" s="55"/>
      <c r="H153" s="55"/>
      <c r="I153" s="55"/>
      <c r="J153" s="55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  <c r="Z153" s="273"/>
    </row>
    <row r="154" ht="15.75" customHeight="1">
      <c r="A154" s="273"/>
      <c r="B154" s="55"/>
      <c r="C154" s="55"/>
      <c r="D154" s="55"/>
      <c r="E154" s="55"/>
      <c r="F154" s="55"/>
      <c r="G154" s="55"/>
      <c r="H154" s="55"/>
      <c r="I154" s="55"/>
      <c r="J154" s="55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</row>
    <row r="155" ht="15.75" customHeight="1">
      <c r="A155" s="273"/>
      <c r="B155" s="55"/>
      <c r="C155" s="55"/>
      <c r="D155" s="55"/>
      <c r="E155" s="55"/>
      <c r="F155" s="55"/>
      <c r="G155" s="55"/>
      <c r="H155" s="55"/>
      <c r="I155" s="55"/>
      <c r="J155" s="55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  <c r="Z155" s="273"/>
    </row>
    <row r="156" ht="15.75" customHeight="1">
      <c r="A156" s="273"/>
      <c r="B156" s="55"/>
      <c r="C156" s="55"/>
      <c r="D156" s="55"/>
      <c r="E156" s="55"/>
      <c r="F156" s="55"/>
      <c r="G156" s="55"/>
      <c r="H156" s="55"/>
      <c r="I156" s="55"/>
      <c r="J156" s="55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</row>
    <row r="157" ht="15.75" customHeight="1">
      <c r="A157" s="273"/>
      <c r="B157" s="55"/>
      <c r="C157" s="55"/>
      <c r="D157" s="55"/>
      <c r="E157" s="55"/>
      <c r="F157" s="55"/>
      <c r="G157" s="55"/>
      <c r="H157" s="55"/>
      <c r="I157" s="55"/>
      <c r="J157" s="55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  <c r="Z157" s="273"/>
    </row>
    <row r="158" ht="15.75" customHeight="1">
      <c r="A158" s="273"/>
      <c r="B158" s="55"/>
      <c r="C158" s="55"/>
      <c r="D158" s="55"/>
      <c r="E158" s="55"/>
      <c r="F158" s="55"/>
      <c r="G158" s="55"/>
      <c r="H158" s="55"/>
      <c r="I158" s="55"/>
      <c r="J158" s="55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</row>
    <row r="159" ht="15.75" customHeight="1">
      <c r="A159" s="273"/>
      <c r="B159" s="55"/>
      <c r="C159" s="55"/>
      <c r="D159" s="55"/>
      <c r="E159" s="55"/>
      <c r="F159" s="55"/>
      <c r="G159" s="55"/>
      <c r="H159" s="55"/>
      <c r="I159" s="55"/>
      <c r="J159" s="55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</row>
    <row r="160" ht="15.75" customHeight="1">
      <c r="A160" s="273"/>
      <c r="B160" s="55"/>
      <c r="C160" s="55"/>
      <c r="D160" s="55"/>
      <c r="E160" s="55"/>
      <c r="F160" s="55"/>
      <c r="G160" s="55"/>
      <c r="H160" s="55"/>
      <c r="I160" s="55"/>
      <c r="J160" s="55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</row>
    <row r="161" ht="15.75" customHeight="1">
      <c r="A161" s="273"/>
      <c r="B161" s="55"/>
      <c r="C161" s="55"/>
      <c r="D161" s="55"/>
      <c r="E161" s="55"/>
      <c r="F161" s="55"/>
      <c r="G161" s="55"/>
      <c r="H161" s="55"/>
      <c r="I161" s="55"/>
      <c r="J161" s="55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  <c r="Z161" s="273"/>
    </row>
    <row r="162" ht="15.75" customHeight="1">
      <c r="A162" s="273"/>
      <c r="B162" s="55"/>
      <c r="C162" s="55"/>
      <c r="D162" s="55"/>
      <c r="E162" s="55"/>
      <c r="F162" s="55"/>
      <c r="G162" s="55"/>
      <c r="H162" s="55"/>
      <c r="I162" s="55"/>
      <c r="J162" s="55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</row>
    <row r="163" ht="15.75" customHeight="1">
      <c r="A163" s="273"/>
      <c r="B163" s="55"/>
      <c r="C163" s="55"/>
      <c r="D163" s="55"/>
      <c r="E163" s="55"/>
      <c r="F163" s="55"/>
      <c r="G163" s="55"/>
      <c r="H163" s="55"/>
      <c r="I163" s="55"/>
      <c r="J163" s="55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  <c r="Z163" s="273"/>
    </row>
    <row r="164" ht="15.75" customHeight="1">
      <c r="A164" s="273"/>
      <c r="B164" s="55"/>
      <c r="C164" s="55"/>
      <c r="D164" s="55"/>
      <c r="E164" s="55"/>
      <c r="F164" s="55"/>
      <c r="G164" s="55"/>
      <c r="H164" s="55"/>
      <c r="I164" s="55"/>
      <c r="J164" s="55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</row>
    <row r="165" ht="15.75" customHeight="1">
      <c r="A165" s="273"/>
      <c r="B165" s="55"/>
      <c r="C165" s="55"/>
      <c r="D165" s="55"/>
      <c r="E165" s="55"/>
      <c r="F165" s="55"/>
      <c r="G165" s="55"/>
      <c r="H165" s="55"/>
      <c r="I165" s="55"/>
      <c r="J165" s="55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  <c r="Z165" s="273"/>
    </row>
    <row r="166" ht="15.75" customHeight="1">
      <c r="A166" s="273"/>
      <c r="B166" s="55"/>
      <c r="C166" s="55"/>
      <c r="D166" s="55"/>
      <c r="E166" s="55"/>
      <c r="F166" s="55"/>
      <c r="G166" s="55"/>
      <c r="H166" s="55"/>
      <c r="I166" s="55"/>
      <c r="J166" s="55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</row>
    <row r="167" ht="15.75" customHeight="1">
      <c r="A167" s="273"/>
      <c r="B167" s="55"/>
      <c r="C167" s="55"/>
      <c r="D167" s="55"/>
      <c r="E167" s="55"/>
      <c r="F167" s="55"/>
      <c r="G167" s="55"/>
      <c r="H167" s="55"/>
      <c r="I167" s="55"/>
      <c r="J167" s="55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  <c r="Z167" s="273"/>
    </row>
    <row r="168" ht="15.75" customHeight="1">
      <c r="A168" s="273"/>
      <c r="B168" s="55"/>
      <c r="C168" s="55"/>
      <c r="D168" s="55"/>
      <c r="E168" s="55"/>
      <c r="F168" s="55"/>
      <c r="G168" s="55"/>
      <c r="H168" s="55"/>
      <c r="I168" s="55"/>
      <c r="J168" s="55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</row>
    <row r="169" ht="15.75" customHeight="1">
      <c r="A169" s="273"/>
      <c r="B169" s="55"/>
      <c r="C169" s="55"/>
      <c r="D169" s="55"/>
      <c r="E169" s="55"/>
      <c r="F169" s="55"/>
      <c r="G169" s="55"/>
      <c r="H169" s="55"/>
      <c r="I169" s="55"/>
      <c r="J169" s="55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  <c r="Z169" s="273"/>
    </row>
    <row r="170" ht="15.75" customHeight="1">
      <c r="A170" s="273"/>
      <c r="B170" s="55"/>
      <c r="C170" s="55"/>
      <c r="D170" s="55"/>
      <c r="E170" s="55"/>
      <c r="F170" s="55"/>
      <c r="G170" s="55"/>
      <c r="H170" s="55"/>
      <c r="I170" s="55"/>
      <c r="J170" s="55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</row>
    <row r="171" ht="15.75" customHeight="1">
      <c r="A171" s="273"/>
      <c r="B171" s="55"/>
      <c r="C171" s="55"/>
      <c r="D171" s="55"/>
      <c r="E171" s="55"/>
      <c r="F171" s="55"/>
      <c r="G171" s="55"/>
      <c r="H171" s="55"/>
      <c r="I171" s="55"/>
      <c r="J171" s="55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</row>
    <row r="172" ht="15.75" customHeight="1">
      <c r="A172" s="273"/>
      <c r="B172" s="55"/>
      <c r="C172" s="55"/>
      <c r="D172" s="55"/>
      <c r="E172" s="55"/>
      <c r="F172" s="55"/>
      <c r="G172" s="55"/>
      <c r="H172" s="55"/>
      <c r="I172" s="55"/>
      <c r="J172" s="55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</row>
    <row r="173" ht="15.75" customHeight="1">
      <c r="A173" s="273"/>
      <c r="B173" s="55"/>
      <c r="C173" s="55"/>
      <c r="D173" s="55"/>
      <c r="E173" s="55"/>
      <c r="F173" s="55"/>
      <c r="G173" s="55"/>
      <c r="H173" s="55"/>
      <c r="I173" s="55"/>
      <c r="J173" s="55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  <c r="Z173" s="273"/>
    </row>
    <row r="174" ht="15.75" customHeight="1">
      <c r="A174" s="273"/>
      <c r="B174" s="55"/>
      <c r="C174" s="55"/>
      <c r="D174" s="55"/>
      <c r="E174" s="55"/>
      <c r="F174" s="55"/>
      <c r="G174" s="55"/>
      <c r="H174" s="55"/>
      <c r="I174" s="55"/>
      <c r="J174" s="55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</row>
    <row r="175" ht="15.75" customHeight="1">
      <c r="A175" s="273"/>
      <c r="B175" s="55"/>
      <c r="C175" s="55"/>
      <c r="D175" s="55"/>
      <c r="E175" s="55"/>
      <c r="F175" s="55"/>
      <c r="G175" s="55"/>
      <c r="H175" s="55"/>
      <c r="I175" s="55"/>
      <c r="J175" s="55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  <c r="Z175" s="273"/>
    </row>
    <row r="176" ht="15.75" customHeight="1">
      <c r="A176" s="273"/>
      <c r="B176" s="55"/>
      <c r="C176" s="55"/>
      <c r="D176" s="55"/>
      <c r="E176" s="55"/>
      <c r="F176" s="55"/>
      <c r="G176" s="55"/>
      <c r="H176" s="55"/>
      <c r="I176" s="55"/>
      <c r="J176" s="55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</row>
    <row r="177" ht="15.75" customHeight="1">
      <c r="A177" s="273"/>
      <c r="B177" s="55"/>
      <c r="C177" s="55"/>
      <c r="D177" s="55"/>
      <c r="E177" s="55"/>
      <c r="F177" s="55"/>
      <c r="G177" s="55"/>
      <c r="H177" s="55"/>
      <c r="I177" s="55"/>
      <c r="J177" s="55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</row>
    <row r="178" ht="15.75" customHeight="1">
      <c r="A178" s="273"/>
      <c r="B178" s="55"/>
      <c r="C178" s="55"/>
      <c r="D178" s="55"/>
      <c r="E178" s="55"/>
      <c r="F178" s="55"/>
      <c r="G178" s="55"/>
      <c r="H178" s="55"/>
      <c r="I178" s="55"/>
      <c r="J178" s="55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</row>
    <row r="179" ht="15.75" customHeight="1">
      <c r="A179" s="273"/>
      <c r="B179" s="55"/>
      <c r="C179" s="55"/>
      <c r="D179" s="55"/>
      <c r="E179" s="55"/>
      <c r="F179" s="55"/>
      <c r="G179" s="55"/>
      <c r="H179" s="55"/>
      <c r="I179" s="55"/>
      <c r="J179" s="55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  <c r="Z179" s="273"/>
    </row>
    <row r="180" ht="15.75" customHeight="1">
      <c r="A180" s="273"/>
      <c r="B180" s="55"/>
      <c r="C180" s="55"/>
      <c r="D180" s="55"/>
      <c r="E180" s="55"/>
      <c r="F180" s="55"/>
      <c r="G180" s="55"/>
      <c r="H180" s="55"/>
      <c r="I180" s="55"/>
      <c r="J180" s="55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</row>
    <row r="181" ht="15.75" customHeight="1">
      <c r="A181" s="273"/>
      <c r="B181" s="55"/>
      <c r="C181" s="55"/>
      <c r="D181" s="55"/>
      <c r="E181" s="55"/>
      <c r="F181" s="55"/>
      <c r="G181" s="55"/>
      <c r="H181" s="55"/>
      <c r="I181" s="55"/>
      <c r="J181" s="55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  <c r="Z181" s="273"/>
    </row>
    <row r="182" ht="15.75" customHeight="1">
      <c r="A182" s="273"/>
      <c r="B182" s="55"/>
      <c r="C182" s="55"/>
      <c r="D182" s="55"/>
      <c r="E182" s="55"/>
      <c r="F182" s="55"/>
      <c r="G182" s="55"/>
      <c r="H182" s="55"/>
      <c r="I182" s="55"/>
      <c r="J182" s="55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</row>
    <row r="183" ht="15.75" customHeight="1">
      <c r="A183" s="273"/>
      <c r="B183" s="55"/>
      <c r="C183" s="55"/>
      <c r="D183" s="55"/>
      <c r="E183" s="55"/>
      <c r="F183" s="55"/>
      <c r="G183" s="55"/>
      <c r="H183" s="55"/>
      <c r="I183" s="55"/>
      <c r="J183" s="55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  <c r="Z183" s="273"/>
    </row>
    <row r="184" ht="15.75" customHeight="1">
      <c r="A184" s="273"/>
      <c r="B184" s="55"/>
      <c r="C184" s="55"/>
      <c r="D184" s="55"/>
      <c r="E184" s="55"/>
      <c r="F184" s="55"/>
      <c r="G184" s="55"/>
      <c r="H184" s="55"/>
      <c r="I184" s="55"/>
      <c r="J184" s="55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</row>
    <row r="185" ht="15.75" customHeight="1">
      <c r="A185" s="273"/>
      <c r="B185" s="55"/>
      <c r="C185" s="55"/>
      <c r="D185" s="55"/>
      <c r="E185" s="55"/>
      <c r="F185" s="55"/>
      <c r="G185" s="55"/>
      <c r="H185" s="55"/>
      <c r="I185" s="55"/>
      <c r="J185" s="55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  <c r="Z185" s="273"/>
    </row>
    <row r="186" ht="15.75" customHeight="1">
      <c r="A186" s="273"/>
      <c r="B186" s="55"/>
      <c r="C186" s="55"/>
      <c r="D186" s="55"/>
      <c r="E186" s="55"/>
      <c r="F186" s="55"/>
      <c r="G186" s="55"/>
      <c r="H186" s="55"/>
      <c r="I186" s="55"/>
      <c r="J186" s="55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</row>
    <row r="187" ht="15.75" customHeight="1">
      <c r="A187" s="273"/>
      <c r="B187" s="55"/>
      <c r="C187" s="55"/>
      <c r="D187" s="55"/>
      <c r="E187" s="55"/>
      <c r="F187" s="55"/>
      <c r="G187" s="55"/>
      <c r="H187" s="55"/>
      <c r="I187" s="55"/>
      <c r="J187" s="55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  <c r="Z187" s="273"/>
    </row>
    <row r="188" ht="15.75" customHeight="1">
      <c r="A188" s="273"/>
      <c r="B188" s="55"/>
      <c r="C188" s="55"/>
      <c r="D188" s="55"/>
      <c r="E188" s="55"/>
      <c r="F188" s="55"/>
      <c r="G188" s="55"/>
      <c r="H188" s="55"/>
      <c r="I188" s="55"/>
      <c r="J188" s="55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</row>
    <row r="189" ht="15.75" customHeight="1">
      <c r="A189" s="273"/>
      <c r="B189" s="55"/>
      <c r="C189" s="55"/>
      <c r="D189" s="55"/>
      <c r="E189" s="55"/>
      <c r="F189" s="55"/>
      <c r="G189" s="55"/>
      <c r="H189" s="55"/>
      <c r="I189" s="55"/>
      <c r="J189" s="55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  <c r="Z189" s="273"/>
    </row>
    <row r="190" ht="15.75" customHeight="1">
      <c r="A190" s="273"/>
      <c r="B190" s="55"/>
      <c r="C190" s="55"/>
      <c r="D190" s="55"/>
      <c r="E190" s="55"/>
      <c r="F190" s="55"/>
      <c r="G190" s="55"/>
      <c r="H190" s="55"/>
      <c r="I190" s="55"/>
      <c r="J190" s="55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</row>
    <row r="191" ht="15.75" customHeight="1">
      <c r="A191" s="273"/>
      <c r="B191" s="55"/>
      <c r="C191" s="55"/>
      <c r="D191" s="55"/>
      <c r="E191" s="55"/>
      <c r="F191" s="55"/>
      <c r="G191" s="55"/>
      <c r="H191" s="55"/>
      <c r="I191" s="55"/>
      <c r="J191" s="55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  <c r="Z191" s="273"/>
    </row>
    <row r="192" ht="15.75" customHeight="1">
      <c r="A192" s="273"/>
      <c r="B192" s="55"/>
      <c r="C192" s="55"/>
      <c r="D192" s="55"/>
      <c r="E192" s="55"/>
      <c r="F192" s="55"/>
      <c r="G192" s="55"/>
      <c r="H192" s="55"/>
      <c r="I192" s="55"/>
      <c r="J192" s="55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</row>
    <row r="193" ht="15.75" customHeight="1">
      <c r="A193" s="273"/>
      <c r="B193" s="55"/>
      <c r="C193" s="55"/>
      <c r="D193" s="55"/>
      <c r="E193" s="55"/>
      <c r="F193" s="55"/>
      <c r="G193" s="55"/>
      <c r="H193" s="55"/>
      <c r="I193" s="55"/>
      <c r="J193" s="55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</row>
    <row r="194" ht="15.75" customHeight="1">
      <c r="A194" s="273"/>
      <c r="B194" s="55"/>
      <c r="C194" s="55"/>
      <c r="D194" s="55"/>
      <c r="E194" s="55"/>
      <c r="F194" s="55"/>
      <c r="G194" s="55"/>
      <c r="H194" s="55"/>
      <c r="I194" s="55"/>
      <c r="J194" s="55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</row>
    <row r="195" ht="15.75" customHeight="1">
      <c r="A195" s="273"/>
      <c r="B195" s="55"/>
      <c r="C195" s="55"/>
      <c r="D195" s="55"/>
      <c r="E195" s="55"/>
      <c r="F195" s="55"/>
      <c r="G195" s="55"/>
      <c r="H195" s="55"/>
      <c r="I195" s="55"/>
      <c r="J195" s="55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3"/>
    </row>
    <row r="196" ht="15.75" customHeight="1">
      <c r="A196" s="273"/>
      <c r="B196" s="55"/>
      <c r="C196" s="55"/>
      <c r="D196" s="55"/>
      <c r="E196" s="55"/>
      <c r="F196" s="55"/>
      <c r="G196" s="55"/>
      <c r="H196" s="55"/>
      <c r="I196" s="55"/>
      <c r="J196" s="55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</row>
    <row r="197" ht="15.75" customHeight="1">
      <c r="A197" s="273"/>
      <c r="B197" s="55"/>
      <c r="C197" s="55"/>
      <c r="D197" s="55"/>
      <c r="E197" s="55"/>
      <c r="F197" s="55"/>
      <c r="G197" s="55"/>
      <c r="H197" s="55"/>
      <c r="I197" s="55"/>
      <c r="J197" s="55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</row>
    <row r="198" ht="15.75" customHeight="1">
      <c r="A198" s="273"/>
      <c r="B198" s="55"/>
      <c r="C198" s="55"/>
      <c r="D198" s="55"/>
      <c r="E198" s="55"/>
      <c r="F198" s="55"/>
      <c r="G198" s="55"/>
      <c r="H198" s="55"/>
      <c r="I198" s="55"/>
      <c r="J198" s="55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</row>
    <row r="199" ht="15.75" customHeight="1">
      <c r="A199" s="273"/>
      <c r="B199" s="55"/>
      <c r="C199" s="55"/>
      <c r="D199" s="55"/>
      <c r="E199" s="55"/>
      <c r="F199" s="55"/>
      <c r="G199" s="55"/>
      <c r="H199" s="55"/>
      <c r="I199" s="55"/>
      <c r="J199" s="55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</row>
    <row r="200" ht="15.75" customHeight="1">
      <c r="A200" s="273"/>
      <c r="B200" s="55"/>
      <c r="C200" s="55"/>
      <c r="D200" s="55"/>
      <c r="E200" s="55"/>
      <c r="F200" s="55"/>
      <c r="G200" s="55"/>
      <c r="H200" s="55"/>
      <c r="I200" s="55"/>
      <c r="J200" s="55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</row>
    <row r="201" ht="15.75" customHeight="1">
      <c r="A201" s="273"/>
      <c r="B201" s="55"/>
      <c r="C201" s="55"/>
      <c r="D201" s="55"/>
      <c r="E201" s="55"/>
      <c r="F201" s="55"/>
      <c r="G201" s="55"/>
      <c r="H201" s="55"/>
      <c r="I201" s="55"/>
      <c r="J201" s="55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</row>
    <row r="202" ht="15.75" customHeight="1">
      <c r="A202" s="273"/>
      <c r="B202" s="55"/>
      <c r="C202" s="55"/>
      <c r="D202" s="55"/>
      <c r="E202" s="55"/>
      <c r="F202" s="55"/>
      <c r="G202" s="55"/>
      <c r="H202" s="55"/>
      <c r="I202" s="55"/>
      <c r="J202" s="55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</row>
    <row r="203" ht="15.75" customHeight="1">
      <c r="A203" s="273"/>
      <c r="B203" s="55"/>
      <c r="C203" s="55"/>
      <c r="D203" s="55"/>
      <c r="E203" s="55"/>
      <c r="F203" s="55"/>
      <c r="G203" s="55"/>
      <c r="H203" s="55"/>
      <c r="I203" s="55"/>
      <c r="J203" s="55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</row>
    <row r="204" ht="15.75" customHeight="1">
      <c r="A204" s="273"/>
      <c r="B204" s="55"/>
      <c r="C204" s="55"/>
      <c r="D204" s="55"/>
      <c r="E204" s="55"/>
      <c r="F204" s="55"/>
      <c r="G204" s="55"/>
      <c r="H204" s="55"/>
      <c r="I204" s="55"/>
      <c r="J204" s="55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</row>
    <row r="205" ht="15.75" customHeight="1">
      <c r="A205" s="273"/>
      <c r="B205" s="55"/>
      <c r="C205" s="55"/>
      <c r="D205" s="55"/>
      <c r="E205" s="55"/>
      <c r="F205" s="55"/>
      <c r="G205" s="55"/>
      <c r="H205" s="55"/>
      <c r="I205" s="55"/>
      <c r="J205" s="55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</row>
    <row r="206" ht="15.75" customHeight="1">
      <c r="A206" s="273"/>
      <c r="B206" s="55"/>
      <c r="C206" s="55"/>
      <c r="D206" s="55"/>
      <c r="E206" s="55"/>
      <c r="F206" s="55"/>
      <c r="G206" s="55"/>
      <c r="H206" s="55"/>
      <c r="I206" s="55"/>
      <c r="J206" s="55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</row>
    <row r="207" ht="15.75" customHeight="1">
      <c r="A207" s="273"/>
      <c r="B207" s="55"/>
      <c r="C207" s="55"/>
      <c r="D207" s="55"/>
      <c r="E207" s="55"/>
      <c r="F207" s="55"/>
      <c r="G207" s="55"/>
      <c r="H207" s="55"/>
      <c r="I207" s="55"/>
      <c r="J207" s="55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</row>
    <row r="208" ht="15.75" customHeight="1">
      <c r="A208" s="273"/>
      <c r="B208" s="55"/>
      <c r="C208" s="55"/>
      <c r="D208" s="55"/>
      <c r="E208" s="55"/>
      <c r="F208" s="55"/>
      <c r="G208" s="55"/>
      <c r="H208" s="55"/>
      <c r="I208" s="55"/>
      <c r="J208" s="55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</row>
    <row r="209" ht="15.75" customHeight="1">
      <c r="A209" s="273"/>
      <c r="B209" s="55"/>
      <c r="C209" s="55"/>
      <c r="D209" s="55"/>
      <c r="E209" s="55"/>
      <c r="F209" s="55"/>
      <c r="G209" s="55"/>
      <c r="H209" s="55"/>
      <c r="I209" s="55"/>
      <c r="J209" s="55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</row>
    <row r="210" ht="15.75" customHeight="1">
      <c r="A210" s="273"/>
      <c r="B210" s="55"/>
      <c r="C210" s="55"/>
      <c r="D210" s="55"/>
      <c r="E210" s="55"/>
      <c r="F210" s="55"/>
      <c r="G210" s="55"/>
      <c r="H210" s="55"/>
      <c r="I210" s="55"/>
      <c r="J210" s="55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</row>
    <row r="211" ht="15.75" customHeight="1">
      <c r="A211" s="273"/>
      <c r="B211" s="55"/>
      <c r="C211" s="55"/>
      <c r="D211" s="55"/>
      <c r="E211" s="55"/>
      <c r="F211" s="55"/>
      <c r="G211" s="55"/>
      <c r="H211" s="55"/>
      <c r="I211" s="55"/>
      <c r="J211" s="55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</row>
    <row r="212" ht="15.75" customHeight="1">
      <c r="A212" s="273"/>
      <c r="B212" s="55"/>
      <c r="C212" s="55"/>
      <c r="D212" s="55"/>
      <c r="E212" s="55"/>
      <c r="F212" s="55"/>
      <c r="G212" s="55"/>
      <c r="H212" s="55"/>
      <c r="I212" s="55"/>
      <c r="J212" s="55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</row>
    <row r="213" ht="15.75" customHeight="1">
      <c r="A213" s="273"/>
      <c r="B213" s="55"/>
      <c r="C213" s="55"/>
      <c r="D213" s="55"/>
      <c r="E213" s="55"/>
      <c r="F213" s="55"/>
      <c r="G213" s="55"/>
      <c r="H213" s="55"/>
      <c r="I213" s="55"/>
      <c r="J213" s="55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</row>
    <row r="214" ht="15.75" customHeight="1">
      <c r="A214" s="273"/>
      <c r="B214" s="55"/>
      <c r="C214" s="55"/>
      <c r="D214" s="55"/>
      <c r="E214" s="55"/>
      <c r="F214" s="55"/>
      <c r="G214" s="55"/>
      <c r="H214" s="55"/>
      <c r="I214" s="55"/>
      <c r="J214" s="55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</row>
    <row r="215" ht="15.75" customHeight="1">
      <c r="A215" s="273"/>
      <c r="B215" s="55"/>
      <c r="C215" s="55"/>
      <c r="D215" s="55"/>
      <c r="E215" s="55"/>
      <c r="F215" s="55"/>
      <c r="G215" s="55"/>
      <c r="H215" s="55"/>
      <c r="I215" s="55"/>
      <c r="J215" s="55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</row>
    <row r="216" ht="15.75" customHeight="1">
      <c r="A216" s="273"/>
      <c r="B216" s="55"/>
      <c r="C216" s="55"/>
      <c r="D216" s="55"/>
      <c r="E216" s="55"/>
      <c r="F216" s="55"/>
      <c r="G216" s="55"/>
      <c r="H216" s="55"/>
      <c r="I216" s="55"/>
      <c r="J216" s="55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</row>
    <row r="217" ht="15.75" customHeight="1">
      <c r="A217" s="273"/>
      <c r="B217" s="55"/>
      <c r="C217" s="55"/>
      <c r="D217" s="55"/>
      <c r="E217" s="55"/>
      <c r="F217" s="55"/>
      <c r="G217" s="55"/>
      <c r="H217" s="55"/>
      <c r="I217" s="55"/>
      <c r="J217" s="55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</row>
    <row r="218" ht="15.75" customHeight="1">
      <c r="A218" s="273"/>
      <c r="B218" s="55"/>
      <c r="C218" s="55"/>
      <c r="D218" s="55"/>
      <c r="E218" s="55"/>
      <c r="F218" s="55"/>
      <c r="G218" s="55"/>
      <c r="H218" s="55"/>
      <c r="I218" s="55"/>
      <c r="J218" s="55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</row>
    <row r="219" ht="15.75" customHeight="1">
      <c r="A219" s="273"/>
      <c r="B219" s="55"/>
      <c r="C219" s="55"/>
      <c r="D219" s="55"/>
      <c r="E219" s="55"/>
      <c r="F219" s="55"/>
      <c r="G219" s="55"/>
      <c r="H219" s="55"/>
      <c r="I219" s="55"/>
      <c r="J219" s="55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</row>
    <row r="220" ht="15.75" customHeight="1">
      <c r="A220" s="273"/>
      <c r="B220" s="55"/>
      <c r="C220" s="55"/>
      <c r="D220" s="55"/>
      <c r="E220" s="55"/>
      <c r="F220" s="55"/>
      <c r="G220" s="55"/>
      <c r="H220" s="55"/>
      <c r="I220" s="55"/>
      <c r="J220" s="55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</row>
    <row r="221" ht="15.75" customHeight="1">
      <c r="A221" s="273"/>
      <c r="B221" s="55"/>
      <c r="C221" s="55"/>
      <c r="D221" s="55"/>
      <c r="E221" s="55"/>
      <c r="F221" s="55"/>
      <c r="G221" s="55"/>
      <c r="H221" s="55"/>
      <c r="I221" s="55"/>
      <c r="J221" s="55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</row>
    <row r="222" ht="15.75" customHeight="1">
      <c r="A222" s="273"/>
      <c r="B222" s="55"/>
      <c r="C222" s="55"/>
      <c r="D222" s="55"/>
      <c r="E222" s="55"/>
      <c r="F222" s="55"/>
      <c r="G222" s="55"/>
      <c r="H222" s="55"/>
      <c r="I222" s="55"/>
      <c r="J222" s="55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</row>
    <row r="223" ht="15.75" customHeight="1">
      <c r="A223" s="273"/>
      <c r="B223" s="55"/>
      <c r="C223" s="55"/>
      <c r="D223" s="55"/>
      <c r="E223" s="55"/>
      <c r="F223" s="55"/>
      <c r="G223" s="55"/>
      <c r="H223" s="55"/>
      <c r="I223" s="55"/>
      <c r="J223" s="55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</row>
    <row r="224" ht="15.75" customHeight="1">
      <c r="A224" s="273"/>
      <c r="B224" s="55"/>
      <c r="C224" s="55"/>
      <c r="D224" s="55"/>
      <c r="E224" s="55"/>
      <c r="F224" s="55"/>
      <c r="G224" s="55"/>
      <c r="H224" s="55"/>
      <c r="I224" s="55"/>
      <c r="J224" s="55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</row>
    <row r="225" ht="15.75" customHeight="1">
      <c r="A225" s="273"/>
      <c r="B225" s="55"/>
      <c r="C225" s="55"/>
      <c r="D225" s="55"/>
      <c r="E225" s="55"/>
      <c r="F225" s="55"/>
      <c r="G225" s="55"/>
      <c r="H225" s="55"/>
      <c r="I225" s="55"/>
      <c r="J225" s="55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</row>
    <row r="226" ht="15.75" customHeight="1">
      <c r="A226" s="273"/>
      <c r="B226" s="55"/>
      <c r="C226" s="55"/>
      <c r="D226" s="55"/>
      <c r="E226" s="55"/>
      <c r="F226" s="55"/>
      <c r="G226" s="55"/>
      <c r="H226" s="55"/>
      <c r="I226" s="55"/>
      <c r="J226" s="55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</row>
    <row r="227" ht="15.75" customHeight="1">
      <c r="A227" s="273"/>
      <c r="B227" s="55"/>
      <c r="C227" s="55"/>
      <c r="D227" s="55"/>
      <c r="E227" s="55"/>
      <c r="F227" s="55"/>
      <c r="G227" s="55"/>
      <c r="H227" s="55"/>
      <c r="I227" s="55"/>
      <c r="J227" s="55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</row>
    <row r="228" ht="15.75" customHeight="1">
      <c r="A228" s="273"/>
      <c r="B228" s="55"/>
      <c r="C228" s="55"/>
      <c r="D228" s="55"/>
      <c r="E228" s="55"/>
      <c r="F228" s="55"/>
      <c r="G228" s="55"/>
      <c r="H228" s="55"/>
      <c r="I228" s="55"/>
      <c r="J228" s="55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</row>
    <row r="229" ht="15.75" customHeight="1">
      <c r="A229" s="273"/>
      <c r="B229" s="55"/>
      <c r="C229" s="55"/>
      <c r="D229" s="55"/>
      <c r="E229" s="55"/>
      <c r="F229" s="55"/>
      <c r="G229" s="55"/>
      <c r="H229" s="55"/>
      <c r="I229" s="55"/>
      <c r="J229" s="55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</row>
    <row r="230" ht="15.75" customHeight="1">
      <c r="A230" s="273"/>
      <c r="B230" s="55"/>
      <c r="C230" s="55"/>
      <c r="D230" s="55"/>
      <c r="E230" s="55"/>
      <c r="F230" s="55"/>
      <c r="G230" s="55"/>
      <c r="H230" s="55"/>
      <c r="I230" s="55"/>
      <c r="J230" s="55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</row>
    <row r="231" ht="15.75" customHeight="1">
      <c r="A231" s="273"/>
      <c r="B231" s="55"/>
      <c r="C231" s="55"/>
      <c r="D231" s="55"/>
      <c r="E231" s="55"/>
      <c r="F231" s="55"/>
      <c r="G231" s="55"/>
      <c r="H231" s="55"/>
      <c r="I231" s="55"/>
      <c r="J231" s="55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</row>
    <row r="232" ht="15.75" customHeight="1">
      <c r="A232" s="273"/>
      <c r="B232" s="55"/>
      <c r="C232" s="55"/>
      <c r="D232" s="55"/>
      <c r="E232" s="55"/>
      <c r="F232" s="55"/>
      <c r="G232" s="55"/>
      <c r="H232" s="55"/>
      <c r="I232" s="55"/>
      <c r="J232" s="55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</row>
    <row r="233" ht="15.75" customHeight="1">
      <c r="A233" s="273"/>
      <c r="B233" s="55"/>
      <c r="C233" s="55"/>
      <c r="D233" s="55"/>
      <c r="E233" s="55"/>
      <c r="F233" s="55"/>
      <c r="G233" s="55"/>
      <c r="H233" s="55"/>
      <c r="I233" s="55"/>
      <c r="J233" s="55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</row>
    <row r="234" ht="15.75" customHeight="1">
      <c r="A234" s="273"/>
      <c r="B234" s="55"/>
      <c r="C234" s="55"/>
      <c r="D234" s="55"/>
      <c r="E234" s="55"/>
      <c r="F234" s="55"/>
      <c r="G234" s="55"/>
      <c r="H234" s="55"/>
      <c r="I234" s="55"/>
      <c r="J234" s="55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</row>
    <row r="235" ht="15.75" customHeight="1">
      <c r="A235" s="273"/>
      <c r="B235" s="55"/>
      <c r="C235" s="55"/>
      <c r="D235" s="55"/>
      <c r="E235" s="55"/>
      <c r="F235" s="55"/>
      <c r="G235" s="55"/>
      <c r="H235" s="55"/>
      <c r="I235" s="55"/>
      <c r="J235" s="55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</row>
    <row r="236" ht="15.75" customHeight="1">
      <c r="A236" s="273"/>
      <c r="B236" s="55"/>
      <c r="C236" s="55"/>
      <c r="D236" s="55"/>
      <c r="E236" s="55"/>
      <c r="F236" s="55"/>
      <c r="G236" s="55"/>
      <c r="H236" s="55"/>
      <c r="I236" s="55"/>
      <c r="J236" s="55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</row>
    <row r="237" ht="15.75" customHeight="1">
      <c r="A237" s="273"/>
      <c r="B237" s="55"/>
      <c r="C237" s="55"/>
      <c r="D237" s="55"/>
      <c r="E237" s="55"/>
      <c r="F237" s="55"/>
      <c r="G237" s="55"/>
      <c r="H237" s="55"/>
      <c r="I237" s="55"/>
      <c r="J237" s="55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  <c r="Z237" s="273"/>
    </row>
    <row r="238" ht="15.75" customHeight="1">
      <c r="A238" s="273"/>
      <c r="B238" s="55"/>
      <c r="C238" s="55"/>
      <c r="D238" s="55"/>
      <c r="E238" s="55"/>
      <c r="F238" s="55"/>
      <c r="G238" s="55"/>
      <c r="H238" s="55"/>
      <c r="I238" s="55"/>
      <c r="J238" s="55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</row>
    <row r="239" ht="15.75" customHeight="1">
      <c r="A239" s="273"/>
      <c r="B239" s="55"/>
      <c r="C239" s="55"/>
      <c r="D239" s="55"/>
      <c r="E239" s="55"/>
      <c r="F239" s="55"/>
      <c r="G239" s="55"/>
      <c r="H239" s="55"/>
      <c r="I239" s="55"/>
      <c r="J239" s="55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  <c r="Z239" s="273"/>
    </row>
    <row r="240" ht="15.75" customHeight="1">
      <c r="A240" s="273"/>
      <c r="B240" s="55"/>
      <c r="C240" s="55"/>
      <c r="D240" s="55"/>
      <c r="E240" s="55"/>
      <c r="F240" s="55"/>
      <c r="G240" s="55"/>
      <c r="H240" s="55"/>
      <c r="I240" s="55"/>
      <c r="J240" s="55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  <c r="Z240" s="273"/>
    </row>
    <row r="241" ht="15.75" customHeight="1">
      <c r="A241" s="273"/>
      <c r="B241" s="55"/>
      <c r="C241" s="55"/>
      <c r="D241" s="55"/>
      <c r="E241" s="55"/>
      <c r="F241" s="55"/>
      <c r="G241" s="55"/>
      <c r="H241" s="55"/>
      <c r="I241" s="55"/>
      <c r="J241" s="55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  <c r="Z241" s="273"/>
    </row>
    <row r="242" ht="15.75" customHeight="1">
      <c r="A242" s="273"/>
      <c r="B242" s="55"/>
      <c r="C242" s="55"/>
      <c r="D242" s="55"/>
      <c r="E242" s="55"/>
      <c r="F242" s="55"/>
      <c r="G242" s="55"/>
      <c r="H242" s="55"/>
      <c r="I242" s="55"/>
      <c r="J242" s="55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</row>
    <row r="243" ht="15.75" customHeight="1">
      <c r="A243" s="273"/>
      <c r="B243" s="55"/>
      <c r="C243" s="55"/>
      <c r="D243" s="55"/>
      <c r="E243" s="55"/>
      <c r="F243" s="55"/>
      <c r="G243" s="55"/>
      <c r="H243" s="55"/>
      <c r="I243" s="55"/>
      <c r="J243" s="55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  <c r="Z243" s="273"/>
    </row>
    <row r="244" ht="15.75" customHeight="1">
      <c r="A244" s="273"/>
      <c r="B244" s="55"/>
      <c r="C244" s="55"/>
      <c r="D244" s="55"/>
      <c r="E244" s="55"/>
      <c r="F244" s="55"/>
      <c r="G244" s="55"/>
      <c r="H244" s="55"/>
      <c r="I244" s="55"/>
      <c r="J244" s="55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  <c r="Z244" s="273"/>
    </row>
    <row r="245" ht="15.75" customHeight="1">
      <c r="A245" s="273"/>
      <c r="B245" s="55"/>
      <c r="C245" s="55"/>
      <c r="D245" s="55"/>
      <c r="E245" s="55"/>
      <c r="F245" s="55"/>
      <c r="G245" s="55"/>
      <c r="H245" s="55"/>
      <c r="I245" s="55"/>
      <c r="J245" s="55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  <c r="Z245" s="273"/>
    </row>
    <row r="246" ht="15.75" customHeight="1">
      <c r="A246" s="273"/>
      <c r="B246" s="55"/>
      <c r="C246" s="55"/>
      <c r="D246" s="55"/>
      <c r="E246" s="55"/>
      <c r="F246" s="55"/>
      <c r="G246" s="55"/>
      <c r="H246" s="55"/>
      <c r="I246" s="55"/>
      <c r="J246" s="55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  <c r="Z246" s="273"/>
    </row>
    <row r="247" ht="15.75" customHeight="1">
      <c r="A247" s="273"/>
      <c r="B247" s="55"/>
      <c r="C247" s="55"/>
      <c r="D247" s="55"/>
      <c r="E247" s="55"/>
      <c r="F247" s="55"/>
      <c r="G247" s="55"/>
      <c r="H247" s="55"/>
      <c r="I247" s="55"/>
      <c r="J247" s="55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  <c r="Z247" s="273"/>
    </row>
    <row r="248" ht="15.75" customHeight="1">
      <c r="A248" s="273"/>
      <c r="B248" s="55"/>
      <c r="C248" s="55"/>
      <c r="D248" s="55"/>
      <c r="E248" s="55"/>
      <c r="F248" s="55"/>
      <c r="G248" s="55"/>
      <c r="H248" s="55"/>
      <c r="I248" s="55"/>
      <c r="J248" s="55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  <c r="Z248" s="273"/>
    </row>
    <row r="249" ht="15.75" customHeight="1">
      <c r="A249" s="273"/>
      <c r="B249" s="55"/>
      <c r="C249" s="55"/>
      <c r="D249" s="55"/>
      <c r="E249" s="55"/>
      <c r="F249" s="55"/>
      <c r="G249" s="55"/>
      <c r="H249" s="55"/>
      <c r="I249" s="55"/>
      <c r="J249" s="55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  <c r="Z249" s="273"/>
    </row>
    <row r="250" ht="15.75" customHeight="1">
      <c r="A250" s="273"/>
      <c r="B250" s="55"/>
      <c r="C250" s="55"/>
      <c r="D250" s="55"/>
      <c r="E250" s="55"/>
      <c r="F250" s="55"/>
      <c r="G250" s="55"/>
      <c r="H250" s="55"/>
      <c r="I250" s="55"/>
      <c r="J250" s="55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  <c r="Z250" s="273"/>
    </row>
    <row r="251" ht="15.75" customHeight="1">
      <c r="A251" s="273"/>
      <c r="B251" s="55"/>
      <c r="C251" s="55"/>
      <c r="D251" s="55"/>
      <c r="E251" s="55"/>
      <c r="F251" s="55"/>
      <c r="G251" s="55"/>
      <c r="H251" s="55"/>
      <c r="I251" s="55"/>
      <c r="J251" s="55"/>
      <c r="K251" s="273"/>
      <c r="L251" s="273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3"/>
      <c r="Y251" s="273"/>
      <c r="Z251" s="273"/>
    </row>
    <row r="252" ht="15.75" customHeight="1">
      <c r="A252" s="273"/>
      <c r="B252" s="55"/>
      <c r="C252" s="55"/>
      <c r="D252" s="55"/>
      <c r="E252" s="55"/>
      <c r="F252" s="55"/>
      <c r="G252" s="55"/>
      <c r="H252" s="55"/>
      <c r="I252" s="55"/>
      <c r="J252" s="55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  <c r="Z252" s="273"/>
    </row>
    <row r="253" ht="15.75" customHeight="1">
      <c r="A253" s="273"/>
      <c r="B253" s="55"/>
      <c r="C253" s="55"/>
      <c r="D253" s="55"/>
      <c r="E253" s="55"/>
      <c r="F253" s="55"/>
      <c r="G253" s="55"/>
      <c r="H253" s="55"/>
      <c r="I253" s="55"/>
      <c r="J253" s="55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3"/>
      <c r="Y253" s="273"/>
      <c r="Z253" s="273"/>
    </row>
    <row r="254" ht="15.75" customHeight="1">
      <c r="A254" s="273"/>
      <c r="B254" s="55"/>
      <c r="C254" s="55"/>
      <c r="D254" s="55"/>
      <c r="E254" s="55"/>
      <c r="F254" s="55"/>
      <c r="G254" s="55"/>
      <c r="H254" s="55"/>
      <c r="I254" s="55"/>
      <c r="J254" s="55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  <c r="Z254" s="273"/>
    </row>
    <row r="255" ht="15.75" customHeight="1">
      <c r="A255" s="273"/>
      <c r="B255" s="55"/>
      <c r="C255" s="55"/>
      <c r="D255" s="55"/>
      <c r="E255" s="55"/>
      <c r="F255" s="55"/>
      <c r="G255" s="55"/>
      <c r="H255" s="55"/>
      <c r="I255" s="55"/>
      <c r="J255" s="55"/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3"/>
      <c r="Y255" s="273"/>
      <c r="Z255" s="273"/>
    </row>
    <row r="256" ht="15.75" customHeight="1">
      <c r="A256" s="273"/>
      <c r="B256" s="55"/>
      <c r="C256" s="55"/>
      <c r="D256" s="55"/>
      <c r="E256" s="55"/>
      <c r="F256" s="55"/>
      <c r="G256" s="55"/>
      <c r="H256" s="55"/>
      <c r="I256" s="55"/>
      <c r="J256" s="55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  <c r="Z256" s="273"/>
    </row>
    <row r="257" ht="15.75" customHeight="1">
      <c r="A257" s="273"/>
      <c r="B257" s="55"/>
      <c r="C257" s="55"/>
      <c r="D257" s="55"/>
      <c r="E257" s="55"/>
      <c r="F257" s="55"/>
      <c r="G257" s="55"/>
      <c r="H257" s="55"/>
      <c r="I257" s="55"/>
      <c r="J257" s="55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  <c r="Z257" s="273"/>
    </row>
    <row r="258" ht="15.75" customHeight="1">
      <c r="A258" s="273"/>
      <c r="B258" s="55"/>
      <c r="C258" s="55"/>
      <c r="D258" s="55"/>
      <c r="E258" s="55"/>
      <c r="F258" s="55"/>
      <c r="G258" s="55"/>
      <c r="H258" s="55"/>
      <c r="I258" s="55"/>
      <c r="J258" s="55"/>
      <c r="K258" s="273"/>
      <c r="L258" s="273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3"/>
      <c r="Y258" s="273"/>
      <c r="Z258" s="273"/>
    </row>
    <row r="259" ht="15.75" customHeight="1">
      <c r="A259" s="273"/>
      <c r="B259" s="55"/>
      <c r="C259" s="55"/>
      <c r="D259" s="55"/>
      <c r="E259" s="55"/>
      <c r="F259" s="55"/>
      <c r="G259" s="55"/>
      <c r="H259" s="55"/>
      <c r="I259" s="55"/>
      <c r="J259" s="55"/>
      <c r="K259" s="273"/>
      <c r="L259" s="273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3"/>
      <c r="Y259" s="273"/>
      <c r="Z259" s="273"/>
    </row>
    <row r="260" ht="15.75" customHeight="1">
      <c r="A260" s="273"/>
      <c r="B260" s="55"/>
      <c r="C260" s="55"/>
      <c r="D260" s="55"/>
      <c r="E260" s="55"/>
      <c r="F260" s="55"/>
      <c r="G260" s="55"/>
      <c r="H260" s="55"/>
      <c r="I260" s="55"/>
      <c r="J260" s="55"/>
      <c r="K260" s="273"/>
      <c r="L260" s="273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3"/>
      <c r="Y260" s="273"/>
      <c r="Z260" s="273"/>
    </row>
    <row r="261" ht="15.75" customHeight="1">
      <c r="A261" s="273"/>
      <c r="B261" s="55"/>
      <c r="C261" s="55"/>
      <c r="D261" s="55"/>
      <c r="E261" s="55"/>
      <c r="F261" s="55"/>
      <c r="G261" s="55"/>
      <c r="H261" s="55"/>
      <c r="I261" s="55"/>
      <c r="J261" s="55"/>
      <c r="K261" s="273"/>
      <c r="L261" s="273"/>
      <c r="M261" s="273"/>
      <c r="N261" s="273"/>
      <c r="O261" s="273"/>
      <c r="P261" s="273"/>
      <c r="Q261" s="273"/>
      <c r="R261" s="273"/>
      <c r="S261" s="273"/>
      <c r="T261" s="273"/>
      <c r="U261" s="273"/>
      <c r="V261" s="273"/>
      <c r="W261" s="273"/>
      <c r="X261" s="273"/>
      <c r="Y261" s="273"/>
      <c r="Z261" s="273"/>
    </row>
    <row r="262" ht="15.75" customHeight="1">
      <c r="A262" s="273"/>
      <c r="B262" s="55"/>
      <c r="C262" s="55"/>
      <c r="D262" s="55"/>
      <c r="E262" s="55"/>
      <c r="F262" s="55"/>
      <c r="G262" s="55"/>
      <c r="H262" s="55"/>
      <c r="I262" s="55"/>
      <c r="J262" s="55"/>
      <c r="K262" s="273"/>
      <c r="L262" s="273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3"/>
      <c r="Y262" s="273"/>
      <c r="Z262" s="273"/>
    </row>
    <row r="263" ht="15.75" customHeight="1">
      <c r="A263" s="273"/>
      <c r="B263" s="55"/>
      <c r="C263" s="55"/>
      <c r="D263" s="55"/>
      <c r="E263" s="55"/>
      <c r="F263" s="55"/>
      <c r="G263" s="55"/>
      <c r="H263" s="55"/>
      <c r="I263" s="55"/>
      <c r="J263" s="55"/>
      <c r="K263" s="273"/>
      <c r="L263" s="273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3"/>
      <c r="Y263" s="273"/>
      <c r="Z263" s="273"/>
    </row>
    <row r="264" ht="15.75" customHeight="1">
      <c r="A264" s="273"/>
      <c r="B264" s="55"/>
      <c r="C264" s="55"/>
      <c r="D264" s="55"/>
      <c r="E264" s="55"/>
      <c r="F264" s="55"/>
      <c r="G264" s="55"/>
      <c r="H264" s="55"/>
      <c r="I264" s="55"/>
      <c r="J264" s="55"/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3"/>
      <c r="Y264" s="273"/>
      <c r="Z264" s="273"/>
    </row>
    <row r="265" ht="15.75" customHeight="1">
      <c r="A265" s="273"/>
      <c r="B265" s="55"/>
      <c r="C265" s="55"/>
      <c r="D265" s="55"/>
      <c r="E265" s="55"/>
      <c r="F265" s="55"/>
      <c r="G265" s="55"/>
      <c r="H265" s="55"/>
      <c r="I265" s="55"/>
      <c r="J265" s="55"/>
      <c r="K265" s="273"/>
      <c r="L265" s="273"/>
      <c r="M265" s="273"/>
      <c r="N265" s="273"/>
      <c r="O265" s="273"/>
      <c r="P265" s="273"/>
      <c r="Q265" s="273"/>
      <c r="R265" s="273"/>
      <c r="S265" s="273"/>
      <c r="T265" s="273"/>
      <c r="U265" s="273"/>
      <c r="V265" s="273"/>
      <c r="W265" s="273"/>
      <c r="X265" s="273"/>
      <c r="Y265" s="273"/>
      <c r="Z265" s="273"/>
    </row>
    <row r="266" ht="15.75" customHeight="1">
      <c r="A266" s="273"/>
      <c r="B266" s="55"/>
      <c r="C266" s="55"/>
      <c r="D266" s="55"/>
      <c r="E266" s="55"/>
      <c r="F266" s="55"/>
      <c r="G266" s="55"/>
      <c r="H266" s="55"/>
      <c r="I266" s="55"/>
      <c r="J266" s="55"/>
      <c r="K266" s="273"/>
      <c r="L266" s="273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  <c r="Z266" s="273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D41:D42"/>
    <mergeCell ref="C43:E43"/>
    <mergeCell ref="B38:B42"/>
    <mergeCell ref="C38:C40"/>
    <mergeCell ref="G38:G42"/>
    <mergeCell ref="H38:H40"/>
    <mergeCell ref="C41:C42"/>
    <mergeCell ref="H41:H42"/>
    <mergeCell ref="I41:I42"/>
    <mergeCell ref="G47:G50"/>
    <mergeCell ref="H47:J50"/>
    <mergeCell ref="H43:J43"/>
    <mergeCell ref="H44:J44"/>
    <mergeCell ref="C45:E45"/>
    <mergeCell ref="H45:J45"/>
    <mergeCell ref="C46:E46"/>
    <mergeCell ref="H46:J46"/>
    <mergeCell ref="C47:E50"/>
    <mergeCell ref="H56:H57"/>
    <mergeCell ref="I56:I57"/>
    <mergeCell ref="H58:J58"/>
    <mergeCell ref="H60:J6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H53:H55"/>
    <mergeCell ref="C56:C57"/>
    <mergeCell ref="D56:D57"/>
    <mergeCell ref="H8:H10"/>
    <mergeCell ref="H11:H12"/>
    <mergeCell ref="H13:J13"/>
    <mergeCell ref="H15:J15"/>
    <mergeCell ref="H16:J16"/>
    <mergeCell ref="H17:J20"/>
    <mergeCell ref="H21:J21"/>
    <mergeCell ref="H23:H25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5:E15"/>
    <mergeCell ref="C16:E16"/>
    <mergeCell ref="C17:E20"/>
    <mergeCell ref="G17:G20"/>
    <mergeCell ref="C21:E21"/>
    <mergeCell ref="C30:E30"/>
    <mergeCell ref="C31:E31"/>
    <mergeCell ref="C32:E35"/>
    <mergeCell ref="G32:G35"/>
    <mergeCell ref="H32:J35"/>
    <mergeCell ref="C36:E36"/>
    <mergeCell ref="H36:J36"/>
    <mergeCell ref="G23:G27"/>
    <mergeCell ref="D26:D27"/>
    <mergeCell ref="H26:H27"/>
    <mergeCell ref="I26:I27"/>
    <mergeCell ref="C28:E28"/>
    <mergeCell ref="H28:J28"/>
    <mergeCell ref="H30:J30"/>
    <mergeCell ref="H31:J31"/>
    <mergeCell ref="C51:E51"/>
    <mergeCell ref="H51:J51"/>
    <mergeCell ref="C8:C10"/>
    <mergeCell ref="C11:C12"/>
    <mergeCell ref="B17:B20"/>
    <mergeCell ref="B23:B27"/>
    <mergeCell ref="C23:C25"/>
    <mergeCell ref="C26:C27"/>
    <mergeCell ref="B32:B35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31.29"/>
    <col customWidth="1" min="3" max="3" width="21.71"/>
    <col customWidth="1" min="4" max="4" width="15.71"/>
    <col customWidth="1" min="5" max="5" width="19.71"/>
    <col customWidth="1" min="6" max="6" width="15.71"/>
    <col customWidth="1" min="7" max="7" width="19.57"/>
    <col customWidth="1" min="8" max="8" width="17.29"/>
    <col customWidth="1" min="9" max="9" width="15.71"/>
    <col customWidth="1" min="10" max="10" width="18.57"/>
    <col customWidth="1" min="11" max="11" width="27.43"/>
    <col customWidth="1" min="12" max="23" width="11.43"/>
  </cols>
  <sheetData>
    <row r="1" ht="24.75" customHeight="1">
      <c r="A1" s="275"/>
      <c r="B1" s="380"/>
      <c r="C1" s="3"/>
      <c r="D1" s="380" t="s">
        <v>0</v>
      </c>
      <c r="E1" s="2"/>
      <c r="F1" s="2"/>
      <c r="G1" s="2"/>
      <c r="H1" s="2"/>
      <c r="I1" s="3"/>
      <c r="J1" s="381" t="s">
        <v>1</v>
      </c>
      <c r="K1" s="381" t="s">
        <v>420</v>
      </c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3"/>
      <c r="Y1" s="273"/>
      <c r="Z1" s="273"/>
    </row>
    <row r="2" ht="24.75" customHeight="1">
      <c r="A2" s="275"/>
      <c r="B2" s="8"/>
      <c r="C2" s="9"/>
      <c r="D2" s="8"/>
      <c r="I2" s="9"/>
      <c r="J2" s="381" t="s">
        <v>3</v>
      </c>
      <c r="K2" s="382">
        <v>1.0</v>
      </c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3"/>
      <c r="Y2" s="273"/>
      <c r="Z2" s="273"/>
    </row>
    <row r="3" ht="24.75" customHeight="1">
      <c r="A3" s="275"/>
      <c r="B3" s="8"/>
      <c r="C3" s="9"/>
      <c r="D3" s="10"/>
      <c r="E3" s="11"/>
      <c r="F3" s="11"/>
      <c r="G3" s="11"/>
      <c r="H3" s="11"/>
      <c r="I3" s="12"/>
      <c r="J3" s="381" t="s">
        <v>5</v>
      </c>
      <c r="K3" s="381" t="s">
        <v>6</v>
      </c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3"/>
      <c r="Y3" s="273"/>
      <c r="Z3" s="273"/>
    </row>
    <row r="4" ht="15.75" customHeight="1">
      <c r="A4" s="273"/>
      <c r="B4" s="8"/>
      <c r="C4" s="9"/>
      <c r="D4" s="380" t="s">
        <v>421</v>
      </c>
      <c r="E4" s="2"/>
      <c r="F4" s="2"/>
      <c r="G4" s="2"/>
      <c r="H4" s="2"/>
      <c r="I4" s="3"/>
      <c r="J4" s="389" t="s">
        <v>7</v>
      </c>
      <c r="K4" s="381" t="s">
        <v>205</v>
      </c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</row>
    <row r="5" ht="24.75" customHeight="1">
      <c r="A5" s="273"/>
      <c r="B5" s="10"/>
      <c r="C5" s="12"/>
      <c r="D5" s="10"/>
      <c r="E5" s="11"/>
      <c r="F5" s="11"/>
      <c r="G5" s="11"/>
      <c r="H5" s="11"/>
      <c r="I5" s="12"/>
      <c r="J5" s="277"/>
      <c r="K5" s="383" t="s">
        <v>206</v>
      </c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</row>
    <row r="6" ht="24.75" customHeight="1">
      <c r="A6" s="273"/>
      <c r="B6" s="38"/>
      <c r="C6" s="354"/>
      <c r="D6" s="354"/>
      <c r="E6" s="354"/>
      <c r="F6" s="354"/>
      <c r="G6" s="354"/>
      <c r="H6" s="354"/>
      <c r="I6" s="354"/>
      <c r="J6" s="354"/>
      <c r="K6" s="471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</row>
    <row r="7" ht="24.75" customHeight="1">
      <c r="A7" s="273"/>
      <c r="B7" s="54"/>
      <c r="C7" s="55"/>
      <c r="D7" s="55"/>
      <c r="E7" s="55"/>
      <c r="F7" s="55"/>
      <c r="G7" s="55"/>
      <c r="H7" s="55"/>
      <c r="I7" s="55"/>
      <c r="J7" s="55"/>
      <c r="K7" s="472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</row>
    <row r="8" ht="57.0" customHeight="1">
      <c r="A8" s="273"/>
      <c r="B8" s="473" t="s">
        <v>422</v>
      </c>
      <c r="C8" s="25" t="str">
        <f>'INSPECCIÓN ETIQUETAS'!C8</f>
        <v>SUERO DE NIACINAMIDA 5%</v>
      </c>
      <c r="D8" s="24"/>
      <c r="E8" s="24"/>
      <c r="F8" s="66"/>
      <c r="G8" s="473" t="s">
        <v>423</v>
      </c>
      <c r="H8" s="25" t="str">
        <f>'LISTA CHEQUEO'!F10</f>
        <v>ANIMUS LAB</v>
      </c>
      <c r="I8" s="24"/>
      <c r="J8" s="24"/>
      <c r="K8" s="5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</row>
    <row r="9" ht="45.0" customHeight="1">
      <c r="A9" s="273"/>
      <c r="B9" s="473" t="s">
        <v>21</v>
      </c>
      <c r="C9" s="399" t="str">
        <f>'INSPECCIÓN ETIQUETAS'!H8</f>
        <v>NSOC33886-24CO</v>
      </c>
      <c r="D9" s="5"/>
      <c r="E9" s="473" t="s">
        <v>352</v>
      </c>
      <c r="F9" s="399" t="str">
        <f>'INSPECCIÓN ETIQUETAS'!C9</f>
        <v>OP-L-099</v>
      </c>
      <c r="G9" s="5"/>
      <c r="H9" s="480" t="s">
        <v>351</v>
      </c>
      <c r="I9" s="5"/>
      <c r="J9" s="398" t="str">
        <f>'INSPECCIÓN ETIQUETAS'!C10</f>
        <v>252111</v>
      </c>
      <c r="K9" s="5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</row>
    <row r="10" ht="57.0" customHeight="1">
      <c r="A10" s="273"/>
      <c r="B10" s="473" t="s">
        <v>424</v>
      </c>
      <c r="C10" s="524"/>
      <c r="D10" s="5"/>
      <c r="E10" s="473" t="s">
        <v>425</v>
      </c>
      <c r="F10" s="525"/>
      <c r="G10" s="5"/>
      <c r="H10" s="480" t="s">
        <v>426</v>
      </c>
      <c r="I10" s="5"/>
      <c r="J10" s="526"/>
      <c r="K10" s="5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</row>
    <row r="11" ht="71.25" customHeight="1">
      <c r="A11" s="273"/>
      <c r="B11" s="473" t="s">
        <v>427</v>
      </c>
      <c r="C11" s="524"/>
      <c r="D11" s="5"/>
      <c r="E11" s="473" t="s">
        <v>428</v>
      </c>
      <c r="F11" s="525"/>
      <c r="G11" s="5"/>
      <c r="H11" s="480" t="s">
        <v>429</v>
      </c>
      <c r="I11" s="5"/>
      <c r="J11" s="526"/>
      <c r="K11" s="5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</row>
    <row r="12" ht="33.75" customHeight="1">
      <c r="A12" s="273"/>
      <c r="B12" s="477"/>
      <c r="C12" s="478"/>
      <c r="D12" s="478"/>
      <c r="E12" s="478"/>
      <c r="F12" s="478"/>
      <c r="G12" s="478"/>
      <c r="H12" s="478"/>
      <c r="I12" s="478"/>
      <c r="J12" s="478"/>
      <c r="K12" s="479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</row>
    <row r="13" ht="37.5" customHeight="1">
      <c r="A13" s="273"/>
      <c r="B13" s="480" t="s">
        <v>27</v>
      </c>
      <c r="C13" s="24"/>
      <c r="D13" s="24"/>
      <c r="E13" s="24"/>
      <c r="F13" s="24"/>
      <c r="G13" s="24"/>
      <c r="H13" s="24"/>
      <c r="I13" s="24"/>
      <c r="J13" s="24"/>
      <c r="K13" s="5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</row>
    <row r="14" ht="42.0" customHeight="1">
      <c r="A14" s="273"/>
      <c r="B14" s="473" t="s">
        <v>69</v>
      </c>
      <c r="C14" s="480" t="s">
        <v>430</v>
      </c>
      <c r="D14" s="24"/>
      <c r="E14" s="24"/>
      <c r="F14" s="24"/>
      <c r="G14" s="5"/>
      <c r="H14" s="480" t="s">
        <v>30</v>
      </c>
      <c r="I14" s="5"/>
      <c r="J14" s="480" t="s">
        <v>31</v>
      </c>
      <c r="K14" s="5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</row>
    <row r="15" ht="48.0" customHeight="1">
      <c r="A15" s="273"/>
      <c r="B15" s="473" t="s">
        <v>324</v>
      </c>
      <c r="C15" s="481" t="s">
        <v>431</v>
      </c>
      <c r="D15" s="24"/>
      <c r="E15" s="24"/>
      <c r="F15" s="24"/>
      <c r="G15" s="5"/>
      <c r="H15" s="392"/>
      <c r="I15" s="5"/>
      <c r="J15" s="482"/>
      <c r="K15" s="5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</row>
    <row r="16" ht="51.75" customHeight="1">
      <c r="A16" s="273"/>
      <c r="B16" s="391" t="s">
        <v>432</v>
      </c>
      <c r="C16" s="481" t="s">
        <v>433</v>
      </c>
      <c r="D16" s="24"/>
      <c r="E16" s="24"/>
      <c r="F16" s="24"/>
      <c r="G16" s="5"/>
      <c r="H16" s="392"/>
      <c r="I16" s="5"/>
      <c r="J16" s="482"/>
      <c r="K16" s="485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</row>
    <row r="17" ht="63.75" customHeight="1">
      <c r="A17" s="273"/>
      <c r="B17" s="391" t="s">
        <v>434</v>
      </c>
      <c r="C17" s="481" t="s">
        <v>435</v>
      </c>
      <c r="D17" s="24"/>
      <c r="E17" s="24"/>
      <c r="F17" s="24"/>
      <c r="G17" s="5"/>
      <c r="H17" s="392"/>
      <c r="I17" s="5"/>
      <c r="J17" s="482"/>
      <c r="K17" s="485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</row>
    <row r="18" ht="50.25" customHeight="1">
      <c r="A18" s="273"/>
      <c r="B18" s="391" t="s">
        <v>436</v>
      </c>
      <c r="C18" s="481" t="s">
        <v>437</v>
      </c>
      <c r="D18" s="24"/>
      <c r="E18" s="24"/>
      <c r="F18" s="24"/>
      <c r="G18" s="5"/>
      <c r="H18" s="392"/>
      <c r="I18" s="5"/>
      <c r="J18" s="482"/>
      <c r="K18" s="485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</row>
    <row r="19" ht="60.0" customHeight="1">
      <c r="A19" s="273"/>
      <c r="B19" s="391" t="s">
        <v>438</v>
      </c>
      <c r="C19" s="481" t="s">
        <v>439</v>
      </c>
      <c r="D19" s="24"/>
      <c r="E19" s="24"/>
      <c r="F19" s="24"/>
      <c r="G19" s="5"/>
      <c r="H19" s="392"/>
      <c r="I19" s="5"/>
      <c r="J19" s="482"/>
      <c r="K19" s="485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</row>
    <row r="20" ht="54.0" customHeight="1">
      <c r="A20" s="273"/>
      <c r="B20" s="527" t="s">
        <v>440</v>
      </c>
      <c r="C20" s="481" t="s">
        <v>441</v>
      </c>
      <c r="D20" s="24"/>
      <c r="E20" s="24"/>
      <c r="F20" s="24"/>
      <c r="G20" s="5"/>
      <c r="H20" s="392"/>
      <c r="I20" s="5"/>
      <c r="J20" s="482"/>
      <c r="K20" s="5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</row>
    <row r="21" ht="45.75" customHeight="1">
      <c r="A21" s="273"/>
      <c r="B21" s="483" t="s">
        <v>442</v>
      </c>
      <c r="C21" s="481" t="s">
        <v>443</v>
      </c>
      <c r="D21" s="24"/>
      <c r="E21" s="24"/>
      <c r="F21" s="24"/>
      <c r="G21" s="5"/>
      <c r="H21" s="392"/>
      <c r="I21" s="5"/>
      <c r="J21" s="482"/>
      <c r="K21" s="5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273"/>
    </row>
    <row r="22" ht="51.0" customHeight="1">
      <c r="A22" s="273"/>
      <c r="B22" s="483" t="s">
        <v>444</v>
      </c>
      <c r="C22" s="481" t="s">
        <v>445</v>
      </c>
      <c r="D22" s="24"/>
      <c r="E22" s="24"/>
      <c r="F22" s="24"/>
      <c r="G22" s="5"/>
      <c r="H22" s="392"/>
      <c r="I22" s="5"/>
      <c r="J22" s="482"/>
      <c r="K22" s="5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</row>
    <row r="23" ht="54.0" customHeight="1">
      <c r="A23" s="273"/>
      <c r="B23" s="483" t="s">
        <v>446</v>
      </c>
      <c r="C23" s="481" t="s">
        <v>447</v>
      </c>
      <c r="D23" s="24"/>
      <c r="E23" s="24"/>
      <c r="F23" s="24"/>
      <c r="G23" s="5"/>
      <c r="H23" s="392"/>
      <c r="I23" s="5"/>
      <c r="J23" s="482"/>
      <c r="K23" s="5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</row>
    <row r="24" ht="54.0" customHeight="1">
      <c r="A24" s="273"/>
      <c r="B24" s="483" t="s">
        <v>448</v>
      </c>
      <c r="C24" s="481" t="s">
        <v>449</v>
      </c>
      <c r="D24" s="24"/>
      <c r="E24" s="24"/>
      <c r="F24" s="24"/>
      <c r="G24" s="5"/>
      <c r="H24" s="392"/>
      <c r="I24" s="5"/>
      <c r="J24" s="482"/>
      <c r="K24" s="5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</row>
    <row r="25" ht="54.0" customHeight="1">
      <c r="A25" s="273"/>
      <c r="B25" s="528" t="s">
        <v>450</v>
      </c>
      <c r="C25" s="396" t="s">
        <v>451</v>
      </c>
      <c r="D25" s="24"/>
      <c r="E25" s="24"/>
      <c r="F25" s="24"/>
      <c r="G25" s="5"/>
      <c r="H25" s="392"/>
      <c r="I25" s="5"/>
      <c r="J25" s="482"/>
      <c r="K25" s="5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</row>
    <row r="26" ht="49.5" customHeight="1">
      <c r="A26" s="273"/>
      <c r="B26" s="483" t="s">
        <v>452</v>
      </c>
      <c r="C26" s="396" t="s">
        <v>453</v>
      </c>
      <c r="D26" s="24"/>
      <c r="E26" s="24"/>
      <c r="F26" s="24"/>
      <c r="G26" s="5"/>
      <c r="H26" s="392"/>
      <c r="I26" s="5"/>
      <c r="J26" s="482"/>
      <c r="K26" s="5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</row>
    <row r="27" ht="72.75" customHeight="1">
      <c r="A27" s="273"/>
      <c r="B27" s="483" t="s">
        <v>436</v>
      </c>
      <c r="C27" s="396" t="s">
        <v>454</v>
      </c>
      <c r="D27" s="24"/>
      <c r="E27" s="24"/>
      <c r="F27" s="24"/>
      <c r="G27" s="5"/>
      <c r="H27" s="392"/>
      <c r="I27" s="5"/>
      <c r="J27" s="482"/>
      <c r="K27" s="485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</row>
    <row r="28" ht="55.5" customHeight="1">
      <c r="A28" s="273"/>
      <c r="B28" s="483" t="s">
        <v>455</v>
      </c>
      <c r="C28" s="396" t="s">
        <v>456</v>
      </c>
      <c r="D28" s="24"/>
      <c r="E28" s="24"/>
      <c r="F28" s="24"/>
      <c r="G28" s="5"/>
      <c r="H28" s="392"/>
      <c r="I28" s="5"/>
      <c r="J28" s="482"/>
      <c r="K28" s="5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</row>
    <row r="29" ht="22.5" customHeight="1">
      <c r="A29" s="273"/>
      <c r="B29" s="402"/>
      <c r="C29" s="486"/>
      <c r="D29" s="486"/>
      <c r="E29" s="487"/>
      <c r="F29" s="487"/>
      <c r="G29" s="487"/>
      <c r="H29" s="488"/>
      <c r="I29" s="488"/>
      <c r="J29" s="488"/>
      <c r="K29" s="489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</row>
    <row r="30" ht="45.75" customHeight="1">
      <c r="A30" s="273"/>
      <c r="B30" s="490" t="s">
        <v>45</v>
      </c>
      <c r="C30" s="491"/>
      <c r="D30" s="2"/>
      <c r="E30" s="2"/>
      <c r="F30" s="2"/>
      <c r="G30" s="2"/>
      <c r="H30" s="2"/>
      <c r="I30" s="2"/>
      <c r="J30" s="2"/>
      <c r="K30" s="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</row>
    <row r="31" ht="65.25" customHeight="1">
      <c r="A31" s="273"/>
      <c r="B31" s="277"/>
      <c r="C31" s="10"/>
      <c r="D31" s="11"/>
      <c r="E31" s="11"/>
      <c r="F31" s="11"/>
      <c r="G31" s="11"/>
      <c r="H31" s="11"/>
      <c r="I31" s="11"/>
      <c r="J31" s="11"/>
      <c r="K31" s="12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</row>
    <row r="32" ht="22.5" customHeight="1">
      <c r="A32" s="273"/>
      <c r="B32" s="477"/>
      <c r="C32" s="478"/>
      <c r="D32" s="478"/>
      <c r="E32" s="478"/>
      <c r="F32" s="478"/>
      <c r="G32" s="478"/>
      <c r="H32" s="478"/>
      <c r="I32" s="478"/>
      <c r="J32" s="478"/>
      <c r="K32" s="479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</row>
    <row r="33" ht="15.75" customHeight="1">
      <c r="A33" s="273"/>
      <c r="B33" s="477"/>
      <c r="C33" s="478"/>
      <c r="D33" s="478"/>
      <c r="E33" s="478"/>
      <c r="F33" s="478"/>
      <c r="G33" s="478"/>
      <c r="H33" s="478"/>
      <c r="I33" s="478"/>
      <c r="J33" s="478"/>
      <c r="K33" s="479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  <c r="Z33" s="273"/>
    </row>
    <row r="34" ht="36.0" customHeight="1">
      <c r="A34" s="273"/>
      <c r="B34" s="529" t="s">
        <v>229</v>
      </c>
      <c r="C34" s="298"/>
      <c r="D34" s="530"/>
      <c r="E34" s="480" t="s">
        <v>230</v>
      </c>
      <c r="F34" s="5"/>
      <c r="G34" s="531"/>
      <c r="H34" s="480" t="s">
        <v>231</v>
      </c>
      <c r="I34" s="5"/>
      <c r="J34" s="532"/>
      <c r="K34" s="473" t="s">
        <v>232</v>
      </c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  <c r="Z34" s="273"/>
    </row>
    <row r="35" ht="36.0" customHeight="1">
      <c r="A35" s="273"/>
      <c r="B35" s="529" t="s">
        <v>259</v>
      </c>
      <c r="C35" s="5"/>
      <c r="D35" s="411"/>
      <c r="E35" s="533"/>
      <c r="F35" s="533"/>
      <c r="G35" s="534"/>
      <c r="H35" s="535" t="s">
        <v>457</v>
      </c>
      <c r="I35" s="76"/>
      <c r="J35" s="536"/>
      <c r="K35" s="537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  <c r="Z35" s="273"/>
    </row>
    <row r="36" ht="31.5" customHeight="1">
      <c r="A36" s="273"/>
      <c r="B36" s="529" t="s">
        <v>414</v>
      </c>
      <c r="C36" s="5"/>
      <c r="D36" s="538"/>
      <c r="E36" s="11"/>
      <c r="F36" s="11"/>
      <c r="G36" s="12"/>
      <c r="H36" s="535" t="s">
        <v>458</v>
      </c>
      <c r="I36" s="76"/>
      <c r="J36" s="538"/>
      <c r="K36" s="12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</row>
    <row r="37" ht="31.5" customHeight="1">
      <c r="A37" s="273"/>
      <c r="B37" s="529" t="s">
        <v>459</v>
      </c>
      <c r="C37" s="5"/>
      <c r="D37" s="539"/>
      <c r="E37" s="24"/>
      <c r="F37" s="24"/>
      <c r="G37" s="24"/>
      <c r="H37" s="24"/>
      <c r="I37" s="24"/>
      <c r="J37" s="24"/>
      <c r="K37" s="5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</row>
    <row r="38" ht="15.75" customHeight="1">
      <c r="A38" s="273"/>
      <c r="B38" s="477"/>
      <c r="C38" s="478"/>
      <c r="D38" s="478"/>
      <c r="E38" s="478"/>
      <c r="F38" s="478"/>
      <c r="G38" s="478"/>
      <c r="H38" s="478"/>
      <c r="I38" s="478"/>
      <c r="J38" s="478"/>
      <c r="K38" s="479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</row>
    <row r="39" ht="15.75" customHeight="1">
      <c r="A39" s="273"/>
      <c r="B39" s="59" t="s">
        <v>52</v>
      </c>
      <c r="C39" s="11"/>
      <c r="D39" s="11"/>
      <c r="E39" s="11"/>
      <c r="F39" s="11"/>
      <c r="G39" s="11"/>
      <c r="H39" s="11"/>
      <c r="I39" s="11"/>
      <c r="J39" s="11"/>
      <c r="K39" s="12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  <c r="Z39" s="273"/>
    </row>
    <row r="40" ht="15.75" customHeight="1">
      <c r="A40" s="273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</row>
    <row r="41" ht="15.75" customHeight="1">
      <c r="A41" s="273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</row>
    <row r="42" ht="15.75" customHeight="1">
      <c r="A42" s="273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</row>
    <row r="43" ht="15.75" customHeight="1">
      <c r="A43" s="273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</row>
    <row r="44" ht="15.75" customHeight="1">
      <c r="A44" s="273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</row>
    <row r="45" ht="15.75" customHeight="1">
      <c r="A45" s="273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</row>
    <row r="46" ht="15.75" customHeight="1">
      <c r="A46" s="273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</row>
    <row r="47" ht="15.75" customHeight="1">
      <c r="A47" s="273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</row>
    <row r="48" ht="15.75" customHeight="1">
      <c r="A48" s="273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</row>
    <row r="49" ht="15.75" customHeight="1">
      <c r="A49" s="273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</row>
    <row r="50" ht="15.75" customHeight="1">
      <c r="A50" s="273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</row>
    <row r="51" ht="15.75" customHeight="1">
      <c r="A51" s="273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</row>
    <row r="52" ht="15.75" customHeight="1">
      <c r="A52" s="273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</row>
    <row r="53" ht="15.75" customHeight="1">
      <c r="A53" s="273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</row>
    <row r="54" ht="15.75" customHeight="1">
      <c r="A54" s="273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</row>
    <row r="55" ht="15.75" customHeight="1">
      <c r="A55" s="273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</row>
    <row r="56" ht="15.75" customHeight="1">
      <c r="A56" s="273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</row>
    <row r="57" ht="15.75" customHeight="1">
      <c r="A57" s="273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</row>
    <row r="58" ht="15.75" customHeight="1">
      <c r="A58" s="273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</row>
    <row r="59" ht="15.75" customHeight="1">
      <c r="A59" s="273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</row>
    <row r="60" ht="15.75" customHeight="1">
      <c r="A60" s="273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</row>
    <row r="61" ht="15.75" customHeight="1">
      <c r="A61" s="273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</row>
    <row r="62" ht="15.75" customHeight="1">
      <c r="A62" s="273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</row>
    <row r="63" ht="15.75" customHeight="1">
      <c r="A63" s="273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</row>
    <row r="64" ht="15.75" customHeight="1">
      <c r="A64" s="273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</row>
    <row r="65" ht="15.75" customHeight="1">
      <c r="A65" s="273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273"/>
    </row>
    <row r="66" ht="15.75" customHeight="1">
      <c r="A66" s="273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</row>
    <row r="67" ht="15.75" customHeight="1">
      <c r="A67" s="273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  <c r="Z67" s="273"/>
    </row>
    <row r="68" ht="15.75" customHeight="1">
      <c r="A68" s="273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273"/>
    </row>
    <row r="69" ht="15.75" customHeight="1">
      <c r="A69" s="273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273"/>
    </row>
    <row r="70" ht="15.75" customHeight="1">
      <c r="A70" s="273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</row>
    <row r="71" ht="15.75" customHeight="1">
      <c r="A71" s="273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</row>
    <row r="72" ht="15.75" customHeight="1">
      <c r="A72" s="273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</row>
    <row r="73" ht="15.75" customHeight="1">
      <c r="A73" s="273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</row>
    <row r="74" ht="15.75" customHeight="1">
      <c r="A74" s="273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</row>
    <row r="75" ht="15.75" customHeight="1">
      <c r="A75" s="273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273"/>
    </row>
    <row r="76" ht="15.75" customHeight="1">
      <c r="A76" s="273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</row>
    <row r="77" ht="15.75" customHeight="1">
      <c r="A77" s="273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273"/>
    </row>
    <row r="78" ht="15.75" customHeight="1">
      <c r="A78" s="273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</row>
    <row r="79" ht="15.75" customHeight="1">
      <c r="A79" s="273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</row>
    <row r="80" ht="15.75" customHeight="1">
      <c r="A80" s="273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</row>
    <row r="81" ht="15.75" customHeight="1">
      <c r="A81" s="273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</row>
    <row r="82" ht="15.75" customHeight="1">
      <c r="A82" s="273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</row>
    <row r="83" ht="15.75" customHeight="1">
      <c r="A83" s="273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</row>
    <row r="84" ht="15.75" customHeight="1">
      <c r="A84" s="273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</row>
    <row r="85" ht="15.75" customHeight="1">
      <c r="A85" s="273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  <c r="Z85" s="273"/>
    </row>
    <row r="86" ht="15.75" customHeight="1">
      <c r="A86" s="273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</row>
    <row r="87" ht="15.75" customHeight="1">
      <c r="A87" s="273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  <c r="Z87" s="273"/>
    </row>
    <row r="88" ht="15.75" customHeight="1">
      <c r="A88" s="273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</row>
    <row r="89" ht="15.75" customHeight="1">
      <c r="A89" s="273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  <c r="Z89" s="273"/>
    </row>
    <row r="90" ht="15.75" customHeight="1">
      <c r="A90" s="273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</row>
    <row r="91" ht="15.75" customHeight="1">
      <c r="A91" s="273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  <c r="Z91" s="273"/>
    </row>
    <row r="92" ht="15.75" customHeight="1">
      <c r="A92" s="273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</row>
    <row r="93" ht="15.75" customHeight="1">
      <c r="A93" s="273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</row>
    <row r="94" ht="15.75" customHeight="1">
      <c r="A94" s="273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</row>
    <row r="95" ht="15.75" customHeight="1">
      <c r="A95" s="273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  <c r="Z95" s="273"/>
    </row>
    <row r="96" ht="15.75" customHeight="1">
      <c r="A96" s="273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</row>
    <row r="97" ht="15.75" customHeight="1">
      <c r="A97" s="273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  <c r="Z97" s="273"/>
    </row>
    <row r="98" ht="15.75" customHeight="1">
      <c r="A98" s="273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</row>
    <row r="99" ht="15.75" customHeight="1">
      <c r="A99" s="273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</row>
    <row r="100" ht="15.75" customHeight="1">
      <c r="A100" s="273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</row>
    <row r="101" ht="15.75" customHeight="1">
      <c r="A101" s="273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</row>
    <row r="102" ht="15.75" customHeight="1">
      <c r="A102" s="273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</row>
    <row r="103" ht="15.75" customHeight="1">
      <c r="A103" s="273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</row>
    <row r="104" ht="15.75" customHeight="1">
      <c r="A104" s="273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</row>
    <row r="105" ht="15.75" customHeight="1">
      <c r="A105" s="273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  <c r="Z105" s="273"/>
    </row>
    <row r="106" ht="15.75" customHeight="1">
      <c r="A106" s="273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</row>
    <row r="107" ht="15.75" customHeight="1">
      <c r="A107" s="273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</row>
    <row r="108" ht="15.75" customHeight="1">
      <c r="A108" s="273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</row>
    <row r="109" ht="15.75" customHeight="1">
      <c r="A109" s="273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  <c r="Z109" s="273"/>
    </row>
    <row r="110" ht="15.75" customHeight="1">
      <c r="A110" s="273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</row>
    <row r="111" ht="15.75" customHeight="1">
      <c r="A111" s="273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  <c r="Z111" s="273"/>
    </row>
    <row r="112" ht="15.75" customHeight="1">
      <c r="A112" s="273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</row>
    <row r="113" ht="15.75" customHeight="1">
      <c r="A113" s="273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  <c r="Z113" s="273"/>
    </row>
    <row r="114" ht="15.75" customHeight="1">
      <c r="A114" s="273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</row>
    <row r="115" ht="15.75" customHeight="1">
      <c r="A115" s="273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  <c r="Z115" s="273"/>
    </row>
    <row r="116" ht="15.75" customHeight="1">
      <c r="A116" s="273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</row>
    <row r="117" ht="15.75" customHeight="1">
      <c r="A117" s="273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</row>
    <row r="118" ht="15.75" customHeight="1">
      <c r="A118" s="273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</row>
    <row r="119" ht="15.75" customHeight="1">
      <c r="A119" s="273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</row>
    <row r="120" ht="15.75" customHeight="1">
      <c r="A120" s="273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</row>
    <row r="121" ht="15.75" customHeight="1">
      <c r="A121" s="273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  <c r="Z121" s="273"/>
    </row>
    <row r="122" ht="15.75" customHeight="1">
      <c r="A122" s="273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</row>
    <row r="123" ht="15.75" customHeight="1">
      <c r="A123" s="273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  <c r="Z123" s="273"/>
    </row>
    <row r="124" ht="15.75" customHeight="1">
      <c r="A124" s="273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</row>
    <row r="125" ht="15.75" customHeight="1">
      <c r="A125" s="273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</row>
    <row r="126" ht="15.75" customHeight="1">
      <c r="A126" s="273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</row>
    <row r="127" ht="15.75" customHeight="1">
      <c r="A127" s="273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</row>
    <row r="128" ht="15.75" customHeight="1">
      <c r="A128" s="273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  <c r="Z128" s="273"/>
    </row>
    <row r="129" ht="15.75" customHeight="1">
      <c r="A129" s="273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  <c r="Z129" s="273"/>
    </row>
    <row r="130" ht="15.75" customHeight="1">
      <c r="A130" s="273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</row>
    <row r="131" ht="15.75" customHeight="1">
      <c r="A131" s="273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  <c r="Z131" s="273"/>
    </row>
    <row r="132" ht="15.75" customHeight="1">
      <c r="A132" s="273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</row>
    <row r="133" ht="15.75" customHeight="1">
      <c r="A133" s="273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  <c r="Z133" s="273"/>
    </row>
    <row r="134" ht="15.75" customHeight="1">
      <c r="A134" s="273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</row>
    <row r="135" ht="15.75" customHeight="1">
      <c r="A135" s="273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</row>
    <row r="136" ht="15.75" customHeight="1">
      <c r="A136" s="273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</row>
    <row r="137" ht="15.75" customHeight="1">
      <c r="A137" s="273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</row>
    <row r="138" ht="15.75" customHeight="1">
      <c r="A138" s="273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</row>
    <row r="139" ht="15.75" customHeight="1">
      <c r="A139" s="273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  <c r="Z139" s="273"/>
    </row>
    <row r="140" ht="15.75" customHeight="1">
      <c r="A140" s="273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</row>
    <row r="141" ht="15.75" customHeight="1">
      <c r="A141" s="273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  <c r="Z141" s="273"/>
    </row>
    <row r="142" ht="15.75" customHeight="1">
      <c r="A142" s="273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</row>
    <row r="143" ht="15.75" customHeight="1">
      <c r="A143" s="273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</row>
    <row r="144" ht="15.75" customHeight="1">
      <c r="A144" s="273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</row>
    <row r="145" ht="15.75" customHeight="1">
      <c r="A145" s="273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</row>
    <row r="146" ht="15.75" customHeight="1">
      <c r="A146" s="273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</row>
    <row r="147" ht="15.75" customHeight="1">
      <c r="A147" s="273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  <c r="Z147" s="273"/>
    </row>
    <row r="148" ht="15.75" customHeight="1">
      <c r="A148" s="273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</row>
    <row r="149" ht="15.75" customHeight="1">
      <c r="A149" s="273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  <c r="Z149" s="273"/>
    </row>
    <row r="150" ht="15.75" customHeight="1">
      <c r="A150" s="273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</row>
    <row r="151" ht="15.75" customHeight="1">
      <c r="A151" s="273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</row>
    <row r="152" ht="15.75" customHeight="1">
      <c r="A152" s="273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</row>
    <row r="153" ht="15.75" customHeight="1">
      <c r="A153" s="273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  <c r="Z153" s="273"/>
    </row>
    <row r="154" ht="15.75" customHeight="1">
      <c r="A154" s="273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</row>
    <row r="155" ht="15.75" customHeight="1">
      <c r="A155" s="273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  <c r="Z155" s="273"/>
    </row>
    <row r="156" ht="15.75" customHeight="1">
      <c r="A156" s="273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</row>
    <row r="157" ht="15.75" customHeight="1">
      <c r="A157" s="273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  <c r="Z157" s="273"/>
    </row>
    <row r="158" ht="15.75" customHeight="1">
      <c r="A158" s="273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</row>
    <row r="159" ht="15.75" customHeight="1">
      <c r="A159" s="273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</row>
    <row r="160" ht="15.75" customHeight="1">
      <c r="A160" s="273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</row>
    <row r="161" ht="15.75" customHeight="1">
      <c r="A161" s="273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  <c r="Z161" s="273"/>
    </row>
    <row r="162" ht="15.75" customHeight="1">
      <c r="A162" s="273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</row>
    <row r="163" ht="15.75" customHeight="1">
      <c r="A163" s="273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  <c r="Z163" s="273"/>
    </row>
    <row r="164" ht="15.75" customHeight="1">
      <c r="A164" s="273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</row>
    <row r="165" ht="15.75" customHeight="1">
      <c r="A165" s="273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  <c r="Z165" s="273"/>
    </row>
    <row r="166" ht="15.75" customHeight="1">
      <c r="A166" s="273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</row>
    <row r="167" ht="15.75" customHeight="1">
      <c r="A167" s="273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  <c r="Z167" s="273"/>
    </row>
    <row r="168" ht="15.75" customHeight="1">
      <c r="A168" s="273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</row>
    <row r="169" ht="15.75" customHeight="1">
      <c r="A169" s="273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  <c r="Z169" s="273"/>
    </row>
    <row r="170" ht="15.75" customHeight="1">
      <c r="A170" s="273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</row>
    <row r="171" ht="15.75" customHeight="1">
      <c r="A171" s="273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</row>
    <row r="172" ht="15.75" customHeight="1">
      <c r="A172" s="273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</row>
    <row r="173" ht="15.75" customHeight="1">
      <c r="A173" s="273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  <c r="Z173" s="273"/>
    </row>
    <row r="174" ht="15.75" customHeight="1">
      <c r="A174" s="273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</row>
    <row r="175" ht="15.75" customHeight="1">
      <c r="A175" s="273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  <c r="Z175" s="273"/>
    </row>
    <row r="176" ht="15.75" customHeight="1">
      <c r="A176" s="273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</row>
    <row r="177" ht="15.75" customHeight="1">
      <c r="A177" s="273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</row>
    <row r="178" ht="15.75" customHeight="1">
      <c r="A178" s="273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</row>
    <row r="179" ht="15.75" customHeight="1">
      <c r="A179" s="273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  <c r="Z179" s="273"/>
    </row>
    <row r="180" ht="15.75" customHeight="1">
      <c r="A180" s="273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</row>
    <row r="181" ht="15.75" customHeight="1">
      <c r="A181" s="273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  <c r="Z181" s="273"/>
    </row>
    <row r="182" ht="15.75" customHeight="1">
      <c r="A182" s="273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</row>
    <row r="183" ht="15.75" customHeight="1">
      <c r="A183" s="273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  <c r="Z183" s="273"/>
    </row>
    <row r="184" ht="15.75" customHeight="1">
      <c r="A184" s="273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</row>
    <row r="185" ht="15.75" customHeight="1">
      <c r="A185" s="273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  <c r="Z185" s="273"/>
    </row>
    <row r="186" ht="15.75" customHeight="1">
      <c r="A186" s="273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</row>
    <row r="187" ht="15.75" customHeight="1">
      <c r="A187" s="273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  <c r="Z187" s="273"/>
    </row>
    <row r="188" ht="15.75" customHeight="1">
      <c r="A188" s="273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</row>
    <row r="189" ht="15.75" customHeight="1">
      <c r="A189" s="273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  <c r="Z189" s="273"/>
    </row>
    <row r="190" ht="15.75" customHeight="1">
      <c r="A190" s="273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</row>
    <row r="191" ht="15.75" customHeight="1">
      <c r="A191" s="273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  <c r="Z191" s="273"/>
    </row>
    <row r="192" ht="15.75" customHeight="1">
      <c r="A192" s="273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</row>
    <row r="193" ht="15.75" customHeight="1">
      <c r="A193" s="273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</row>
    <row r="194" ht="15.75" customHeight="1">
      <c r="A194" s="273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</row>
    <row r="195" ht="15.75" customHeight="1">
      <c r="A195" s="273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3"/>
    </row>
    <row r="196" ht="15.75" customHeight="1">
      <c r="A196" s="273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</row>
    <row r="197" ht="15.75" customHeight="1">
      <c r="A197" s="273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</row>
    <row r="198" ht="15.75" customHeight="1">
      <c r="A198" s="273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</row>
    <row r="199" ht="15.75" customHeight="1">
      <c r="A199" s="273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</row>
    <row r="200" ht="15.75" customHeight="1">
      <c r="A200" s="273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</row>
    <row r="201" ht="15.75" customHeight="1">
      <c r="A201" s="273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</row>
    <row r="202" ht="15.75" customHeight="1">
      <c r="A202" s="273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</row>
    <row r="203" ht="15.75" customHeight="1">
      <c r="A203" s="273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</row>
    <row r="204" ht="15.75" customHeight="1">
      <c r="A204" s="273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</row>
    <row r="205" ht="15.75" customHeight="1">
      <c r="A205" s="273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</row>
    <row r="206" ht="15.75" customHeight="1">
      <c r="A206" s="273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</row>
    <row r="207" ht="15.75" customHeight="1">
      <c r="A207" s="273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</row>
    <row r="208" ht="15.75" customHeight="1">
      <c r="A208" s="273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</row>
    <row r="209" ht="15.75" customHeight="1">
      <c r="A209" s="273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</row>
    <row r="210" ht="15.75" customHeight="1">
      <c r="A210" s="273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</row>
    <row r="211" ht="15.75" customHeight="1">
      <c r="A211" s="273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</row>
    <row r="212" ht="15.75" customHeight="1">
      <c r="A212" s="273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</row>
    <row r="213" ht="15.75" customHeight="1">
      <c r="A213" s="273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</row>
    <row r="214" ht="15.75" customHeight="1">
      <c r="A214" s="273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</row>
    <row r="215" ht="15.75" customHeight="1">
      <c r="A215" s="273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</row>
    <row r="216" ht="15.75" customHeight="1">
      <c r="A216" s="273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</row>
    <row r="217" ht="15.75" customHeight="1">
      <c r="A217" s="273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</row>
    <row r="218" ht="15.75" customHeight="1">
      <c r="A218" s="273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</row>
    <row r="219" ht="15.75" customHeight="1">
      <c r="A219" s="273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</row>
    <row r="220" ht="15.75" customHeight="1">
      <c r="A220" s="273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</row>
    <row r="221" ht="15.75" customHeight="1">
      <c r="A221" s="273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</row>
    <row r="222" ht="15.75" customHeight="1">
      <c r="A222" s="273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</row>
    <row r="223" ht="15.75" customHeight="1">
      <c r="A223" s="273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</row>
    <row r="224" ht="15.75" customHeight="1">
      <c r="A224" s="273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</row>
    <row r="225" ht="15.75" customHeight="1">
      <c r="A225" s="273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</row>
    <row r="226" ht="15.75" customHeight="1">
      <c r="A226" s="273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</row>
    <row r="227" ht="15.75" customHeight="1">
      <c r="A227" s="273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</row>
    <row r="228" ht="15.75" customHeight="1">
      <c r="A228" s="273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</row>
    <row r="229" ht="15.75" customHeight="1">
      <c r="A229" s="273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</row>
    <row r="230" ht="15.75" customHeight="1">
      <c r="A230" s="273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</row>
    <row r="231" ht="15.75" customHeight="1">
      <c r="A231" s="273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</row>
    <row r="232" ht="15.75" customHeight="1">
      <c r="A232" s="273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</row>
    <row r="233" ht="15.75" customHeight="1">
      <c r="A233" s="273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</row>
    <row r="234" ht="15.75" customHeight="1">
      <c r="A234" s="273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</row>
    <row r="235" ht="15.75" customHeight="1">
      <c r="A235" s="273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</row>
    <row r="236" ht="15.75" customHeight="1">
      <c r="A236" s="273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</row>
    <row r="237" ht="15.75" customHeight="1">
      <c r="A237" s="273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  <c r="Z237" s="273"/>
    </row>
    <row r="238" ht="15.75" customHeight="1">
      <c r="A238" s="273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</row>
    <row r="239" ht="15.75" customHeight="1">
      <c r="A239" s="273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  <c r="Z239" s="273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C9:D9"/>
    <mergeCell ref="C10:D10"/>
    <mergeCell ref="C11:D11"/>
    <mergeCell ref="B1:C5"/>
    <mergeCell ref="D1:I3"/>
    <mergeCell ref="D4:I5"/>
    <mergeCell ref="J4:J5"/>
    <mergeCell ref="C8:F8"/>
    <mergeCell ref="H8:K8"/>
    <mergeCell ref="J9:K9"/>
    <mergeCell ref="F9:G9"/>
    <mergeCell ref="H9:I9"/>
    <mergeCell ref="F10:G10"/>
    <mergeCell ref="H10:I10"/>
    <mergeCell ref="J10:K10"/>
    <mergeCell ref="F11:G11"/>
    <mergeCell ref="H11:I11"/>
    <mergeCell ref="J11:K11"/>
    <mergeCell ref="B13:K13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H21:I21"/>
    <mergeCell ref="J21:K21"/>
    <mergeCell ref="C21:G21"/>
    <mergeCell ref="C22:G22"/>
    <mergeCell ref="H22:I22"/>
    <mergeCell ref="J22:K22"/>
    <mergeCell ref="C23:G23"/>
    <mergeCell ref="H23:I23"/>
    <mergeCell ref="J23:K23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95"/>
      <c r="B1" s="496"/>
      <c r="C1" s="497" t="s">
        <v>0</v>
      </c>
      <c r="D1" s="46"/>
      <c r="E1" s="46"/>
      <c r="F1" s="46"/>
      <c r="G1" s="46"/>
      <c r="H1" s="117"/>
      <c r="I1" s="498" t="s">
        <v>1</v>
      </c>
      <c r="J1" s="499" t="s">
        <v>460</v>
      </c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3"/>
      <c r="X1" s="273"/>
      <c r="Y1" s="273"/>
      <c r="Z1" s="273"/>
    </row>
    <row r="2" ht="24.75" customHeight="1">
      <c r="A2" s="495"/>
      <c r="C2" s="64"/>
      <c r="H2" s="69"/>
      <c r="I2" s="384" t="s">
        <v>3</v>
      </c>
      <c r="J2" s="500">
        <v>1.0</v>
      </c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3"/>
      <c r="X2" s="273"/>
      <c r="Y2" s="273"/>
      <c r="Z2" s="273"/>
    </row>
    <row r="3" ht="24.75" customHeight="1">
      <c r="A3" s="495"/>
      <c r="C3" s="67"/>
      <c r="D3" s="11"/>
      <c r="E3" s="11"/>
      <c r="F3" s="11"/>
      <c r="G3" s="11"/>
      <c r="H3" s="88"/>
      <c r="I3" s="501" t="s">
        <v>5</v>
      </c>
      <c r="J3" s="501" t="s">
        <v>6</v>
      </c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3"/>
      <c r="X3" s="273"/>
      <c r="Y3" s="273"/>
      <c r="Z3" s="273"/>
    </row>
    <row r="4" ht="24.75" customHeight="1">
      <c r="A4" s="502"/>
      <c r="C4" s="497" t="s">
        <v>461</v>
      </c>
      <c r="D4" s="46"/>
      <c r="E4" s="46"/>
      <c r="F4" s="46"/>
      <c r="G4" s="46"/>
      <c r="H4" s="117"/>
      <c r="I4" s="503" t="s">
        <v>7</v>
      </c>
      <c r="J4" s="504" t="s">
        <v>8</v>
      </c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</row>
    <row r="5" ht="24.75" customHeight="1">
      <c r="A5" s="502"/>
      <c r="B5" s="113"/>
      <c r="C5" s="121"/>
      <c r="D5" s="113"/>
      <c r="E5" s="113"/>
      <c r="F5" s="113"/>
      <c r="G5" s="113"/>
      <c r="H5" s="114"/>
      <c r="I5" s="468"/>
      <c r="J5" s="505" t="s">
        <v>9</v>
      </c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</row>
    <row r="6" ht="24.75" customHeight="1">
      <c r="A6" s="273"/>
      <c r="B6" s="354"/>
      <c r="C6" s="354"/>
      <c r="D6" s="354"/>
      <c r="E6" s="354"/>
      <c r="F6" s="354"/>
      <c r="G6" s="354"/>
      <c r="H6" s="354"/>
      <c r="I6" s="354"/>
      <c r="J6" s="436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</row>
    <row r="7" ht="15.75" customHeight="1">
      <c r="A7" s="273"/>
      <c r="B7" s="55"/>
      <c r="C7" s="55"/>
      <c r="D7" s="55"/>
      <c r="E7" s="55"/>
      <c r="F7" s="55"/>
      <c r="G7" s="55"/>
      <c r="H7" s="55"/>
      <c r="I7" s="55"/>
      <c r="J7" s="55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</row>
    <row r="8" ht="18.75" customHeight="1">
      <c r="A8" s="273"/>
      <c r="B8" s="506"/>
      <c r="C8" s="462" t="s">
        <v>0</v>
      </c>
      <c r="D8" s="464" t="s">
        <v>1</v>
      </c>
      <c r="E8" s="464" t="s">
        <v>460</v>
      </c>
      <c r="F8" s="55"/>
      <c r="G8" s="506"/>
      <c r="H8" s="462" t="s">
        <v>0</v>
      </c>
      <c r="I8" s="464" t="s">
        <v>1</v>
      </c>
      <c r="J8" s="464" t="s">
        <v>460</v>
      </c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</row>
    <row r="9" ht="20.25" customHeight="1">
      <c r="A9" s="273"/>
      <c r="B9" s="64"/>
      <c r="C9" s="465"/>
      <c r="D9" s="467" t="s">
        <v>3</v>
      </c>
      <c r="E9" s="507">
        <v>1.0</v>
      </c>
      <c r="F9" s="55"/>
      <c r="G9" s="64"/>
      <c r="H9" s="465"/>
      <c r="I9" s="467" t="s">
        <v>3</v>
      </c>
      <c r="J9" s="507">
        <v>1.0</v>
      </c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</row>
    <row r="10" ht="18.0" customHeight="1">
      <c r="A10" s="273"/>
      <c r="B10" s="64"/>
      <c r="C10" s="468"/>
      <c r="D10" s="464" t="s">
        <v>5</v>
      </c>
      <c r="E10" s="464" t="s">
        <v>6</v>
      </c>
      <c r="F10" s="55"/>
      <c r="G10" s="64"/>
      <c r="H10" s="468"/>
      <c r="I10" s="464" t="s">
        <v>5</v>
      </c>
      <c r="J10" s="464" t="s">
        <v>6</v>
      </c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</row>
    <row r="11" ht="18.75" customHeight="1">
      <c r="A11" s="273"/>
      <c r="B11" s="64"/>
      <c r="C11" s="462" t="s">
        <v>461</v>
      </c>
      <c r="D11" s="508" t="s">
        <v>7</v>
      </c>
      <c r="E11" s="508" t="s">
        <v>8</v>
      </c>
      <c r="F11" s="55"/>
      <c r="G11" s="64"/>
      <c r="H11" s="462" t="s">
        <v>461</v>
      </c>
      <c r="I11" s="508" t="s">
        <v>7</v>
      </c>
      <c r="J11" s="508" t="s">
        <v>8</v>
      </c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</row>
    <row r="12" ht="15.0" customHeight="1">
      <c r="A12" s="502"/>
      <c r="B12" s="64"/>
      <c r="C12" s="468"/>
      <c r="D12" s="88"/>
      <c r="E12" s="509" t="s">
        <v>9</v>
      </c>
      <c r="F12" s="55"/>
      <c r="G12" s="64"/>
      <c r="H12" s="468"/>
      <c r="I12" s="88"/>
      <c r="J12" s="509" t="s">
        <v>9</v>
      </c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</row>
    <row r="13" ht="36.0" customHeight="1">
      <c r="A13" s="273"/>
      <c r="B13" s="510" t="s">
        <v>417</v>
      </c>
      <c r="C13" s="522"/>
      <c r="D13" s="46"/>
      <c r="E13" s="117"/>
      <c r="F13" s="511"/>
      <c r="G13" s="510" t="s">
        <v>417</v>
      </c>
      <c r="H13" s="522"/>
      <c r="I13" s="46"/>
      <c r="J13" s="117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</row>
    <row r="14" ht="21.0" customHeight="1">
      <c r="A14" s="273"/>
      <c r="B14" s="512" t="s">
        <v>344</v>
      </c>
      <c r="C14" s="523"/>
      <c r="D14" s="138"/>
      <c r="E14" s="120"/>
      <c r="F14" s="511"/>
      <c r="G14" s="512" t="s">
        <v>344</v>
      </c>
      <c r="H14" s="523"/>
      <c r="I14" s="138"/>
      <c r="J14" s="120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</row>
    <row r="15" ht="33.0" customHeight="1">
      <c r="A15" s="273"/>
      <c r="B15" s="510" t="s">
        <v>462</v>
      </c>
      <c r="C15" s="523"/>
      <c r="D15" s="138"/>
      <c r="E15" s="120"/>
      <c r="F15" s="511"/>
      <c r="G15" s="510" t="s">
        <v>462</v>
      </c>
      <c r="H15" s="523"/>
      <c r="I15" s="138"/>
      <c r="J15" s="120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</row>
    <row r="16" ht="32.25" customHeight="1">
      <c r="A16" s="273"/>
      <c r="B16" s="512" t="s">
        <v>463</v>
      </c>
      <c r="C16" s="540"/>
      <c r="D16" s="540" t="s">
        <v>464</v>
      </c>
      <c r="E16" s="541"/>
      <c r="F16" s="517"/>
      <c r="G16" s="512" t="s">
        <v>463</v>
      </c>
      <c r="H16" s="540"/>
      <c r="I16" s="540" t="s">
        <v>464</v>
      </c>
      <c r="J16" s="541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</row>
    <row r="17" ht="15.75" customHeight="1">
      <c r="A17" s="273"/>
      <c r="B17" s="518" t="s">
        <v>31</v>
      </c>
      <c r="C17" s="519"/>
      <c r="D17" s="46"/>
      <c r="E17" s="117"/>
      <c r="F17" s="517"/>
      <c r="G17" s="518" t="s">
        <v>31</v>
      </c>
      <c r="H17" s="519"/>
      <c r="I17" s="46"/>
      <c r="J17" s="117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</row>
    <row r="18" ht="15.0" customHeight="1">
      <c r="A18" s="273"/>
      <c r="B18" s="465"/>
      <c r="C18" s="64"/>
      <c r="E18" s="69"/>
      <c r="F18" s="511"/>
      <c r="G18" s="465"/>
      <c r="H18" s="64"/>
      <c r="J18" s="69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</row>
    <row r="19" ht="15.75" customHeight="1">
      <c r="A19" s="273"/>
      <c r="B19" s="465"/>
      <c r="C19" s="64"/>
      <c r="E19" s="69"/>
      <c r="F19" s="511"/>
      <c r="G19" s="465"/>
      <c r="H19" s="64"/>
      <c r="J19" s="69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</row>
    <row r="20" ht="15.75" customHeight="1">
      <c r="A20" s="273"/>
      <c r="B20" s="465"/>
      <c r="C20" s="64"/>
      <c r="E20" s="69"/>
      <c r="F20" s="511"/>
      <c r="G20" s="468"/>
      <c r="H20" s="121"/>
      <c r="I20" s="113"/>
      <c r="J20" s="114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</row>
    <row r="21" ht="21.0" customHeight="1">
      <c r="A21" s="273"/>
      <c r="B21" s="542" t="s">
        <v>86</v>
      </c>
      <c r="C21" s="521"/>
      <c r="D21" s="138"/>
      <c r="E21" s="120"/>
      <c r="F21" s="55"/>
      <c r="G21" s="542" t="s">
        <v>86</v>
      </c>
      <c r="H21" s="521"/>
      <c r="I21" s="138"/>
      <c r="J21" s="120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273"/>
    </row>
    <row r="22" ht="21.75" customHeight="1">
      <c r="A22" s="273"/>
      <c r="B22" s="520" t="s">
        <v>87</v>
      </c>
      <c r="C22" s="454"/>
      <c r="D22" s="543" t="s">
        <v>67</v>
      </c>
      <c r="E22" s="544"/>
      <c r="F22" s="55"/>
      <c r="G22" s="520" t="s">
        <v>87</v>
      </c>
      <c r="H22" s="454"/>
      <c r="I22" s="543" t="s">
        <v>67</v>
      </c>
      <c r="J22" s="544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</row>
    <row r="23" ht="15.75" customHeight="1">
      <c r="A23" s="273"/>
      <c r="B23" s="55"/>
      <c r="C23" s="55"/>
      <c r="D23" s="55"/>
      <c r="E23" s="55"/>
      <c r="F23" s="55"/>
      <c r="G23" s="55"/>
      <c r="H23" s="55"/>
      <c r="I23" s="55"/>
      <c r="J23" s="55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</row>
    <row r="24" ht="15.75" customHeight="1">
      <c r="A24" s="273"/>
      <c r="B24" s="506"/>
      <c r="C24" s="462" t="s">
        <v>0</v>
      </c>
      <c r="D24" s="464" t="s">
        <v>1</v>
      </c>
      <c r="E24" s="464" t="s">
        <v>460</v>
      </c>
      <c r="F24" s="55"/>
      <c r="G24" s="506"/>
      <c r="H24" s="462" t="s">
        <v>0</v>
      </c>
      <c r="I24" s="464" t="s">
        <v>1</v>
      </c>
      <c r="J24" s="464" t="s">
        <v>460</v>
      </c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</row>
    <row r="25" ht="15.75" customHeight="1">
      <c r="A25" s="273"/>
      <c r="B25" s="64"/>
      <c r="C25" s="465"/>
      <c r="D25" s="467" t="s">
        <v>3</v>
      </c>
      <c r="E25" s="507">
        <v>1.0</v>
      </c>
      <c r="F25" s="55"/>
      <c r="G25" s="64"/>
      <c r="H25" s="465"/>
      <c r="I25" s="467" t="s">
        <v>3</v>
      </c>
      <c r="J25" s="507">
        <v>1.0</v>
      </c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</row>
    <row r="26" ht="15.75" customHeight="1">
      <c r="A26" s="273"/>
      <c r="B26" s="64"/>
      <c r="C26" s="468"/>
      <c r="D26" s="464" t="s">
        <v>5</v>
      </c>
      <c r="E26" s="464" t="s">
        <v>6</v>
      </c>
      <c r="F26" s="55"/>
      <c r="G26" s="64"/>
      <c r="H26" s="468"/>
      <c r="I26" s="464" t="s">
        <v>5</v>
      </c>
      <c r="J26" s="464" t="s">
        <v>6</v>
      </c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</row>
    <row r="27" ht="15.75" customHeight="1">
      <c r="A27" s="273"/>
      <c r="B27" s="64"/>
      <c r="C27" s="462" t="s">
        <v>461</v>
      </c>
      <c r="D27" s="508" t="s">
        <v>7</v>
      </c>
      <c r="E27" s="508" t="s">
        <v>8</v>
      </c>
      <c r="F27" s="55"/>
      <c r="G27" s="64"/>
      <c r="H27" s="462" t="s">
        <v>461</v>
      </c>
      <c r="I27" s="508" t="s">
        <v>7</v>
      </c>
      <c r="J27" s="508" t="s">
        <v>8</v>
      </c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</row>
    <row r="28" ht="15.75" customHeight="1">
      <c r="A28" s="273"/>
      <c r="B28" s="64"/>
      <c r="C28" s="468"/>
      <c r="D28" s="88"/>
      <c r="E28" s="509" t="s">
        <v>9</v>
      </c>
      <c r="F28" s="55"/>
      <c r="G28" s="64"/>
      <c r="H28" s="468"/>
      <c r="I28" s="88"/>
      <c r="J28" s="509" t="s">
        <v>9</v>
      </c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</row>
    <row r="29" ht="34.5" customHeight="1">
      <c r="A29" s="273"/>
      <c r="B29" s="510" t="s">
        <v>417</v>
      </c>
      <c r="C29" s="522"/>
      <c r="D29" s="46"/>
      <c r="E29" s="117"/>
      <c r="F29" s="511"/>
      <c r="G29" s="510" t="s">
        <v>417</v>
      </c>
      <c r="H29" s="522"/>
      <c r="I29" s="46"/>
      <c r="J29" s="117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</row>
    <row r="30" ht="27.0" customHeight="1">
      <c r="A30" s="273"/>
      <c r="B30" s="512" t="s">
        <v>344</v>
      </c>
      <c r="C30" s="523"/>
      <c r="D30" s="138"/>
      <c r="E30" s="120"/>
      <c r="F30" s="511"/>
      <c r="G30" s="512" t="s">
        <v>344</v>
      </c>
      <c r="H30" s="523"/>
      <c r="I30" s="138"/>
      <c r="J30" s="120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</row>
    <row r="31" ht="36.0" customHeight="1">
      <c r="A31" s="273"/>
      <c r="B31" s="510" t="s">
        <v>462</v>
      </c>
      <c r="C31" s="523"/>
      <c r="D31" s="138"/>
      <c r="E31" s="120"/>
      <c r="F31" s="511"/>
      <c r="G31" s="510" t="s">
        <v>462</v>
      </c>
      <c r="H31" s="523"/>
      <c r="I31" s="138"/>
      <c r="J31" s="120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</row>
    <row r="32" ht="42.75" customHeight="1">
      <c r="A32" s="273"/>
      <c r="B32" s="512" t="s">
        <v>463</v>
      </c>
      <c r="C32" s="540"/>
      <c r="D32" s="545" t="s">
        <v>464</v>
      </c>
      <c r="E32" s="541"/>
      <c r="F32" s="517"/>
      <c r="G32" s="512" t="s">
        <v>463</v>
      </c>
      <c r="H32" s="540"/>
      <c r="I32" s="545" t="s">
        <v>464</v>
      </c>
      <c r="J32" s="541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</row>
    <row r="33" ht="15.75" customHeight="1">
      <c r="A33" s="273"/>
      <c r="B33" s="518" t="s">
        <v>31</v>
      </c>
      <c r="C33" s="519"/>
      <c r="D33" s="46"/>
      <c r="E33" s="117"/>
      <c r="F33" s="517"/>
      <c r="G33" s="518" t="s">
        <v>31</v>
      </c>
      <c r="H33" s="519"/>
      <c r="I33" s="46"/>
      <c r="J33" s="117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  <c r="Z33" s="273"/>
    </row>
    <row r="34" ht="15.75" customHeight="1">
      <c r="A34" s="273"/>
      <c r="B34" s="465"/>
      <c r="C34" s="64"/>
      <c r="E34" s="69"/>
      <c r="F34" s="511"/>
      <c r="G34" s="465"/>
      <c r="H34" s="64"/>
      <c r="J34" s="69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  <c r="Z34" s="273"/>
    </row>
    <row r="35" ht="15.75" customHeight="1">
      <c r="A35" s="273"/>
      <c r="B35" s="465"/>
      <c r="C35" s="64"/>
      <c r="E35" s="69"/>
      <c r="F35" s="511"/>
      <c r="G35" s="465"/>
      <c r="H35" s="64"/>
      <c r="J35" s="69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  <c r="Z35" s="273"/>
    </row>
    <row r="36" ht="15.75" customHeight="1">
      <c r="A36" s="273"/>
      <c r="B36" s="465"/>
      <c r="C36" s="64"/>
      <c r="E36" s="69"/>
      <c r="F36" s="511"/>
      <c r="G36" s="468"/>
      <c r="H36" s="121"/>
      <c r="I36" s="113"/>
      <c r="J36" s="114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</row>
    <row r="37" ht="23.25" customHeight="1">
      <c r="A37" s="273"/>
      <c r="B37" s="542" t="s">
        <v>86</v>
      </c>
      <c r="C37" s="521"/>
      <c r="D37" s="138"/>
      <c r="E37" s="120"/>
      <c r="F37" s="55"/>
      <c r="G37" s="542" t="s">
        <v>86</v>
      </c>
      <c r="H37" s="521"/>
      <c r="I37" s="138"/>
      <c r="J37" s="120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</row>
    <row r="38" ht="21.0" customHeight="1">
      <c r="A38" s="273"/>
      <c r="B38" s="520" t="s">
        <v>87</v>
      </c>
      <c r="C38" s="454"/>
      <c r="D38" s="543" t="s">
        <v>67</v>
      </c>
      <c r="E38" s="544"/>
      <c r="F38" s="55"/>
      <c r="G38" s="520" t="s">
        <v>87</v>
      </c>
      <c r="H38" s="454"/>
      <c r="I38" s="543" t="s">
        <v>67</v>
      </c>
      <c r="J38" s="544"/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</row>
    <row r="39" ht="15.75" customHeight="1">
      <c r="A39" s="273"/>
      <c r="B39" s="55"/>
      <c r="C39" s="55"/>
      <c r="D39" s="55"/>
      <c r="E39" s="55"/>
      <c r="F39" s="55"/>
      <c r="G39" s="55"/>
      <c r="H39" s="55"/>
      <c r="I39" s="55"/>
      <c r="J39" s="55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  <c r="Z39" s="273"/>
    </row>
    <row r="40" ht="15.75" customHeight="1">
      <c r="A40" s="273"/>
      <c r="B40" s="506"/>
      <c r="C40" s="462" t="s">
        <v>0</v>
      </c>
      <c r="D40" s="464" t="s">
        <v>1</v>
      </c>
      <c r="E40" s="464" t="s">
        <v>460</v>
      </c>
      <c r="F40" s="55"/>
      <c r="G40" s="506"/>
      <c r="H40" s="462" t="s">
        <v>0</v>
      </c>
      <c r="I40" s="464" t="s">
        <v>1</v>
      </c>
      <c r="J40" s="464" t="s">
        <v>460</v>
      </c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</row>
    <row r="41" ht="15.75" customHeight="1">
      <c r="A41" s="273"/>
      <c r="B41" s="64"/>
      <c r="C41" s="465"/>
      <c r="D41" s="467" t="s">
        <v>3</v>
      </c>
      <c r="E41" s="507">
        <v>1.0</v>
      </c>
      <c r="F41" s="55"/>
      <c r="G41" s="64"/>
      <c r="H41" s="465"/>
      <c r="I41" s="467" t="s">
        <v>3</v>
      </c>
      <c r="J41" s="507">
        <v>1.0</v>
      </c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</row>
    <row r="42" ht="15.75" customHeight="1">
      <c r="A42" s="273"/>
      <c r="B42" s="64"/>
      <c r="C42" s="468"/>
      <c r="D42" s="464" t="s">
        <v>5</v>
      </c>
      <c r="E42" s="464" t="s">
        <v>6</v>
      </c>
      <c r="F42" s="55"/>
      <c r="G42" s="64"/>
      <c r="H42" s="468"/>
      <c r="I42" s="464" t="s">
        <v>5</v>
      </c>
      <c r="J42" s="464" t="s">
        <v>6</v>
      </c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</row>
    <row r="43" ht="15.75" customHeight="1">
      <c r="A43" s="273"/>
      <c r="B43" s="64"/>
      <c r="C43" s="462" t="s">
        <v>461</v>
      </c>
      <c r="D43" s="508" t="s">
        <v>7</v>
      </c>
      <c r="E43" s="508" t="s">
        <v>8</v>
      </c>
      <c r="F43" s="55"/>
      <c r="G43" s="64"/>
      <c r="H43" s="462" t="s">
        <v>461</v>
      </c>
      <c r="I43" s="508" t="s">
        <v>7</v>
      </c>
      <c r="J43" s="508" t="s">
        <v>8</v>
      </c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</row>
    <row r="44" ht="15.75" customHeight="1">
      <c r="A44" s="273"/>
      <c r="B44" s="64"/>
      <c r="C44" s="468"/>
      <c r="D44" s="88"/>
      <c r="E44" s="509" t="s">
        <v>9</v>
      </c>
      <c r="F44" s="55"/>
      <c r="G44" s="64"/>
      <c r="H44" s="468"/>
      <c r="I44" s="88"/>
      <c r="J44" s="509" t="s">
        <v>9</v>
      </c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</row>
    <row r="45" ht="24.75" customHeight="1">
      <c r="A45" s="273"/>
      <c r="B45" s="510" t="s">
        <v>417</v>
      </c>
      <c r="C45" s="522"/>
      <c r="D45" s="46"/>
      <c r="E45" s="117"/>
      <c r="F45" s="511"/>
      <c r="G45" s="510" t="s">
        <v>417</v>
      </c>
      <c r="H45" s="522"/>
      <c r="I45" s="46"/>
      <c r="J45" s="117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</row>
    <row r="46" ht="22.5" customHeight="1">
      <c r="A46" s="273"/>
      <c r="B46" s="512" t="s">
        <v>344</v>
      </c>
      <c r="C46" s="523"/>
      <c r="D46" s="138"/>
      <c r="E46" s="120"/>
      <c r="F46" s="511"/>
      <c r="G46" s="512" t="s">
        <v>344</v>
      </c>
      <c r="H46" s="523"/>
      <c r="I46" s="138"/>
      <c r="J46" s="120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</row>
    <row r="47" ht="34.5" customHeight="1">
      <c r="A47" s="273"/>
      <c r="B47" s="510" t="s">
        <v>462</v>
      </c>
      <c r="C47" s="523"/>
      <c r="D47" s="138"/>
      <c r="E47" s="120"/>
      <c r="F47" s="511"/>
      <c r="G47" s="510" t="s">
        <v>462</v>
      </c>
      <c r="H47" s="523"/>
      <c r="I47" s="138"/>
      <c r="J47" s="120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</row>
    <row r="48" ht="38.25" customHeight="1">
      <c r="A48" s="273"/>
      <c r="B48" s="512" t="s">
        <v>463</v>
      </c>
      <c r="C48" s="540"/>
      <c r="D48" s="540" t="s">
        <v>464</v>
      </c>
      <c r="E48" s="541"/>
      <c r="F48" s="517"/>
      <c r="G48" s="512" t="s">
        <v>463</v>
      </c>
      <c r="H48" s="540"/>
      <c r="I48" s="540" t="s">
        <v>464</v>
      </c>
      <c r="J48" s="541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</row>
    <row r="49" ht="15.75" customHeight="1">
      <c r="A49" s="273"/>
      <c r="B49" s="518" t="s">
        <v>31</v>
      </c>
      <c r="C49" s="519"/>
      <c r="D49" s="46"/>
      <c r="E49" s="117"/>
      <c r="F49" s="517"/>
      <c r="G49" s="518" t="s">
        <v>31</v>
      </c>
      <c r="H49" s="519"/>
      <c r="I49" s="46"/>
      <c r="J49" s="117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</row>
    <row r="50" ht="15.75" customHeight="1">
      <c r="A50" s="273"/>
      <c r="B50" s="465"/>
      <c r="C50" s="64"/>
      <c r="E50" s="69"/>
      <c r="F50" s="511"/>
      <c r="G50" s="465"/>
      <c r="H50" s="64"/>
      <c r="J50" s="69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</row>
    <row r="51" ht="15.75" customHeight="1">
      <c r="A51" s="273"/>
      <c r="B51" s="465"/>
      <c r="C51" s="64"/>
      <c r="E51" s="69"/>
      <c r="F51" s="511"/>
      <c r="G51" s="465"/>
      <c r="H51" s="64"/>
      <c r="J51" s="69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</row>
    <row r="52" ht="15.75" customHeight="1">
      <c r="A52" s="273"/>
      <c r="B52" s="465"/>
      <c r="C52" s="64"/>
      <c r="E52" s="69"/>
      <c r="F52" s="511"/>
      <c r="G52" s="468"/>
      <c r="H52" s="121"/>
      <c r="I52" s="113"/>
      <c r="J52" s="114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</row>
    <row r="53" ht="22.5" customHeight="1">
      <c r="A53" s="273"/>
      <c r="B53" s="542" t="s">
        <v>86</v>
      </c>
      <c r="C53" s="521"/>
      <c r="D53" s="138"/>
      <c r="E53" s="120"/>
      <c r="F53" s="55"/>
      <c r="G53" s="542" t="s">
        <v>86</v>
      </c>
      <c r="H53" s="521"/>
      <c r="I53" s="138"/>
      <c r="J53" s="120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</row>
    <row r="54" ht="24.0" customHeight="1">
      <c r="A54" s="273"/>
      <c r="B54" s="520" t="s">
        <v>87</v>
      </c>
      <c r="C54" s="454"/>
      <c r="D54" s="543" t="s">
        <v>67</v>
      </c>
      <c r="E54" s="544"/>
      <c r="F54" s="55"/>
      <c r="G54" s="520" t="s">
        <v>87</v>
      </c>
      <c r="H54" s="454"/>
      <c r="I54" s="543" t="s">
        <v>67</v>
      </c>
      <c r="J54" s="544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</row>
    <row r="55" ht="15.75" customHeight="1">
      <c r="A55" s="273"/>
      <c r="B55" s="55"/>
      <c r="C55" s="55"/>
      <c r="D55" s="55"/>
      <c r="E55" s="55"/>
      <c r="F55" s="55"/>
      <c r="G55" s="55"/>
      <c r="H55" s="55"/>
      <c r="I55" s="55"/>
      <c r="J55" s="55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</row>
    <row r="56" ht="15.75" customHeight="1">
      <c r="A56" s="273"/>
      <c r="B56" s="506"/>
      <c r="C56" s="462" t="s">
        <v>0</v>
      </c>
      <c r="D56" s="464" t="s">
        <v>1</v>
      </c>
      <c r="E56" s="464" t="s">
        <v>460</v>
      </c>
      <c r="F56" s="55"/>
      <c r="G56" s="506"/>
      <c r="H56" s="462" t="s">
        <v>0</v>
      </c>
      <c r="I56" s="464" t="s">
        <v>1</v>
      </c>
      <c r="J56" s="464" t="s">
        <v>460</v>
      </c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</row>
    <row r="57" ht="15.75" customHeight="1">
      <c r="A57" s="273"/>
      <c r="B57" s="64"/>
      <c r="C57" s="465"/>
      <c r="D57" s="467" t="s">
        <v>3</v>
      </c>
      <c r="E57" s="507">
        <v>1.0</v>
      </c>
      <c r="F57" s="55"/>
      <c r="G57" s="64"/>
      <c r="H57" s="465"/>
      <c r="I57" s="467" t="s">
        <v>3</v>
      </c>
      <c r="J57" s="507">
        <v>1.0</v>
      </c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</row>
    <row r="58" ht="15.75" customHeight="1">
      <c r="A58" s="273"/>
      <c r="B58" s="64"/>
      <c r="C58" s="468"/>
      <c r="D58" s="464" t="s">
        <v>5</v>
      </c>
      <c r="E58" s="464" t="s">
        <v>6</v>
      </c>
      <c r="F58" s="55"/>
      <c r="G58" s="64"/>
      <c r="H58" s="468"/>
      <c r="I58" s="464" t="s">
        <v>5</v>
      </c>
      <c r="J58" s="464" t="s">
        <v>6</v>
      </c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</row>
    <row r="59" ht="15.75" customHeight="1">
      <c r="A59" s="273"/>
      <c r="B59" s="64"/>
      <c r="C59" s="462" t="s">
        <v>461</v>
      </c>
      <c r="D59" s="508" t="s">
        <v>7</v>
      </c>
      <c r="E59" s="508" t="s">
        <v>8</v>
      </c>
      <c r="F59" s="55"/>
      <c r="G59" s="64"/>
      <c r="H59" s="462" t="s">
        <v>461</v>
      </c>
      <c r="I59" s="508" t="s">
        <v>7</v>
      </c>
      <c r="J59" s="508" t="s">
        <v>8</v>
      </c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</row>
    <row r="60" ht="15.75" customHeight="1">
      <c r="A60" s="273"/>
      <c r="B60" s="64"/>
      <c r="C60" s="468"/>
      <c r="D60" s="88"/>
      <c r="E60" s="509" t="s">
        <v>9</v>
      </c>
      <c r="F60" s="55"/>
      <c r="G60" s="64"/>
      <c r="H60" s="468"/>
      <c r="I60" s="88"/>
      <c r="J60" s="509" t="s">
        <v>9</v>
      </c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</row>
    <row r="61" ht="33.0" customHeight="1">
      <c r="A61" s="273"/>
      <c r="B61" s="510" t="s">
        <v>417</v>
      </c>
      <c r="C61" s="522"/>
      <c r="D61" s="46"/>
      <c r="E61" s="117"/>
      <c r="F61" s="511"/>
      <c r="G61" s="510" t="s">
        <v>417</v>
      </c>
      <c r="H61" s="522"/>
      <c r="I61" s="46"/>
      <c r="J61" s="117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</row>
    <row r="62" ht="33.0" customHeight="1">
      <c r="A62" s="273"/>
      <c r="B62" s="512" t="s">
        <v>344</v>
      </c>
      <c r="C62" s="523"/>
      <c r="D62" s="138"/>
      <c r="E62" s="120"/>
      <c r="F62" s="511"/>
      <c r="G62" s="512" t="s">
        <v>344</v>
      </c>
      <c r="H62" s="523"/>
      <c r="I62" s="138"/>
      <c r="J62" s="120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</row>
    <row r="63" ht="45.0" customHeight="1">
      <c r="A63" s="273"/>
      <c r="B63" s="510" t="s">
        <v>462</v>
      </c>
      <c r="C63" s="523"/>
      <c r="D63" s="138"/>
      <c r="E63" s="120"/>
      <c r="F63" s="511"/>
      <c r="G63" s="510" t="s">
        <v>462</v>
      </c>
      <c r="H63" s="523"/>
      <c r="I63" s="138"/>
      <c r="J63" s="120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</row>
    <row r="64" ht="36.0" customHeight="1">
      <c r="A64" s="273"/>
      <c r="B64" s="512" t="s">
        <v>463</v>
      </c>
      <c r="C64" s="540"/>
      <c r="D64" s="540" t="s">
        <v>464</v>
      </c>
      <c r="E64" s="541"/>
      <c r="F64" s="517"/>
      <c r="G64" s="512" t="s">
        <v>463</v>
      </c>
      <c r="H64" s="540"/>
      <c r="I64" s="540" t="s">
        <v>464</v>
      </c>
      <c r="J64" s="541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</row>
    <row r="65" ht="15.75" customHeight="1">
      <c r="A65" s="273"/>
      <c r="B65" s="518" t="s">
        <v>31</v>
      </c>
      <c r="C65" s="519"/>
      <c r="D65" s="46"/>
      <c r="E65" s="117"/>
      <c r="F65" s="517"/>
      <c r="G65" s="518" t="s">
        <v>31</v>
      </c>
      <c r="H65" s="519"/>
      <c r="I65" s="46"/>
      <c r="J65" s="117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273"/>
    </row>
    <row r="66" ht="15.75" customHeight="1">
      <c r="A66" s="273"/>
      <c r="B66" s="465"/>
      <c r="C66" s="64"/>
      <c r="E66" s="69"/>
      <c r="F66" s="511"/>
      <c r="G66" s="465"/>
      <c r="H66" s="64"/>
      <c r="J66" s="69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</row>
    <row r="67" ht="15.75" customHeight="1">
      <c r="A67" s="273"/>
      <c r="B67" s="465"/>
      <c r="C67" s="64"/>
      <c r="E67" s="69"/>
      <c r="F67" s="511"/>
      <c r="G67" s="465"/>
      <c r="H67" s="64"/>
      <c r="J67" s="69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  <c r="Z67" s="273"/>
    </row>
    <row r="68" ht="15.75" customHeight="1">
      <c r="A68" s="273"/>
      <c r="B68" s="465"/>
      <c r="C68" s="64"/>
      <c r="E68" s="69"/>
      <c r="F68" s="511"/>
      <c r="G68" s="468"/>
      <c r="H68" s="121"/>
      <c r="I68" s="113"/>
      <c r="J68" s="114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273"/>
    </row>
    <row r="69" ht="24.0" customHeight="1">
      <c r="A69" s="273"/>
      <c r="B69" s="542" t="s">
        <v>86</v>
      </c>
      <c r="C69" s="521"/>
      <c r="D69" s="138"/>
      <c r="E69" s="120"/>
      <c r="F69" s="55"/>
      <c r="G69" s="542" t="s">
        <v>86</v>
      </c>
      <c r="H69" s="521"/>
      <c r="I69" s="138"/>
      <c r="J69" s="120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273"/>
    </row>
    <row r="70" ht="23.25" customHeight="1">
      <c r="A70" s="273"/>
      <c r="B70" s="520" t="s">
        <v>87</v>
      </c>
      <c r="C70" s="454"/>
      <c r="D70" s="543" t="s">
        <v>67</v>
      </c>
      <c r="E70" s="544"/>
      <c r="F70" s="55"/>
      <c r="G70" s="520" t="s">
        <v>87</v>
      </c>
      <c r="H70" s="454"/>
      <c r="I70" s="543" t="s">
        <v>67</v>
      </c>
      <c r="J70" s="544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</row>
    <row r="71" ht="15.75" customHeight="1">
      <c r="A71" s="273"/>
      <c r="B71" s="55"/>
      <c r="C71" s="55"/>
      <c r="D71" s="55"/>
      <c r="E71" s="55"/>
      <c r="F71" s="55"/>
      <c r="G71" s="55"/>
      <c r="H71" s="55"/>
      <c r="I71" s="55"/>
      <c r="J71" s="55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</row>
    <row r="72" ht="15.75" customHeight="1">
      <c r="A72" s="273"/>
      <c r="B72" s="55"/>
      <c r="C72" s="55"/>
      <c r="D72" s="55"/>
      <c r="E72" s="55"/>
      <c r="F72" s="55"/>
      <c r="G72" s="55"/>
      <c r="H72" s="55"/>
      <c r="I72" s="55"/>
      <c r="J72" s="55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</row>
    <row r="73" ht="15.75" customHeight="1">
      <c r="A73" s="273"/>
      <c r="B73" s="55"/>
      <c r="C73" s="55"/>
      <c r="D73" s="55"/>
      <c r="E73" s="55"/>
      <c r="F73" s="55"/>
      <c r="G73" s="55"/>
      <c r="H73" s="55"/>
      <c r="I73" s="55"/>
      <c r="J73" s="55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</row>
    <row r="74" ht="15.75" customHeight="1">
      <c r="A74" s="273"/>
      <c r="B74" s="55"/>
      <c r="C74" s="55"/>
      <c r="D74" s="55"/>
      <c r="E74" s="55"/>
      <c r="F74" s="55"/>
      <c r="G74" s="55"/>
      <c r="H74" s="55"/>
      <c r="I74" s="55"/>
      <c r="J74" s="55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</row>
    <row r="75" ht="15.75" customHeight="1">
      <c r="A75" s="273"/>
      <c r="B75" s="55"/>
      <c r="C75" s="55"/>
      <c r="D75" s="55"/>
      <c r="E75" s="55"/>
      <c r="F75" s="55"/>
      <c r="G75" s="55"/>
      <c r="H75" s="55"/>
      <c r="I75" s="55"/>
      <c r="J75" s="55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273"/>
    </row>
    <row r="76" ht="15.75" customHeight="1">
      <c r="A76" s="273"/>
      <c r="B76" s="55"/>
      <c r="C76" s="55"/>
      <c r="D76" s="55"/>
      <c r="E76" s="55"/>
      <c r="F76" s="55"/>
      <c r="G76" s="55"/>
      <c r="H76" s="55"/>
      <c r="I76" s="55"/>
      <c r="J76" s="55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</row>
    <row r="77" ht="15.75" customHeight="1">
      <c r="A77" s="273"/>
      <c r="B77" s="55"/>
      <c r="C77" s="55"/>
      <c r="D77" s="55"/>
      <c r="E77" s="55"/>
      <c r="F77" s="55"/>
      <c r="G77" s="55"/>
      <c r="H77" s="55"/>
      <c r="I77" s="55"/>
      <c r="J77" s="55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273"/>
    </row>
    <row r="78" ht="15.75" customHeight="1">
      <c r="A78" s="273"/>
      <c r="B78" s="55"/>
      <c r="C78" s="55"/>
      <c r="D78" s="55"/>
      <c r="E78" s="55"/>
      <c r="F78" s="55"/>
      <c r="G78" s="55"/>
      <c r="H78" s="55"/>
      <c r="I78" s="55"/>
      <c r="J78" s="55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</row>
    <row r="79" ht="15.75" customHeight="1">
      <c r="A79" s="273"/>
      <c r="B79" s="55"/>
      <c r="C79" s="55"/>
      <c r="D79" s="55"/>
      <c r="E79" s="55"/>
      <c r="F79" s="55"/>
      <c r="G79" s="55"/>
      <c r="H79" s="55"/>
      <c r="I79" s="55"/>
      <c r="J79" s="55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</row>
    <row r="80" ht="15.75" customHeight="1">
      <c r="A80" s="273"/>
      <c r="B80" s="55"/>
      <c r="C80" s="55"/>
      <c r="D80" s="55"/>
      <c r="E80" s="55"/>
      <c r="F80" s="55"/>
      <c r="G80" s="55"/>
      <c r="H80" s="55"/>
      <c r="I80" s="55"/>
      <c r="J80" s="55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</row>
    <row r="81" ht="15.75" customHeight="1">
      <c r="A81" s="273"/>
      <c r="B81" s="55"/>
      <c r="C81" s="55"/>
      <c r="D81" s="55"/>
      <c r="E81" s="55"/>
      <c r="F81" s="55"/>
      <c r="G81" s="55"/>
      <c r="H81" s="55"/>
      <c r="I81" s="55"/>
      <c r="J81" s="55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</row>
    <row r="82" ht="15.75" customHeight="1">
      <c r="A82" s="273"/>
      <c r="B82" s="55"/>
      <c r="C82" s="55"/>
      <c r="D82" s="55"/>
      <c r="E82" s="55"/>
      <c r="F82" s="55"/>
      <c r="G82" s="55"/>
      <c r="H82" s="55"/>
      <c r="I82" s="55"/>
      <c r="J82" s="55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</row>
    <row r="83" ht="15.75" customHeight="1">
      <c r="A83" s="273"/>
      <c r="B83" s="55"/>
      <c r="C83" s="55"/>
      <c r="D83" s="55"/>
      <c r="E83" s="55"/>
      <c r="F83" s="55"/>
      <c r="G83" s="55"/>
      <c r="H83" s="55"/>
      <c r="I83" s="55"/>
      <c r="J83" s="55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</row>
    <row r="84" ht="15.75" customHeight="1">
      <c r="A84" s="273"/>
      <c r="B84" s="55"/>
      <c r="C84" s="55"/>
      <c r="D84" s="55"/>
      <c r="E84" s="55"/>
      <c r="F84" s="55"/>
      <c r="G84" s="55"/>
      <c r="H84" s="55"/>
      <c r="I84" s="55"/>
      <c r="J84" s="55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</row>
    <row r="85" ht="15.75" customHeight="1">
      <c r="A85" s="273"/>
      <c r="B85" s="55"/>
      <c r="C85" s="55"/>
      <c r="D85" s="55"/>
      <c r="E85" s="55"/>
      <c r="F85" s="55"/>
      <c r="G85" s="55"/>
      <c r="H85" s="55"/>
      <c r="I85" s="55"/>
      <c r="J85" s="55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  <c r="Z85" s="273"/>
    </row>
    <row r="86" ht="15.75" customHeight="1">
      <c r="A86" s="273"/>
      <c r="B86" s="55"/>
      <c r="C86" s="55"/>
      <c r="D86" s="55"/>
      <c r="E86" s="55"/>
      <c r="F86" s="55"/>
      <c r="G86" s="55"/>
      <c r="H86" s="55"/>
      <c r="I86" s="55"/>
      <c r="J86" s="55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</row>
    <row r="87" ht="15.75" customHeight="1">
      <c r="A87" s="273"/>
      <c r="B87" s="55"/>
      <c r="C87" s="55"/>
      <c r="D87" s="55"/>
      <c r="E87" s="55"/>
      <c r="F87" s="55"/>
      <c r="G87" s="55"/>
      <c r="H87" s="55"/>
      <c r="I87" s="55"/>
      <c r="J87" s="55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  <c r="Z87" s="273"/>
    </row>
    <row r="88" ht="15.75" customHeight="1">
      <c r="A88" s="273"/>
      <c r="B88" s="55"/>
      <c r="C88" s="55"/>
      <c r="D88" s="55"/>
      <c r="E88" s="55"/>
      <c r="F88" s="55"/>
      <c r="G88" s="55"/>
      <c r="H88" s="55"/>
      <c r="I88" s="55"/>
      <c r="J88" s="55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</row>
    <row r="89" ht="15.75" customHeight="1">
      <c r="A89" s="273"/>
      <c r="B89" s="55"/>
      <c r="C89" s="55"/>
      <c r="D89" s="55"/>
      <c r="E89" s="55"/>
      <c r="F89" s="55"/>
      <c r="G89" s="55"/>
      <c r="H89" s="55"/>
      <c r="I89" s="55"/>
      <c r="J89" s="55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  <c r="Z89" s="273"/>
    </row>
    <row r="90" ht="15.75" customHeight="1">
      <c r="A90" s="273"/>
      <c r="B90" s="55"/>
      <c r="C90" s="55"/>
      <c r="D90" s="55"/>
      <c r="E90" s="55"/>
      <c r="F90" s="55"/>
      <c r="G90" s="55"/>
      <c r="H90" s="55"/>
      <c r="I90" s="55"/>
      <c r="J90" s="55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</row>
    <row r="91" ht="15.75" customHeight="1">
      <c r="A91" s="273"/>
      <c r="B91" s="55"/>
      <c r="C91" s="55"/>
      <c r="D91" s="55"/>
      <c r="E91" s="55"/>
      <c r="F91" s="55"/>
      <c r="G91" s="55"/>
      <c r="H91" s="55"/>
      <c r="I91" s="55"/>
      <c r="J91" s="55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  <c r="Z91" s="273"/>
    </row>
    <row r="92" ht="15.75" customHeight="1">
      <c r="A92" s="273"/>
      <c r="B92" s="55"/>
      <c r="C92" s="55"/>
      <c r="D92" s="55"/>
      <c r="E92" s="55"/>
      <c r="F92" s="55"/>
      <c r="G92" s="55"/>
      <c r="H92" s="55"/>
      <c r="I92" s="55"/>
      <c r="J92" s="55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</row>
    <row r="93" ht="15.75" customHeight="1">
      <c r="A93" s="273"/>
      <c r="B93" s="55"/>
      <c r="C93" s="55"/>
      <c r="D93" s="55"/>
      <c r="E93" s="55"/>
      <c r="F93" s="55"/>
      <c r="G93" s="55"/>
      <c r="H93" s="55"/>
      <c r="I93" s="55"/>
      <c r="J93" s="55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</row>
    <row r="94" ht="15.75" customHeight="1">
      <c r="A94" s="273"/>
      <c r="B94" s="55"/>
      <c r="C94" s="55"/>
      <c r="D94" s="55"/>
      <c r="E94" s="55"/>
      <c r="F94" s="55"/>
      <c r="G94" s="55"/>
      <c r="H94" s="55"/>
      <c r="I94" s="55"/>
      <c r="J94" s="55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</row>
    <row r="95" ht="15.75" customHeight="1">
      <c r="A95" s="273"/>
      <c r="B95" s="55"/>
      <c r="C95" s="55"/>
      <c r="D95" s="55"/>
      <c r="E95" s="55"/>
      <c r="F95" s="55"/>
      <c r="G95" s="55"/>
      <c r="H95" s="55"/>
      <c r="I95" s="55"/>
      <c r="J95" s="55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  <c r="Z95" s="273"/>
    </row>
    <row r="96" ht="15.75" customHeight="1">
      <c r="A96" s="273"/>
      <c r="B96" s="55"/>
      <c r="C96" s="55"/>
      <c r="D96" s="55"/>
      <c r="E96" s="55"/>
      <c r="F96" s="55"/>
      <c r="G96" s="55"/>
      <c r="H96" s="55"/>
      <c r="I96" s="55"/>
      <c r="J96" s="55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</row>
    <row r="97" ht="15.75" customHeight="1">
      <c r="A97" s="273"/>
      <c r="B97" s="55"/>
      <c r="C97" s="55"/>
      <c r="D97" s="55"/>
      <c r="E97" s="55"/>
      <c r="F97" s="55"/>
      <c r="G97" s="55"/>
      <c r="H97" s="55"/>
      <c r="I97" s="55"/>
      <c r="J97" s="55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  <c r="Z97" s="273"/>
    </row>
    <row r="98" ht="15.75" customHeight="1">
      <c r="A98" s="273"/>
      <c r="B98" s="55"/>
      <c r="C98" s="55"/>
      <c r="D98" s="55"/>
      <c r="E98" s="55"/>
      <c r="F98" s="55"/>
      <c r="G98" s="55"/>
      <c r="H98" s="55"/>
      <c r="I98" s="55"/>
      <c r="J98" s="55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</row>
    <row r="99" ht="15.75" customHeight="1">
      <c r="A99" s="273"/>
      <c r="B99" s="55"/>
      <c r="C99" s="55"/>
      <c r="D99" s="55"/>
      <c r="E99" s="55"/>
      <c r="F99" s="55"/>
      <c r="G99" s="55"/>
      <c r="H99" s="55"/>
      <c r="I99" s="55"/>
      <c r="J99" s="55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</row>
    <row r="100" ht="15.75" customHeight="1">
      <c r="A100" s="273"/>
      <c r="B100" s="55"/>
      <c r="C100" s="55"/>
      <c r="D100" s="55"/>
      <c r="E100" s="55"/>
      <c r="F100" s="55"/>
      <c r="G100" s="55"/>
      <c r="H100" s="55"/>
      <c r="I100" s="55"/>
      <c r="J100" s="55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</row>
    <row r="101" ht="15.75" customHeight="1">
      <c r="A101" s="273"/>
      <c r="B101" s="55"/>
      <c r="C101" s="55"/>
      <c r="D101" s="55"/>
      <c r="E101" s="55"/>
      <c r="F101" s="55"/>
      <c r="G101" s="55"/>
      <c r="H101" s="55"/>
      <c r="I101" s="55"/>
      <c r="J101" s="55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</row>
    <row r="102" ht="15.75" customHeight="1">
      <c r="A102" s="273"/>
      <c r="B102" s="55"/>
      <c r="C102" s="55"/>
      <c r="D102" s="55"/>
      <c r="E102" s="55"/>
      <c r="F102" s="55"/>
      <c r="G102" s="55"/>
      <c r="H102" s="55"/>
      <c r="I102" s="55"/>
      <c r="J102" s="55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</row>
    <row r="103" ht="15.75" customHeight="1">
      <c r="A103" s="273"/>
      <c r="B103" s="55"/>
      <c r="C103" s="55"/>
      <c r="D103" s="55"/>
      <c r="E103" s="55"/>
      <c r="F103" s="55"/>
      <c r="G103" s="55"/>
      <c r="H103" s="55"/>
      <c r="I103" s="55"/>
      <c r="J103" s="55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</row>
    <row r="104" ht="15.75" customHeight="1">
      <c r="A104" s="273"/>
      <c r="B104" s="55"/>
      <c r="C104" s="55"/>
      <c r="D104" s="55"/>
      <c r="E104" s="55"/>
      <c r="F104" s="55"/>
      <c r="G104" s="55"/>
      <c r="H104" s="55"/>
      <c r="I104" s="55"/>
      <c r="J104" s="55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</row>
    <row r="105" ht="15.75" customHeight="1">
      <c r="A105" s="273"/>
      <c r="B105" s="55"/>
      <c r="C105" s="55"/>
      <c r="D105" s="55"/>
      <c r="E105" s="55"/>
      <c r="F105" s="55"/>
      <c r="G105" s="55"/>
      <c r="H105" s="55"/>
      <c r="I105" s="55"/>
      <c r="J105" s="55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  <c r="Z105" s="273"/>
    </row>
    <row r="106" ht="15.75" customHeight="1">
      <c r="A106" s="273"/>
      <c r="B106" s="55"/>
      <c r="C106" s="55"/>
      <c r="D106" s="55"/>
      <c r="E106" s="55"/>
      <c r="F106" s="55"/>
      <c r="G106" s="55"/>
      <c r="H106" s="55"/>
      <c r="I106" s="55"/>
      <c r="J106" s="55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</row>
    <row r="107" ht="15.75" customHeight="1">
      <c r="A107" s="273"/>
      <c r="B107" s="55"/>
      <c r="C107" s="55"/>
      <c r="D107" s="55"/>
      <c r="E107" s="55"/>
      <c r="F107" s="55"/>
      <c r="G107" s="55"/>
      <c r="H107" s="55"/>
      <c r="I107" s="55"/>
      <c r="J107" s="55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</row>
    <row r="108" ht="15.75" customHeight="1">
      <c r="A108" s="273"/>
      <c r="B108" s="55"/>
      <c r="C108" s="55"/>
      <c r="D108" s="55"/>
      <c r="E108" s="55"/>
      <c r="F108" s="55"/>
      <c r="G108" s="55"/>
      <c r="H108" s="55"/>
      <c r="I108" s="55"/>
      <c r="J108" s="55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</row>
    <row r="109" ht="15.75" customHeight="1">
      <c r="A109" s="273"/>
      <c r="B109" s="55"/>
      <c r="C109" s="55"/>
      <c r="D109" s="55"/>
      <c r="E109" s="55"/>
      <c r="F109" s="55"/>
      <c r="G109" s="55"/>
      <c r="H109" s="55"/>
      <c r="I109" s="55"/>
      <c r="J109" s="55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  <c r="Z109" s="273"/>
    </row>
    <row r="110" ht="15.75" customHeight="1">
      <c r="A110" s="273"/>
      <c r="B110" s="55"/>
      <c r="C110" s="55"/>
      <c r="D110" s="55"/>
      <c r="E110" s="55"/>
      <c r="F110" s="55"/>
      <c r="G110" s="55"/>
      <c r="H110" s="55"/>
      <c r="I110" s="55"/>
      <c r="J110" s="55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</row>
    <row r="111" ht="15.75" customHeight="1">
      <c r="A111" s="273"/>
      <c r="B111" s="55"/>
      <c r="C111" s="55"/>
      <c r="D111" s="55"/>
      <c r="E111" s="55"/>
      <c r="F111" s="55"/>
      <c r="G111" s="55"/>
      <c r="H111" s="55"/>
      <c r="I111" s="55"/>
      <c r="J111" s="55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  <c r="Z111" s="273"/>
    </row>
    <row r="112" ht="15.75" customHeight="1">
      <c r="A112" s="273"/>
      <c r="B112" s="55"/>
      <c r="C112" s="55"/>
      <c r="D112" s="55"/>
      <c r="E112" s="55"/>
      <c r="F112" s="55"/>
      <c r="G112" s="55"/>
      <c r="H112" s="55"/>
      <c r="I112" s="55"/>
      <c r="J112" s="55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</row>
    <row r="113" ht="15.75" customHeight="1">
      <c r="A113" s="273"/>
      <c r="B113" s="55"/>
      <c r="C113" s="55"/>
      <c r="D113" s="55"/>
      <c r="E113" s="55"/>
      <c r="F113" s="55"/>
      <c r="G113" s="55"/>
      <c r="H113" s="55"/>
      <c r="I113" s="55"/>
      <c r="J113" s="55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  <c r="Z113" s="273"/>
    </row>
    <row r="114" ht="15.75" customHeight="1">
      <c r="A114" s="273"/>
      <c r="B114" s="55"/>
      <c r="C114" s="55"/>
      <c r="D114" s="55"/>
      <c r="E114" s="55"/>
      <c r="F114" s="55"/>
      <c r="G114" s="55"/>
      <c r="H114" s="55"/>
      <c r="I114" s="55"/>
      <c r="J114" s="55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</row>
    <row r="115" ht="15.75" customHeight="1">
      <c r="A115" s="273"/>
      <c r="B115" s="55"/>
      <c r="C115" s="55"/>
      <c r="D115" s="55"/>
      <c r="E115" s="55"/>
      <c r="F115" s="55"/>
      <c r="G115" s="55"/>
      <c r="H115" s="55"/>
      <c r="I115" s="55"/>
      <c r="J115" s="55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  <c r="Z115" s="273"/>
    </row>
    <row r="116" ht="15.75" customHeight="1">
      <c r="A116" s="273"/>
      <c r="B116" s="55"/>
      <c r="C116" s="55"/>
      <c r="D116" s="55"/>
      <c r="E116" s="55"/>
      <c r="F116" s="55"/>
      <c r="G116" s="55"/>
      <c r="H116" s="55"/>
      <c r="I116" s="55"/>
      <c r="J116" s="55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</row>
    <row r="117" ht="15.75" customHeight="1">
      <c r="A117" s="273"/>
      <c r="B117" s="55"/>
      <c r="C117" s="55"/>
      <c r="D117" s="55"/>
      <c r="E117" s="55"/>
      <c r="F117" s="55"/>
      <c r="G117" s="55"/>
      <c r="H117" s="55"/>
      <c r="I117" s="55"/>
      <c r="J117" s="55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</row>
    <row r="118" ht="15.75" customHeight="1">
      <c r="A118" s="273"/>
      <c r="B118" s="55"/>
      <c r="C118" s="55"/>
      <c r="D118" s="55"/>
      <c r="E118" s="55"/>
      <c r="F118" s="55"/>
      <c r="G118" s="55"/>
      <c r="H118" s="55"/>
      <c r="I118" s="55"/>
      <c r="J118" s="55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</row>
    <row r="119" ht="15.75" customHeight="1">
      <c r="A119" s="273"/>
      <c r="B119" s="55"/>
      <c r="C119" s="55"/>
      <c r="D119" s="55"/>
      <c r="E119" s="55"/>
      <c r="F119" s="55"/>
      <c r="G119" s="55"/>
      <c r="H119" s="55"/>
      <c r="I119" s="55"/>
      <c r="J119" s="55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</row>
    <row r="120" ht="15.75" customHeight="1">
      <c r="A120" s="273"/>
      <c r="B120" s="55"/>
      <c r="C120" s="55"/>
      <c r="D120" s="55"/>
      <c r="E120" s="55"/>
      <c r="F120" s="55"/>
      <c r="G120" s="55"/>
      <c r="H120" s="55"/>
      <c r="I120" s="55"/>
      <c r="J120" s="55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</row>
    <row r="121" ht="15.75" customHeight="1">
      <c r="A121" s="273"/>
      <c r="B121" s="55"/>
      <c r="C121" s="55"/>
      <c r="D121" s="55"/>
      <c r="E121" s="55"/>
      <c r="F121" s="55"/>
      <c r="G121" s="55"/>
      <c r="H121" s="55"/>
      <c r="I121" s="55"/>
      <c r="J121" s="55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  <c r="Z121" s="273"/>
    </row>
    <row r="122" ht="15.75" customHeight="1">
      <c r="A122" s="273"/>
      <c r="B122" s="55"/>
      <c r="C122" s="55"/>
      <c r="D122" s="55"/>
      <c r="E122" s="55"/>
      <c r="F122" s="55"/>
      <c r="G122" s="55"/>
      <c r="H122" s="55"/>
      <c r="I122" s="55"/>
      <c r="J122" s="55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</row>
    <row r="123" ht="15.75" customHeight="1">
      <c r="A123" s="273"/>
      <c r="B123" s="55"/>
      <c r="C123" s="55"/>
      <c r="D123" s="55"/>
      <c r="E123" s="55"/>
      <c r="F123" s="55"/>
      <c r="G123" s="55"/>
      <c r="H123" s="55"/>
      <c r="I123" s="55"/>
      <c r="J123" s="55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  <c r="Z123" s="273"/>
    </row>
    <row r="124" ht="15.75" customHeight="1">
      <c r="A124" s="273"/>
      <c r="B124" s="55"/>
      <c r="C124" s="55"/>
      <c r="D124" s="55"/>
      <c r="E124" s="55"/>
      <c r="F124" s="55"/>
      <c r="G124" s="55"/>
      <c r="H124" s="55"/>
      <c r="I124" s="55"/>
      <c r="J124" s="55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</row>
    <row r="125" ht="15.75" customHeight="1">
      <c r="A125" s="273"/>
      <c r="B125" s="55"/>
      <c r="C125" s="55"/>
      <c r="D125" s="55"/>
      <c r="E125" s="55"/>
      <c r="F125" s="55"/>
      <c r="G125" s="55"/>
      <c r="H125" s="55"/>
      <c r="I125" s="55"/>
      <c r="J125" s="55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</row>
    <row r="126" ht="15.75" customHeight="1">
      <c r="A126" s="273"/>
      <c r="B126" s="55"/>
      <c r="C126" s="55"/>
      <c r="D126" s="55"/>
      <c r="E126" s="55"/>
      <c r="F126" s="55"/>
      <c r="G126" s="55"/>
      <c r="H126" s="55"/>
      <c r="I126" s="55"/>
      <c r="J126" s="55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</row>
    <row r="127" ht="15.75" customHeight="1">
      <c r="A127" s="273"/>
      <c r="B127" s="55"/>
      <c r="C127" s="55"/>
      <c r="D127" s="55"/>
      <c r="E127" s="55"/>
      <c r="F127" s="55"/>
      <c r="G127" s="55"/>
      <c r="H127" s="55"/>
      <c r="I127" s="55"/>
      <c r="J127" s="55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</row>
    <row r="128" ht="15.75" customHeight="1">
      <c r="A128" s="273"/>
      <c r="B128" s="55"/>
      <c r="C128" s="55"/>
      <c r="D128" s="55"/>
      <c r="E128" s="55"/>
      <c r="F128" s="55"/>
      <c r="G128" s="55"/>
      <c r="H128" s="55"/>
      <c r="I128" s="55"/>
      <c r="J128" s="55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  <c r="Z128" s="273"/>
    </row>
    <row r="129" ht="15.75" customHeight="1">
      <c r="A129" s="273"/>
      <c r="B129" s="55"/>
      <c r="C129" s="55"/>
      <c r="D129" s="55"/>
      <c r="E129" s="55"/>
      <c r="F129" s="55"/>
      <c r="G129" s="55"/>
      <c r="H129" s="55"/>
      <c r="I129" s="55"/>
      <c r="J129" s="55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  <c r="Z129" s="273"/>
    </row>
    <row r="130" ht="15.75" customHeight="1">
      <c r="A130" s="273"/>
      <c r="B130" s="55"/>
      <c r="C130" s="55"/>
      <c r="D130" s="55"/>
      <c r="E130" s="55"/>
      <c r="F130" s="55"/>
      <c r="G130" s="55"/>
      <c r="H130" s="55"/>
      <c r="I130" s="55"/>
      <c r="J130" s="55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</row>
    <row r="131" ht="15.75" customHeight="1">
      <c r="A131" s="273"/>
      <c r="B131" s="55"/>
      <c r="C131" s="55"/>
      <c r="D131" s="55"/>
      <c r="E131" s="55"/>
      <c r="F131" s="55"/>
      <c r="G131" s="55"/>
      <c r="H131" s="55"/>
      <c r="I131" s="55"/>
      <c r="J131" s="55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  <c r="Z131" s="273"/>
    </row>
    <row r="132" ht="15.75" customHeight="1">
      <c r="A132" s="273"/>
      <c r="B132" s="55"/>
      <c r="C132" s="55"/>
      <c r="D132" s="55"/>
      <c r="E132" s="55"/>
      <c r="F132" s="55"/>
      <c r="G132" s="55"/>
      <c r="H132" s="55"/>
      <c r="I132" s="55"/>
      <c r="J132" s="55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</row>
    <row r="133" ht="15.75" customHeight="1">
      <c r="A133" s="273"/>
      <c r="B133" s="55"/>
      <c r="C133" s="55"/>
      <c r="D133" s="55"/>
      <c r="E133" s="55"/>
      <c r="F133" s="55"/>
      <c r="G133" s="55"/>
      <c r="H133" s="55"/>
      <c r="I133" s="55"/>
      <c r="J133" s="55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  <c r="Z133" s="273"/>
    </row>
    <row r="134" ht="15.75" customHeight="1">
      <c r="A134" s="273"/>
      <c r="B134" s="55"/>
      <c r="C134" s="55"/>
      <c r="D134" s="55"/>
      <c r="E134" s="55"/>
      <c r="F134" s="55"/>
      <c r="G134" s="55"/>
      <c r="H134" s="55"/>
      <c r="I134" s="55"/>
      <c r="J134" s="55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</row>
    <row r="135" ht="15.75" customHeight="1">
      <c r="A135" s="273"/>
      <c r="B135" s="55"/>
      <c r="C135" s="55"/>
      <c r="D135" s="55"/>
      <c r="E135" s="55"/>
      <c r="F135" s="55"/>
      <c r="G135" s="55"/>
      <c r="H135" s="55"/>
      <c r="I135" s="55"/>
      <c r="J135" s="55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</row>
    <row r="136" ht="15.75" customHeight="1">
      <c r="A136" s="273"/>
      <c r="B136" s="55"/>
      <c r="C136" s="55"/>
      <c r="D136" s="55"/>
      <c r="E136" s="55"/>
      <c r="F136" s="55"/>
      <c r="G136" s="55"/>
      <c r="H136" s="55"/>
      <c r="I136" s="55"/>
      <c r="J136" s="55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</row>
    <row r="137" ht="15.75" customHeight="1">
      <c r="A137" s="273"/>
      <c r="B137" s="55"/>
      <c r="C137" s="55"/>
      <c r="D137" s="55"/>
      <c r="E137" s="55"/>
      <c r="F137" s="55"/>
      <c r="G137" s="55"/>
      <c r="H137" s="55"/>
      <c r="I137" s="55"/>
      <c r="J137" s="55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</row>
    <row r="138" ht="15.75" customHeight="1">
      <c r="A138" s="273"/>
      <c r="B138" s="55"/>
      <c r="C138" s="55"/>
      <c r="D138" s="55"/>
      <c r="E138" s="55"/>
      <c r="F138" s="55"/>
      <c r="G138" s="55"/>
      <c r="H138" s="55"/>
      <c r="I138" s="55"/>
      <c r="J138" s="55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</row>
    <row r="139" ht="15.75" customHeight="1">
      <c r="A139" s="273"/>
      <c r="B139" s="55"/>
      <c r="C139" s="55"/>
      <c r="D139" s="55"/>
      <c r="E139" s="55"/>
      <c r="F139" s="55"/>
      <c r="G139" s="55"/>
      <c r="H139" s="55"/>
      <c r="I139" s="55"/>
      <c r="J139" s="55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  <c r="Z139" s="273"/>
    </row>
    <row r="140" ht="15.75" customHeight="1">
      <c r="A140" s="273"/>
      <c r="B140" s="55"/>
      <c r="C140" s="55"/>
      <c r="D140" s="55"/>
      <c r="E140" s="55"/>
      <c r="F140" s="55"/>
      <c r="G140" s="55"/>
      <c r="H140" s="55"/>
      <c r="I140" s="55"/>
      <c r="J140" s="55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</row>
    <row r="141" ht="15.75" customHeight="1">
      <c r="A141" s="273"/>
      <c r="B141" s="55"/>
      <c r="C141" s="55"/>
      <c r="D141" s="55"/>
      <c r="E141" s="55"/>
      <c r="F141" s="55"/>
      <c r="G141" s="55"/>
      <c r="H141" s="55"/>
      <c r="I141" s="55"/>
      <c r="J141" s="55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  <c r="Z141" s="273"/>
    </row>
    <row r="142" ht="15.75" customHeight="1">
      <c r="A142" s="273"/>
      <c r="B142" s="55"/>
      <c r="C142" s="55"/>
      <c r="D142" s="55"/>
      <c r="E142" s="55"/>
      <c r="F142" s="55"/>
      <c r="G142" s="55"/>
      <c r="H142" s="55"/>
      <c r="I142" s="55"/>
      <c r="J142" s="55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</row>
    <row r="143" ht="15.75" customHeight="1">
      <c r="A143" s="273"/>
      <c r="B143" s="55"/>
      <c r="C143" s="55"/>
      <c r="D143" s="55"/>
      <c r="E143" s="55"/>
      <c r="F143" s="55"/>
      <c r="G143" s="55"/>
      <c r="H143" s="55"/>
      <c r="I143" s="55"/>
      <c r="J143" s="55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</row>
    <row r="144" ht="15.75" customHeight="1">
      <c r="A144" s="273"/>
      <c r="B144" s="55"/>
      <c r="C144" s="55"/>
      <c r="D144" s="55"/>
      <c r="E144" s="55"/>
      <c r="F144" s="55"/>
      <c r="G144" s="55"/>
      <c r="H144" s="55"/>
      <c r="I144" s="55"/>
      <c r="J144" s="55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</row>
    <row r="145" ht="15.75" customHeight="1">
      <c r="A145" s="273"/>
      <c r="B145" s="55"/>
      <c r="C145" s="55"/>
      <c r="D145" s="55"/>
      <c r="E145" s="55"/>
      <c r="F145" s="55"/>
      <c r="G145" s="55"/>
      <c r="H145" s="55"/>
      <c r="I145" s="55"/>
      <c r="J145" s="55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</row>
    <row r="146" ht="15.75" customHeight="1">
      <c r="A146" s="273"/>
      <c r="B146" s="55"/>
      <c r="C146" s="55"/>
      <c r="D146" s="55"/>
      <c r="E146" s="55"/>
      <c r="F146" s="55"/>
      <c r="G146" s="55"/>
      <c r="H146" s="55"/>
      <c r="I146" s="55"/>
      <c r="J146" s="55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</row>
    <row r="147" ht="15.75" customHeight="1">
      <c r="A147" s="273"/>
      <c r="B147" s="55"/>
      <c r="C147" s="55"/>
      <c r="D147" s="55"/>
      <c r="E147" s="55"/>
      <c r="F147" s="55"/>
      <c r="G147" s="55"/>
      <c r="H147" s="55"/>
      <c r="I147" s="55"/>
      <c r="J147" s="55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  <c r="Z147" s="273"/>
    </row>
    <row r="148" ht="15.75" customHeight="1">
      <c r="A148" s="273"/>
      <c r="B148" s="55"/>
      <c r="C148" s="55"/>
      <c r="D148" s="55"/>
      <c r="E148" s="55"/>
      <c r="F148" s="55"/>
      <c r="G148" s="55"/>
      <c r="H148" s="55"/>
      <c r="I148" s="55"/>
      <c r="J148" s="55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</row>
    <row r="149" ht="15.75" customHeight="1">
      <c r="A149" s="273"/>
      <c r="B149" s="55"/>
      <c r="C149" s="55"/>
      <c r="D149" s="55"/>
      <c r="E149" s="55"/>
      <c r="F149" s="55"/>
      <c r="G149" s="55"/>
      <c r="H149" s="55"/>
      <c r="I149" s="55"/>
      <c r="J149" s="55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  <c r="Z149" s="273"/>
    </row>
    <row r="150" ht="15.75" customHeight="1">
      <c r="A150" s="273"/>
      <c r="B150" s="55"/>
      <c r="C150" s="55"/>
      <c r="D150" s="55"/>
      <c r="E150" s="55"/>
      <c r="F150" s="55"/>
      <c r="G150" s="55"/>
      <c r="H150" s="55"/>
      <c r="I150" s="55"/>
      <c r="J150" s="55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</row>
    <row r="151" ht="15.75" customHeight="1">
      <c r="A151" s="273"/>
      <c r="B151" s="55"/>
      <c r="C151" s="55"/>
      <c r="D151" s="55"/>
      <c r="E151" s="55"/>
      <c r="F151" s="55"/>
      <c r="G151" s="55"/>
      <c r="H151" s="55"/>
      <c r="I151" s="55"/>
      <c r="J151" s="55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</row>
    <row r="152" ht="15.75" customHeight="1">
      <c r="A152" s="273"/>
      <c r="B152" s="55"/>
      <c r="C152" s="55"/>
      <c r="D152" s="55"/>
      <c r="E152" s="55"/>
      <c r="F152" s="55"/>
      <c r="G152" s="55"/>
      <c r="H152" s="55"/>
      <c r="I152" s="55"/>
      <c r="J152" s="55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</row>
    <row r="153" ht="15.75" customHeight="1">
      <c r="A153" s="273"/>
      <c r="B153" s="55"/>
      <c r="C153" s="55"/>
      <c r="D153" s="55"/>
      <c r="E153" s="55"/>
      <c r="F153" s="55"/>
      <c r="G153" s="55"/>
      <c r="H153" s="55"/>
      <c r="I153" s="55"/>
      <c r="J153" s="55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  <c r="Z153" s="273"/>
    </row>
    <row r="154" ht="15.75" customHeight="1">
      <c r="A154" s="273"/>
      <c r="B154" s="55"/>
      <c r="C154" s="55"/>
      <c r="D154" s="55"/>
      <c r="E154" s="55"/>
      <c r="F154" s="55"/>
      <c r="G154" s="55"/>
      <c r="H154" s="55"/>
      <c r="I154" s="55"/>
      <c r="J154" s="55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</row>
    <row r="155" ht="15.75" customHeight="1">
      <c r="A155" s="273"/>
      <c r="B155" s="55"/>
      <c r="C155" s="55"/>
      <c r="D155" s="55"/>
      <c r="E155" s="55"/>
      <c r="F155" s="55"/>
      <c r="G155" s="55"/>
      <c r="H155" s="55"/>
      <c r="I155" s="55"/>
      <c r="J155" s="55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  <c r="Z155" s="273"/>
    </row>
    <row r="156" ht="15.75" customHeight="1">
      <c r="A156" s="273"/>
      <c r="B156" s="55"/>
      <c r="C156" s="55"/>
      <c r="D156" s="55"/>
      <c r="E156" s="55"/>
      <c r="F156" s="55"/>
      <c r="G156" s="55"/>
      <c r="H156" s="55"/>
      <c r="I156" s="55"/>
      <c r="J156" s="55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</row>
    <row r="157" ht="15.75" customHeight="1">
      <c r="A157" s="273"/>
      <c r="B157" s="55"/>
      <c r="C157" s="55"/>
      <c r="D157" s="55"/>
      <c r="E157" s="55"/>
      <c r="F157" s="55"/>
      <c r="G157" s="55"/>
      <c r="H157" s="55"/>
      <c r="I157" s="55"/>
      <c r="J157" s="55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  <c r="Z157" s="273"/>
    </row>
    <row r="158" ht="15.75" customHeight="1">
      <c r="A158" s="273"/>
      <c r="B158" s="55"/>
      <c r="C158" s="55"/>
      <c r="D158" s="55"/>
      <c r="E158" s="55"/>
      <c r="F158" s="55"/>
      <c r="G158" s="55"/>
      <c r="H158" s="55"/>
      <c r="I158" s="55"/>
      <c r="J158" s="55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</row>
    <row r="159" ht="15.75" customHeight="1">
      <c r="A159" s="273"/>
      <c r="B159" s="55"/>
      <c r="C159" s="55"/>
      <c r="D159" s="55"/>
      <c r="E159" s="55"/>
      <c r="F159" s="55"/>
      <c r="G159" s="55"/>
      <c r="H159" s="55"/>
      <c r="I159" s="55"/>
      <c r="J159" s="55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</row>
    <row r="160" ht="15.75" customHeight="1">
      <c r="A160" s="273"/>
      <c r="B160" s="55"/>
      <c r="C160" s="55"/>
      <c r="D160" s="55"/>
      <c r="E160" s="55"/>
      <c r="F160" s="55"/>
      <c r="G160" s="55"/>
      <c r="H160" s="55"/>
      <c r="I160" s="55"/>
      <c r="J160" s="55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</row>
    <row r="161" ht="15.75" customHeight="1">
      <c r="A161" s="273"/>
      <c r="B161" s="55"/>
      <c r="C161" s="55"/>
      <c r="D161" s="55"/>
      <c r="E161" s="55"/>
      <c r="F161" s="55"/>
      <c r="G161" s="55"/>
      <c r="H161" s="55"/>
      <c r="I161" s="55"/>
      <c r="J161" s="55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  <c r="Z161" s="273"/>
    </row>
    <row r="162" ht="15.75" customHeight="1">
      <c r="A162" s="273"/>
      <c r="B162" s="55"/>
      <c r="C162" s="55"/>
      <c r="D162" s="55"/>
      <c r="E162" s="55"/>
      <c r="F162" s="55"/>
      <c r="G162" s="55"/>
      <c r="H162" s="55"/>
      <c r="I162" s="55"/>
      <c r="J162" s="55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</row>
    <row r="163" ht="15.75" customHeight="1">
      <c r="A163" s="273"/>
      <c r="B163" s="55"/>
      <c r="C163" s="55"/>
      <c r="D163" s="55"/>
      <c r="E163" s="55"/>
      <c r="F163" s="55"/>
      <c r="G163" s="55"/>
      <c r="H163" s="55"/>
      <c r="I163" s="55"/>
      <c r="J163" s="55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  <c r="Z163" s="273"/>
    </row>
    <row r="164" ht="15.75" customHeight="1">
      <c r="A164" s="273"/>
      <c r="B164" s="55"/>
      <c r="C164" s="55"/>
      <c r="D164" s="55"/>
      <c r="E164" s="55"/>
      <c r="F164" s="55"/>
      <c r="G164" s="55"/>
      <c r="H164" s="55"/>
      <c r="I164" s="55"/>
      <c r="J164" s="55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</row>
    <row r="165" ht="15.75" customHeight="1">
      <c r="A165" s="273"/>
      <c r="B165" s="55"/>
      <c r="C165" s="55"/>
      <c r="D165" s="55"/>
      <c r="E165" s="55"/>
      <c r="F165" s="55"/>
      <c r="G165" s="55"/>
      <c r="H165" s="55"/>
      <c r="I165" s="55"/>
      <c r="J165" s="55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  <c r="Z165" s="273"/>
    </row>
    <row r="166" ht="15.75" customHeight="1">
      <c r="A166" s="273"/>
      <c r="B166" s="55"/>
      <c r="C166" s="55"/>
      <c r="D166" s="55"/>
      <c r="E166" s="55"/>
      <c r="F166" s="55"/>
      <c r="G166" s="55"/>
      <c r="H166" s="55"/>
      <c r="I166" s="55"/>
      <c r="J166" s="55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</row>
    <row r="167" ht="15.75" customHeight="1">
      <c r="A167" s="273"/>
      <c r="B167" s="55"/>
      <c r="C167" s="55"/>
      <c r="D167" s="55"/>
      <c r="E167" s="55"/>
      <c r="F167" s="55"/>
      <c r="G167" s="55"/>
      <c r="H167" s="55"/>
      <c r="I167" s="55"/>
      <c r="J167" s="55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  <c r="Z167" s="273"/>
    </row>
    <row r="168" ht="15.75" customHeight="1">
      <c r="A168" s="273"/>
      <c r="B168" s="55"/>
      <c r="C168" s="55"/>
      <c r="D168" s="55"/>
      <c r="E168" s="55"/>
      <c r="F168" s="55"/>
      <c r="G168" s="55"/>
      <c r="H168" s="55"/>
      <c r="I168" s="55"/>
      <c r="J168" s="55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</row>
    <row r="169" ht="15.75" customHeight="1">
      <c r="A169" s="273"/>
      <c r="B169" s="55"/>
      <c r="C169" s="55"/>
      <c r="D169" s="55"/>
      <c r="E169" s="55"/>
      <c r="F169" s="55"/>
      <c r="G169" s="55"/>
      <c r="H169" s="55"/>
      <c r="I169" s="55"/>
      <c r="J169" s="55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  <c r="Z169" s="273"/>
    </row>
    <row r="170" ht="15.75" customHeight="1">
      <c r="A170" s="273"/>
      <c r="B170" s="55"/>
      <c r="C170" s="55"/>
      <c r="D170" s="55"/>
      <c r="E170" s="55"/>
      <c r="F170" s="55"/>
      <c r="G170" s="55"/>
      <c r="H170" s="55"/>
      <c r="I170" s="55"/>
      <c r="J170" s="55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</row>
    <row r="171" ht="15.75" customHeight="1">
      <c r="A171" s="273"/>
      <c r="B171" s="55"/>
      <c r="C171" s="55"/>
      <c r="D171" s="55"/>
      <c r="E171" s="55"/>
      <c r="F171" s="55"/>
      <c r="G171" s="55"/>
      <c r="H171" s="55"/>
      <c r="I171" s="55"/>
      <c r="J171" s="55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</row>
    <row r="172" ht="15.75" customHeight="1">
      <c r="A172" s="273"/>
      <c r="B172" s="55"/>
      <c r="C172" s="55"/>
      <c r="D172" s="55"/>
      <c r="E172" s="55"/>
      <c r="F172" s="55"/>
      <c r="G172" s="55"/>
      <c r="H172" s="55"/>
      <c r="I172" s="55"/>
      <c r="J172" s="55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</row>
    <row r="173" ht="15.75" customHeight="1">
      <c r="A173" s="273"/>
      <c r="B173" s="55"/>
      <c r="C173" s="55"/>
      <c r="D173" s="55"/>
      <c r="E173" s="55"/>
      <c r="F173" s="55"/>
      <c r="G173" s="55"/>
      <c r="H173" s="55"/>
      <c r="I173" s="55"/>
      <c r="J173" s="55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  <c r="Z173" s="273"/>
    </row>
    <row r="174" ht="15.75" customHeight="1">
      <c r="A174" s="273"/>
      <c r="B174" s="55"/>
      <c r="C174" s="55"/>
      <c r="D174" s="55"/>
      <c r="E174" s="55"/>
      <c r="F174" s="55"/>
      <c r="G174" s="55"/>
      <c r="H174" s="55"/>
      <c r="I174" s="55"/>
      <c r="J174" s="55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</row>
    <row r="175" ht="15.75" customHeight="1">
      <c r="A175" s="273"/>
      <c r="B175" s="55"/>
      <c r="C175" s="55"/>
      <c r="D175" s="55"/>
      <c r="E175" s="55"/>
      <c r="F175" s="55"/>
      <c r="G175" s="55"/>
      <c r="H175" s="55"/>
      <c r="I175" s="55"/>
      <c r="J175" s="55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  <c r="Z175" s="273"/>
    </row>
    <row r="176" ht="15.75" customHeight="1">
      <c r="A176" s="273"/>
      <c r="B176" s="55"/>
      <c r="C176" s="55"/>
      <c r="D176" s="55"/>
      <c r="E176" s="55"/>
      <c r="F176" s="55"/>
      <c r="G176" s="55"/>
      <c r="H176" s="55"/>
      <c r="I176" s="55"/>
      <c r="J176" s="55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</row>
    <row r="177" ht="15.75" customHeight="1">
      <c r="A177" s="273"/>
      <c r="B177" s="55"/>
      <c r="C177" s="55"/>
      <c r="D177" s="55"/>
      <c r="E177" s="55"/>
      <c r="F177" s="55"/>
      <c r="G177" s="55"/>
      <c r="H177" s="55"/>
      <c r="I177" s="55"/>
      <c r="J177" s="55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</row>
    <row r="178" ht="15.75" customHeight="1">
      <c r="A178" s="273"/>
      <c r="B178" s="55"/>
      <c r="C178" s="55"/>
      <c r="D178" s="55"/>
      <c r="E178" s="55"/>
      <c r="F178" s="55"/>
      <c r="G178" s="55"/>
      <c r="H178" s="55"/>
      <c r="I178" s="55"/>
      <c r="J178" s="55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</row>
    <row r="179" ht="15.75" customHeight="1">
      <c r="A179" s="273"/>
      <c r="B179" s="55"/>
      <c r="C179" s="55"/>
      <c r="D179" s="55"/>
      <c r="E179" s="55"/>
      <c r="F179" s="55"/>
      <c r="G179" s="55"/>
      <c r="H179" s="55"/>
      <c r="I179" s="55"/>
      <c r="J179" s="55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  <c r="Z179" s="273"/>
    </row>
    <row r="180" ht="15.75" customHeight="1">
      <c r="A180" s="273"/>
      <c r="B180" s="55"/>
      <c r="C180" s="55"/>
      <c r="D180" s="55"/>
      <c r="E180" s="55"/>
      <c r="F180" s="55"/>
      <c r="G180" s="55"/>
      <c r="H180" s="55"/>
      <c r="I180" s="55"/>
      <c r="J180" s="55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</row>
    <row r="181" ht="15.75" customHeight="1">
      <c r="A181" s="273"/>
      <c r="B181" s="55"/>
      <c r="C181" s="55"/>
      <c r="D181" s="55"/>
      <c r="E181" s="55"/>
      <c r="F181" s="55"/>
      <c r="G181" s="55"/>
      <c r="H181" s="55"/>
      <c r="I181" s="55"/>
      <c r="J181" s="55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  <c r="Z181" s="273"/>
    </row>
    <row r="182" ht="15.75" customHeight="1">
      <c r="A182" s="273"/>
      <c r="B182" s="55"/>
      <c r="C182" s="55"/>
      <c r="D182" s="55"/>
      <c r="E182" s="55"/>
      <c r="F182" s="55"/>
      <c r="G182" s="55"/>
      <c r="H182" s="55"/>
      <c r="I182" s="55"/>
      <c r="J182" s="55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</row>
    <row r="183" ht="15.75" customHeight="1">
      <c r="A183" s="273"/>
      <c r="B183" s="55"/>
      <c r="C183" s="55"/>
      <c r="D183" s="55"/>
      <c r="E183" s="55"/>
      <c r="F183" s="55"/>
      <c r="G183" s="55"/>
      <c r="H183" s="55"/>
      <c r="I183" s="55"/>
      <c r="J183" s="55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  <c r="Z183" s="273"/>
    </row>
    <row r="184" ht="15.75" customHeight="1">
      <c r="A184" s="273"/>
      <c r="B184" s="55"/>
      <c r="C184" s="55"/>
      <c r="D184" s="55"/>
      <c r="E184" s="55"/>
      <c r="F184" s="55"/>
      <c r="G184" s="55"/>
      <c r="H184" s="55"/>
      <c r="I184" s="55"/>
      <c r="J184" s="55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</row>
    <row r="185" ht="15.75" customHeight="1">
      <c r="A185" s="273"/>
      <c r="B185" s="55"/>
      <c r="C185" s="55"/>
      <c r="D185" s="55"/>
      <c r="E185" s="55"/>
      <c r="F185" s="55"/>
      <c r="G185" s="55"/>
      <c r="H185" s="55"/>
      <c r="I185" s="55"/>
      <c r="J185" s="55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  <c r="Z185" s="273"/>
    </row>
    <row r="186" ht="15.75" customHeight="1">
      <c r="A186" s="273"/>
      <c r="B186" s="55"/>
      <c r="C186" s="55"/>
      <c r="D186" s="55"/>
      <c r="E186" s="55"/>
      <c r="F186" s="55"/>
      <c r="G186" s="55"/>
      <c r="H186" s="55"/>
      <c r="I186" s="55"/>
      <c r="J186" s="55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</row>
    <row r="187" ht="15.75" customHeight="1">
      <c r="A187" s="273"/>
      <c r="B187" s="55"/>
      <c r="C187" s="55"/>
      <c r="D187" s="55"/>
      <c r="E187" s="55"/>
      <c r="F187" s="55"/>
      <c r="G187" s="55"/>
      <c r="H187" s="55"/>
      <c r="I187" s="55"/>
      <c r="J187" s="55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  <c r="Z187" s="273"/>
    </row>
    <row r="188" ht="15.75" customHeight="1">
      <c r="A188" s="273"/>
      <c r="B188" s="55"/>
      <c r="C188" s="55"/>
      <c r="D188" s="55"/>
      <c r="E188" s="55"/>
      <c r="F188" s="55"/>
      <c r="G188" s="55"/>
      <c r="H188" s="55"/>
      <c r="I188" s="55"/>
      <c r="J188" s="55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</row>
    <row r="189" ht="15.75" customHeight="1">
      <c r="A189" s="273"/>
      <c r="B189" s="55"/>
      <c r="C189" s="55"/>
      <c r="D189" s="55"/>
      <c r="E189" s="55"/>
      <c r="F189" s="55"/>
      <c r="G189" s="55"/>
      <c r="H189" s="55"/>
      <c r="I189" s="55"/>
      <c r="J189" s="55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  <c r="Z189" s="273"/>
    </row>
    <row r="190" ht="15.75" customHeight="1">
      <c r="A190" s="273"/>
      <c r="B190" s="55"/>
      <c r="C190" s="55"/>
      <c r="D190" s="55"/>
      <c r="E190" s="55"/>
      <c r="F190" s="55"/>
      <c r="G190" s="55"/>
      <c r="H190" s="55"/>
      <c r="I190" s="55"/>
      <c r="J190" s="55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</row>
    <row r="191" ht="15.75" customHeight="1">
      <c r="A191" s="273"/>
      <c r="B191" s="55"/>
      <c r="C191" s="55"/>
      <c r="D191" s="55"/>
      <c r="E191" s="55"/>
      <c r="F191" s="55"/>
      <c r="G191" s="55"/>
      <c r="H191" s="55"/>
      <c r="I191" s="55"/>
      <c r="J191" s="55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  <c r="Z191" s="273"/>
    </row>
    <row r="192" ht="15.75" customHeight="1">
      <c r="A192" s="273"/>
      <c r="B192" s="55"/>
      <c r="C192" s="55"/>
      <c r="D192" s="55"/>
      <c r="E192" s="55"/>
      <c r="F192" s="55"/>
      <c r="G192" s="55"/>
      <c r="H192" s="55"/>
      <c r="I192" s="55"/>
      <c r="J192" s="55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</row>
    <row r="193" ht="15.75" customHeight="1">
      <c r="A193" s="273"/>
      <c r="B193" s="55"/>
      <c r="C193" s="55"/>
      <c r="D193" s="55"/>
      <c r="E193" s="55"/>
      <c r="F193" s="55"/>
      <c r="G193" s="55"/>
      <c r="H193" s="55"/>
      <c r="I193" s="55"/>
      <c r="J193" s="55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</row>
    <row r="194" ht="15.75" customHeight="1">
      <c r="A194" s="273"/>
      <c r="B194" s="55"/>
      <c r="C194" s="55"/>
      <c r="D194" s="55"/>
      <c r="E194" s="55"/>
      <c r="F194" s="55"/>
      <c r="G194" s="55"/>
      <c r="H194" s="55"/>
      <c r="I194" s="55"/>
      <c r="J194" s="55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</row>
    <row r="195" ht="15.75" customHeight="1">
      <c r="A195" s="273"/>
      <c r="B195" s="55"/>
      <c r="C195" s="55"/>
      <c r="D195" s="55"/>
      <c r="E195" s="55"/>
      <c r="F195" s="55"/>
      <c r="G195" s="55"/>
      <c r="H195" s="55"/>
      <c r="I195" s="55"/>
      <c r="J195" s="55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3"/>
    </row>
    <row r="196" ht="15.75" customHeight="1">
      <c r="A196" s="273"/>
      <c r="B196" s="55"/>
      <c r="C196" s="55"/>
      <c r="D196" s="55"/>
      <c r="E196" s="55"/>
      <c r="F196" s="55"/>
      <c r="G196" s="55"/>
      <c r="H196" s="55"/>
      <c r="I196" s="55"/>
      <c r="J196" s="55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</row>
    <row r="197" ht="15.75" customHeight="1">
      <c r="A197" s="273"/>
      <c r="B197" s="55"/>
      <c r="C197" s="55"/>
      <c r="D197" s="55"/>
      <c r="E197" s="55"/>
      <c r="F197" s="55"/>
      <c r="G197" s="55"/>
      <c r="H197" s="55"/>
      <c r="I197" s="55"/>
      <c r="J197" s="55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</row>
    <row r="198" ht="15.75" customHeight="1">
      <c r="A198" s="273"/>
      <c r="B198" s="55"/>
      <c r="C198" s="55"/>
      <c r="D198" s="55"/>
      <c r="E198" s="55"/>
      <c r="F198" s="55"/>
      <c r="G198" s="55"/>
      <c r="H198" s="55"/>
      <c r="I198" s="55"/>
      <c r="J198" s="55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</row>
    <row r="199" ht="15.75" customHeight="1">
      <c r="A199" s="273"/>
      <c r="B199" s="55"/>
      <c r="C199" s="55"/>
      <c r="D199" s="55"/>
      <c r="E199" s="55"/>
      <c r="F199" s="55"/>
      <c r="G199" s="55"/>
      <c r="H199" s="55"/>
      <c r="I199" s="55"/>
      <c r="J199" s="55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</row>
    <row r="200" ht="15.75" customHeight="1">
      <c r="A200" s="273"/>
      <c r="B200" s="55"/>
      <c r="C200" s="55"/>
      <c r="D200" s="55"/>
      <c r="E200" s="55"/>
      <c r="F200" s="55"/>
      <c r="G200" s="55"/>
      <c r="H200" s="55"/>
      <c r="I200" s="55"/>
      <c r="J200" s="55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</row>
    <row r="201" ht="15.75" customHeight="1">
      <c r="A201" s="273"/>
      <c r="B201" s="55"/>
      <c r="C201" s="55"/>
      <c r="D201" s="55"/>
      <c r="E201" s="55"/>
      <c r="F201" s="55"/>
      <c r="G201" s="55"/>
      <c r="H201" s="55"/>
      <c r="I201" s="55"/>
      <c r="J201" s="55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</row>
    <row r="202" ht="15.75" customHeight="1">
      <c r="A202" s="273"/>
      <c r="B202" s="55"/>
      <c r="C202" s="55"/>
      <c r="D202" s="55"/>
      <c r="E202" s="55"/>
      <c r="F202" s="55"/>
      <c r="G202" s="55"/>
      <c r="H202" s="55"/>
      <c r="I202" s="55"/>
      <c r="J202" s="55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</row>
    <row r="203" ht="15.75" customHeight="1">
      <c r="A203" s="273"/>
      <c r="B203" s="55"/>
      <c r="C203" s="55"/>
      <c r="D203" s="55"/>
      <c r="E203" s="55"/>
      <c r="F203" s="55"/>
      <c r="G203" s="55"/>
      <c r="H203" s="55"/>
      <c r="I203" s="55"/>
      <c r="J203" s="55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</row>
    <row r="204" ht="15.75" customHeight="1">
      <c r="A204" s="273"/>
      <c r="B204" s="55"/>
      <c r="C204" s="55"/>
      <c r="D204" s="55"/>
      <c r="E204" s="55"/>
      <c r="F204" s="55"/>
      <c r="G204" s="55"/>
      <c r="H204" s="55"/>
      <c r="I204" s="55"/>
      <c r="J204" s="55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</row>
    <row r="205" ht="15.75" customHeight="1">
      <c r="A205" s="273"/>
      <c r="B205" s="55"/>
      <c r="C205" s="55"/>
      <c r="D205" s="55"/>
      <c r="E205" s="55"/>
      <c r="F205" s="55"/>
      <c r="G205" s="55"/>
      <c r="H205" s="55"/>
      <c r="I205" s="55"/>
      <c r="J205" s="55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</row>
    <row r="206" ht="15.75" customHeight="1">
      <c r="A206" s="273"/>
      <c r="B206" s="55"/>
      <c r="C206" s="55"/>
      <c r="D206" s="55"/>
      <c r="E206" s="55"/>
      <c r="F206" s="55"/>
      <c r="G206" s="55"/>
      <c r="H206" s="55"/>
      <c r="I206" s="55"/>
      <c r="J206" s="55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</row>
    <row r="207" ht="15.75" customHeight="1">
      <c r="A207" s="273"/>
      <c r="B207" s="55"/>
      <c r="C207" s="55"/>
      <c r="D207" s="55"/>
      <c r="E207" s="55"/>
      <c r="F207" s="55"/>
      <c r="G207" s="55"/>
      <c r="H207" s="55"/>
      <c r="I207" s="55"/>
      <c r="J207" s="55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</row>
    <row r="208" ht="15.75" customHeight="1">
      <c r="A208" s="273"/>
      <c r="B208" s="55"/>
      <c r="C208" s="55"/>
      <c r="D208" s="55"/>
      <c r="E208" s="55"/>
      <c r="F208" s="55"/>
      <c r="G208" s="55"/>
      <c r="H208" s="55"/>
      <c r="I208" s="55"/>
      <c r="J208" s="55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</row>
    <row r="209" ht="15.75" customHeight="1">
      <c r="A209" s="273"/>
      <c r="B209" s="55"/>
      <c r="C209" s="55"/>
      <c r="D209" s="55"/>
      <c r="E209" s="55"/>
      <c r="F209" s="55"/>
      <c r="G209" s="55"/>
      <c r="H209" s="55"/>
      <c r="I209" s="55"/>
      <c r="J209" s="55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</row>
    <row r="210" ht="15.75" customHeight="1">
      <c r="A210" s="273"/>
      <c r="B210" s="55"/>
      <c r="C210" s="55"/>
      <c r="D210" s="55"/>
      <c r="E210" s="55"/>
      <c r="F210" s="55"/>
      <c r="G210" s="55"/>
      <c r="H210" s="55"/>
      <c r="I210" s="55"/>
      <c r="J210" s="55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</row>
    <row r="211" ht="15.75" customHeight="1">
      <c r="A211" s="273"/>
      <c r="B211" s="55"/>
      <c r="C211" s="55"/>
      <c r="D211" s="55"/>
      <c r="E211" s="55"/>
      <c r="F211" s="55"/>
      <c r="G211" s="55"/>
      <c r="H211" s="55"/>
      <c r="I211" s="55"/>
      <c r="J211" s="55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</row>
    <row r="212" ht="15.75" customHeight="1">
      <c r="A212" s="273"/>
      <c r="B212" s="55"/>
      <c r="C212" s="55"/>
      <c r="D212" s="55"/>
      <c r="E212" s="55"/>
      <c r="F212" s="55"/>
      <c r="G212" s="55"/>
      <c r="H212" s="55"/>
      <c r="I212" s="55"/>
      <c r="J212" s="55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</row>
    <row r="213" ht="15.75" customHeight="1">
      <c r="A213" s="273"/>
      <c r="B213" s="55"/>
      <c r="C213" s="55"/>
      <c r="D213" s="55"/>
      <c r="E213" s="55"/>
      <c r="F213" s="55"/>
      <c r="G213" s="55"/>
      <c r="H213" s="55"/>
      <c r="I213" s="55"/>
      <c r="J213" s="55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</row>
    <row r="214" ht="15.75" customHeight="1">
      <c r="A214" s="273"/>
      <c r="B214" s="55"/>
      <c r="C214" s="55"/>
      <c r="D214" s="55"/>
      <c r="E214" s="55"/>
      <c r="F214" s="55"/>
      <c r="G214" s="55"/>
      <c r="H214" s="55"/>
      <c r="I214" s="55"/>
      <c r="J214" s="55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</row>
    <row r="215" ht="15.75" customHeight="1">
      <c r="A215" s="273"/>
      <c r="B215" s="55"/>
      <c r="C215" s="55"/>
      <c r="D215" s="55"/>
      <c r="E215" s="55"/>
      <c r="F215" s="55"/>
      <c r="G215" s="55"/>
      <c r="H215" s="55"/>
      <c r="I215" s="55"/>
      <c r="J215" s="55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</row>
    <row r="216" ht="15.75" customHeight="1">
      <c r="A216" s="273"/>
      <c r="B216" s="55"/>
      <c r="C216" s="55"/>
      <c r="D216" s="55"/>
      <c r="E216" s="55"/>
      <c r="F216" s="55"/>
      <c r="G216" s="55"/>
      <c r="H216" s="55"/>
      <c r="I216" s="55"/>
      <c r="J216" s="55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</row>
    <row r="217" ht="15.75" customHeight="1">
      <c r="A217" s="273"/>
      <c r="B217" s="55"/>
      <c r="C217" s="55"/>
      <c r="D217" s="55"/>
      <c r="E217" s="55"/>
      <c r="F217" s="55"/>
      <c r="G217" s="55"/>
      <c r="H217" s="55"/>
      <c r="I217" s="55"/>
      <c r="J217" s="55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</row>
    <row r="218" ht="15.75" customHeight="1">
      <c r="A218" s="273"/>
      <c r="B218" s="55"/>
      <c r="C218" s="55"/>
      <c r="D218" s="55"/>
      <c r="E218" s="55"/>
      <c r="F218" s="55"/>
      <c r="G218" s="55"/>
      <c r="H218" s="55"/>
      <c r="I218" s="55"/>
      <c r="J218" s="55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</row>
    <row r="219" ht="15.75" customHeight="1">
      <c r="A219" s="273"/>
      <c r="B219" s="55"/>
      <c r="C219" s="55"/>
      <c r="D219" s="55"/>
      <c r="E219" s="55"/>
      <c r="F219" s="55"/>
      <c r="G219" s="55"/>
      <c r="H219" s="55"/>
      <c r="I219" s="55"/>
      <c r="J219" s="55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</row>
    <row r="220" ht="15.75" customHeight="1">
      <c r="A220" s="273"/>
      <c r="B220" s="55"/>
      <c r="C220" s="55"/>
      <c r="D220" s="55"/>
      <c r="E220" s="55"/>
      <c r="F220" s="55"/>
      <c r="G220" s="55"/>
      <c r="H220" s="55"/>
      <c r="I220" s="55"/>
      <c r="J220" s="55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</row>
    <row r="221" ht="15.75" customHeight="1">
      <c r="A221" s="273"/>
      <c r="B221" s="55"/>
      <c r="C221" s="55"/>
      <c r="D221" s="55"/>
      <c r="E221" s="55"/>
      <c r="F221" s="55"/>
      <c r="G221" s="55"/>
      <c r="H221" s="55"/>
      <c r="I221" s="55"/>
      <c r="J221" s="55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</row>
    <row r="222" ht="15.75" customHeight="1">
      <c r="A222" s="273"/>
      <c r="B222" s="55"/>
      <c r="C222" s="55"/>
      <c r="D222" s="55"/>
      <c r="E222" s="55"/>
      <c r="F222" s="55"/>
      <c r="G222" s="55"/>
      <c r="H222" s="55"/>
      <c r="I222" s="55"/>
      <c r="J222" s="55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</row>
    <row r="223" ht="15.75" customHeight="1">
      <c r="A223" s="273"/>
      <c r="B223" s="55"/>
      <c r="C223" s="55"/>
      <c r="D223" s="55"/>
      <c r="E223" s="55"/>
      <c r="F223" s="55"/>
      <c r="G223" s="55"/>
      <c r="H223" s="55"/>
      <c r="I223" s="55"/>
      <c r="J223" s="55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</row>
    <row r="224" ht="15.75" customHeight="1">
      <c r="A224" s="273"/>
      <c r="B224" s="55"/>
      <c r="C224" s="55"/>
      <c r="D224" s="55"/>
      <c r="E224" s="55"/>
      <c r="F224" s="55"/>
      <c r="G224" s="55"/>
      <c r="H224" s="55"/>
      <c r="I224" s="55"/>
      <c r="J224" s="55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</row>
    <row r="225" ht="15.75" customHeight="1">
      <c r="A225" s="273"/>
      <c r="B225" s="55"/>
      <c r="C225" s="55"/>
      <c r="D225" s="55"/>
      <c r="E225" s="55"/>
      <c r="F225" s="55"/>
      <c r="G225" s="55"/>
      <c r="H225" s="55"/>
      <c r="I225" s="55"/>
      <c r="J225" s="55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</row>
    <row r="226" ht="15.75" customHeight="1">
      <c r="A226" s="273"/>
      <c r="B226" s="55"/>
      <c r="C226" s="55"/>
      <c r="D226" s="55"/>
      <c r="E226" s="55"/>
      <c r="F226" s="55"/>
      <c r="G226" s="55"/>
      <c r="H226" s="55"/>
      <c r="I226" s="55"/>
      <c r="J226" s="55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</row>
    <row r="227" ht="15.75" customHeight="1">
      <c r="A227" s="273"/>
      <c r="B227" s="55"/>
      <c r="C227" s="55"/>
      <c r="D227" s="55"/>
      <c r="E227" s="55"/>
      <c r="F227" s="55"/>
      <c r="G227" s="55"/>
      <c r="H227" s="55"/>
      <c r="I227" s="55"/>
      <c r="J227" s="55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</row>
    <row r="228" ht="15.75" customHeight="1">
      <c r="A228" s="273"/>
      <c r="B228" s="55"/>
      <c r="C228" s="55"/>
      <c r="D228" s="55"/>
      <c r="E228" s="55"/>
      <c r="F228" s="55"/>
      <c r="G228" s="55"/>
      <c r="H228" s="55"/>
      <c r="I228" s="55"/>
      <c r="J228" s="55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</row>
    <row r="229" ht="15.75" customHeight="1">
      <c r="A229" s="273"/>
      <c r="B229" s="55"/>
      <c r="C229" s="55"/>
      <c r="D229" s="55"/>
      <c r="E229" s="55"/>
      <c r="F229" s="55"/>
      <c r="G229" s="55"/>
      <c r="H229" s="55"/>
      <c r="I229" s="55"/>
      <c r="J229" s="55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</row>
    <row r="230" ht="15.75" customHeight="1">
      <c r="A230" s="273"/>
      <c r="B230" s="55"/>
      <c r="C230" s="55"/>
      <c r="D230" s="55"/>
      <c r="E230" s="55"/>
      <c r="F230" s="55"/>
      <c r="G230" s="55"/>
      <c r="H230" s="55"/>
      <c r="I230" s="55"/>
      <c r="J230" s="55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</row>
    <row r="231" ht="15.75" customHeight="1">
      <c r="A231" s="273"/>
      <c r="B231" s="55"/>
      <c r="C231" s="55"/>
      <c r="D231" s="55"/>
      <c r="E231" s="55"/>
      <c r="F231" s="55"/>
      <c r="G231" s="55"/>
      <c r="H231" s="55"/>
      <c r="I231" s="55"/>
      <c r="J231" s="55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</row>
    <row r="232" ht="15.75" customHeight="1">
      <c r="A232" s="273"/>
      <c r="B232" s="55"/>
      <c r="C232" s="55"/>
      <c r="D232" s="55"/>
      <c r="E232" s="55"/>
      <c r="F232" s="55"/>
      <c r="G232" s="55"/>
      <c r="H232" s="55"/>
      <c r="I232" s="55"/>
      <c r="J232" s="55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</row>
    <row r="233" ht="15.75" customHeight="1">
      <c r="A233" s="273"/>
      <c r="B233" s="55"/>
      <c r="C233" s="55"/>
      <c r="D233" s="55"/>
      <c r="E233" s="55"/>
      <c r="F233" s="55"/>
      <c r="G233" s="55"/>
      <c r="H233" s="55"/>
      <c r="I233" s="55"/>
      <c r="J233" s="55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</row>
    <row r="234" ht="15.75" customHeight="1">
      <c r="A234" s="273"/>
      <c r="B234" s="55"/>
      <c r="C234" s="55"/>
      <c r="D234" s="55"/>
      <c r="E234" s="55"/>
      <c r="F234" s="55"/>
      <c r="G234" s="55"/>
      <c r="H234" s="55"/>
      <c r="I234" s="55"/>
      <c r="J234" s="55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</row>
    <row r="235" ht="15.75" customHeight="1">
      <c r="A235" s="273"/>
      <c r="B235" s="55"/>
      <c r="C235" s="55"/>
      <c r="D235" s="55"/>
      <c r="E235" s="55"/>
      <c r="F235" s="55"/>
      <c r="G235" s="55"/>
      <c r="H235" s="55"/>
      <c r="I235" s="55"/>
      <c r="J235" s="55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</row>
    <row r="236" ht="15.75" customHeight="1">
      <c r="A236" s="273"/>
      <c r="B236" s="55"/>
      <c r="C236" s="55"/>
      <c r="D236" s="55"/>
      <c r="E236" s="55"/>
      <c r="F236" s="55"/>
      <c r="G236" s="55"/>
      <c r="H236" s="55"/>
      <c r="I236" s="55"/>
      <c r="J236" s="55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</row>
    <row r="237" ht="15.75" customHeight="1">
      <c r="A237" s="273"/>
      <c r="B237" s="55"/>
      <c r="C237" s="55"/>
      <c r="D237" s="55"/>
      <c r="E237" s="55"/>
      <c r="F237" s="55"/>
      <c r="G237" s="55"/>
      <c r="H237" s="55"/>
      <c r="I237" s="55"/>
      <c r="J237" s="55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  <c r="Z237" s="273"/>
    </row>
    <row r="238" ht="15.75" customHeight="1">
      <c r="A238" s="273"/>
      <c r="B238" s="55"/>
      <c r="C238" s="55"/>
      <c r="D238" s="55"/>
      <c r="E238" s="55"/>
      <c r="F238" s="55"/>
      <c r="G238" s="55"/>
      <c r="H238" s="55"/>
      <c r="I238" s="55"/>
      <c r="J238" s="55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</row>
    <row r="239" ht="15.75" customHeight="1">
      <c r="A239" s="273"/>
      <c r="B239" s="55"/>
      <c r="C239" s="55"/>
      <c r="D239" s="55"/>
      <c r="E239" s="55"/>
      <c r="F239" s="55"/>
      <c r="G239" s="55"/>
      <c r="H239" s="55"/>
      <c r="I239" s="55"/>
      <c r="J239" s="55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  <c r="Z239" s="273"/>
    </row>
    <row r="240" ht="15.75" customHeight="1">
      <c r="A240" s="273"/>
      <c r="B240" s="55"/>
      <c r="C240" s="55"/>
      <c r="D240" s="55"/>
      <c r="E240" s="55"/>
      <c r="F240" s="55"/>
      <c r="G240" s="55"/>
      <c r="H240" s="55"/>
      <c r="I240" s="55"/>
      <c r="J240" s="55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  <c r="Z240" s="273"/>
    </row>
    <row r="241" ht="15.75" customHeight="1">
      <c r="A241" s="273"/>
      <c r="B241" s="55"/>
      <c r="C241" s="55"/>
      <c r="D241" s="55"/>
      <c r="E241" s="55"/>
      <c r="F241" s="55"/>
      <c r="G241" s="55"/>
      <c r="H241" s="55"/>
      <c r="I241" s="55"/>
      <c r="J241" s="55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  <c r="Z241" s="273"/>
    </row>
    <row r="242" ht="15.75" customHeight="1">
      <c r="A242" s="273"/>
      <c r="B242" s="55"/>
      <c r="C242" s="55"/>
      <c r="D242" s="55"/>
      <c r="E242" s="55"/>
      <c r="F242" s="55"/>
      <c r="G242" s="55"/>
      <c r="H242" s="55"/>
      <c r="I242" s="55"/>
      <c r="J242" s="55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</row>
    <row r="243" ht="15.75" customHeight="1">
      <c r="A243" s="273"/>
      <c r="B243" s="55"/>
      <c r="C243" s="55"/>
      <c r="D243" s="55"/>
      <c r="E243" s="55"/>
      <c r="F243" s="55"/>
      <c r="G243" s="55"/>
      <c r="H243" s="55"/>
      <c r="I243" s="55"/>
      <c r="J243" s="55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  <c r="Z243" s="273"/>
    </row>
    <row r="244" ht="15.75" customHeight="1">
      <c r="A244" s="273"/>
      <c r="B244" s="55"/>
      <c r="C244" s="55"/>
      <c r="D244" s="55"/>
      <c r="E244" s="55"/>
      <c r="F244" s="55"/>
      <c r="G244" s="55"/>
      <c r="H244" s="55"/>
      <c r="I244" s="55"/>
      <c r="J244" s="55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  <c r="Z244" s="273"/>
    </row>
    <row r="245" ht="15.75" customHeight="1">
      <c r="A245" s="273"/>
      <c r="B245" s="55"/>
      <c r="C245" s="55"/>
      <c r="D245" s="55"/>
      <c r="E245" s="55"/>
      <c r="F245" s="55"/>
      <c r="G245" s="55"/>
      <c r="H245" s="55"/>
      <c r="I245" s="55"/>
      <c r="J245" s="55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  <c r="Z245" s="273"/>
    </row>
    <row r="246" ht="15.75" customHeight="1">
      <c r="A246" s="273"/>
      <c r="B246" s="55"/>
      <c r="C246" s="55"/>
      <c r="D246" s="55"/>
      <c r="E246" s="55"/>
      <c r="F246" s="55"/>
      <c r="G246" s="55"/>
      <c r="H246" s="55"/>
      <c r="I246" s="55"/>
      <c r="J246" s="55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  <c r="Z246" s="273"/>
    </row>
    <row r="247" ht="15.75" customHeight="1">
      <c r="A247" s="273"/>
      <c r="B247" s="55"/>
      <c r="C247" s="55"/>
      <c r="D247" s="55"/>
      <c r="E247" s="55"/>
      <c r="F247" s="55"/>
      <c r="G247" s="55"/>
      <c r="H247" s="55"/>
      <c r="I247" s="55"/>
      <c r="J247" s="55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  <c r="Z247" s="273"/>
    </row>
    <row r="248" ht="15.75" customHeight="1">
      <c r="A248" s="273"/>
      <c r="B248" s="55"/>
      <c r="C248" s="55"/>
      <c r="D248" s="55"/>
      <c r="E248" s="55"/>
      <c r="F248" s="55"/>
      <c r="G248" s="55"/>
      <c r="H248" s="55"/>
      <c r="I248" s="55"/>
      <c r="J248" s="55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  <c r="Z248" s="273"/>
    </row>
    <row r="249" ht="15.75" customHeight="1">
      <c r="A249" s="273"/>
      <c r="B249" s="55"/>
      <c r="C249" s="55"/>
      <c r="D249" s="55"/>
      <c r="E249" s="55"/>
      <c r="F249" s="55"/>
      <c r="G249" s="55"/>
      <c r="H249" s="55"/>
      <c r="I249" s="55"/>
      <c r="J249" s="55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  <c r="Z249" s="273"/>
    </row>
    <row r="250" ht="15.75" customHeight="1">
      <c r="A250" s="273"/>
      <c r="B250" s="55"/>
      <c r="C250" s="55"/>
      <c r="D250" s="55"/>
      <c r="E250" s="55"/>
      <c r="F250" s="55"/>
      <c r="G250" s="55"/>
      <c r="H250" s="55"/>
      <c r="I250" s="55"/>
      <c r="J250" s="55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  <c r="Z250" s="273"/>
    </row>
    <row r="251" ht="15.75" customHeight="1">
      <c r="A251" s="273"/>
      <c r="B251" s="55"/>
      <c r="C251" s="55"/>
      <c r="D251" s="55"/>
      <c r="E251" s="55"/>
      <c r="F251" s="55"/>
      <c r="G251" s="55"/>
      <c r="H251" s="55"/>
      <c r="I251" s="55"/>
      <c r="J251" s="55"/>
      <c r="K251" s="273"/>
      <c r="L251" s="273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3"/>
      <c r="Y251" s="273"/>
      <c r="Z251" s="273"/>
    </row>
    <row r="252" ht="15.75" customHeight="1">
      <c r="A252" s="273"/>
      <c r="B252" s="55"/>
      <c r="C252" s="55"/>
      <c r="D252" s="55"/>
      <c r="E252" s="55"/>
      <c r="F252" s="55"/>
      <c r="G252" s="55"/>
      <c r="H252" s="55"/>
      <c r="I252" s="55"/>
      <c r="J252" s="55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  <c r="Z252" s="273"/>
    </row>
    <row r="253" ht="15.75" customHeight="1">
      <c r="A253" s="273"/>
      <c r="B253" s="55"/>
      <c r="C253" s="55"/>
      <c r="D253" s="55"/>
      <c r="E253" s="55"/>
      <c r="F253" s="55"/>
      <c r="G253" s="55"/>
      <c r="H253" s="55"/>
      <c r="I253" s="55"/>
      <c r="J253" s="55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3"/>
      <c r="Y253" s="273"/>
      <c r="Z253" s="273"/>
    </row>
    <row r="254" ht="15.75" customHeight="1">
      <c r="A254" s="273"/>
      <c r="B254" s="55"/>
      <c r="C254" s="55"/>
      <c r="D254" s="55"/>
      <c r="E254" s="55"/>
      <c r="F254" s="55"/>
      <c r="G254" s="55"/>
      <c r="H254" s="55"/>
      <c r="I254" s="55"/>
      <c r="J254" s="55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  <c r="Z254" s="273"/>
    </row>
    <row r="255" ht="15.75" customHeight="1">
      <c r="A255" s="273"/>
      <c r="B255" s="55"/>
      <c r="C255" s="55"/>
      <c r="D255" s="55"/>
      <c r="E255" s="55"/>
      <c r="F255" s="55"/>
      <c r="G255" s="55"/>
      <c r="H255" s="55"/>
      <c r="I255" s="55"/>
      <c r="J255" s="55"/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3"/>
      <c r="Y255" s="273"/>
      <c r="Z255" s="273"/>
    </row>
    <row r="256" ht="15.75" customHeight="1">
      <c r="A256" s="273"/>
      <c r="B256" s="55"/>
      <c r="C256" s="55"/>
      <c r="D256" s="55"/>
      <c r="E256" s="55"/>
      <c r="F256" s="55"/>
      <c r="G256" s="55"/>
      <c r="H256" s="55"/>
      <c r="I256" s="55"/>
      <c r="J256" s="55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  <c r="Z256" s="273"/>
    </row>
    <row r="257" ht="15.75" customHeight="1">
      <c r="A257" s="273"/>
      <c r="B257" s="55"/>
      <c r="C257" s="55"/>
      <c r="D257" s="55"/>
      <c r="E257" s="55"/>
      <c r="F257" s="55"/>
      <c r="G257" s="55"/>
      <c r="H257" s="55"/>
      <c r="I257" s="55"/>
      <c r="J257" s="55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  <c r="Z257" s="273"/>
    </row>
    <row r="258" ht="15.75" customHeight="1">
      <c r="A258" s="273"/>
      <c r="B258" s="55"/>
      <c r="C258" s="55"/>
      <c r="D258" s="55"/>
      <c r="E258" s="55"/>
      <c r="F258" s="55"/>
      <c r="G258" s="55"/>
      <c r="H258" s="55"/>
      <c r="I258" s="55"/>
      <c r="J258" s="55"/>
      <c r="K258" s="273"/>
      <c r="L258" s="273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3"/>
      <c r="Y258" s="273"/>
      <c r="Z258" s="273"/>
    </row>
    <row r="259" ht="15.75" customHeight="1">
      <c r="A259" s="273"/>
      <c r="B259" s="55"/>
      <c r="C259" s="55"/>
      <c r="D259" s="55"/>
      <c r="E259" s="55"/>
      <c r="F259" s="55"/>
      <c r="G259" s="55"/>
      <c r="H259" s="55"/>
      <c r="I259" s="55"/>
      <c r="J259" s="55"/>
      <c r="K259" s="273"/>
      <c r="L259" s="273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3"/>
      <c r="Y259" s="273"/>
      <c r="Z259" s="273"/>
    </row>
    <row r="260" ht="15.75" customHeight="1">
      <c r="A260" s="273"/>
      <c r="B260" s="55"/>
      <c r="C260" s="55"/>
      <c r="D260" s="55"/>
      <c r="E260" s="55"/>
      <c r="F260" s="55"/>
      <c r="G260" s="55"/>
      <c r="H260" s="55"/>
      <c r="I260" s="55"/>
      <c r="J260" s="55"/>
      <c r="K260" s="273"/>
      <c r="L260" s="273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3"/>
      <c r="Y260" s="273"/>
      <c r="Z260" s="273"/>
    </row>
    <row r="261" ht="15.75" customHeight="1">
      <c r="A261" s="273"/>
      <c r="B261" s="55"/>
      <c r="C261" s="55"/>
      <c r="D261" s="55"/>
      <c r="E261" s="55"/>
      <c r="F261" s="55"/>
      <c r="G261" s="55"/>
      <c r="H261" s="55"/>
      <c r="I261" s="55"/>
      <c r="J261" s="55"/>
      <c r="K261" s="273"/>
      <c r="L261" s="273"/>
      <c r="M261" s="273"/>
      <c r="N261" s="273"/>
      <c r="O261" s="273"/>
      <c r="P261" s="273"/>
      <c r="Q261" s="273"/>
      <c r="R261" s="273"/>
      <c r="S261" s="273"/>
      <c r="T261" s="273"/>
      <c r="U261" s="273"/>
      <c r="V261" s="273"/>
      <c r="W261" s="273"/>
      <c r="X261" s="273"/>
      <c r="Y261" s="273"/>
      <c r="Z261" s="273"/>
    </row>
    <row r="262" ht="15.75" customHeight="1">
      <c r="A262" s="273"/>
      <c r="B262" s="55"/>
      <c r="C262" s="55"/>
      <c r="D262" s="55"/>
      <c r="E262" s="55"/>
      <c r="F262" s="55"/>
      <c r="G262" s="55"/>
      <c r="H262" s="55"/>
      <c r="I262" s="55"/>
      <c r="J262" s="55"/>
      <c r="K262" s="273"/>
      <c r="L262" s="273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3"/>
      <c r="Y262" s="273"/>
      <c r="Z262" s="273"/>
    </row>
    <row r="263" ht="15.75" customHeight="1">
      <c r="A263" s="273"/>
      <c r="B263" s="55"/>
      <c r="C263" s="55"/>
      <c r="D263" s="55"/>
      <c r="E263" s="55"/>
      <c r="F263" s="55"/>
      <c r="G263" s="55"/>
      <c r="H263" s="55"/>
      <c r="I263" s="55"/>
      <c r="J263" s="55"/>
      <c r="K263" s="273"/>
      <c r="L263" s="273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3"/>
      <c r="Y263" s="273"/>
      <c r="Z263" s="273"/>
    </row>
    <row r="264" ht="15.75" customHeight="1">
      <c r="A264" s="273"/>
      <c r="B264" s="55"/>
      <c r="C264" s="55"/>
      <c r="D264" s="55"/>
      <c r="E264" s="55"/>
      <c r="F264" s="55"/>
      <c r="G264" s="55"/>
      <c r="H264" s="55"/>
      <c r="I264" s="55"/>
      <c r="J264" s="55"/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3"/>
      <c r="Y264" s="273"/>
      <c r="Z264" s="273"/>
    </row>
    <row r="265" ht="15.75" customHeight="1">
      <c r="A265" s="273"/>
      <c r="B265" s="55"/>
      <c r="C265" s="55"/>
      <c r="D265" s="55"/>
      <c r="E265" s="55"/>
      <c r="F265" s="55"/>
      <c r="G265" s="55"/>
      <c r="H265" s="55"/>
      <c r="I265" s="55"/>
      <c r="J265" s="55"/>
      <c r="K265" s="273"/>
      <c r="L265" s="273"/>
      <c r="M265" s="273"/>
      <c r="N265" s="273"/>
      <c r="O265" s="273"/>
      <c r="P265" s="273"/>
      <c r="Q265" s="273"/>
      <c r="R265" s="273"/>
      <c r="S265" s="273"/>
      <c r="T265" s="273"/>
      <c r="U265" s="273"/>
      <c r="V265" s="273"/>
      <c r="W265" s="273"/>
      <c r="X265" s="273"/>
      <c r="Y265" s="273"/>
      <c r="Z265" s="273"/>
    </row>
    <row r="266" ht="15.75" customHeight="1">
      <c r="A266" s="273"/>
      <c r="B266" s="55"/>
      <c r="C266" s="55"/>
      <c r="D266" s="55"/>
      <c r="E266" s="55"/>
      <c r="F266" s="55"/>
      <c r="G266" s="55"/>
      <c r="H266" s="55"/>
      <c r="I266" s="55"/>
      <c r="J266" s="55"/>
      <c r="K266" s="273"/>
      <c r="L266" s="273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  <c r="Z266" s="273"/>
    </row>
    <row r="267" ht="15.75" customHeight="1">
      <c r="A267" s="273"/>
      <c r="B267" s="55"/>
      <c r="C267" s="55"/>
      <c r="D267" s="55"/>
      <c r="E267" s="55"/>
      <c r="F267" s="55"/>
      <c r="G267" s="55"/>
      <c r="H267" s="55"/>
      <c r="I267" s="55"/>
      <c r="J267" s="55"/>
      <c r="K267" s="273"/>
      <c r="L267" s="273"/>
      <c r="M267" s="273"/>
      <c r="N267" s="273"/>
      <c r="O267" s="273"/>
      <c r="P267" s="273"/>
      <c r="Q267" s="273"/>
      <c r="R267" s="273"/>
      <c r="S267" s="273"/>
      <c r="T267" s="273"/>
      <c r="U267" s="273"/>
      <c r="V267" s="273"/>
      <c r="W267" s="273"/>
      <c r="X267" s="273"/>
      <c r="Y267" s="273"/>
      <c r="Z267" s="273"/>
    </row>
    <row r="268" ht="15.75" customHeight="1">
      <c r="A268" s="273"/>
      <c r="B268" s="55"/>
      <c r="C268" s="55"/>
      <c r="D268" s="55"/>
      <c r="E268" s="55"/>
      <c r="F268" s="55"/>
      <c r="G268" s="55"/>
      <c r="H268" s="55"/>
      <c r="I268" s="55"/>
      <c r="J268" s="55"/>
      <c r="K268" s="273"/>
      <c r="L268" s="273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3"/>
      <c r="Y268" s="273"/>
      <c r="Z268" s="273"/>
    </row>
    <row r="269" ht="15.75" customHeight="1">
      <c r="A269" s="273"/>
      <c r="B269" s="55"/>
      <c r="C269" s="55"/>
      <c r="D269" s="55"/>
      <c r="E269" s="55"/>
      <c r="F269" s="55"/>
      <c r="G269" s="55"/>
      <c r="H269" s="55"/>
      <c r="I269" s="55"/>
      <c r="J269" s="55"/>
      <c r="K269" s="273"/>
      <c r="L269" s="273"/>
      <c r="M269" s="273"/>
      <c r="N269" s="273"/>
      <c r="O269" s="273"/>
      <c r="P269" s="273"/>
      <c r="Q269" s="273"/>
      <c r="R269" s="273"/>
      <c r="S269" s="273"/>
      <c r="T269" s="273"/>
      <c r="U269" s="273"/>
      <c r="V269" s="273"/>
      <c r="W269" s="273"/>
      <c r="X269" s="273"/>
      <c r="Y269" s="273"/>
      <c r="Z269" s="273"/>
    </row>
    <row r="270" ht="15.75" customHeight="1">
      <c r="A270" s="273"/>
      <c r="B270" s="55"/>
      <c r="C270" s="55"/>
      <c r="D270" s="55"/>
      <c r="E270" s="55"/>
      <c r="F270" s="55"/>
      <c r="G270" s="55"/>
      <c r="H270" s="55"/>
      <c r="I270" s="55"/>
      <c r="J270" s="55"/>
      <c r="K270" s="273"/>
      <c r="L270" s="273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3"/>
      <c r="Y270" s="273"/>
      <c r="Z270" s="273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B40:B44"/>
    <mergeCell ref="C40:C42"/>
    <mergeCell ref="G40:G44"/>
    <mergeCell ref="H40:H42"/>
    <mergeCell ref="C43:C44"/>
    <mergeCell ref="H43:H44"/>
    <mergeCell ref="I43:I44"/>
    <mergeCell ref="G49:G52"/>
    <mergeCell ref="H49:J52"/>
    <mergeCell ref="D43:D44"/>
    <mergeCell ref="C45:E45"/>
    <mergeCell ref="C46:E46"/>
    <mergeCell ref="C47:E47"/>
    <mergeCell ref="H47:J47"/>
    <mergeCell ref="B49:B52"/>
    <mergeCell ref="C49:E52"/>
    <mergeCell ref="H56:H58"/>
    <mergeCell ref="H59:H60"/>
    <mergeCell ref="D59:D60"/>
    <mergeCell ref="C61:E61"/>
    <mergeCell ref="C62:E62"/>
    <mergeCell ref="C63:E63"/>
    <mergeCell ref="B65:B68"/>
    <mergeCell ref="C65:E68"/>
    <mergeCell ref="G65:G68"/>
    <mergeCell ref="C69:E69"/>
    <mergeCell ref="H61:J61"/>
    <mergeCell ref="H62:J62"/>
    <mergeCell ref="H63:J63"/>
    <mergeCell ref="H65:J68"/>
    <mergeCell ref="H69:J69"/>
    <mergeCell ref="C53:E53"/>
    <mergeCell ref="H53:J53"/>
    <mergeCell ref="B56:B60"/>
    <mergeCell ref="C56:C58"/>
    <mergeCell ref="G56:G60"/>
    <mergeCell ref="C59:C60"/>
    <mergeCell ref="I59:I60"/>
    <mergeCell ref="H8:H10"/>
    <mergeCell ref="H11:H12"/>
    <mergeCell ref="H13:J13"/>
    <mergeCell ref="H14:J14"/>
    <mergeCell ref="H15:J15"/>
    <mergeCell ref="H17:J20"/>
    <mergeCell ref="H21:J21"/>
    <mergeCell ref="H24:H26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4:E14"/>
    <mergeCell ref="C15:E15"/>
    <mergeCell ref="C17:E20"/>
    <mergeCell ref="G17:G20"/>
    <mergeCell ref="C21:E21"/>
    <mergeCell ref="C30:E30"/>
    <mergeCell ref="C31:E31"/>
    <mergeCell ref="C33:E36"/>
    <mergeCell ref="G33:G36"/>
    <mergeCell ref="H33:J36"/>
    <mergeCell ref="C37:E37"/>
    <mergeCell ref="H37:J37"/>
    <mergeCell ref="G24:G28"/>
    <mergeCell ref="D27:D28"/>
    <mergeCell ref="H27:H28"/>
    <mergeCell ref="I27:I28"/>
    <mergeCell ref="C29:E29"/>
    <mergeCell ref="H29:J29"/>
    <mergeCell ref="H30:J30"/>
    <mergeCell ref="H31:J31"/>
    <mergeCell ref="C8:C10"/>
    <mergeCell ref="C11:C12"/>
    <mergeCell ref="B17:B20"/>
    <mergeCell ref="B24:B28"/>
    <mergeCell ref="C24:C26"/>
    <mergeCell ref="C27:C28"/>
    <mergeCell ref="B33:B36"/>
    <mergeCell ref="H45:J45"/>
    <mergeCell ref="H46:J46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86"/>
    <col customWidth="1" min="3" max="3" width="43.71"/>
    <col customWidth="1" min="4" max="4" width="16.29"/>
    <col customWidth="1" min="5" max="5" width="21.86"/>
    <col customWidth="1" min="6" max="6" width="9.43"/>
    <col customWidth="1" min="7" max="7" width="26.29"/>
    <col customWidth="1" min="8" max="8" width="39.86"/>
    <col customWidth="1" min="9" max="9" width="16.86"/>
    <col customWidth="1" min="10" max="10" width="27.43"/>
    <col customWidth="1" min="11" max="22" width="11.43"/>
  </cols>
  <sheetData>
    <row r="1" ht="24.75" customHeight="1">
      <c r="A1" s="495"/>
      <c r="B1" s="496"/>
      <c r="C1" s="497" t="s">
        <v>0</v>
      </c>
      <c r="D1" s="46"/>
      <c r="E1" s="46"/>
      <c r="F1" s="46"/>
      <c r="G1" s="46"/>
      <c r="H1" s="117"/>
      <c r="I1" s="498" t="s">
        <v>1</v>
      </c>
      <c r="J1" s="499" t="s">
        <v>465</v>
      </c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3"/>
      <c r="X1" s="273"/>
      <c r="Y1" s="273"/>
      <c r="Z1" s="273"/>
    </row>
    <row r="2" ht="24.75" customHeight="1">
      <c r="A2" s="495"/>
      <c r="C2" s="64"/>
      <c r="H2" s="69"/>
      <c r="I2" s="384" t="s">
        <v>3</v>
      </c>
      <c r="J2" s="500">
        <v>1.0</v>
      </c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3"/>
      <c r="X2" s="273"/>
      <c r="Y2" s="273"/>
      <c r="Z2" s="273"/>
    </row>
    <row r="3" ht="24.75" customHeight="1">
      <c r="A3" s="495"/>
      <c r="C3" s="67"/>
      <c r="D3" s="11"/>
      <c r="E3" s="11"/>
      <c r="F3" s="11"/>
      <c r="G3" s="11"/>
      <c r="H3" s="88"/>
      <c r="I3" s="501" t="s">
        <v>5</v>
      </c>
      <c r="J3" s="501" t="s">
        <v>6</v>
      </c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3"/>
      <c r="X3" s="273"/>
      <c r="Y3" s="273"/>
      <c r="Z3" s="273"/>
    </row>
    <row r="4" ht="24.75" customHeight="1">
      <c r="A4" s="502"/>
      <c r="C4" s="497" t="s">
        <v>466</v>
      </c>
      <c r="D4" s="46"/>
      <c r="E4" s="46"/>
      <c r="F4" s="46"/>
      <c r="G4" s="46"/>
      <c r="H4" s="117"/>
      <c r="I4" s="503" t="s">
        <v>7</v>
      </c>
      <c r="J4" s="504" t="s">
        <v>205</v>
      </c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</row>
    <row r="5" ht="24.75" customHeight="1">
      <c r="A5" s="502"/>
      <c r="B5" s="113"/>
      <c r="C5" s="121"/>
      <c r="D5" s="113"/>
      <c r="E5" s="113"/>
      <c r="F5" s="113"/>
      <c r="G5" s="113"/>
      <c r="H5" s="114"/>
      <c r="I5" s="468"/>
      <c r="J5" s="505" t="s">
        <v>206</v>
      </c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</row>
    <row r="6" ht="24.75" customHeight="1">
      <c r="A6" s="273"/>
      <c r="B6" s="354"/>
      <c r="C6" s="354"/>
      <c r="D6" s="354"/>
      <c r="E6" s="354"/>
      <c r="F6" s="354"/>
      <c r="G6" s="354"/>
      <c r="H6" s="354"/>
      <c r="I6" s="354"/>
      <c r="J6" s="436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</row>
    <row r="7" ht="15.75" customHeight="1">
      <c r="A7" s="273"/>
      <c r="B7" s="55"/>
      <c r="C7" s="55"/>
      <c r="D7" s="55"/>
      <c r="E7" s="55"/>
      <c r="F7" s="55"/>
      <c r="G7" s="55"/>
      <c r="H7" s="55"/>
      <c r="I7" s="55"/>
      <c r="J7" s="55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</row>
    <row r="8" ht="18.75" customHeight="1">
      <c r="A8" s="273"/>
      <c r="B8" s="506"/>
      <c r="C8" s="462" t="s">
        <v>0</v>
      </c>
      <c r="D8" s="464" t="s">
        <v>1</v>
      </c>
      <c r="E8" s="464" t="s">
        <v>465</v>
      </c>
      <c r="F8" s="55"/>
      <c r="G8" s="506"/>
      <c r="H8" s="462" t="s">
        <v>0</v>
      </c>
      <c r="I8" s="464" t="s">
        <v>1</v>
      </c>
      <c r="J8" s="464" t="s">
        <v>465</v>
      </c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</row>
    <row r="9" ht="20.25" customHeight="1">
      <c r="A9" s="273"/>
      <c r="B9" s="64"/>
      <c r="C9" s="465"/>
      <c r="D9" s="467" t="s">
        <v>3</v>
      </c>
      <c r="E9" s="507">
        <v>1.0</v>
      </c>
      <c r="F9" s="55"/>
      <c r="G9" s="64"/>
      <c r="H9" s="465"/>
      <c r="I9" s="467" t="s">
        <v>3</v>
      </c>
      <c r="J9" s="507">
        <v>1.0</v>
      </c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</row>
    <row r="10" ht="18.0" customHeight="1">
      <c r="A10" s="273"/>
      <c r="B10" s="64"/>
      <c r="C10" s="462" t="s">
        <v>466</v>
      </c>
      <c r="D10" s="546" t="s">
        <v>5</v>
      </c>
      <c r="E10" s="464" t="s">
        <v>6</v>
      </c>
      <c r="F10" s="55"/>
      <c r="G10" s="64"/>
      <c r="H10" s="462" t="s">
        <v>466</v>
      </c>
      <c r="I10" s="546" t="s">
        <v>5</v>
      </c>
      <c r="J10" s="464" t="s">
        <v>6</v>
      </c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  <c r="Y10" s="273"/>
      <c r="Z10" s="273"/>
    </row>
    <row r="11" ht="18.75" customHeight="1">
      <c r="A11" s="273"/>
      <c r="B11" s="64"/>
      <c r="C11" s="465"/>
      <c r="D11" s="508" t="s">
        <v>7</v>
      </c>
      <c r="E11" s="508" t="s">
        <v>205</v>
      </c>
      <c r="F11" s="55"/>
      <c r="G11" s="64"/>
      <c r="H11" s="465"/>
      <c r="I11" s="508" t="s">
        <v>7</v>
      </c>
      <c r="J11" s="508" t="s">
        <v>205</v>
      </c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  <c r="Z11" s="273"/>
    </row>
    <row r="12" ht="15.0" customHeight="1">
      <c r="A12" s="502"/>
      <c r="B12" s="64"/>
      <c r="C12" s="547"/>
      <c r="D12" s="88"/>
      <c r="E12" s="509" t="s">
        <v>206</v>
      </c>
      <c r="F12" s="55"/>
      <c r="G12" s="64"/>
      <c r="H12" s="547"/>
      <c r="I12" s="88"/>
      <c r="J12" s="509" t="s">
        <v>206</v>
      </c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</row>
    <row r="13" ht="45.0" customHeight="1">
      <c r="A13" s="273"/>
      <c r="B13" s="462" t="s">
        <v>417</v>
      </c>
      <c r="C13" s="548"/>
      <c r="D13" s="46"/>
      <c r="E13" s="117"/>
      <c r="F13" s="511"/>
      <c r="G13" s="462" t="s">
        <v>417</v>
      </c>
      <c r="H13" s="549"/>
      <c r="I13" s="138"/>
      <c r="J13" s="120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</row>
    <row r="14" ht="29.25" customHeight="1">
      <c r="A14" s="273"/>
      <c r="B14" s="550" t="s">
        <v>344</v>
      </c>
      <c r="C14" s="551"/>
      <c r="D14" s="552" t="s">
        <v>467</v>
      </c>
      <c r="E14" s="551"/>
      <c r="F14" s="511"/>
      <c r="G14" s="553" t="s">
        <v>344</v>
      </c>
      <c r="H14" s="551"/>
      <c r="I14" s="552" t="s">
        <v>467</v>
      </c>
      <c r="J14" s="551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</row>
    <row r="15" ht="33.0" customHeight="1">
      <c r="A15" s="273"/>
      <c r="B15" s="462" t="s">
        <v>418</v>
      </c>
      <c r="C15" s="554"/>
      <c r="D15" s="555" t="s">
        <v>468</v>
      </c>
      <c r="E15" s="554"/>
      <c r="F15" s="511"/>
      <c r="G15" s="462" t="s">
        <v>418</v>
      </c>
      <c r="H15" s="554"/>
      <c r="I15" s="555" t="s">
        <v>468</v>
      </c>
      <c r="J15" s="554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  <c r="Z15" s="273"/>
    </row>
    <row r="16" ht="32.25" customHeight="1">
      <c r="A16" s="273"/>
      <c r="B16" s="462" t="s">
        <v>469</v>
      </c>
      <c r="C16" s="551"/>
      <c r="D16" s="552" t="s">
        <v>470</v>
      </c>
      <c r="E16" s="551"/>
      <c r="F16" s="517"/>
      <c r="G16" s="462" t="s">
        <v>471</v>
      </c>
      <c r="H16" s="551"/>
      <c r="I16" s="552" t="s">
        <v>470</v>
      </c>
      <c r="J16" s="551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  <c r="Z16" s="273"/>
    </row>
    <row r="17" ht="30.0" customHeight="1">
      <c r="A17" s="273"/>
      <c r="B17" s="462" t="s">
        <v>472</v>
      </c>
      <c r="C17" s="548"/>
      <c r="D17" s="46"/>
      <c r="E17" s="117"/>
      <c r="F17" s="517"/>
      <c r="G17" s="462" t="s">
        <v>472</v>
      </c>
      <c r="H17" s="548"/>
      <c r="I17" s="46"/>
      <c r="J17" s="117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  <c r="Z17" s="273"/>
    </row>
    <row r="18" ht="9.75" customHeight="1">
      <c r="A18" s="273"/>
      <c r="B18" s="465"/>
      <c r="C18" s="64"/>
      <c r="E18" s="69"/>
      <c r="F18" s="517"/>
      <c r="G18" s="465"/>
      <c r="H18" s="64"/>
      <c r="J18" s="69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</row>
    <row r="19" ht="15.0" customHeight="1">
      <c r="A19" s="273"/>
      <c r="B19" s="465"/>
      <c r="C19" s="64"/>
      <c r="E19" s="69"/>
      <c r="F19" s="517"/>
      <c r="G19" s="465"/>
      <c r="H19" s="64"/>
      <c r="J19" s="69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</row>
    <row r="20" ht="13.5" customHeight="1">
      <c r="A20" s="273"/>
      <c r="B20" s="468"/>
      <c r="C20" s="121"/>
      <c r="D20" s="113"/>
      <c r="E20" s="114"/>
      <c r="F20" s="517"/>
      <c r="G20" s="468"/>
      <c r="H20" s="121"/>
      <c r="I20" s="113"/>
      <c r="J20" s="114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</row>
    <row r="21" ht="15.75" customHeight="1">
      <c r="A21" s="273"/>
      <c r="B21" s="462" t="s">
        <v>413</v>
      </c>
      <c r="C21" s="556"/>
      <c r="D21" s="557" t="s">
        <v>473</v>
      </c>
      <c r="E21" s="556"/>
      <c r="F21" s="517"/>
      <c r="G21" s="462" t="s">
        <v>413</v>
      </c>
      <c r="H21" s="556"/>
      <c r="I21" s="557" t="s">
        <v>473</v>
      </c>
      <c r="J21" s="556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  <c r="Z21" s="273"/>
    </row>
    <row r="22" ht="15.0" customHeight="1">
      <c r="A22" s="273"/>
      <c r="B22" s="465"/>
      <c r="C22" s="465"/>
      <c r="D22" s="69"/>
      <c r="E22" s="468"/>
      <c r="F22" s="511"/>
      <c r="G22" s="465"/>
      <c r="H22" s="465"/>
      <c r="I22" s="69"/>
      <c r="J22" s="468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  <c r="Z22" s="273"/>
    </row>
    <row r="23" ht="15.75" customHeight="1">
      <c r="A23" s="273"/>
      <c r="B23" s="465"/>
      <c r="C23" s="465"/>
      <c r="D23" s="462" t="s">
        <v>184</v>
      </c>
      <c r="E23" s="556"/>
      <c r="F23" s="511"/>
      <c r="G23" s="465"/>
      <c r="H23" s="465"/>
      <c r="I23" s="462" t="s">
        <v>184</v>
      </c>
      <c r="J23" s="556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</row>
    <row r="24" ht="15.75" customHeight="1">
      <c r="A24" s="273"/>
      <c r="B24" s="468"/>
      <c r="C24" s="468"/>
      <c r="D24" s="468"/>
      <c r="E24" s="468"/>
      <c r="F24" s="511"/>
      <c r="G24" s="468"/>
      <c r="H24" s="468"/>
      <c r="I24" s="468"/>
      <c r="J24" s="468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  <c r="Z24" s="273"/>
    </row>
    <row r="25" ht="15.75" customHeight="1">
      <c r="A25" s="273"/>
      <c r="B25" s="55"/>
      <c r="C25" s="55"/>
      <c r="D25" s="55"/>
      <c r="E25" s="55"/>
      <c r="F25" s="55"/>
      <c r="G25" s="55"/>
      <c r="H25" s="55"/>
      <c r="I25" s="55"/>
      <c r="J25" s="55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  <c r="Z25" s="273"/>
    </row>
    <row r="26" ht="18.0" customHeight="1">
      <c r="A26" s="273"/>
      <c r="B26" s="506"/>
      <c r="C26" s="462" t="s">
        <v>0</v>
      </c>
      <c r="D26" s="464" t="s">
        <v>1</v>
      </c>
      <c r="E26" s="464" t="s">
        <v>465</v>
      </c>
      <c r="F26" s="55"/>
      <c r="G26" s="506"/>
      <c r="H26" s="462" t="s">
        <v>0</v>
      </c>
      <c r="I26" s="464" t="s">
        <v>1</v>
      </c>
      <c r="J26" s="464" t="s">
        <v>465</v>
      </c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</row>
    <row r="27" ht="18.75" customHeight="1">
      <c r="A27" s="273"/>
      <c r="B27" s="64"/>
      <c r="C27" s="465"/>
      <c r="D27" s="467" t="s">
        <v>3</v>
      </c>
      <c r="E27" s="507">
        <v>1.0</v>
      </c>
      <c r="F27" s="55"/>
      <c r="G27" s="64"/>
      <c r="H27" s="465"/>
      <c r="I27" s="467" t="s">
        <v>3</v>
      </c>
      <c r="J27" s="507">
        <v>1.0</v>
      </c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</row>
    <row r="28" ht="17.25" customHeight="1">
      <c r="A28" s="273"/>
      <c r="B28" s="64"/>
      <c r="C28" s="462" t="s">
        <v>466</v>
      </c>
      <c r="D28" s="546" t="s">
        <v>5</v>
      </c>
      <c r="E28" s="464" t="s">
        <v>6</v>
      </c>
      <c r="F28" s="55"/>
      <c r="G28" s="64"/>
      <c r="H28" s="462" t="s">
        <v>466</v>
      </c>
      <c r="I28" s="546" t="s">
        <v>5</v>
      </c>
      <c r="J28" s="464" t="s">
        <v>6</v>
      </c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</row>
    <row r="29" ht="17.25" customHeight="1">
      <c r="A29" s="273"/>
      <c r="B29" s="64"/>
      <c r="C29" s="465"/>
      <c r="D29" s="508" t="s">
        <v>7</v>
      </c>
      <c r="E29" s="508" t="s">
        <v>205</v>
      </c>
      <c r="F29" s="55"/>
      <c r="G29" s="64"/>
      <c r="H29" s="465"/>
      <c r="I29" s="508" t="s">
        <v>7</v>
      </c>
      <c r="J29" s="508" t="s">
        <v>205</v>
      </c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</row>
    <row r="30" ht="15.75" customHeight="1">
      <c r="A30" s="273"/>
      <c r="B30" s="64"/>
      <c r="C30" s="547"/>
      <c r="D30" s="88"/>
      <c r="E30" s="509" t="s">
        <v>206</v>
      </c>
      <c r="F30" s="55"/>
      <c r="G30" s="64"/>
      <c r="H30" s="547"/>
      <c r="I30" s="88"/>
      <c r="J30" s="509" t="s">
        <v>206</v>
      </c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</row>
    <row r="31" ht="43.5" customHeight="1">
      <c r="A31" s="273"/>
      <c r="B31" s="462" t="s">
        <v>417</v>
      </c>
      <c r="C31" s="549"/>
      <c r="D31" s="138"/>
      <c r="E31" s="120"/>
      <c r="F31" s="511"/>
      <c r="G31" s="462" t="s">
        <v>417</v>
      </c>
      <c r="H31" s="549"/>
      <c r="I31" s="138"/>
      <c r="J31" s="120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</row>
    <row r="32" ht="30.0" customHeight="1">
      <c r="A32" s="273"/>
      <c r="B32" s="553" t="s">
        <v>344</v>
      </c>
      <c r="C32" s="551"/>
      <c r="D32" s="552" t="s">
        <v>467</v>
      </c>
      <c r="E32" s="551"/>
      <c r="F32" s="511"/>
      <c r="G32" s="553" t="s">
        <v>344</v>
      </c>
      <c r="H32" s="551"/>
      <c r="I32" s="552" t="s">
        <v>467</v>
      </c>
      <c r="J32" s="551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</row>
    <row r="33" ht="36.0" customHeight="1">
      <c r="A33" s="273"/>
      <c r="B33" s="462" t="s">
        <v>418</v>
      </c>
      <c r="C33" s="554"/>
      <c r="D33" s="555" t="s">
        <v>468</v>
      </c>
      <c r="E33" s="554"/>
      <c r="F33" s="511"/>
      <c r="G33" s="462" t="s">
        <v>418</v>
      </c>
      <c r="H33" s="554"/>
      <c r="I33" s="555" t="s">
        <v>468</v>
      </c>
      <c r="J33" s="554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  <c r="Z33" s="273"/>
    </row>
    <row r="34" ht="42.75" customHeight="1">
      <c r="A34" s="273"/>
      <c r="B34" s="462" t="s">
        <v>471</v>
      </c>
      <c r="C34" s="551"/>
      <c r="D34" s="552" t="s">
        <v>470</v>
      </c>
      <c r="E34" s="551"/>
      <c r="F34" s="517"/>
      <c r="G34" s="462" t="s">
        <v>471</v>
      </c>
      <c r="H34" s="551"/>
      <c r="I34" s="552" t="s">
        <v>470</v>
      </c>
      <c r="J34" s="551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  <c r="Z34" s="273"/>
    </row>
    <row r="35" ht="12.0" customHeight="1">
      <c r="A35" s="273"/>
      <c r="B35" s="462" t="s">
        <v>472</v>
      </c>
      <c r="C35" s="548"/>
      <c r="D35" s="46"/>
      <c r="E35" s="117"/>
      <c r="F35" s="517"/>
      <c r="G35" s="462" t="s">
        <v>472</v>
      </c>
      <c r="H35" s="548"/>
      <c r="I35" s="46"/>
      <c r="J35" s="117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  <c r="Z35" s="273"/>
    </row>
    <row r="36" ht="12.0" customHeight="1">
      <c r="A36" s="273"/>
      <c r="B36" s="465"/>
      <c r="C36" s="64"/>
      <c r="E36" s="69"/>
      <c r="F36" s="517"/>
      <c r="G36" s="465"/>
      <c r="H36" s="64"/>
      <c r="J36" s="69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</row>
    <row r="37" ht="9.0" customHeight="1">
      <c r="A37" s="273"/>
      <c r="B37" s="465"/>
      <c r="C37" s="64"/>
      <c r="E37" s="69"/>
      <c r="F37" s="517"/>
      <c r="G37" s="465"/>
      <c r="H37" s="64"/>
      <c r="J37" s="69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</row>
    <row r="38" ht="24.0" customHeight="1">
      <c r="A38" s="273"/>
      <c r="B38" s="468"/>
      <c r="C38" s="121"/>
      <c r="D38" s="113"/>
      <c r="E38" s="114"/>
      <c r="F38" s="517"/>
      <c r="G38" s="468"/>
      <c r="H38" s="121"/>
      <c r="I38" s="113"/>
      <c r="J38" s="114"/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</row>
    <row r="39" ht="15.75" customHeight="1">
      <c r="A39" s="273"/>
      <c r="B39" s="462" t="s">
        <v>413</v>
      </c>
      <c r="C39" s="556"/>
      <c r="D39" s="557" t="s">
        <v>473</v>
      </c>
      <c r="E39" s="556"/>
      <c r="F39" s="517"/>
      <c r="G39" s="462" t="s">
        <v>413</v>
      </c>
      <c r="H39" s="556"/>
      <c r="I39" s="557" t="s">
        <v>473</v>
      </c>
      <c r="J39" s="556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  <c r="Z39" s="273"/>
    </row>
    <row r="40" ht="15.75" customHeight="1">
      <c r="A40" s="273"/>
      <c r="B40" s="465"/>
      <c r="C40" s="465"/>
      <c r="D40" s="69"/>
      <c r="E40" s="468"/>
      <c r="F40" s="511"/>
      <c r="G40" s="465"/>
      <c r="H40" s="465"/>
      <c r="I40" s="69"/>
      <c r="J40" s="468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</row>
    <row r="41" ht="15.75" customHeight="1">
      <c r="A41" s="273"/>
      <c r="B41" s="465"/>
      <c r="C41" s="465"/>
      <c r="D41" s="462" t="s">
        <v>184</v>
      </c>
      <c r="E41" s="556"/>
      <c r="F41" s="511"/>
      <c r="G41" s="465"/>
      <c r="H41" s="465"/>
      <c r="I41" s="462" t="s">
        <v>184</v>
      </c>
      <c r="J41" s="556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</row>
    <row r="42" ht="15.75" customHeight="1">
      <c r="A42" s="273"/>
      <c r="B42" s="468"/>
      <c r="C42" s="468"/>
      <c r="D42" s="468"/>
      <c r="E42" s="468"/>
      <c r="F42" s="511"/>
      <c r="G42" s="468"/>
      <c r="H42" s="468"/>
      <c r="I42" s="468"/>
      <c r="J42" s="468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</row>
    <row r="43" ht="15.75" customHeight="1">
      <c r="A43" s="273"/>
      <c r="B43" s="55"/>
      <c r="C43" s="55"/>
      <c r="D43" s="55"/>
      <c r="E43" s="55"/>
      <c r="F43" s="55"/>
      <c r="G43" s="55"/>
      <c r="H43" s="55"/>
      <c r="I43" s="55"/>
      <c r="J43" s="55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</row>
    <row r="44" ht="15.0" customHeight="1">
      <c r="A44" s="273"/>
      <c r="B44" s="506"/>
      <c r="C44" s="462" t="s">
        <v>0</v>
      </c>
      <c r="D44" s="464" t="s">
        <v>1</v>
      </c>
      <c r="E44" s="464" t="s">
        <v>465</v>
      </c>
      <c r="F44" s="55"/>
      <c r="G44" s="506"/>
      <c r="H44" s="462" t="s">
        <v>0</v>
      </c>
      <c r="I44" s="464" t="s">
        <v>1</v>
      </c>
      <c r="J44" s="464" t="s">
        <v>465</v>
      </c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</row>
    <row r="45" ht="15.75" customHeight="1">
      <c r="A45" s="273"/>
      <c r="B45" s="64"/>
      <c r="C45" s="465"/>
      <c r="D45" s="467" t="s">
        <v>3</v>
      </c>
      <c r="E45" s="507">
        <v>1.0</v>
      </c>
      <c r="F45" s="55"/>
      <c r="G45" s="64"/>
      <c r="H45" s="465"/>
      <c r="I45" s="467" t="s">
        <v>3</v>
      </c>
      <c r="J45" s="507">
        <v>1.0</v>
      </c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</row>
    <row r="46" ht="15.75" customHeight="1">
      <c r="A46" s="273"/>
      <c r="B46" s="64"/>
      <c r="C46" s="462" t="s">
        <v>466</v>
      </c>
      <c r="D46" s="546" t="s">
        <v>5</v>
      </c>
      <c r="E46" s="464" t="s">
        <v>6</v>
      </c>
      <c r="F46" s="55"/>
      <c r="G46" s="64"/>
      <c r="H46" s="462" t="s">
        <v>466</v>
      </c>
      <c r="I46" s="546" t="s">
        <v>5</v>
      </c>
      <c r="J46" s="464" t="s">
        <v>6</v>
      </c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</row>
    <row r="47" ht="21.0" customHeight="1">
      <c r="A47" s="273"/>
      <c r="B47" s="64"/>
      <c r="C47" s="465"/>
      <c r="D47" s="508" t="s">
        <v>7</v>
      </c>
      <c r="E47" s="508" t="s">
        <v>205</v>
      </c>
      <c r="F47" s="55"/>
      <c r="G47" s="64"/>
      <c r="H47" s="465"/>
      <c r="I47" s="508" t="s">
        <v>7</v>
      </c>
      <c r="J47" s="508" t="s">
        <v>205</v>
      </c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</row>
    <row r="48" ht="18.75" customHeight="1">
      <c r="A48" s="273"/>
      <c r="B48" s="64"/>
      <c r="C48" s="547"/>
      <c r="D48" s="88"/>
      <c r="E48" s="509" t="s">
        <v>206</v>
      </c>
      <c r="F48" s="55"/>
      <c r="G48" s="64"/>
      <c r="H48" s="547"/>
      <c r="I48" s="88"/>
      <c r="J48" s="509" t="s">
        <v>206</v>
      </c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</row>
    <row r="49" ht="46.5" customHeight="1">
      <c r="A49" s="273"/>
      <c r="B49" s="462" t="s">
        <v>417</v>
      </c>
      <c r="C49" s="549"/>
      <c r="D49" s="138"/>
      <c r="E49" s="120"/>
      <c r="F49" s="511"/>
      <c r="G49" s="462" t="s">
        <v>417</v>
      </c>
      <c r="H49" s="549"/>
      <c r="I49" s="138"/>
      <c r="J49" s="120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</row>
    <row r="50" ht="29.25" customHeight="1">
      <c r="A50" s="273"/>
      <c r="B50" s="553" t="s">
        <v>344</v>
      </c>
      <c r="C50" s="551"/>
      <c r="D50" s="552" t="s">
        <v>467</v>
      </c>
      <c r="E50" s="551"/>
      <c r="F50" s="511"/>
      <c r="G50" s="553" t="s">
        <v>344</v>
      </c>
      <c r="H50" s="551"/>
      <c r="I50" s="552" t="s">
        <v>467</v>
      </c>
      <c r="J50" s="551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</row>
    <row r="51" ht="34.5" customHeight="1">
      <c r="A51" s="273"/>
      <c r="B51" s="462" t="s">
        <v>418</v>
      </c>
      <c r="C51" s="554"/>
      <c r="D51" s="555" t="s">
        <v>468</v>
      </c>
      <c r="E51" s="554"/>
      <c r="F51" s="511"/>
      <c r="G51" s="462" t="s">
        <v>418</v>
      </c>
      <c r="H51" s="554"/>
      <c r="I51" s="555" t="s">
        <v>468</v>
      </c>
      <c r="J51" s="554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</row>
    <row r="52" ht="38.25" customHeight="1">
      <c r="A52" s="273"/>
      <c r="B52" s="462" t="s">
        <v>471</v>
      </c>
      <c r="C52" s="551"/>
      <c r="D52" s="552" t="s">
        <v>470</v>
      </c>
      <c r="E52" s="551"/>
      <c r="F52" s="517"/>
      <c r="G52" s="462" t="s">
        <v>471</v>
      </c>
      <c r="H52" s="551"/>
      <c r="I52" s="552" t="s">
        <v>470</v>
      </c>
      <c r="J52" s="551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</row>
    <row r="53" ht="18.75" customHeight="1">
      <c r="A53" s="273"/>
      <c r="B53" s="462" t="s">
        <v>472</v>
      </c>
      <c r="C53" s="548"/>
      <c r="D53" s="46"/>
      <c r="E53" s="117"/>
      <c r="F53" s="517"/>
      <c r="G53" s="462" t="s">
        <v>472</v>
      </c>
      <c r="H53" s="548"/>
      <c r="I53" s="46"/>
      <c r="J53" s="117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</row>
    <row r="54" ht="16.5" customHeight="1">
      <c r="A54" s="273"/>
      <c r="B54" s="465"/>
      <c r="C54" s="64"/>
      <c r="E54" s="69"/>
      <c r="F54" s="517"/>
      <c r="G54" s="465"/>
      <c r="H54" s="64"/>
      <c r="J54" s="69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</row>
    <row r="55" ht="9.75" customHeight="1">
      <c r="A55" s="273"/>
      <c r="B55" s="465"/>
      <c r="C55" s="64"/>
      <c r="E55" s="69"/>
      <c r="F55" s="517"/>
      <c r="G55" s="465"/>
      <c r="H55" s="64"/>
      <c r="J55" s="69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</row>
    <row r="56" ht="13.5" customHeight="1">
      <c r="A56" s="273"/>
      <c r="B56" s="468"/>
      <c r="C56" s="121"/>
      <c r="D56" s="113"/>
      <c r="E56" s="114"/>
      <c r="F56" s="517"/>
      <c r="G56" s="468"/>
      <c r="H56" s="121"/>
      <c r="I56" s="113"/>
      <c r="J56" s="114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</row>
    <row r="57" ht="15.75" customHeight="1">
      <c r="A57" s="273"/>
      <c r="B57" s="462" t="s">
        <v>413</v>
      </c>
      <c r="C57" s="556"/>
      <c r="D57" s="557" t="s">
        <v>473</v>
      </c>
      <c r="E57" s="556"/>
      <c r="F57" s="517"/>
      <c r="G57" s="462" t="s">
        <v>413</v>
      </c>
      <c r="H57" s="556"/>
      <c r="I57" s="557" t="s">
        <v>473</v>
      </c>
      <c r="J57" s="556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</row>
    <row r="58" ht="15.75" customHeight="1">
      <c r="A58" s="273"/>
      <c r="B58" s="465"/>
      <c r="C58" s="465"/>
      <c r="D58" s="69"/>
      <c r="E58" s="468"/>
      <c r="F58" s="511"/>
      <c r="G58" s="465"/>
      <c r="H58" s="465"/>
      <c r="I58" s="69"/>
      <c r="J58" s="468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</row>
    <row r="59" ht="15.75" customHeight="1">
      <c r="A59" s="273"/>
      <c r="B59" s="465"/>
      <c r="C59" s="465"/>
      <c r="D59" s="462" t="s">
        <v>184</v>
      </c>
      <c r="E59" s="556"/>
      <c r="F59" s="511"/>
      <c r="G59" s="465"/>
      <c r="H59" s="465"/>
      <c r="I59" s="462" t="s">
        <v>184</v>
      </c>
      <c r="J59" s="556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</row>
    <row r="60" ht="15.75" customHeight="1">
      <c r="A60" s="273"/>
      <c r="B60" s="468"/>
      <c r="C60" s="468"/>
      <c r="D60" s="468"/>
      <c r="E60" s="468"/>
      <c r="F60" s="511"/>
      <c r="G60" s="468"/>
      <c r="H60" s="468"/>
      <c r="I60" s="468"/>
      <c r="J60" s="468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</row>
    <row r="61" ht="15.75" customHeight="1">
      <c r="A61" s="273"/>
      <c r="B61" s="55"/>
      <c r="C61" s="55"/>
      <c r="D61" s="55"/>
      <c r="E61" s="55"/>
      <c r="F61" s="55"/>
      <c r="G61" s="55"/>
      <c r="H61" s="55"/>
      <c r="I61" s="55"/>
      <c r="J61" s="55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</row>
    <row r="62" ht="21.0" customHeight="1">
      <c r="A62" s="273"/>
      <c r="B62" s="506"/>
      <c r="C62" s="462" t="s">
        <v>0</v>
      </c>
      <c r="D62" s="464" t="s">
        <v>1</v>
      </c>
      <c r="E62" s="464" t="s">
        <v>465</v>
      </c>
      <c r="F62" s="55"/>
      <c r="G62" s="506"/>
      <c r="H62" s="462" t="s">
        <v>0</v>
      </c>
      <c r="I62" s="464" t="s">
        <v>1</v>
      </c>
      <c r="J62" s="464" t="s">
        <v>465</v>
      </c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</row>
    <row r="63" ht="21.0" customHeight="1">
      <c r="A63" s="273"/>
      <c r="B63" s="64"/>
      <c r="C63" s="465"/>
      <c r="D63" s="467" t="s">
        <v>3</v>
      </c>
      <c r="E63" s="507">
        <v>1.0</v>
      </c>
      <c r="F63" s="55"/>
      <c r="G63" s="64"/>
      <c r="H63" s="465"/>
      <c r="I63" s="467" t="s">
        <v>3</v>
      </c>
      <c r="J63" s="507">
        <v>1.0</v>
      </c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</row>
    <row r="64" ht="21.0" customHeight="1">
      <c r="A64" s="273"/>
      <c r="B64" s="64"/>
      <c r="C64" s="462" t="s">
        <v>466</v>
      </c>
      <c r="D64" s="546" t="s">
        <v>5</v>
      </c>
      <c r="E64" s="464" t="s">
        <v>6</v>
      </c>
      <c r="F64" s="55"/>
      <c r="G64" s="64"/>
      <c r="H64" s="462" t="s">
        <v>466</v>
      </c>
      <c r="I64" s="546" t="s">
        <v>5</v>
      </c>
      <c r="J64" s="464" t="s">
        <v>6</v>
      </c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</row>
    <row r="65" ht="22.5" customHeight="1">
      <c r="A65" s="273"/>
      <c r="B65" s="64"/>
      <c r="C65" s="465"/>
      <c r="D65" s="508" t="s">
        <v>7</v>
      </c>
      <c r="E65" s="508" t="s">
        <v>205</v>
      </c>
      <c r="F65" s="55"/>
      <c r="G65" s="64"/>
      <c r="H65" s="465"/>
      <c r="I65" s="508" t="s">
        <v>7</v>
      </c>
      <c r="J65" s="508" t="s">
        <v>205</v>
      </c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273"/>
    </row>
    <row r="66" ht="18.75" customHeight="1">
      <c r="A66" s="273"/>
      <c r="B66" s="64"/>
      <c r="C66" s="547"/>
      <c r="D66" s="88"/>
      <c r="E66" s="509" t="s">
        <v>206</v>
      </c>
      <c r="F66" s="55"/>
      <c r="G66" s="64"/>
      <c r="H66" s="547"/>
      <c r="I66" s="88"/>
      <c r="J66" s="509" t="s">
        <v>206</v>
      </c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</row>
    <row r="67" ht="45.0" customHeight="1">
      <c r="A67" s="273"/>
      <c r="B67" s="462" t="s">
        <v>417</v>
      </c>
      <c r="C67" s="549"/>
      <c r="D67" s="138"/>
      <c r="E67" s="120"/>
      <c r="F67" s="511"/>
      <c r="G67" s="462" t="s">
        <v>417</v>
      </c>
      <c r="H67" s="549"/>
      <c r="I67" s="138"/>
      <c r="J67" s="120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  <c r="Z67" s="273"/>
    </row>
    <row r="68" ht="30.0" customHeight="1">
      <c r="A68" s="273"/>
      <c r="B68" s="553" t="s">
        <v>344</v>
      </c>
      <c r="C68" s="551"/>
      <c r="D68" s="552" t="s">
        <v>467</v>
      </c>
      <c r="E68" s="551"/>
      <c r="F68" s="511"/>
      <c r="G68" s="553" t="s">
        <v>344</v>
      </c>
      <c r="H68" s="551"/>
      <c r="I68" s="552" t="s">
        <v>467</v>
      </c>
      <c r="J68" s="551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273"/>
    </row>
    <row r="69" ht="45.0" customHeight="1">
      <c r="A69" s="273"/>
      <c r="B69" s="462" t="s">
        <v>418</v>
      </c>
      <c r="C69" s="554"/>
      <c r="D69" s="555" t="s">
        <v>468</v>
      </c>
      <c r="E69" s="554"/>
      <c r="F69" s="511"/>
      <c r="G69" s="462" t="s">
        <v>418</v>
      </c>
      <c r="H69" s="554"/>
      <c r="I69" s="555" t="s">
        <v>468</v>
      </c>
      <c r="J69" s="554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273"/>
    </row>
    <row r="70" ht="36.0" customHeight="1">
      <c r="A70" s="273"/>
      <c r="B70" s="462" t="s">
        <v>471</v>
      </c>
      <c r="C70" s="551"/>
      <c r="D70" s="552" t="s">
        <v>470</v>
      </c>
      <c r="E70" s="551"/>
      <c r="F70" s="517"/>
      <c r="G70" s="462" t="s">
        <v>471</v>
      </c>
      <c r="H70" s="551"/>
      <c r="I70" s="552" t="s">
        <v>470</v>
      </c>
      <c r="J70" s="551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</row>
    <row r="71" ht="12.0" customHeight="1">
      <c r="A71" s="273"/>
      <c r="B71" s="462" t="s">
        <v>472</v>
      </c>
      <c r="C71" s="548"/>
      <c r="D71" s="46"/>
      <c r="E71" s="117"/>
      <c r="F71" s="517"/>
      <c r="G71" s="462" t="s">
        <v>472</v>
      </c>
      <c r="H71" s="548"/>
      <c r="I71" s="46"/>
      <c r="J71" s="117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</row>
    <row r="72" ht="3.0" customHeight="1">
      <c r="A72" s="273"/>
      <c r="B72" s="465"/>
      <c r="C72" s="64"/>
      <c r="E72" s="69"/>
      <c r="F72" s="517"/>
      <c r="G72" s="465"/>
      <c r="H72" s="64"/>
      <c r="J72" s="69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</row>
    <row r="73" ht="16.5" customHeight="1">
      <c r="A73" s="273"/>
      <c r="B73" s="465"/>
      <c r="C73" s="64"/>
      <c r="E73" s="69"/>
      <c r="F73" s="517"/>
      <c r="G73" s="465"/>
      <c r="H73" s="64"/>
      <c r="J73" s="69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</row>
    <row r="74" ht="25.5" customHeight="1">
      <c r="A74" s="273"/>
      <c r="B74" s="468"/>
      <c r="C74" s="121"/>
      <c r="D74" s="113"/>
      <c r="E74" s="114"/>
      <c r="F74" s="517"/>
      <c r="G74" s="468"/>
      <c r="H74" s="121"/>
      <c r="I74" s="113"/>
      <c r="J74" s="114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</row>
    <row r="75" ht="15.75" customHeight="1">
      <c r="A75" s="273"/>
      <c r="B75" s="462" t="s">
        <v>413</v>
      </c>
      <c r="C75" s="556"/>
      <c r="D75" s="557" t="s">
        <v>473</v>
      </c>
      <c r="E75" s="556"/>
      <c r="F75" s="517"/>
      <c r="G75" s="462" t="s">
        <v>413</v>
      </c>
      <c r="H75" s="556"/>
      <c r="I75" s="557" t="s">
        <v>473</v>
      </c>
      <c r="J75" s="556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273"/>
    </row>
    <row r="76" ht="15.75" customHeight="1">
      <c r="A76" s="273"/>
      <c r="B76" s="465"/>
      <c r="C76" s="465"/>
      <c r="D76" s="69"/>
      <c r="E76" s="468"/>
      <c r="F76" s="511"/>
      <c r="G76" s="465"/>
      <c r="H76" s="465"/>
      <c r="I76" s="69"/>
      <c r="J76" s="468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</row>
    <row r="77" ht="15.75" customHeight="1">
      <c r="A77" s="273"/>
      <c r="B77" s="465"/>
      <c r="C77" s="465"/>
      <c r="D77" s="462" t="s">
        <v>184</v>
      </c>
      <c r="E77" s="556"/>
      <c r="F77" s="511"/>
      <c r="G77" s="465"/>
      <c r="H77" s="465"/>
      <c r="I77" s="462" t="s">
        <v>184</v>
      </c>
      <c r="J77" s="556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273"/>
    </row>
    <row r="78" ht="15.75" customHeight="1">
      <c r="A78" s="273"/>
      <c r="B78" s="468"/>
      <c r="C78" s="468"/>
      <c r="D78" s="468"/>
      <c r="E78" s="468"/>
      <c r="F78" s="511"/>
      <c r="G78" s="468"/>
      <c r="H78" s="468"/>
      <c r="I78" s="468"/>
      <c r="J78" s="468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</row>
    <row r="79" ht="15.75" customHeight="1">
      <c r="A79" s="273"/>
      <c r="B79" s="55"/>
      <c r="C79" s="55"/>
      <c r="D79" s="55"/>
      <c r="E79" s="55"/>
      <c r="F79" s="55"/>
      <c r="G79" s="55"/>
      <c r="H79" s="55"/>
      <c r="I79" s="55"/>
      <c r="J79" s="55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</row>
    <row r="80" ht="15.75" customHeight="1">
      <c r="A80" s="273"/>
      <c r="B80" s="55"/>
      <c r="C80" s="55"/>
      <c r="D80" s="55"/>
      <c r="E80" s="55"/>
      <c r="F80" s="55"/>
      <c r="G80" s="55"/>
      <c r="H80" s="55"/>
      <c r="I80" s="55"/>
      <c r="J80" s="55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</row>
    <row r="81" ht="15.75" customHeight="1">
      <c r="A81" s="273"/>
      <c r="B81" s="55"/>
      <c r="C81" s="55"/>
      <c r="D81" s="55"/>
      <c r="E81" s="55"/>
      <c r="F81" s="55"/>
      <c r="G81" s="55"/>
      <c r="H81" s="55"/>
      <c r="I81" s="55"/>
      <c r="J81" s="55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</row>
    <row r="82" ht="15.75" customHeight="1">
      <c r="A82" s="273"/>
      <c r="B82" s="55"/>
      <c r="C82" s="55"/>
      <c r="D82" s="55"/>
      <c r="E82" s="55"/>
      <c r="F82" s="55"/>
      <c r="G82" s="55"/>
      <c r="H82" s="55"/>
      <c r="I82" s="55"/>
      <c r="J82" s="55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</row>
    <row r="83" ht="15.75" customHeight="1">
      <c r="A83" s="273"/>
      <c r="B83" s="55"/>
      <c r="C83" s="55"/>
      <c r="D83" s="55"/>
      <c r="E83" s="55"/>
      <c r="F83" s="55"/>
      <c r="G83" s="55"/>
      <c r="H83" s="55"/>
      <c r="I83" s="55"/>
      <c r="J83" s="55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</row>
    <row r="84" ht="15.75" customHeight="1">
      <c r="A84" s="273"/>
      <c r="B84" s="55"/>
      <c r="C84" s="55"/>
      <c r="D84" s="55"/>
      <c r="E84" s="55"/>
      <c r="F84" s="55"/>
      <c r="G84" s="55"/>
      <c r="H84" s="55"/>
      <c r="I84" s="55"/>
      <c r="J84" s="55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</row>
    <row r="85" ht="15.75" customHeight="1">
      <c r="A85" s="273"/>
      <c r="B85" s="55"/>
      <c r="C85" s="55"/>
      <c r="D85" s="55"/>
      <c r="E85" s="55"/>
      <c r="F85" s="55"/>
      <c r="G85" s="55"/>
      <c r="H85" s="55"/>
      <c r="I85" s="55"/>
      <c r="J85" s="55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  <c r="Z85" s="273"/>
    </row>
    <row r="86" ht="15.75" customHeight="1">
      <c r="A86" s="273"/>
      <c r="B86" s="55"/>
      <c r="C86" s="55"/>
      <c r="D86" s="55"/>
      <c r="E86" s="55"/>
      <c r="F86" s="55"/>
      <c r="G86" s="55"/>
      <c r="H86" s="55"/>
      <c r="I86" s="55"/>
      <c r="J86" s="55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</row>
    <row r="87" ht="15.75" customHeight="1">
      <c r="A87" s="273"/>
      <c r="B87" s="55"/>
      <c r="C87" s="55"/>
      <c r="D87" s="55"/>
      <c r="E87" s="55"/>
      <c r="F87" s="55"/>
      <c r="G87" s="55"/>
      <c r="H87" s="55"/>
      <c r="I87" s="55"/>
      <c r="J87" s="55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  <c r="Z87" s="273"/>
    </row>
    <row r="88" ht="15.75" customHeight="1">
      <c r="A88" s="273"/>
      <c r="B88" s="55"/>
      <c r="C88" s="55"/>
      <c r="D88" s="55"/>
      <c r="E88" s="55"/>
      <c r="F88" s="55"/>
      <c r="G88" s="55"/>
      <c r="H88" s="55"/>
      <c r="I88" s="55"/>
      <c r="J88" s="55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</row>
    <row r="89" ht="15.75" customHeight="1">
      <c r="A89" s="273"/>
      <c r="B89" s="55"/>
      <c r="C89" s="55"/>
      <c r="D89" s="55"/>
      <c r="E89" s="55"/>
      <c r="F89" s="55"/>
      <c r="G89" s="55"/>
      <c r="H89" s="55"/>
      <c r="I89" s="55"/>
      <c r="J89" s="55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  <c r="Z89" s="273"/>
    </row>
    <row r="90" ht="15.75" customHeight="1">
      <c r="A90" s="273"/>
      <c r="B90" s="55"/>
      <c r="C90" s="55"/>
      <c r="D90" s="55"/>
      <c r="E90" s="55"/>
      <c r="F90" s="55"/>
      <c r="G90" s="55"/>
      <c r="H90" s="55"/>
      <c r="I90" s="55"/>
      <c r="J90" s="55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</row>
    <row r="91" ht="15.75" customHeight="1">
      <c r="A91" s="273"/>
      <c r="B91" s="55"/>
      <c r="C91" s="55"/>
      <c r="D91" s="55"/>
      <c r="E91" s="55"/>
      <c r="F91" s="55"/>
      <c r="G91" s="55"/>
      <c r="H91" s="55"/>
      <c r="I91" s="55"/>
      <c r="J91" s="55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  <c r="Z91" s="273"/>
    </row>
    <row r="92" ht="15.75" customHeight="1">
      <c r="A92" s="273"/>
      <c r="B92" s="55"/>
      <c r="C92" s="55"/>
      <c r="D92" s="55"/>
      <c r="E92" s="55"/>
      <c r="F92" s="55"/>
      <c r="G92" s="55"/>
      <c r="H92" s="55"/>
      <c r="I92" s="55"/>
      <c r="J92" s="55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</row>
    <row r="93" ht="15.75" customHeight="1">
      <c r="A93" s="273"/>
      <c r="B93" s="55"/>
      <c r="C93" s="55"/>
      <c r="D93" s="55"/>
      <c r="E93" s="55"/>
      <c r="F93" s="55"/>
      <c r="G93" s="55"/>
      <c r="H93" s="55"/>
      <c r="I93" s="55"/>
      <c r="J93" s="55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</row>
    <row r="94" ht="15.75" customHeight="1">
      <c r="A94" s="273"/>
      <c r="B94" s="55"/>
      <c r="C94" s="55"/>
      <c r="D94" s="55"/>
      <c r="E94" s="55"/>
      <c r="F94" s="55"/>
      <c r="G94" s="55"/>
      <c r="H94" s="55"/>
      <c r="I94" s="55"/>
      <c r="J94" s="55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</row>
    <row r="95" ht="15.75" customHeight="1">
      <c r="A95" s="273"/>
      <c r="B95" s="55"/>
      <c r="C95" s="55"/>
      <c r="D95" s="55"/>
      <c r="E95" s="55"/>
      <c r="F95" s="55"/>
      <c r="G95" s="55"/>
      <c r="H95" s="55"/>
      <c r="I95" s="55"/>
      <c r="J95" s="55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  <c r="Z95" s="273"/>
    </row>
    <row r="96" ht="15.75" customHeight="1">
      <c r="A96" s="273"/>
      <c r="B96" s="55"/>
      <c r="C96" s="55"/>
      <c r="D96" s="55"/>
      <c r="E96" s="55"/>
      <c r="F96" s="55"/>
      <c r="G96" s="55"/>
      <c r="H96" s="55"/>
      <c r="I96" s="55"/>
      <c r="J96" s="55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</row>
    <row r="97" ht="15.75" customHeight="1">
      <c r="A97" s="273"/>
      <c r="B97" s="55"/>
      <c r="C97" s="55"/>
      <c r="D97" s="55"/>
      <c r="E97" s="55"/>
      <c r="F97" s="55"/>
      <c r="G97" s="55"/>
      <c r="H97" s="55"/>
      <c r="I97" s="55"/>
      <c r="J97" s="55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  <c r="Z97" s="273"/>
    </row>
    <row r="98" ht="15.75" customHeight="1">
      <c r="A98" s="273"/>
      <c r="B98" s="55"/>
      <c r="C98" s="55"/>
      <c r="D98" s="55"/>
      <c r="E98" s="55"/>
      <c r="F98" s="55"/>
      <c r="G98" s="55"/>
      <c r="H98" s="55"/>
      <c r="I98" s="55"/>
      <c r="J98" s="55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</row>
    <row r="99" ht="15.75" customHeight="1">
      <c r="A99" s="273"/>
      <c r="B99" s="55"/>
      <c r="C99" s="55"/>
      <c r="D99" s="55"/>
      <c r="E99" s="55"/>
      <c r="F99" s="55"/>
      <c r="G99" s="55"/>
      <c r="H99" s="55"/>
      <c r="I99" s="55"/>
      <c r="J99" s="55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</row>
    <row r="100" ht="15.75" customHeight="1">
      <c r="A100" s="273"/>
      <c r="B100" s="55"/>
      <c r="C100" s="55"/>
      <c r="D100" s="55"/>
      <c r="E100" s="55"/>
      <c r="F100" s="55"/>
      <c r="G100" s="55"/>
      <c r="H100" s="55"/>
      <c r="I100" s="55"/>
      <c r="J100" s="55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</row>
    <row r="101" ht="15.75" customHeight="1">
      <c r="A101" s="273"/>
      <c r="B101" s="55"/>
      <c r="C101" s="55"/>
      <c r="D101" s="55"/>
      <c r="E101" s="55"/>
      <c r="F101" s="55"/>
      <c r="G101" s="55"/>
      <c r="H101" s="55"/>
      <c r="I101" s="55"/>
      <c r="J101" s="55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</row>
    <row r="102" ht="15.75" customHeight="1">
      <c r="A102" s="273"/>
      <c r="B102" s="55"/>
      <c r="C102" s="55"/>
      <c r="D102" s="55"/>
      <c r="E102" s="55"/>
      <c r="F102" s="55"/>
      <c r="G102" s="55"/>
      <c r="H102" s="55"/>
      <c r="I102" s="55"/>
      <c r="J102" s="55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</row>
    <row r="103" ht="15.75" customHeight="1">
      <c r="A103" s="273"/>
      <c r="B103" s="55"/>
      <c r="C103" s="55"/>
      <c r="D103" s="55"/>
      <c r="E103" s="55"/>
      <c r="F103" s="55"/>
      <c r="G103" s="55"/>
      <c r="H103" s="55"/>
      <c r="I103" s="55"/>
      <c r="J103" s="55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</row>
    <row r="104" ht="15.75" customHeight="1">
      <c r="A104" s="273"/>
      <c r="B104" s="55"/>
      <c r="C104" s="55"/>
      <c r="D104" s="55"/>
      <c r="E104" s="55"/>
      <c r="F104" s="55"/>
      <c r="G104" s="55"/>
      <c r="H104" s="55"/>
      <c r="I104" s="55"/>
      <c r="J104" s="55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</row>
    <row r="105" ht="15.75" customHeight="1">
      <c r="A105" s="273"/>
      <c r="B105" s="55"/>
      <c r="C105" s="55"/>
      <c r="D105" s="55"/>
      <c r="E105" s="55"/>
      <c r="F105" s="55"/>
      <c r="G105" s="55"/>
      <c r="H105" s="55"/>
      <c r="I105" s="55"/>
      <c r="J105" s="55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  <c r="Z105" s="273"/>
    </row>
    <row r="106" ht="15.75" customHeight="1">
      <c r="A106" s="273"/>
      <c r="B106" s="55"/>
      <c r="C106" s="55"/>
      <c r="D106" s="55"/>
      <c r="E106" s="55"/>
      <c r="F106" s="55"/>
      <c r="G106" s="55"/>
      <c r="H106" s="55"/>
      <c r="I106" s="55"/>
      <c r="J106" s="55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</row>
    <row r="107" ht="15.75" customHeight="1">
      <c r="A107" s="273"/>
      <c r="B107" s="55"/>
      <c r="C107" s="55"/>
      <c r="D107" s="55"/>
      <c r="E107" s="55"/>
      <c r="F107" s="55"/>
      <c r="G107" s="55"/>
      <c r="H107" s="55"/>
      <c r="I107" s="55"/>
      <c r="J107" s="55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</row>
    <row r="108" ht="15.75" customHeight="1">
      <c r="A108" s="273"/>
      <c r="B108" s="55"/>
      <c r="C108" s="55"/>
      <c r="D108" s="55"/>
      <c r="E108" s="55"/>
      <c r="F108" s="55"/>
      <c r="G108" s="55"/>
      <c r="H108" s="55"/>
      <c r="I108" s="55"/>
      <c r="J108" s="55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</row>
    <row r="109" ht="15.75" customHeight="1">
      <c r="A109" s="273"/>
      <c r="B109" s="55"/>
      <c r="C109" s="55"/>
      <c r="D109" s="55"/>
      <c r="E109" s="55"/>
      <c r="F109" s="55"/>
      <c r="G109" s="55"/>
      <c r="H109" s="55"/>
      <c r="I109" s="55"/>
      <c r="J109" s="55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  <c r="Z109" s="273"/>
    </row>
    <row r="110" ht="15.75" customHeight="1">
      <c r="A110" s="273"/>
      <c r="B110" s="55"/>
      <c r="C110" s="55"/>
      <c r="D110" s="55"/>
      <c r="E110" s="55"/>
      <c r="F110" s="55"/>
      <c r="G110" s="55"/>
      <c r="H110" s="55"/>
      <c r="I110" s="55"/>
      <c r="J110" s="55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</row>
    <row r="111" ht="15.75" customHeight="1">
      <c r="A111" s="273"/>
      <c r="B111" s="55"/>
      <c r="C111" s="55"/>
      <c r="D111" s="55"/>
      <c r="E111" s="55"/>
      <c r="F111" s="55"/>
      <c r="G111" s="55"/>
      <c r="H111" s="55"/>
      <c r="I111" s="55"/>
      <c r="J111" s="55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  <c r="Z111" s="273"/>
    </row>
    <row r="112" ht="15.75" customHeight="1">
      <c r="A112" s="273"/>
      <c r="B112" s="55"/>
      <c r="C112" s="55"/>
      <c r="D112" s="55"/>
      <c r="E112" s="55"/>
      <c r="F112" s="55"/>
      <c r="G112" s="55"/>
      <c r="H112" s="55"/>
      <c r="I112" s="55"/>
      <c r="J112" s="55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</row>
    <row r="113" ht="15.75" customHeight="1">
      <c r="A113" s="273"/>
      <c r="B113" s="55"/>
      <c r="C113" s="55"/>
      <c r="D113" s="55"/>
      <c r="E113" s="55"/>
      <c r="F113" s="55"/>
      <c r="G113" s="55"/>
      <c r="H113" s="55"/>
      <c r="I113" s="55"/>
      <c r="J113" s="55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  <c r="Z113" s="273"/>
    </row>
    <row r="114" ht="15.75" customHeight="1">
      <c r="A114" s="273"/>
      <c r="B114" s="55"/>
      <c r="C114" s="55"/>
      <c r="D114" s="55"/>
      <c r="E114" s="55"/>
      <c r="F114" s="55"/>
      <c r="G114" s="55"/>
      <c r="H114" s="55"/>
      <c r="I114" s="55"/>
      <c r="J114" s="55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</row>
    <row r="115" ht="15.75" customHeight="1">
      <c r="A115" s="273"/>
      <c r="B115" s="55"/>
      <c r="C115" s="55"/>
      <c r="D115" s="55"/>
      <c r="E115" s="55"/>
      <c r="F115" s="55"/>
      <c r="G115" s="55"/>
      <c r="H115" s="55"/>
      <c r="I115" s="55"/>
      <c r="J115" s="55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  <c r="Z115" s="273"/>
    </row>
    <row r="116" ht="15.75" customHeight="1">
      <c r="A116" s="273"/>
      <c r="B116" s="55"/>
      <c r="C116" s="55"/>
      <c r="D116" s="55"/>
      <c r="E116" s="55"/>
      <c r="F116" s="55"/>
      <c r="G116" s="55"/>
      <c r="H116" s="55"/>
      <c r="I116" s="55"/>
      <c r="J116" s="55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</row>
    <row r="117" ht="15.75" customHeight="1">
      <c r="A117" s="273"/>
      <c r="B117" s="55"/>
      <c r="C117" s="55"/>
      <c r="D117" s="55"/>
      <c r="E117" s="55"/>
      <c r="F117" s="55"/>
      <c r="G117" s="55"/>
      <c r="H117" s="55"/>
      <c r="I117" s="55"/>
      <c r="J117" s="55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</row>
    <row r="118" ht="15.75" customHeight="1">
      <c r="A118" s="273"/>
      <c r="B118" s="55"/>
      <c r="C118" s="55"/>
      <c r="D118" s="55"/>
      <c r="E118" s="55"/>
      <c r="F118" s="55"/>
      <c r="G118" s="55"/>
      <c r="H118" s="55"/>
      <c r="I118" s="55"/>
      <c r="J118" s="55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</row>
    <row r="119" ht="15.75" customHeight="1">
      <c r="A119" s="273"/>
      <c r="B119" s="55"/>
      <c r="C119" s="55"/>
      <c r="D119" s="55"/>
      <c r="E119" s="55"/>
      <c r="F119" s="55"/>
      <c r="G119" s="55"/>
      <c r="H119" s="55"/>
      <c r="I119" s="55"/>
      <c r="J119" s="55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</row>
    <row r="120" ht="15.75" customHeight="1">
      <c r="A120" s="273"/>
      <c r="B120" s="55"/>
      <c r="C120" s="55"/>
      <c r="D120" s="55"/>
      <c r="E120" s="55"/>
      <c r="F120" s="55"/>
      <c r="G120" s="55"/>
      <c r="H120" s="55"/>
      <c r="I120" s="55"/>
      <c r="J120" s="55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</row>
    <row r="121" ht="15.75" customHeight="1">
      <c r="A121" s="273"/>
      <c r="B121" s="55"/>
      <c r="C121" s="55"/>
      <c r="D121" s="55"/>
      <c r="E121" s="55"/>
      <c r="F121" s="55"/>
      <c r="G121" s="55"/>
      <c r="H121" s="55"/>
      <c r="I121" s="55"/>
      <c r="J121" s="55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  <c r="Z121" s="273"/>
    </row>
    <row r="122" ht="15.75" customHeight="1">
      <c r="A122" s="273"/>
      <c r="B122" s="55"/>
      <c r="C122" s="55"/>
      <c r="D122" s="55"/>
      <c r="E122" s="55"/>
      <c r="F122" s="55"/>
      <c r="G122" s="55"/>
      <c r="H122" s="55"/>
      <c r="I122" s="55"/>
      <c r="J122" s="55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</row>
    <row r="123" ht="15.75" customHeight="1">
      <c r="A123" s="273"/>
      <c r="B123" s="55"/>
      <c r="C123" s="55"/>
      <c r="D123" s="55"/>
      <c r="E123" s="55"/>
      <c r="F123" s="55"/>
      <c r="G123" s="55"/>
      <c r="H123" s="55"/>
      <c r="I123" s="55"/>
      <c r="J123" s="55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  <c r="Z123" s="273"/>
    </row>
    <row r="124" ht="15.75" customHeight="1">
      <c r="A124" s="273"/>
      <c r="B124" s="55"/>
      <c r="C124" s="55"/>
      <c r="D124" s="55"/>
      <c r="E124" s="55"/>
      <c r="F124" s="55"/>
      <c r="G124" s="55"/>
      <c r="H124" s="55"/>
      <c r="I124" s="55"/>
      <c r="J124" s="55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</row>
    <row r="125" ht="15.75" customHeight="1">
      <c r="A125" s="273"/>
      <c r="B125" s="55"/>
      <c r="C125" s="55"/>
      <c r="D125" s="55"/>
      <c r="E125" s="55"/>
      <c r="F125" s="55"/>
      <c r="G125" s="55"/>
      <c r="H125" s="55"/>
      <c r="I125" s="55"/>
      <c r="J125" s="55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</row>
    <row r="126" ht="15.75" customHeight="1">
      <c r="A126" s="273"/>
      <c r="B126" s="55"/>
      <c r="C126" s="55"/>
      <c r="D126" s="55"/>
      <c r="E126" s="55"/>
      <c r="F126" s="55"/>
      <c r="G126" s="55"/>
      <c r="H126" s="55"/>
      <c r="I126" s="55"/>
      <c r="J126" s="55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</row>
    <row r="127" ht="15.75" customHeight="1">
      <c r="A127" s="273"/>
      <c r="B127" s="55"/>
      <c r="C127" s="55"/>
      <c r="D127" s="55"/>
      <c r="E127" s="55"/>
      <c r="F127" s="55"/>
      <c r="G127" s="55"/>
      <c r="H127" s="55"/>
      <c r="I127" s="55"/>
      <c r="J127" s="55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</row>
    <row r="128" ht="15.75" customHeight="1">
      <c r="A128" s="273"/>
      <c r="B128" s="55"/>
      <c r="C128" s="55"/>
      <c r="D128" s="55"/>
      <c r="E128" s="55"/>
      <c r="F128" s="55"/>
      <c r="G128" s="55"/>
      <c r="H128" s="55"/>
      <c r="I128" s="55"/>
      <c r="J128" s="55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  <c r="Z128" s="273"/>
    </row>
    <row r="129" ht="15.75" customHeight="1">
      <c r="A129" s="273"/>
      <c r="B129" s="55"/>
      <c r="C129" s="55"/>
      <c r="D129" s="55"/>
      <c r="E129" s="55"/>
      <c r="F129" s="55"/>
      <c r="G129" s="55"/>
      <c r="H129" s="55"/>
      <c r="I129" s="55"/>
      <c r="J129" s="55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  <c r="Z129" s="273"/>
    </row>
    <row r="130" ht="15.75" customHeight="1">
      <c r="A130" s="273"/>
      <c r="B130" s="55"/>
      <c r="C130" s="55"/>
      <c r="D130" s="55"/>
      <c r="E130" s="55"/>
      <c r="F130" s="55"/>
      <c r="G130" s="55"/>
      <c r="H130" s="55"/>
      <c r="I130" s="55"/>
      <c r="J130" s="55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</row>
    <row r="131" ht="15.75" customHeight="1">
      <c r="A131" s="273"/>
      <c r="B131" s="55"/>
      <c r="C131" s="55"/>
      <c r="D131" s="55"/>
      <c r="E131" s="55"/>
      <c r="F131" s="55"/>
      <c r="G131" s="55"/>
      <c r="H131" s="55"/>
      <c r="I131" s="55"/>
      <c r="J131" s="55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  <c r="Z131" s="273"/>
    </row>
    <row r="132" ht="15.75" customHeight="1">
      <c r="A132" s="273"/>
      <c r="B132" s="55"/>
      <c r="C132" s="55"/>
      <c r="D132" s="55"/>
      <c r="E132" s="55"/>
      <c r="F132" s="55"/>
      <c r="G132" s="55"/>
      <c r="H132" s="55"/>
      <c r="I132" s="55"/>
      <c r="J132" s="55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</row>
    <row r="133" ht="15.75" customHeight="1">
      <c r="A133" s="273"/>
      <c r="B133" s="55"/>
      <c r="C133" s="55"/>
      <c r="D133" s="55"/>
      <c r="E133" s="55"/>
      <c r="F133" s="55"/>
      <c r="G133" s="55"/>
      <c r="H133" s="55"/>
      <c r="I133" s="55"/>
      <c r="J133" s="55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  <c r="Z133" s="273"/>
    </row>
    <row r="134" ht="15.75" customHeight="1">
      <c r="A134" s="273"/>
      <c r="B134" s="55"/>
      <c r="C134" s="55"/>
      <c r="D134" s="55"/>
      <c r="E134" s="55"/>
      <c r="F134" s="55"/>
      <c r="G134" s="55"/>
      <c r="H134" s="55"/>
      <c r="I134" s="55"/>
      <c r="J134" s="55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</row>
    <row r="135" ht="15.75" customHeight="1">
      <c r="A135" s="273"/>
      <c r="B135" s="55"/>
      <c r="C135" s="55"/>
      <c r="D135" s="55"/>
      <c r="E135" s="55"/>
      <c r="F135" s="55"/>
      <c r="G135" s="55"/>
      <c r="H135" s="55"/>
      <c r="I135" s="55"/>
      <c r="J135" s="55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</row>
    <row r="136" ht="15.75" customHeight="1">
      <c r="A136" s="273"/>
      <c r="B136" s="55"/>
      <c r="C136" s="55"/>
      <c r="D136" s="55"/>
      <c r="E136" s="55"/>
      <c r="F136" s="55"/>
      <c r="G136" s="55"/>
      <c r="H136" s="55"/>
      <c r="I136" s="55"/>
      <c r="J136" s="55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</row>
    <row r="137" ht="15.75" customHeight="1">
      <c r="A137" s="273"/>
      <c r="B137" s="55"/>
      <c r="C137" s="55"/>
      <c r="D137" s="55"/>
      <c r="E137" s="55"/>
      <c r="F137" s="55"/>
      <c r="G137" s="55"/>
      <c r="H137" s="55"/>
      <c r="I137" s="55"/>
      <c r="J137" s="55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</row>
    <row r="138" ht="15.75" customHeight="1">
      <c r="A138" s="273"/>
      <c r="B138" s="55"/>
      <c r="C138" s="55"/>
      <c r="D138" s="55"/>
      <c r="E138" s="55"/>
      <c r="F138" s="55"/>
      <c r="G138" s="55"/>
      <c r="H138" s="55"/>
      <c r="I138" s="55"/>
      <c r="J138" s="55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</row>
    <row r="139" ht="15.75" customHeight="1">
      <c r="A139" s="273"/>
      <c r="B139" s="55"/>
      <c r="C139" s="55"/>
      <c r="D139" s="55"/>
      <c r="E139" s="55"/>
      <c r="F139" s="55"/>
      <c r="G139" s="55"/>
      <c r="H139" s="55"/>
      <c r="I139" s="55"/>
      <c r="J139" s="55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  <c r="Z139" s="273"/>
    </row>
    <row r="140" ht="15.75" customHeight="1">
      <c r="A140" s="273"/>
      <c r="B140" s="55"/>
      <c r="C140" s="55"/>
      <c r="D140" s="55"/>
      <c r="E140" s="55"/>
      <c r="F140" s="55"/>
      <c r="G140" s="55"/>
      <c r="H140" s="55"/>
      <c r="I140" s="55"/>
      <c r="J140" s="55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</row>
    <row r="141" ht="15.75" customHeight="1">
      <c r="A141" s="273"/>
      <c r="B141" s="55"/>
      <c r="C141" s="55"/>
      <c r="D141" s="55"/>
      <c r="E141" s="55"/>
      <c r="F141" s="55"/>
      <c r="G141" s="55"/>
      <c r="H141" s="55"/>
      <c r="I141" s="55"/>
      <c r="J141" s="55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  <c r="Z141" s="273"/>
    </row>
    <row r="142" ht="15.75" customHeight="1">
      <c r="A142" s="273"/>
      <c r="B142" s="55"/>
      <c r="C142" s="55"/>
      <c r="D142" s="55"/>
      <c r="E142" s="55"/>
      <c r="F142" s="55"/>
      <c r="G142" s="55"/>
      <c r="H142" s="55"/>
      <c r="I142" s="55"/>
      <c r="J142" s="55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</row>
    <row r="143" ht="15.75" customHeight="1">
      <c r="A143" s="273"/>
      <c r="B143" s="55"/>
      <c r="C143" s="55"/>
      <c r="D143" s="55"/>
      <c r="E143" s="55"/>
      <c r="F143" s="55"/>
      <c r="G143" s="55"/>
      <c r="H143" s="55"/>
      <c r="I143" s="55"/>
      <c r="J143" s="55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</row>
    <row r="144" ht="15.75" customHeight="1">
      <c r="A144" s="273"/>
      <c r="B144" s="55"/>
      <c r="C144" s="55"/>
      <c r="D144" s="55"/>
      <c r="E144" s="55"/>
      <c r="F144" s="55"/>
      <c r="G144" s="55"/>
      <c r="H144" s="55"/>
      <c r="I144" s="55"/>
      <c r="J144" s="55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</row>
    <row r="145" ht="15.75" customHeight="1">
      <c r="A145" s="273"/>
      <c r="B145" s="55"/>
      <c r="C145" s="55"/>
      <c r="D145" s="55"/>
      <c r="E145" s="55"/>
      <c r="F145" s="55"/>
      <c r="G145" s="55"/>
      <c r="H145" s="55"/>
      <c r="I145" s="55"/>
      <c r="J145" s="55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</row>
    <row r="146" ht="15.75" customHeight="1">
      <c r="A146" s="273"/>
      <c r="B146" s="55"/>
      <c r="C146" s="55"/>
      <c r="D146" s="55"/>
      <c r="E146" s="55"/>
      <c r="F146" s="55"/>
      <c r="G146" s="55"/>
      <c r="H146" s="55"/>
      <c r="I146" s="55"/>
      <c r="J146" s="55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</row>
    <row r="147" ht="15.75" customHeight="1">
      <c r="A147" s="273"/>
      <c r="B147" s="55"/>
      <c r="C147" s="55"/>
      <c r="D147" s="55"/>
      <c r="E147" s="55"/>
      <c r="F147" s="55"/>
      <c r="G147" s="55"/>
      <c r="H147" s="55"/>
      <c r="I147" s="55"/>
      <c r="J147" s="55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  <c r="Z147" s="273"/>
    </row>
    <row r="148" ht="15.75" customHeight="1">
      <c r="A148" s="273"/>
      <c r="B148" s="55"/>
      <c r="C148" s="55"/>
      <c r="D148" s="55"/>
      <c r="E148" s="55"/>
      <c r="F148" s="55"/>
      <c r="G148" s="55"/>
      <c r="H148" s="55"/>
      <c r="I148" s="55"/>
      <c r="J148" s="55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</row>
    <row r="149" ht="15.75" customHeight="1">
      <c r="A149" s="273"/>
      <c r="B149" s="55"/>
      <c r="C149" s="55"/>
      <c r="D149" s="55"/>
      <c r="E149" s="55"/>
      <c r="F149" s="55"/>
      <c r="G149" s="55"/>
      <c r="H149" s="55"/>
      <c r="I149" s="55"/>
      <c r="J149" s="55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  <c r="Z149" s="273"/>
    </row>
    <row r="150" ht="15.75" customHeight="1">
      <c r="A150" s="273"/>
      <c r="B150" s="55"/>
      <c r="C150" s="55"/>
      <c r="D150" s="55"/>
      <c r="E150" s="55"/>
      <c r="F150" s="55"/>
      <c r="G150" s="55"/>
      <c r="H150" s="55"/>
      <c r="I150" s="55"/>
      <c r="J150" s="55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</row>
    <row r="151" ht="15.75" customHeight="1">
      <c r="A151" s="273"/>
      <c r="B151" s="55"/>
      <c r="C151" s="55"/>
      <c r="D151" s="55"/>
      <c r="E151" s="55"/>
      <c r="F151" s="55"/>
      <c r="G151" s="55"/>
      <c r="H151" s="55"/>
      <c r="I151" s="55"/>
      <c r="J151" s="55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</row>
    <row r="152" ht="15.75" customHeight="1">
      <c r="A152" s="273"/>
      <c r="B152" s="55"/>
      <c r="C152" s="55"/>
      <c r="D152" s="55"/>
      <c r="E152" s="55"/>
      <c r="F152" s="55"/>
      <c r="G152" s="55"/>
      <c r="H152" s="55"/>
      <c r="I152" s="55"/>
      <c r="J152" s="55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</row>
    <row r="153" ht="15.75" customHeight="1">
      <c r="A153" s="273"/>
      <c r="B153" s="55"/>
      <c r="C153" s="55"/>
      <c r="D153" s="55"/>
      <c r="E153" s="55"/>
      <c r="F153" s="55"/>
      <c r="G153" s="55"/>
      <c r="H153" s="55"/>
      <c r="I153" s="55"/>
      <c r="J153" s="55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  <c r="Z153" s="273"/>
    </row>
    <row r="154" ht="15.75" customHeight="1">
      <c r="A154" s="273"/>
      <c r="B154" s="55"/>
      <c r="C154" s="55"/>
      <c r="D154" s="55"/>
      <c r="E154" s="55"/>
      <c r="F154" s="55"/>
      <c r="G154" s="55"/>
      <c r="H154" s="55"/>
      <c r="I154" s="55"/>
      <c r="J154" s="55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</row>
    <row r="155" ht="15.75" customHeight="1">
      <c r="A155" s="273"/>
      <c r="B155" s="55"/>
      <c r="C155" s="55"/>
      <c r="D155" s="55"/>
      <c r="E155" s="55"/>
      <c r="F155" s="55"/>
      <c r="G155" s="55"/>
      <c r="H155" s="55"/>
      <c r="I155" s="55"/>
      <c r="J155" s="55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  <c r="Z155" s="273"/>
    </row>
    <row r="156" ht="15.75" customHeight="1">
      <c r="A156" s="273"/>
      <c r="B156" s="55"/>
      <c r="C156" s="55"/>
      <c r="D156" s="55"/>
      <c r="E156" s="55"/>
      <c r="F156" s="55"/>
      <c r="G156" s="55"/>
      <c r="H156" s="55"/>
      <c r="I156" s="55"/>
      <c r="J156" s="55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</row>
    <row r="157" ht="15.75" customHeight="1">
      <c r="A157" s="273"/>
      <c r="B157" s="55"/>
      <c r="C157" s="55"/>
      <c r="D157" s="55"/>
      <c r="E157" s="55"/>
      <c r="F157" s="55"/>
      <c r="G157" s="55"/>
      <c r="H157" s="55"/>
      <c r="I157" s="55"/>
      <c r="J157" s="55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  <c r="Z157" s="273"/>
    </row>
    <row r="158" ht="15.75" customHeight="1">
      <c r="A158" s="273"/>
      <c r="B158" s="55"/>
      <c r="C158" s="55"/>
      <c r="D158" s="55"/>
      <c r="E158" s="55"/>
      <c r="F158" s="55"/>
      <c r="G158" s="55"/>
      <c r="H158" s="55"/>
      <c r="I158" s="55"/>
      <c r="J158" s="55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</row>
    <row r="159" ht="15.75" customHeight="1">
      <c r="A159" s="273"/>
      <c r="B159" s="55"/>
      <c r="C159" s="55"/>
      <c r="D159" s="55"/>
      <c r="E159" s="55"/>
      <c r="F159" s="55"/>
      <c r="G159" s="55"/>
      <c r="H159" s="55"/>
      <c r="I159" s="55"/>
      <c r="J159" s="55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</row>
    <row r="160" ht="15.75" customHeight="1">
      <c r="A160" s="273"/>
      <c r="B160" s="55"/>
      <c r="C160" s="55"/>
      <c r="D160" s="55"/>
      <c r="E160" s="55"/>
      <c r="F160" s="55"/>
      <c r="G160" s="55"/>
      <c r="H160" s="55"/>
      <c r="I160" s="55"/>
      <c r="J160" s="55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</row>
    <row r="161" ht="15.75" customHeight="1">
      <c r="A161" s="273"/>
      <c r="B161" s="55"/>
      <c r="C161" s="55"/>
      <c r="D161" s="55"/>
      <c r="E161" s="55"/>
      <c r="F161" s="55"/>
      <c r="G161" s="55"/>
      <c r="H161" s="55"/>
      <c r="I161" s="55"/>
      <c r="J161" s="55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  <c r="Z161" s="273"/>
    </row>
    <row r="162" ht="15.75" customHeight="1">
      <c r="A162" s="273"/>
      <c r="B162" s="55"/>
      <c r="C162" s="55"/>
      <c r="D162" s="55"/>
      <c r="E162" s="55"/>
      <c r="F162" s="55"/>
      <c r="G162" s="55"/>
      <c r="H162" s="55"/>
      <c r="I162" s="55"/>
      <c r="J162" s="55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</row>
    <row r="163" ht="15.75" customHeight="1">
      <c r="A163" s="273"/>
      <c r="B163" s="55"/>
      <c r="C163" s="55"/>
      <c r="D163" s="55"/>
      <c r="E163" s="55"/>
      <c r="F163" s="55"/>
      <c r="G163" s="55"/>
      <c r="H163" s="55"/>
      <c r="I163" s="55"/>
      <c r="J163" s="55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  <c r="Z163" s="273"/>
    </row>
    <row r="164" ht="15.75" customHeight="1">
      <c r="A164" s="273"/>
      <c r="B164" s="55"/>
      <c r="C164" s="55"/>
      <c r="D164" s="55"/>
      <c r="E164" s="55"/>
      <c r="F164" s="55"/>
      <c r="G164" s="55"/>
      <c r="H164" s="55"/>
      <c r="I164" s="55"/>
      <c r="J164" s="55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</row>
    <row r="165" ht="15.75" customHeight="1">
      <c r="A165" s="273"/>
      <c r="B165" s="55"/>
      <c r="C165" s="55"/>
      <c r="D165" s="55"/>
      <c r="E165" s="55"/>
      <c r="F165" s="55"/>
      <c r="G165" s="55"/>
      <c r="H165" s="55"/>
      <c r="I165" s="55"/>
      <c r="J165" s="55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  <c r="Z165" s="273"/>
    </row>
    <row r="166" ht="15.75" customHeight="1">
      <c r="A166" s="273"/>
      <c r="B166" s="55"/>
      <c r="C166" s="55"/>
      <c r="D166" s="55"/>
      <c r="E166" s="55"/>
      <c r="F166" s="55"/>
      <c r="G166" s="55"/>
      <c r="H166" s="55"/>
      <c r="I166" s="55"/>
      <c r="J166" s="55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</row>
    <row r="167" ht="15.75" customHeight="1">
      <c r="A167" s="273"/>
      <c r="B167" s="55"/>
      <c r="C167" s="55"/>
      <c r="D167" s="55"/>
      <c r="E167" s="55"/>
      <c r="F167" s="55"/>
      <c r="G167" s="55"/>
      <c r="H167" s="55"/>
      <c r="I167" s="55"/>
      <c r="J167" s="55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  <c r="Z167" s="273"/>
    </row>
    <row r="168" ht="15.75" customHeight="1">
      <c r="A168" s="273"/>
      <c r="B168" s="55"/>
      <c r="C168" s="55"/>
      <c r="D168" s="55"/>
      <c r="E168" s="55"/>
      <c r="F168" s="55"/>
      <c r="G168" s="55"/>
      <c r="H168" s="55"/>
      <c r="I168" s="55"/>
      <c r="J168" s="55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</row>
    <row r="169" ht="15.75" customHeight="1">
      <c r="A169" s="273"/>
      <c r="B169" s="55"/>
      <c r="C169" s="55"/>
      <c r="D169" s="55"/>
      <c r="E169" s="55"/>
      <c r="F169" s="55"/>
      <c r="G169" s="55"/>
      <c r="H169" s="55"/>
      <c r="I169" s="55"/>
      <c r="J169" s="55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  <c r="Z169" s="273"/>
    </row>
    <row r="170" ht="15.75" customHeight="1">
      <c r="A170" s="273"/>
      <c r="B170" s="55"/>
      <c r="C170" s="55"/>
      <c r="D170" s="55"/>
      <c r="E170" s="55"/>
      <c r="F170" s="55"/>
      <c r="G170" s="55"/>
      <c r="H170" s="55"/>
      <c r="I170" s="55"/>
      <c r="J170" s="55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</row>
    <row r="171" ht="15.75" customHeight="1">
      <c r="A171" s="273"/>
      <c r="B171" s="55"/>
      <c r="C171" s="55"/>
      <c r="D171" s="55"/>
      <c r="E171" s="55"/>
      <c r="F171" s="55"/>
      <c r="G171" s="55"/>
      <c r="H171" s="55"/>
      <c r="I171" s="55"/>
      <c r="J171" s="55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</row>
    <row r="172" ht="15.75" customHeight="1">
      <c r="A172" s="273"/>
      <c r="B172" s="55"/>
      <c r="C172" s="55"/>
      <c r="D172" s="55"/>
      <c r="E172" s="55"/>
      <c r="F172" s="55"/>
      <c r="G172" s="55"/>
      <c r="H172" s="55"/>
      <c r="I172" s="55"/>
      <c r="J172" s="55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</row>
    <row r="173" ht="15.75" customHeight="1">
      <c r="A173" s="273"/>
      <c r="B173" s="55"/>
      <c r="C173" s="55"/>
      <c r="D173" s="55"/>
      <c r="E173" s="55"/>
      <c r="F173" s="55"/>
      <c r="G173" s="55"/>
      <c r="H173" s="55"/>
      <c r="I173" s="55"/>
      <c r="J173" s="55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  <c r="Z173" s="273"/>
    </row>
    <row r="174" ht="15.75" customHeight="1">
      <c r="A174" s="273"/>
      <c r="B174" s="55"/>
      <c r="C174" s="55"/>
      <c r="D174" s="55"/>
      <c r="E174" s="55"/>
      <c r="F174" s="55"/>
      <c r="G174" s="55"/>
      <c r="H174" s="55"/>
      <c r="I174" s="55"/>
      <c r="J174" s="55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</row>
    <row r="175" ht="15.75" customHeight="1">
      <c r="A175" s="273"/>
      <c r="B175" s="55"/>
      <c r="C175" s="55"/>
      <c r="D175" s="55"/>
      <c r="E175" s="55"/>
      <c r="F175" s="55"/>
      <c r="G175" s="55"/>
      <c r="H175" s="55"/>
      <c r="I175" s="55"/>
      <c r="J175" s="55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  <c r="Z175" s="273"/>
    </row>
    <row r="176" ht="15.75" customHeight="1">
      <c r="A176" s="273"/>
      <c r="B176" s="55"/>
      <c r="C176" s="55"/>
      <c r="D176" s="55"/>
      <c r="E176" s="55"/>
      <c r="F176" s="55"/>
      <c r="G176" s="55"/>
      <c r="H176" s="55"/>
      <c r="I176" s="55"/>
      <c r="J176" s="55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</row>
    <row r="177" ht="15.75" customHeight="1">
      <c r="A177" s="273"/>
      <c r="B177" s="55"/>
      <c r="C177" s="55"/>
      <c r="D177" s="55"/>
      <c r="E177" s="55"/>
      <c r="F177" s="55"/>
      <c r="G177" s="55"/>
      <c r="H177" s="55"/>
      <c r="I177" s="55"/>
      <c r="J177" s="55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</row>
    <row r="178" ht="15.75" customHeight="1">
      <c r="A178" s="273"/>
      <c r="B178" s="55"/>
      <c r="C178" s="55"/>
      <c r="D178" s="55"/>
      <c r="E178" s="55"/>
      <c r="F178" s="55"/>
      <c r="G178" s="55"/>
      <c r="H178" s="55"/>
      <c r="I178" s="55"/>
      <c r="J178" s="55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</row>
    <row r="179" ht="15.75" customHeight="1">
      <c r="A179" s="273"/>
      <c r="B179" s="55"/>
      <c r="C179" s="55"/>
      <c r="D179" s="55"/>
      <c r="E179" s="55"/>
      <c r="F179" s="55"/>
      <c r="G179" s="55"/>
      <c r="H179" s="55"/>
      <c r="I179" s="55"/>
      <c r="J179" s="55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  <c r="Z179" s="273"/>
    </row>
    <row r="180" ht="15.75" customHeight="1">
      <c r="A180" s="273"/>
      <c r="B180" s="55"/>
      <c r="C180" s="55"/>
      <c r="D180" s="55"/>
      <c r="E180" s="55"/>
      <c r="F180" s="55"/>
      <c r="G180" s="55"/>
      <c r="H180" s="55"/>
      <c r="I180" s="55"/>
      <c r="J180" s="55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</row>
    <row r="181" ht="15.75" customHeight="1">
      <c r="A181" s="273"/>
      <c r="B181" s="55"/>
      <c r="C181" s="55"/>
      <c r="D181" s="55"/>
      <c r="E181" s="55"/>
      <c r="F181" s="55"/>
      <c r="G181" s="55"/>
      <c r="H181" s="55"/>
      <c r="I181" s="55"/>
      <c r="J181" s="55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  <c r="Z181" s="273"/>
    </row>
    <row r="182" ht="15.75" customHeight="1">
      <c r="A182" s="273"/>
      <c r="B182" s="55"/>
      <c r="C182" s="55"/>
      <c r="D182" s="55"/>
      <c r="E182" s="55"/>
      <c r="F182" s="55"/>
      <c r="G182" s="55"/>
      <c r="H182" s="55"/>
      <c r="I182" s="55"/>
      <c r="J182" s="55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</row>
    <row r="183" ht="15.75" customHeight="1">
      <c r="A183" s="273"/>
      <c r="B183" s="55"/>
      <c r="C183" s="55"/>
      <c r="D183" s="55"/>
      <c r="E183" s="55"/>
      <c r="F183" s="55"/>
      <c r="G183" s="55"/>
      <c r="H183" s="55"/>
      <c r="I183" s="55"/>
      <c r="J183" s="55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  <c r="Z183" s="273"/>
    </row>
    <row r="184" ht="15.75" customHeight="1">
      <c r="A184" s="273"/>
      <c r="B184" s="55"/>
      <c r="C184" s="55"/>
      <c r="D184" s="55"/>
      <c r="E184" s="55"/>
      <c r="F184" s="55"/>
      <c r="G184" s="55"/>
      <c r="H184" s="55"/>
      <c r="I184" s="55"/>
      <c r="J184" s="55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</row>
    <row r="185" ht="15.75" customHeight="1">
      <c r="A185" s="273"/>
      <c r="B185" s="55"/>
      <c r="C185" s="55"/>
      <c r="D185" s="55"/>
      <c r="E185" s="55"/>
      <c r="F185" s="55"/>
      <c r="G185" s="55"/>
      <c r="H185" s="55"/>
      <c r="I185" s="55"/>
      <c r="J185" s="55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  <c r="Z185" s="273"/>
    </row>
    <row r="186" ht="15.75" customHeight="1">
      <c r="A186" s="273"/>
      <c r="B186" s="55"/>
      <c r="C186" s="55"/>
      <c r="D186" s="55"/>
      <c r="E186" s="55"/>
      <c r="F186" s="55"/>
      <c r="G186" s="55"/>
      <c r="H186" s="55"/>
      <c r="I186" s="55"/>
      <c r="J186" s="55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</row>
    <row r="187" ht="15.75" customHeight="1">
      <c r="A187" s="273"/>
      <c r="B187" s="55"/>
      <c r="C187" s="55"/>
      <c r="D187" s="55"/>
      <c r="E187" s="55"/>
      <c r="F187" s="55"/>
      <c r="G187" s="55"/>
      <c r="H187" s="55"/>
      <c r="I187" s="55"/>
      <c r="J187" s="55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  <c r="Z187" s="273"/>
    </row>
    <row r="188" ht="15.75" customHeight="1">
      <c r="A188" s="273"/>
      <c r="B188" s="55"/>
      <c r="C188" s="55"/>
      <c r="D188" s="55"/>
      <c r="E188" s="55"/>
      <c r="F188" s="55"/>
      <c r="G188" s="55"/>
      <c r="H188" s="55"/>
      <c r="I188" s="55"/>
      <c r="J188" s="55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</row>
    <row r="189" ht="15.75" customHeight="1">
      <c r="A189" s="273"/>
      <c r="B189" s="55"/>
      <c r="C189" s="55"/>
      <c r="D189" s="55"/>
      <c r="E189" s="55"/>
      <c r="F189" s="55"/>
      <c r="G189" s="55"/>
      <c r="H189" s="55"/>
      <c r="I189" s="55"/>
      <c r="J189" s="55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  <c r="Z189" s="273"/>
    </row>
    <row r="190" ht="15.75" customHeight="1">
      <c r="A190" s="273"/>
      <c r="B190" s="55"/>
      <c r="C190" s="55"/>
      <c r="D190" s="55"/>
      <c r="E190" s="55"/>
      <c r="F190" s="55"/>
      <c r="G190" s="55"/>
      <c r="H190" s="55"/>
      <c r="I190" s="55"/>
      <c r="J190" s="55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</row>
    <row r="191" ht="15.75" customHeight="1">
      <c r="A191" s="273"/>
      <c r="B191" s="55"/>
      <c r="C191" s="55"/>
      <c r="D191" s="55"/>
      <c r="E191" s="55"/>
      <c r="F191" s="55"/>
      <c r="G191" s="55"/>
      <c r="H191" s="55"/>
      <c r="I191" s="55"/>
      <c r="J191" s="55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  <c r="Z191" s="273"/>
    </row>
    <row r="192" ht="15.75" customHeight="1">
      <c r="A192" s="273"/>
      <c r="B192" s="55"/>
      <c r="C192" s="55"/>
      <c r="D192" s="55"/>
      <c r="E192" s="55"/>
      <c r="F192" s="55"/>
      <c r="G192" s="55"/>
      <c r="H192" s="55"/>
      <c r="I192" s="55"/>
      <c r="J192" s="55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</row>
    <row r="193" ht="15.75" customHeight="1">
      <c r="A193" s="273"/>
      <c r="B193" s="55"/>
      <c r="C193" s="55"/>
      <c r="D193" s="55"/>
      <c r="E193" s="55"/>
      <c r="F193" s="55"/>
      <c r="G193" s="55"/>
      <c r="H193" s="55"/>
      <c r="I193" s="55"/>
      <c r="J193" s="55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</row>
    <row r="194" ht="15.75" customHeight="1">
      <c r="A194" s="273"/>
      <c r="B194" s="55"/>
      <c r="C194" s="55"/>
      <c r="D194" s="55"/>
      <c r="E194" s="55"/>
      <c r="F194" s="55"/>
      <c r="G194" s="55"/>
      <c r="H194" s="55"/>
      <c r="I194" s="55"/>
      <c r="J194" s="55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</row>
    <row r="195" ht="15.75" customHeight="1">
      <c r="A195" s="273"/>
      <c r="B195" s="55"/>
      <c r="C195" s="55"/>
      <c r="D195" s="55"/>
      <c r="E195" s="55"/>
      <c r="F195" s="55"/>
      <c r="G195" s="55"/>
      <c r="H195" s="55"/>
      <c r="I195" s="55"/>
      <c r="J195" s="55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3"/>
    </row>
    <row r="196" ht="15.75" customHeight="1">
      <c r="A196" s="273"/>
      <c r="B196" s="55"/>
      <c r="C196" s="55"/>
      <c r="D196" s="55"/>
      <c r="E196" s="55"/>
      <c r="F196" s="55"/>
      <c r="G196" s="55"/>
      <c r="H196" s="55"/>
      <c r="I196" s="55"/>
      <c r="J196" s="55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</row>
    <row r="197" ht="15.75" customHeight="1">
      <c r="A197" s="273"/>
      <c r="B197" s="55"/>
      <c r="C197" s="55"/>
      <c r="D197" s="55"/>
      <c r="E197" s="55"/>
      <c r="F197" s="55"/>
      <c r="G197" s="55"/>
      <c r="H197" s="55"/>
      <c r="I197" s="55"/>
      <c r="J197" s="55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</row>
    <row r="198" ht="15.75" customHeight="1">
      <c r="A198" s="273"/>
      <c r="B198" s="55"/>
      <c r="C198" s="55"/>
      <c r="D198" s="55"/>
      <c r="E198" s="55"/>
      <c r="F198" s="55"/>
      <c r="G198" s="55"/>
      <c r="H198" s="55"/>
      <c r="I198" s="55"/>
      <c r="J198" s="55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</row>
    <row r="199" ht="15.75" customHeight="1">
      <c r="A199" s="273"/>
      <c r="B199" s="55"/>
      <c r="C199" s="55"/>
      <c r="D199" s="55"/>
      <c r="E199" s="55"/>
      <c r="F199" s="55"/>
      <c r="G199" s="55"/>
      <c r="H199" s="55"/>
      <c r="I199" s="55"/>
      <c r="J199" s="55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</row>
    <row r="200" ht="15.75" customHeight="1">
      <c r="A200" s="273"/>
      <c r="B200" s="55"/>
      <c r="C200" s="55"/>
      <c r="D200" s="55"/>
      <c r="E200" s="55"/>
      <c r="F200" s="55"/>
      <c r="G200" s="55"/>
      <c r="H200" s="55"/>
      <c r="I200" s="55"/>
      <c r="J200" s="55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</row>
    <row r="201" ht="15.75" customHeight="1">
      <c r="A201" s="273"/>
      <c r="B201" s="55"/>
      <c r="C201" s="55"/>
      <c r="D201" s="55"/>
      <c r="E201" s="55"/>
      <c r="F201" s="55"/>
      <c r="G201" s="55"/>
      <c r="H201" s="55"/>
      <c r="I201" s="55"/>
      <c r="J201" s="55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</row>
    <row r="202" ht="15.75" customHeight="1">
      <c r="A202" s="273"/>
      <c r="B202" s="55"/>
      <c r="C202" s="55"/>
      <c r="D202" s="55"/>
      <c r="E202" s="55"/>
      <c r="F202" s="55"/>
      <c r="G202" s="55"/>
      <c r="H202" s="55"/>
      <c r="I202" s="55"/>
      <c r="J202" s="55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</row>
    <row r="203" ht="15.75" customHeight="1">
      <c r="A203" s="273"/>
      <c r="B203" s="55"/>
      <c r="C203" s="55"/>
      <c r="D203" s="55"/>
      <c r="E203" s="55"/>
      <c r="F203" s="55"/>
      <c r="G203" s="55"/>
      <c r="H203" s="55"/>
      <c r="I203" s="55"/>
      <c r="J203" s="55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</row>
    <row r="204" ht="15.75" customHeight="1">
      <c r="A204" s="273"/>
      <c r="B204" s="55"/>
      <c r="C204" s="55"/>
      <c r="D204" s="55"/>
      <c r="E204" s="55"/>
      <c r="F204" s="55"/>
      <c r="G204" s="55"/>
      <c r="H204" s="55"/>
      <c r="I204" s="55"/>
      <c r="J204" s="55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</row>
    <row r="205" ht="15.75" customHeight="1">
      <c r="A205" s="273"/>
      <c r="B205" s="55"/>
      <c r="C205" s="55"/>
      <c r="D205" s="55"/>
      <c r="E205" s="55"/>
      <c r="F205" s="55"/>
      <c r="G205" s="55"/>
      <c r="H205" s="55"/>
      <c r="I205" s="55"/>
      <c r="J205" s="55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</row>
    <row r="206" ht="15.75" customHeight="1">
      <c r="A206" s="273"/>
      <c r="B206" s="55"/>
      <c r="C206" s="55"/>
      <c r="D206" s="55"/>
      <c r="E206" s="55"/>
      <c r="F206" s="55"/>
      <c r="G206" s="55"/>
      <c r="H206" s="55"/>
      <c r="I206" s="55"/>
      <c r="J206" s="55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</row>
    <row r="207" ht="15.75" customHeight="1">
      <c r="A207" s="273"/>
      <c r="B207" s="55"/>
      <c r="C207" s="55"/>
      <c r="D207" s="55"/>
      <c r="E207" s="55"/>
      <c r="F207" s="55"/>
      <c r="G207" s="55"/>
      <c r="H207" s="55"/>
      <c r="I207" s="55"/>
      <c r="J207" s="55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</row>
    <row r="208" ht="15.75" customHeight="1">
      <c r="A208" s="273"/>
      <c r="B208" s="55"/>
      <c r="C208" s="55"/>
      <c r="D208" s="55"/>
      <c r="E208" s="55"/>
      <c r="F208" s="55"/>
      <c r="G208" s="55"/>
      <c r="H208" s="55"/>
      <c r="I208" s="55"/>
      <c r="J208" s="55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</row>
    <row r="209" ht="15.75" customHeight="1">
      <c r="A209" s="273"/>
      <c r="B209" s="55"/>
      <c r="C209" s="55"/>
      <c r="D209" s="55"/>
      <c r="E209" s="55"/>
      <c r="F209" s="55"/>
      <c r="G209" s="55"/>
      <c r="H209" s="55"/>
      <c r="I209" s="55"/>
      <c r="J209" s="55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</row>
    <row r="210" ht="15.75" customHeight="1">
      <c r="A210" s="273"/>
      <c r="B210" s="55"/>
      <c r="C210" s="55"/>
      <c r="D210" s="55"/>
      <c r="E210" s="55"/>
      <c r="F210" s="55"/>
      <c r="G210" s="55"/>
      <c r="H210" s="55"/>
      <c r="I210" s="55"/>
      <c r="J210" s="55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</row>
    <row r="211" ht="15.75" customHeight="1">
      <c r="A211" s="273"/>
      <c r="B211" s="55"/>
      <c r="C211" s="55"/>
      <c r="D211" s="55"/>
      <c r="E211" s="55"/>
      <c r="F211" s="55"/>
      <c r="G211" s="55"/>
      <c r="H211" s="55"/>
      <c r="I211" s="55"/>
      <c r="J211" s="55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</row>
    <row r="212" ht="15.75" customHeight="1">
      <c r="A212" s="273"/>
      <c r="B212" s="55"/>
      <c r="C212" s="55"/>
      <c r="D212" s="55"/>
      <c r="E212" s="55"/>
      <c r="F212" s="55"/>
      <c r="G212" s="55"/>
      <c r="H212" s="55"/>
      <c r="I212" s="55"/>
      <c r="J212" s="55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</row>
    <row r="213" ht="15.75" customHeight="1">
      <c r="A213" s="273"/>
      <c r="B213" s="55"/>
      <c r="C213" s="55"/>
      <c r="D213" s="55"/>
      <c r="E213" s="55"/>
      <c r="F213" s="55"/>
      <c r="G213" s="55"/>
      <c r="H213" s="55"/>
      <c r="I213" s="55"/>
      <c r="J213" s="55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</row>
    <row r="214" ht="15.75" customHeight="1">
      <c r="A214" s="273"/>
      <c r="B214" s="55"/>
      <c r="C214" s="55"/>
      <c r="D214" s="55"/>
      <c r="E214" s="55"/>
      <c r="F214" s="55"/>
      <c r="G214" s="55"/>
      <c r="H214" s="55"/>
      <c r="I214" s="55"/>
      <c r="J214" s="55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</row>
    <row r="215" ht="15.75" customHeight="1">
      <c r="A215" s="273"/>
      <c r="B215" s="55"/>
      <c r="C215" s="55"/>
      <c r="D215" s="55"/>
      <c r="E215" s="55"/>
      <c r="F215" s="55"/>
      <c r="G215" s="55"/>
      <c r="H215" s="55"/>
      <c r="I215" s="55"/>
      <c r="J215" s="55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</row>
    <row r="216" ht="15.75" customHeight="1">
      <c r="A216" s="273"/>
      <c r="B216" s="55"/>
      <c r="C216" s="55"/>
      <c r="D216" s="55"/>
      <c r="E216" s="55"/>
      <c r="F216" s="55"/>
      <c r="G216" s="55"/>
      <c r="H216" s="55"/>
      <c r="I216" s="55"/>
      <c r="J216" s="55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</row>
    <row r="217" ht="15.75" customHeight="1">
      <c r="A217" s="273"/>
      <c r="B217" s="55"/>
      <c r="C217" s="55"/>
      <c r="D217" s="55"/>
      <c r="E217" s="55"/>
      <c r="F217" s="55"/>
      <c r="G217" s="55"/>
      <c r="H217" s="55"/>
      <c r="I217" s="55"/>
      <c r="J217" s="55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</row>
    <row r="218" ht="15.75" customHeight="1">
      <c r="A218" s="273"/>
      <c r="B218" s="55"/>
      <c r="C218" s="55"/>
      <c r="D218" s="55"/>
      <c r="E218" s="55"/>
      <c r="F218" s="55"/>
      <c r="G218" s="55"/>
      <c r="H218" s="55"/>
      <c r="I218" s="55"/>
      <c r="J218" s="55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</row>
    <row r="219" ht="15.75" customHeight="1">
      <c r="A219" s="273"/>
      <c r="B219" s="55"/>
      <c r="C219" s="55"/>
      <c r="D219" s="55"/>
      <c r="E219" s="55"/>
      <c r="F219" s="55"/>
      <c r="G219" s="55"/>
      <c r="H219" s="55"/>
      <c r="I219" s="55"/>
      <c r="J219" s="55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</row>
    <row r="220" ht="15.75" customHeight="1">
      <c r="A220" s="273"/>
      <c r="B220" s="55"/>
      <c r="C220" s="55"/>
      <c r="D220" s="55"/>
      <c r="E220" s="55"/>
      <c r="F220" s="55"/>
      <c r="G220" s="55"/>
      <c r="H220" s="55"/>
      <c r="I220" s="55"/>
      <c r="J220" s="55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</row>
    <row r="221" ht="15.75" customHeight="1">
      <c r="A221" s="273"/>
      <c r="B221" s="55"/>
      <c r="C221" s="55"/>
      <c r="D221" s="55"/>
      <c r="E221" s="55"/>
      <c r="F221" s="55"/>
      <c r="G221" s="55"/>
      <c r="H221" s="55"/>
      <c r="I221" s="55"/>
      <c r="J221" s="55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</row>
    <row r="222" ht="15.75" customHeight="1">
      <c r="A222" s="273"/>
      <c r="B222" s="55"/>
      <c r="C222" s="55"/>
      <c r="D222" s="55"/>
      <c r="E222" s="55"/>
      <c r="F222" s="55"/>
      <c r="G222" s="55"/>
      <c r="H222" s="55"/>
      <c r="I222" s="55"/>
      <c r="J222" s="55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</row>
    <row r="223" ht="15.75" customHeight="1">
      <c r="A223" s="273"/>
      <c r="B223" s="55"/>
      <c r="C223" s="55"/>
      <c r="D223" s="55"/>
      <c r="E223" s="55"/>
      <c r="F223" s="55"/>
      <c r="G223" s="55"/>
      <c r="H223" s="55"/>
      <c r="I223" s="55"/>
      <c r="J223" s="55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</row>
    <row r="224" ht="15.75" customHeight="1">
      <c r="A224" s="273"/>
      <c r="B224" s="55"/>
      <c r="C224" s="55"/>
      <c r="D224" s="55"/>
      <c r="E224" s="55"/>
      <c r="F224" s="55"/>
      <c r="G224" s="55"/>
      <c r="H224" s="55"/>
      <c r="I224" s="55"/>
      <c r="J224" s="55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</row>
    <row r="225" ht="15.75" customHeight="1">
      <c r="A225" s="273"/>
      <c r="B225" s="55"/>
      <c r="C225" s="55"/>
      <c r="D225" s="55"/>
      <c r="E225" s="55"/>
      <c r="F225" s="55"/>
      <c r="G225" s="55"/>
      <c r="H225" s="55"/>
      <c r="I225" s="55"/>
      <c r="J225" s="55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</row>
    <row r="226" ht="15.75" customHeight="1">
      <c r="A226" s="273"/>
      <c r="B226" s="55"/>
      <c r="C226" s="55"/>
      <c r="D226" s="55"/>
      <c r="E226" s="55"/>
      <c r="F226" s="55"/>
      <c r="G226" s="55"/>
      <c r="H226" s="55"/>
      <c r="I226" s="55"/>
      <c r="J226" s="55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</row>
    <row r="227" ht="15.75" customHeight="1">
      <c r="A227" s="273"/>
      <c r="B227" s="55"/>
      <c r="C227" s="55"/>
      <c r="D227" s="55"/>
      <c r="E227" s="55"/>
      <c r="F227" s="55"/>
      <c r="G227" s="55"/>
      <c r="H227" s="55"/>
      <c r="I227" s="55"/>
      <c r="J227" s="55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</row>
    <row r="228" ht="15.75" customHeight="1">
      <c r="A228" s="273"/>
      <c r="B228" s="55"/>
      <c r="C228" s="55"/>
      <c r="D228" s="55"/>
      <c r="E228" s="55"/>
      <c r="F228" s="55"/>
      <c r="G228" s="55"/>
      <c r="H228" s="55"/>
      <c r="I228" s="55"/>
      <c r="J228" s="55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</row>
    <row r="229" ht="15.75" customHeight="1">
      <c r="A229" s="273"/>
      <c r="B229" s="55"/>
      <c r="C229" s="55"/>
      <c r="D229" s="55"/>
      <c r="E229" s="55"/>
      <c r="F229" s="55"/>
      <c r="G229" s="55"/>
      <c r="H229" s="55"/>
      <c r="I229" s="55"/>
      <c r="J229" s="55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</row>
    <row r="230" ht="15.75" customHeight="1">
      <c r="A230" s="273"/>
      <c r="B230" s="55"/>
      <c r="C230" s="55"/>
      <c r="D230" s="55"/>
      <c r="E230" s="55"/>
      <c r="F230" s="55"/>
      <c r="G230" s="55"/>
      <c r="H230" s="55"/>
      <c r="I230" s="55"/>
      <c r="J230" s="55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</row>
    <row r="231" ht="15.75" customHeight="1">
      <c r="A231" s="273"/>
      <c r="B231" s="55"/>
      <c r="C231" s="55"/>
      <c r="D231" s="55"/>
      <c r="E231" s="55"/>
      <c r="F231" s="55"/>
      <c r="G231" s="55"/>
      <c r="H231" s="55"/>
      <c r="I231" s="55"/>
      <c r="J231" s="55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</row>
    <row r="232" ht="15.75" customHeight="1">
      <c r="A232" s="273"/>
      <c r="B232" s="55"/>
      <c r="C232" s="55"/>
      <c r="D232" s="55"/>
      <c r="E232" s="55"/>
      <c r="F232" s="55"/>
      <c r="G232" s="55"/>
      <c r="H232" s="55"/>
      <c r="I232" s="55"/>
      <c r="J232" s="55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</row>
    <row r="233" ht="15.75" customHeight="1">
      <c r="A233" s="273"/>
      <c r="B233" s="55"/>
      <c r="C233" s="55"/>
      <c r="D233" s="55"/>
      <c r="E233" s="55"/>
      <c r="F233" s="55"/>
      <c r="G233" s="55"/>
      <c r="H233" s="55"/>
      <c r="I233" s="55"/>
      <c r="J233" s="55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</row>
    <row r="234" ht="15.75" customHeight="1">
      <c r="A234" s="273"/>
      <c r="B234" s="55"/>
      <c r="C234" s="55"/>
      <c r="D234" s="55"/>
      <c r="E234" s="55"/>
      <c r="F234" s="55"/>
      <c r="G234" s="55"/>
      <c r="H234" s="55"/>
      <c r="I234" s="55"/>
      <c r="J234" s="55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</row>
    <row r="235" ht="15.75" customHeight="1">
      <c r="A235" s="273"/>
      <c r="B235" s="55"/>
      <c r="C235" s="55"/>
      <c r="D235" s="55"/>
      <c r="E235" s="55"/>
      <c r="F235" s="55"/>
      <c r="G235" s="55"/>
      <c r="H235" s="55"/>
      <c r="I235" s="55"/>
      <c r="J235" s="55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</row>
    <row r="236" ht="15.75" customHeight="1">
      <c r="A236" s="273"/>
      <c r="B236" s="55"/>
      <c r="C236" s="55"/>
      <c r="D236" s="55"/>
      <c r="E236" s="55"/>
      <c r="F236" s="55"/>
      <c r="G236" s="55"/>
      <c r="H236" s="55"/>
      <c r="I236" s="55"/>
      <c r="J236" s="55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</row>
    <row r="237" ht="15.75" customHeight="1">
      <c r="A237" s="273"/>
      <c r="B237" s="55"/>
      <c r="C237" s="55"/>
      <c r="D237" s="55"/>
      <c r="E237" s="55"/>
      <c r="F237" s="55"/>
      <c r="G237" s="55"/>
      <c r="H237" s="55"/>
      <c r="I237" s="55"/>
      <c r="J237" s="55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  <c r="Z237" s="273"/>
    </row>
    <row r="238" ht="15.75" customHeight="1">
      <c r="A238" s="273"/>
      <c r="B238" s="55"/>
      <c r="C238" s="55"/>
      <c r="D238" s="55"/>
      <c r="E238" s="55"/>
      <c r="F238" s="55"/>
      <c r="G238" s="55"/>
      <c r="H238" s="55"/>
      <c r="I238" s="55"/>
      <c r="J238" s="55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</row>
    <row r="239" ht="15.75" customHeight="1">
      <c r="A239" s="273"/>
      <c r="B239" s="55"/>
      <c r="C239" s="55"/>
      <c r="D239" s="55"/>
      <c r="E239" s="55"/>
      <c r="F239" s="55"/>
      <c r="G239" s="55"/>
      <c r="H239" s="55"/>
      <c r="I239" s="55"/>
      <c r="J239" s="55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  <c r="Z239" s="273"/>
    </row>
    <row r="240" ht="15.75" customHeight="1">
      <c r="A240" s="273"/>
      <c r="B240" s="55"/>
      <c r="C240" s="55"/>
      <c r="D240" s="55"/>
      <c r="E240" s="55"/>
      <c r="F240" s="55"/>
      <c r="G240" s="55"/>
      <c r="H240" s="55"/>
      <c r="I240" s="55"/>
      <c r="J240" s="55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  <c r="Z240" s="273"/>
    </row>
    <row r="241" ht="15.75" customHeight="1">
      <c r="A241" s="273"/>
      <c r="B241" s="55"/>
      <c r="C241" s="55"/>
      <c r="D241" s="55"/>
      <c r="E241" s="55"/>
      <c r="F241" s="55"/>
      <c r="G241" s="55"/>
      <c r="H241" s="55"/>
      <c r="I241" s="55"/>
      <c r="J241" s="55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  <c r="Z241" s="273"/>
    </row>
    <row r="242" ht="15.75" customHeight="1">
      <c r="A242" s="273"/>
      <c r="B242" s="55"/>
      <c r="C242" s="55"/>
      <c r="D242" s="55"/>
      <c r="E242" s="55"/>
      <c r="F242" s="55"/>
      <c r="G242" s="55"/>
      <c r="H242" s="55"/>
      <c r="I242" s="55"/>
      <c r="J242" s="55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</row>
    <row r="243" ht="15.75" customHeight="1">
      <c r="A243" s="273"/>
      <c r="B243" s="55"/>
      <c r="C243" s="55"/>
      <c r="D243" s="55"/>
      <c r="E243" s="55"/>
      <c r="F243" s="55"/>
      <c r="G243" s="55"/>
      <c r="H243" s="55"/>
      <c r="I243" s="55"/>
      <c r="J243" s="55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  <c r="Z243" s="273"/>
    </row>
    <row r="244" ht="15.75" customHeight="1">
      <c r="A244" s="273"/>
      <c r="B244" s="55"/>
      <c r="C244" s="55"/>
      <c r="D244" s="55"/>
      <c r="E244" s="55"/>
      <c r="F244" s="55"/>
      <c r="G244" s="55"/>
      <c r="H244" s="55"/>
      <c r="I244" s="55"/>
      <c r="J244" s="55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  <c r="Z244" s="273"/>
    </row>
    <row r="245" ht="15.75" customHeight="1">
      <c r="A245" s="273"/>
      <c r="B245" s="55"/>
      <c r="C245" s="55"/>
      <c r="D245" s="55"/>
      <c r="E245" s="55"/>
      <c r="F245" s="55"/>
      <c r="G245" s="55"/>
      <c r="H245" s="55"/>
      <c r="I245" s="55"/>
      <c r="J245" s="55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  <c r="Z245" s="273"/>
    </row>
    <row r="246" ht="15.75" customHeight="1">
      <c r="A246" s="273"/>
      <c r="B246" s="55"/>
      <c r="C246" s="55"/>
      <c r="D246" s="55"/>
      <c r="E246" s="55"/>
      <c r="F246" s="55"/>
      <c r="G246" s="55"/>
      <c r="H246" s="55"/>
      <c r="I246" s="55"/>
      <c r="J246" s="55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  <c r="Z246" s="273"/>
    </row>
    <row r="247" ht="15.75" customHeight="1">
      <c r="A247" s="273"/>
      <c r="B247" s="55"/>
      <c r="C247" s="55"/>
      <c r="D247" s="55"/>
      <c r="E247" s="55"/>
      <c r="F247" s="55"/>
      <c r="G247" s="55"/>
      <c r="H247" s="55"/>
      <c r="I247" s="55"/>
      <c r="J247" s="55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  <c r="Z247" s="273"/>
    </row>
    <row r="248" ht="15.75" customHeight="1">
      <c r="A248" s="273"/>
      <c r="B248" s="55"/>
      <c r="C248" s="55"/>
      <c r="D248" s="55"/>
      <c r="E248" s="55"/>
      <c r="F248" s="55"/>
      <c r="G248" s="55"/>
      <c r="H248" s="55"/>
      <c r="I248" s="55"/>
      <c r="J248" s="55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  <c r="Z248" s="273"/>
    </row>
    <row r="249" ht="15.75" customHeight="1">
      <c r="A249" s="273"/>
      <c r="B249" s="55"/>
      <c r="C249" s="55"/>
      <c r="D249" s="55"/>
      <c r="E249" s="55"/>
      <c r="F249" s="55"/>
      <c r="G249" s="55"/>
      <c r="H249" s="55"/>
      <c r="I249" s="55"/>
      <c r="J249" s="55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  <c r="Z249" s="273"/>
    </row>
    <row r="250" ht="15.75" customHeight="1">
      <c r="A250" s="273"/>
      <c r="B250" s="55"/>
      <c r="C250" s="55"/>
      <c r="D250" s="55"/>
      <c r="E250" s="55"/>
      <c r="F250" s="55"/>
      <c r="G250" s="55"/>
      <c r="H250" s="55"/>
      <c r="I250" s="55"/>
      <c r="J250" s="55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  <c r="Z250" s="273"/>
    </row>
    <row r="251" ht="15.75" customHeight="1">
      <c r="A251" s="273"/>
      <c r="B251" s="55"/>
      <c r="C251" s="55"/>
      <c r="D251" s="55"/>
      <c r="E251" s="55"/>
      <c r="F251" s="55"/>
      <c r="G251" s="55"/>
      <c r="H251" s="55"/>
      <c r="I251" s="55"/>
      <c r="J251" s="55"/>
      <c r="K251" s="273"/>
      <c r="L251" s="273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3"/>
      <c r="Y251" s="273"/>
      <c r="Z251" s="273"/>
    </row>
    <row r="252" ht="15.75" customHeight="1">
      <c r="A252" s="273"/>
      <c r="B252" s="55"/>
      <c r="C252" s="55"/>
      <c r="D252" s="55"/>
      <c r="E252" s="55"/>
      <c r="F252" s="55"/>
      <c r="G252" s="55"/>
      <c r="H252" s="55"/>
      <c r="I252" s="55"/>
      <c r="J252" s="55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  <c r="Z252" s="273"/>
    </row>
    <row r="253" ht="15.75" customHeight="1">
      <c r="A253" s="273"/>
      <c r="B253" s="55"/>
      <c r="C253" s="55"/>
      <c r="D253" s="55"/>
      <c r="E253" s="55"/>
      <c r="F253" s="55"/>
      <c r="G253" s="55"/>
      <c r="H253" s="55"/>
      <c r="I253" s="55"/>
      <c r="J253" s="55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3"/>
      <c r="Y253" s="273"/>
      <c r="Z253" s="273"/>
    </row>
    <row r="254" ht="15.75" customHeight="1">
      <c r="A254" s="273"/>
      <c r="B254" s="55"/>
      <c r="C254" s="55"/>
      <c r="D254" s="55"/>
      <c r="E254" s="55"/>
      <c r="F254" s="55"/>
      <c r="G254" s="55"/>
      <c r="H254" s="55"/>
      <c r="I254" s="55"/>
      <c r="J254" s="55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  <c r="Z254" s="273"/>
    </row>
    <row r="255" ht="15.75" customHeight="1">
      <c r="A255" s="273"/>
      <c r="B255" s="55"/>
      <c r="C255" s="55"/>
      <c r="D255" s="55"/>
      <c r="E255" s="55"/>
      <c r="F255" s="55"/>
      <c r="G255" s="55"/>
      <c r="H255" s="55"/>
      <c r="I255" s="55"/>
      <c r="J255" s="55"/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3"/>
      <c r="Y255" s="273"/>
      <c r="Z255" s="273"/>
    </row>
    <row r="256" ht="15.75" customHeight="1">
      <c r="A256" s="273"/>
      <c r="B256" s="55"/>
      <c r="C256" s="55"/>
      <c r="D256" s="55"/>
      <c r="E256" s="55"/>
      <c r="F256" s="55"/>
      <c r="G256" s="55"/>
      <c r="H256" s="55"/>
      <c r="I256" s="55"/>
      <c r="J256" s="55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  <c r="Z256" s="273"/>
    </row>
    <row r="257" ht="15.75" customHeight="1">
      <c r="A257" s="273"/>
      <c r="B257" s="55"/>
      <c r="C257" s="55"/>
      <c r="D257" s="55"/>
      <c r="E257" s="55"/>
      <c r="F257" s="55"/>
      <c r="G257" s="55"/>
      <c r="H257" s="55"/>
      <c r="I257" s="55"/>
      <c r="J257" s="55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  <c r="Z257" s="273"/>
    </row>
    <row r="258" ht="15.75" customHeight="1">
      <c r="A258" s="273"/>
      <c r="B258" s="55"/>
      <c r="C258" s="55"/>
      <c r="D258" s="55"/>
      <c r="E258" s="55"/>
      <c r="F258" s="55"/>
      <c r="G258" s="55"/>
      <c r="H258" s="55"/>
      <c r="I258" s="55"/>
      <c r="J258" s="55"/>
      <c r="K258" s="273"/>
      <c r="L258" s="273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3"/>
      <c r="Y258" s="273"/>
      <c r="Z258" s="273"/>
    </row>
    <row r="259" ht="15.75" customHeight="1">
      <c r="A259" s="273"/>
      <c r="B259" s="55"/>
      <c r="C259" s="55"/>
      <c r="D259" s="55"/>
      <c r="E259" s="55"/>
      <c r="F259" s="55"/>
      <c r="G259" s="55"/>
      <c r="H259" s="55"/>
      <c r="I259" s="55"/>
      <c r="J259" s="55"/>
      <c r="K259" s="273"/>
      <c r="L259" s="273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3"/>
      <c r="Y259" s="273"/>
      <c r="Z259" s="273"/>
    </row>
    <row r="260" ht="15.75" customHeight="1">
      <c r="A260" s="273"/>
      <c r="B260" s="55"/>
      <c r="C260" s="55"/>
      <c r="D260" s="55"/>
      <c r="E260" s="55"/>
      <c r="F260" s="55"/>
      <c r="G260" s="55"/>
      <c r="H260" s="55"/>
      <c r="I260" s="55"/>
      <c r="J260" s="55"/>
      <c r="K260" s="273"/>
      <c r="L260" s="273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3"/>
      <c r="Y260" s="273"/>
      <c r="Z260" s="273"/>
    </row>
    <row r="261" ht="15.75" customHeight="1">
      <c r="A261" s="273"/>
      <c r="B261" s="55"/>
      <c r="C261" s="55"/>
      <c r="D261" s="55"/>
      <c r="E261" s="55"/>
      <c r="F261" s="55"/>
      <c r="G261" s="55"/>
      <c r="H261" s="55"/>
      <c r="I261" s="55"/>
      <c r="J261" s="55"/>
      <c r="K261" s="273"/>
      <c r="L261" s="273"/>
      <c r="M261" s="273"/>
      <c r="N261" s="273"/>
      <c r="O261" s="273"/>
      <c r="P261" s="273"/>
      <c r="Q261" s="273"/>
      <c r="R261" s="273"/>
      <c r="S261" s="273"/>
      <c r="T261" s="273"/>
      <c r="U261" s="273"/>
      <c r="V261" s="273"/>
      <c r="W261" s="273"/>
      <c r="X261" s="273"/>
      <c r="Y261" s="273"/>
      <c r="Z261" s="273"/>
    </row>
    <row r="262" ht="15.75" customHeight="1">
      <c r="A262" s="273"/>
      <c r="B262" s="55"/>
      <c r="C262" s="55"/>
      <c r="D262" s="55"/>
      <c r="E262" s="55"/>
      <c r="F262" s="55"/>
      <c r="G262" s="55"/>
      <c r="H262" s="55"/>
      <c r="I262" s="55"/>
      <c r="J262" s="55"/>
      <c r="K262" s="273"/>
      <c r="L262" s="273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3"/>
      <c r="Y262" s="273"/>
      <c r="Z262" s="273"/>
    </row>
    <row r="263" ht="15.75" customHeight="1">
      <c r="A263" s="273"/>
      <c r="B263" s="55"/>
      <c r="C263" s="55"/>
      <c r="D263" s="55"/>
      <c r="E263" s="55"/>
      <c r="F263" s="55"/>
      <c r="G263" s="55"/>
      <c r="H263" s="55"/>
      <c r="I263" s="55"/>
      <c r="J263" s="55"/>
      <c r="K263" s="273"/>
      <c r="L263" s="273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3"/>
      <c r="Y263" s="273"/>
      <c r="Z263" s="273"/>
    </row>
    <row r="264" ht="15.75" customHeight="1">
      <c r="A264" s="273"/>
      <c r="B264" s="55"/>
      <c r="C264" s="55"/>
      <c r="D264" s="55"/>
      <c r="E264" s="55"/>
      <c r="F264" s="55"/>
      <c r="G264" s="55"/>
      <c r="H264" s="55"/>
      <c r="I264" s="55"/>
      <c r="J264" s="55"/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3"/>
      <c r="Y264" s="273"/>
      <c r="Z264" s="273"/>
    </row>
    <row r="265" ht="15.75" customHeight="1">
      <c r="A265" s="273"/>
      <c r="B265" s="55"/>
      <c r="C265" s="55"/>
      <c r="D265" s="55"/>
      <c r="E265" s="55"/>
      <c r="F265" s="55"/>
      <c r="G265" s="55"/>
      <c r="H265" s="55"/>
      <c r="I265" s="55"/>
      <c r="J265" s="55"/>
      <c r="K265" s="273"/>
      <c r="L265" s="273"/>
      <c r="M265" s="273"/>
      <c r="N265" s="273"/>
      <c r="O265" s="273"/>
      <c r="P265" s="273"/>
      <c r="Q265" s="273"/>
      <c r="R265" s="273"/>
      <c r="S265" s="273"/>
      <c r="T265" s="273"/>
      <c r="U265" s="273"/>
      <c r="V265" s="273"/>
      <c r="W265" s="273"/>
      <c r="X265" s="273"/>
      <c r="Y265" s="273"/>
      <c r="Z265" s="273"/>
    </row>
    <row r="266" ht="15.75" customHeight="1">
      <c r="A266" s="273"/>
      <c r="B266" s="55"/>
      <c r="C266" s="55"/>
      <c r="D266" s="55"/>
      <c r="E266" s="55"/>
      <c r="F266" s="55"/>
      <c r="G266" s="55"/>
      <c r="H266" s="55"/>
      <c r="I266" s="55"/>
      <c r="J266" s="55"/>
      <c r="K266" s="273"/>
      <c r="L266" s="273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  <c r="Z266" s="273"/>
    </row>
    <row r="267" ht="15.75" customHeight="1">
      <c r="A267" s="273"/>
      <c r="B267" s="55"/>
      <c r="C267" s="55"/>
      <c r="D267" s="55"/>
      <c r="E267" s="55"/>
      <c r="F267" s="55"/>
      <c r="G267" s="55"/>
      <c r="H267" s="55"/>
      <c r="I267" s="55"/>
      <c r="J267" s="55"/>
      <c r="K267" s="273"/>
      <c r="L267" s="273"/>
      <c r="M267" s="273"/>
      <c r="N267" s="273"/>
      <c r="O267" s="273"/>
      <c r="P267" s="273"/>
      <c r="Q267" s="273"/>
      <c r="R267" s="273"/>
      <c r="S267" s="273"/>
      <c r="T267" s="273"/>
      <c r="U267" s="273"/>
      <c r="V267" s="273"/>
      <c r="W267" s="273"/>
      <c r="X267" s="273"/>
      <c r="Y267" s="273"/>
      <c r="Z267" s="273"/>
    </row>
    <row r="268" ht="15.75" customHeight="1">
      <c r="A268" s="273"/>
      <c r="B268" s="55"/>
      <c r="C268" s="55"/>
      <c r="D268" s="55"/>
      <c r="E268" s="55"/>
      <c r="F268" s="55"/>
      <c r="G268" s="55"/>
      <c r="H268" s="55"/>
      <c r="I268" s="55"/>
      <c r="J268" s="55"/>
      <c r="K268" s="273"/>
      <c r="L268" s="273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3"/>
      <c r="Y268" s="273"/>
      <c r="Z268" s="273"/>
    </row>
    <row r="269" ht="15.75" customHeight="1">
      <c r="A269" s="273"/>
      <c r="B269" s="55"/>
      <c r="C269" s="55"/>
      <c r="D269" s="55"/>
      <c r="E269" s="55"/>
      <c r="F269" s="55"/>
      <c r="G269" s="55"/>
      <c r="H269" s="55"/>
      <c r="I269" s="55"/>
      <c r="J269" s="55"/>
      <c r="K269" s="273"/>
      <c r="L269" s="273"/>
      <c r="M269" s="273"/>
      <c r="N269" s="273"/>
      <c r="O269" s="273"/>
      <c r="P269" s="273"/>
      <c r="Q269" s="273"/>
      <c r="R269" s="273"/>
      <c r="S269" s="273"/>
      <c r="T269" s="273"/>
      <c r="U269" s="273"/>
      <c r="V269" s="273"/>
      <c r="W269" s="273"/>
      <c r="X269" s="273"/>
      <c r="Y269" s="273"/>
      <c r="Z269" s="273"/>
    </row>
    <row r="270" ht="15.75" customHeight="1">
      <c r="A270" s="273"/>
      <c r="B270" s="55"/>
      <c r="C270" s="55"/>
      <c r="D270" s="55"/>
      <c r="E270" s="55"/>
      <c r="F270" s="55"/>
      <c r="G270" s="55"/>
      <c r="H270" s="55"/>
      <c r="I270" s="55"/>
      <c r="J270" s="55"/>
      <c r="K270" s="273"/>
      <c r="L270" s="273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3"/>
      <c r="Y270" s="273"/>
      <c r="Z270" s="273"/>
    </row>
    <row r="271" ht="15.75" customHeight="1">
      <c r="A271" s="273"/>
      <c r="B271" s="55"/>
      <c r="C271" s="55"/>
      <c r="D271" s="55"/>
      <c r="E271" s="55"/>
      <c r="F271" s="55"/>
      <c r="G271" s="55"/>
      <c r="H271" s="55"/>
      <c r="I271" s="55"/>
      <c r="J271" s="55"/>
      <c r="K271" s="273"/>
      <c r="L271" s="273"/>
      <c r="M271" s="273"/>
      <c r="N271" s="273"/>
      <c r="O271" s="273"/>
      <c r="P271" s="273"/>
      <c r="Q271" s="273"/>
      <c r="R271" s="273"/>
      <c r="S271" s="273"/>
      <c r="T271" s="273"/>
      <c r="U271" s="273"/>
      <c r="V271" s="273"/>
      <c r="W271" s="273"/>
      <c r="X271" s="273"/>
      <c r="Y271" s="273"/>
      <c r="Z271" s="273"/>
    </row>
    <row r="272" ht="15.75" customHeight="1">
      <c r="A272" s="273"/>
      <c r="B272" s="55"/>
      <c r="C272" s="55"/>
      <c r="D272" s="55"/>
      <c r="E272" s="55"/>
      <c r="F272" s="55"/>
      <c r="G272" s="55"/>
      <c r="H272" s="55"/>
      <c r="I272" s="55"/>
      <c r="J272" s="55"/>
      <c r="K272" s="273"/>
      <c r="L272" s="273"/>
      <c r="M272" s="273"/>
      <c r="N272" s="273"/>
      <c r="O272" s="273"/>
      <c r="P272" s="273"/>
      <c r="Q272" s="273"/>
      <c r="R272" s="273"/>
      <c r="S272" s="273"/>
      <c r="T272" s="273"/>
      <c r="U272" s="273"/>
      <c r="V272" s="273"/>
      <c r="W272" s="273"/>
      <c r="X272" s="273"/>
      <c r="Y272" s="273"/>
      <c r="Z272" s="273"/>
    </row>
    <row r="273" ht="15.75" customHeight="1">
      <c r="A273" s="273"/>
      <c r="B273" s="55"/>
      <c r="C273" s="55"/>
      <c r="D273" s="55"/>
      <c r="E273" s="55"/>
      <c r="F273" s="55"/>
      <c r="G273" s="55"/>
      <c r="H273" s="55"/>
      <c r="I273" s="55"/>
      <c r="J273" s="55"/>
      <c r="K273" s="273"/>
      <c r="L273" s="273"/>
      <c r="M273" s="273"/>
      <c r="N273" s="273"/>
      <c r="O273" s="273"/>
      <c r="P273" s="273"/>
      <c r="Q273" s="273"/>
      <c r="R273" s="273"/>
      <c r="S273" s="273"/>
      <c r="T273" s="273"/>
      <c r="U273" s="273"/>
      <c r="V273" s="273"/>
      <c r="W273" s="273"/>
      <c r="X273" s="273"/>
      <c r="Y273" s="273"/>
      <c r="Z273" s="273"/>
    </row>
    <row r="274" ht="15.75" customHeight="1">
      <c r="A274" s="273"/>
      <c r="B274" s="55"/>
      <c r="C274" s="55"/>
      <c r="D274" s="55"/>
      <c r="E274" s="55"/>
      <c r="F274" s="55"/>
      <c r="G274" s="55"/>
      <c r="H274" s="55"/>
      <c r="I274" s="55"/>
      <c r="J274" s="55"/>
      <c r="K274" s="273"/>
      <c r="L274" s="273"/>
      <c r="M274" s="273"/>
      <c r="N274" s="273"/>
      <c r="O274" s="273"/>
      <c r="P274" s="273"/>
      <c r="Q274" s="273"/>
      <c r="R274" s="273"/>
      <c r="S274" s="273"/>
      <c r="T274" s="273"/>
      <c r="U274" s="273"/>
      <c r="V274" s="273"/>
      <c r="W274" s="273"/>
      <c r="X274" s="273"/>
      <c r="Y274" s="273"/>
      <c r="Z274" s="273"/>
    </row>
    <row r="275" ht="15.75" customHeight="1">
      <c r="A275" s="273"/>
      <c r="B275" s="55"/>
      <c r="C275" s="55"/>
      <c r="D275" s="55"/>
      <c r="E275" s="55"/>
      <c r="F275" s="55"/>
      <c r="G275" s="55"/>
      <c r="H275" s="55"/>
      <c r="I275" s="55"/>
      <c r="J275" s="55"/>
      <c r="K275" s="273"/>
      <c r="L275" s="273"/>
      <c r="M275" s="273"/>
      <c r="N275" s="273"/>
      <c r="O275" s="273"/>
      <c r="P275" s="273"/>
      <c r="Q275" s="273"/>
      <c r="R275" s="273"/>
      <c r="S275" s="273"/>
      <c r="T275" s="273"/>
      <c r="U275" s="273"/>
      <c r="V275" s="273"/>
      <c r="W275" s="273"/>
      <c r="X275" s="273"/>
      <c r="Y275" s="273"/>
      <c r="Z275" s="273"/>
    </row>
    <row r="276" ht="15.75" customHeight="1">
      <c r="A276" s="273"/>
      <c r="B276" s="55"/>
      <c r="C276" s="55"/>
      <c r="D276" s="55"/>
      <c r="E276" s="55"/>
      <c r="F276" s="55"/>
      <c r="G276" s="55"/>
      <c r="H276" s="55"/>
      <c r="I276" s="55"/>
      <c r="J276" s="55"/>
      <c r="K276" s="273"/>
      <c r="L276" s="273"/>
      <c r="M276" s="273"/>
      <c r="N276" s="273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</row>
    <row r="277" ht="15.75" customHeight="1">
      <c r="A277" s="273"/>
      <c r="B277" s="55"/>
      <c r="C277" s="55"/>
      <c r="D277" s="55"/>
      <c r="E277" s="55"/>
      <c r="F277" s="55"/>
      <c r="G277" s="55"/>
      <c r="H277" s="55"/>
      <c r="I277" s="55"/>
      <c r="J277" s="55"/>
      <c r="K277" s="273"/>
      <c r="L277" s="273"/>
      <c r="M277" s="273"/>
      <c r="N277" s="273"/>
      <c r="O277" s="273"/>
      <c r="P277" s="273"/>
      <c r="Q277" s="273"/>
      <c r="R277" s="273"/>
      <c r="S277" s="273"/>
      <c r="T277" s="273"/>
      <c r="U277" s="273"/>
      <c r="V277" s="273"/>
      <c r="W277" s="273"/>
      <c r="X277" s="273"/>
      <c r="Y277" s="273"/>
      <c r="Z277" s="273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8"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J21:J22"/>
    <mergeCell ref="I23:I24"/>
    <mergeCell ref="J23:J24"/>
    <mergeCell ref="B8:B12"/>
    <mergeCell ref="D11:D12"/>
    <mergeCell ref="B21:B24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26:B30"/>
    <mergeCell ref="C26:C27"/>
    <mergeCell ref="G26:G30"/>
    <mergeCell ref="H26:H27"/>
    <mergeCell ref="H28:H30"/>
    <mergeCell ref="I57:I58"/>
    <mergeCell ref="I59:I60"/>
    <mergeCell ref="C53:E56"/>
    <mergeCell ref="C57:C60"/>
    <mergeCell ref="E57:E58"/>
    <mergeCell ref="G57:G60"/>
    <mergeCell ref="H57:H60"/>
    <mergeCell ref="J57:J58"/>
    <mergeCell ref="E59:E60"/>
    <mergeCell ref="J59:J60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C28:C30"/>
    <mergeCell ref="D29:D30"/>
    <mergeCell ref="C31:E31"/>
    <mergeCell ref="B35:B38"/>
    <mergeCell ref="C35:E38"/>
    <mergeCell ref="B39:B42"/>
    <mergeCell ref="E39:E40"/>
    <mergeCell ref="E41:E42"/>
    <mergeCell ref="H39:H42"/>
    <mergeCell ref="H44:H45"/>
    <mergeCell ref="H46:H48"/>
    <mergeCell ref="I47:I48"/>
    <mergeCell ref="G53:G56"/>
    <mergeCell ref="H53:J56"/>
    <mergeCell ref="G35:G38"/>
    <mergeCell ref="G39:G42"/>
    <mergeCell ref="I39:I40"/>
    <mergeCell ref="J39:J40"/>
    <mergeCell ref="I41:I42"/>
    <mergeCell ref="J41:J42"/>
    <mergeCell ref="G44:G48"/>
    <mergeCell ref="H49:J49"/>
    <mergeCell ref="B44:B48"/>
    <mergeCell ref="B53:B56"/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I75:I76"/>
    <mergeCell ref="J75:J7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2021-04-20T16:47:37Z</dcterms:created>
  <dc:creator>User</dc:creator>
</cp:coreProperties>
</file>