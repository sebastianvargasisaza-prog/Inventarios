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Espagiria/Formulas Maestras/CONTORNO DE OJOS RETINALDEHIDO/"/>
    </mc:Choice>
  </mc:AlternateContent>
  <xr:revisionPtr revIDLastSave="4" documentId="11_3E8280D7E820ECA5D71628F28DC6502A4193373A" xr6:coauthVersionLast="47" xr6:coauthVersionMax="47" xr10:uidLastSave="{4A513ECC-93BC-4420-8B8B-5E9D9DCCDC75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" sheetId="7" r:id="rId7"/>
    <sheet name="ACONDICIONAMIENTO" sheetId="8" r:id="rId8"/>
    <sheet name="ESTADO DE LIMPIEZA DE A Y E" sheetId="9" r:id="rId9"/>
    <sheet name="COA PT" sheetId="10" r:id="rId10"/>
    <sheet name="INSPECCIÓN ETIQUETAS" sheetId="11" r:id="rId11"/>
    <sheet name="ROTULO DE DISPENSACION" sheetId="12" r:id="rId12"/>
    <sheet name="PRODUCTO EN PROCESO" sheetId="13" r:id="rId13"/>
    <sheet name="INSPECCIÓN DE PRODUCTO FINAL" sheetId="14" r:id="rId14"/>
    <sheet name="ENVASADO NO CONTINUO" sheetId="15" r:id="rId15"/>
    <sheet name="ROTULO PT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TrgXoDdo6o78gMWpgCeTjpbRCm2Lu09vW84Xgohp454="/>
    </ext>
  </extLst>
</workbook>
</file>

<file path=xl/calcChain.xml><?xml version="1.0" encoding="utf-8"?>
<calcChain xmlns="http://schemas.openxmlformats.org/spreadsheetml/2006/main">
  <c r="H8" i="14" l="1"/>
  <c r="C377" i="12"/>
  <c r="H376" i="12"/>
  <c r="C376" i="12"/>
  <c r="H362" i="12"/>
  <c r="C362" i="12"/>
  <c r="H348" i="12"/>
  <c r="C348" i="12"/>
  <c r="H347" i="12"/>
  <c r="H334" i="12"/>
  <c r="C334" i="12"/>
  <c r="H320" i="12"/>
  <c r="C320" i="12"/>
  <c r="H306" i="12"/>
  <c r="C306" i="12"/>
  <c r="H305" i="12"/>
  <c r="H292" i="12"/>
  <c r="C292" i="12"/>
  <c r="H278" i="12"/>
  <c r="C278" i="12"/>
  <c r="H264" i="12"/>
  <c r="C264" i="12"/>
  <c r="H263" i="12"/>
  <c r="H250" i="12"/>
  <c r="C250" i="12"/>
  <c r="H236" i="12"/>
  <c r="C236" i="12"/>
  <c r="H222" i="12"/>
  <c r="C222" i="12"/>
  <c r="H221" i="12"/>
  <c r="H208" i="12"/>
  <c r="C208" i="12"/>
  <c r="H194" i="12"/>
  <c r="C194" i="12"/>
  <c r="H180" i="12"/>
  <c r="C180" i="12"/>
  <c r="H179" i="12"/>
  <c r="H166" i="12"/>
  <c r="C166" i="12"/>
  <c r="H152" i="12"/>
  <c r="C152" i="12"/>
  <c r="H138" i="12"/>
  <c r="C138" i="12"/>
  <c r="H137" i="12"/>
  <c r="H124" i="12"/>
  <c r="C124" i="12"/>
  <c r="H110" i="12"/>
  <c r="C110" i="12"/>
  <c r="H96" i="12"/>
  <c r="C96" i="12"/>
  <c r="H95" i="12"/>
  <c r="H82" i="12"/>
  <c r="C82" i="12"/>
  <c r="H66" i="12"/>
  <c r="C66" i="12"/>
  <c r="H52" i="12"/>
  <c r="C52" i="12"/>
  <c r="H51" i="12"/>
  <c r="H38" i="12"/>
  <c r="C38" i="12"/>
  <c r="H23" i="12"/>
  <c r="C23" i="12"/>
  <c r="H8" i="12"/>
  <c r="C8" i="12"/>
  <c r="H7" i="12"/>
  <c r="H10" i="11"/>
  <c r="H9" i="11"/>
  <c r="D16" i="10"/>
  <c r="D15" i="10"/>
  <c r="D14" i="10"/>
  <c r="O8" i="8"/>
  <c r="F8" i="7"/>
  <c r="O7" i="7"/>
  <c r="M42" i="4"/>
  <c r="H42" i="4"/>
  <c r="C42" i="4"/>
  <c r="A42" i="4"/>
  <c r="M41" i="4"/>
  <c r="H41" i="4"/>
  <c r="C41" i="4"/>
  <c r="A41" i="4"/>
  <c r="M40" i="4"/>
  <c r="H40" i="4"/>
  <c r="C40" i="4"/>
  <c r="A40" i="4"/>
  <c r="M39" i="4"/>
  <c r="H39" i="4"/>
  <c r="C39" i="4"/>
  <c r="A39" i="4"/>
  <c r="M38" i="4"/>
  <c r="H38" i="4"/>
  <c r="C38" i="4"/>
  <c r="A38" i="4"/>
  <c r="M37" i="4"/>
  <c r="H37" i="4"/>
  <c r="C37" i="4"/>
  <c r="A37" i="4"/>
  <c r="M36" i="4"/>
  <c r="H36" i="4"/>
  <c r="C36" i="4"/>
  <c r="A36" i="4"/>
  <c r="M35" i="4"/>
  <c r="H35" i="4"/>
  <c r="C35" i="4"/>
  <c r="A35" i="4"/>
  <c r="M34" i="4"/>
  <c r="H34" i="4"/>
  <c r="C34" i="4"/>
  <c r="A34" i="4"/>
  <c r="M33" i="4"/>
  <c r="H33" i="4"/>
  <c r="C33" i="4"/>
  <c r="A33" i="4"/>
  <c r="M32" i="4"/>
  <c r="H32" i="4"/>
  <c r="C32" i="4"/>
  <c r="A32" i="4"/>
  <c r="M31" i="4"/>
  <c r="H31" i="4"/>
  <c r="C31" i="4"/>
  <c r="A31" i="4"/>
  <c r="M30" i="4"/>
  <c r="H30" i="4"/>
  <c r="C30" i="4"/>
  <c r="A30" i="4"/>
  <c r="M29" i="4"/>
  <c r="H29" i="4"/>
  <c r="C29" i="4"/>
  <c r="A29" i="4"/>
  <c r="M28" i="4"/>
  <c r="H28" i="4"/>
  <c r="C28" i="4"/>
  <c r="A28" i="4"/>
  <c r="M27" i="4"/>
  <c r="H27" i="4"/>
  <c r="C27" i="4"/>
  <c r="A27" i="4"/>
  <c r="M26" i="4"/>
  <c r="H26" i="4"/>
  <c r="C26" i="4"/>
  <c r="A26" i="4"/>
  <c r="M25" i="4"/>
  <c r="H25" i="4"/>
  <c r="C25" i="4"/>
  <c r="A25" i="4"/>
  <c r="M24" i="4"/>
  <c r="H24" i="4"/>
  <c r="C24" i="4"/>
  <c r="A24" i="4"/>
  <c r="M23" i="4"/>
  <c r="H23" i="4"/>
  <c r="C23" i="4"/>
  <c r="A23" i="4"/>
  <c r="M22" i="4"/>
  <c r="H22" i="4"/>
  <c r="C22" i="4"/>
  <c r="A22" i="4"/>
  <c r="M21" i="4"/>
  <c r="H21" i="4"/>
  <c r="C21" i="4"/>
  <c r="A21" i="4"/>
  <c r="M20" i="4"/>
  <c r="H20" i="4"/>
  <c r="C20" i="4"/>
  <c r="A20" i="4"/>
  <c r="M19" i="4"/>
  <c r="H19" i="4"/>
  <c r="C19" i="4"/>
  <c r="A19" i="4"/>
  <c r="M18" i="4"/>
  <c r="H18" i="4"/>
  <c r="C18" i="4"/>
  <c r="A18" i="4"/>
  <c r="M17" i="4"/>
  <c r="H17" i="4"/>
  <c r="C17" i="4"/>
  <c r="A17" i="4"/>
  <c r="F8" i="4"/>
  <c r="F8" i="5" s="1"/>
  <c r="D8" i="6" s="1"/>
  <c r="F7" i="7" s="1"/>
  <c r="F8" i="8" s="1"/>
  <c r="D7" i="10" s="1"/>
  <c r="C10" i="11" s="1"/>
  <c r="F7" i="4"/>
  <c r="F7" i="5" s="1"/>
  <c r="D6" i="6" s="1"/>
  <c r="F6" i="7" s="1"/>
  <c r="M41" i="3"/>
  <c r="N31" i="3"/>
  <c r="C237" i="12" s="1"/>
  <c r="N30" i="3"/>
  <c r="K32" i="4" s="1"/>
  <c r="N29" i="3"/>
  <c r="K31" i="4" s="1"/>
  <c r="N28" i="3"/>
  <c r="C195" i="12" s="1"/>
  <c r="N27" i="3"/>
  <c r="K29" i="4" s="1"/>
  <c r="N26" i="3"/>
  <c r="K28" i="4" s="1"/>
  <c r="N25" i="3"/>
  <c r="C153" i="12" s="1"/>
  <c r="N24" i="3"/>
  <c r="C139" i="12" s="1"/>
  <c r="N38" i="3"/>
  <c r="M10" i="3"/>
  <c r="H319" i="12" s="1"/>
  <c r="G10" i="3"/>
  <c r="H8" i="11" s="1"/>
  <c r="C9" i="14" s="1"/>
  <c r="G9" i="3"/>
  <c r="C361" i="12" s="1"/>
  <c r="G10" i="2"/>
  <c r="N9" i="2"/>
  <c r="M11" i="3" s="1"/>
  <c r="G9" i="2"/>
  <c r="G11" i="3" s="1"/>
  <c r="N8" i="2"/>
  <c r="G8" i="2"/>
  <c r="G7" i="2"/>
  <c r="K30" i="4" l="1"/>
  <c r="C209" i="12"/>
  <c r="C167" i="12"/>
  <c r="I8" i="6"/>
  <c r="D8" i="10"/>
  <c r="D6" i="10"/>
  <c r="C8" i="11" s="1"/>
  <c r="F7" i="8"/>
  <c r="C374" i="12"/>
  <c r="C332" i="12"/>
  <c r="C290" i="12"/>
  <c r="C248" i="12"/>
  <c r="C206" i="12"/>
  <c r="C164" i="12"/>
  <c r="C122" i="12"/>
  <c r="C80" i="12"/>
  <c r="C36" i="12"/>
  <c r="C360" i="12"/>
  <c r="C318" i="12"/>
  <c r="C276" i="12"/>
  <c r="C192" i="12"/>
  <c r="C150" i="12"/>
  <c r="C108" i="12"/>
  <c r="C64" i="12"/>
  <c r="C304" i="12"/>
  <c r="C220" i="12"/>
  <c r="C178" i="12"/>
  <c r="C50" i="12"/>
  <c r="C6" i="12"/>
  <c r="C234" i="12"/>
  <c r="C21" i="12"/>
  <c r="C94" i="12"/>
  <c r="C262" i="12"/>
  <c r="F9" i="4"/>
  <c r="F9" i="5" s="1"/>
  <c r="D7" i="6" s="1"/>
  <c r="J7" i="7" s="1"/>
  <c r="J8" i="8" s="1"/>
  <c r="H7" i="10" s="1"/>
  <c r="C9" i="11" s="1"/>
  <c r="C346" i="12"/>
  <c r="C136" i="12"/>
  <c r="K40" i="4"/>
  <c r="C335" i="12"/>
  <c r="J9" i="14"/>
  <c r="C14" i="13"/>
  <c r="H14" i="13" s="1"/>
  <c r="C7" i="12"/>
  <c r="C305" i="12"/>
  <c r="N21" i="3"/>
  <c r="N39" i="3"/>
  <c r="K33" i="4"/>
  <c r="D9" i="6"/>
  <c r="C37" i="12"/>
  <c r="C81" i="12"/>
  <c r="C123" i="12"/>
  <c r="C165" i="12"/>
  <c r="C207" i="12"/>
  <c r="C249" i="12"/>
  <c r="C291" i="12"/>
  <c r="C333" i="12"/>
  <c r="C375" i="12"/>
  <c r="N22" i="3"/>
  <c r="N40" i="3"/>
  <c r="K26" i="4"/>
  <c r="H37" i="12"/>
  <c r="H81" i="12"/>
  <c r="H123" i="12"/>
  <c r="H165" i="12"/>
  <c r="H207" i="12"/>
  <c r="H249" i="12"/>
  <c r="H291" i="12"/>
  <c r="H333" i="12"/>
  <c r="H375" i="12"/>
  <c r="N23" i="3"/>
  <c r="K27" i="4"/>
  <c r="C137" i="12"/>
  <c r="C221" i="12"/>
  <c r="C263" i="12"/>
  <c r="C223" i="12"/>
  <c r="H361" i="12"/>
  <c r="N17" i="3"/>
  <c r="N35" i="3"/>
  <c r="C51" i="12"/>
  <c r="C179" i="12"/>
  <c r="C347" i="12"/>
  <c r="C181" i="12"/>
  <c r="C16" i="13"/>
  <c r="H16" i="13" s="1"/>
  <c r="N15" i="3"/>
  <c r="N16" i="3"/>
  <c r="N34" i="3"/>
  <c r="H22" i="12"/>
  <c r="H65" i="12"/>
  <c r="H109" i="12"/>
  <c r="H151" i="12"/>
  <c r="H193" i="12"/>
  <c r="H235" i="12"/>
  <c r="H277" i="12"/>
  <c r="N36" i="3"/>
  <c r="N19" i="3"/>
  <c r="N37" i="3"/>
  <c r="C95" i="12"/>
  <c r="N32" i="3"/>
  <c r="N33" i="3"/>
  <c r="C22" i="12"/>
  <c r="C65" i="12"/>
  <c r="C109" i="12"/>
  <c r="C151" i="12"/>
  <c r="C193" i="12"/>
  <c r="C235" i="12"/>
  <c r="C277" i="12"/>
  <c r="C319" i="12"/>
  <c r="N18" i="3"/>
  <c r="N20" i="3"/>
  <c r="C363" i="12" l="1"/>
  <c r="K42" i="4"/>
  <c r="C307" i="12"/>
  <c r="K38" i="4"/>
  <c r="C111" i="12"/>
  <c r="K24" i="4"/>
  <c r="C293" i="12"/>
  <c r="K37" i="4"/>
  <c r="K20" i="4"/>
  <c r="C53" i="12"/>
  <c r="F9" i="14"/>
  <c r="C15" i="13"/>
  <c r="H15" i="13" s="1"/>
  <c r="C125" i="12"/>
  <c r="K25" i="4"/>
  <c r="C321" i="12"/>
  <c r="K39" i="4"/>
  <c r="K36" i="4"/>
  <c r="C279" i="12"/>
  <c r="C67" i="12"/>
  <c r="K21" i="4"/>
  <c r="C24" i="12"/>
  <c r="K18" i="4"/>
  <c r="C265" i="12"/>
  <c r="K35" i="4"/>
  <c r="K23" i="4"/>
  <c r="C97" i="12"/>
  <c r="K34" i="4"/>
  <c r="C251" i="12"/>
  <c r="C39" i="12"/>
  <c r="K19" i="4"/>
  <c r="K22" i="4"/>
  <c r="C83" i="12"/>
  <c r="C9" i="12"/>
  <c r="K17" i="4"/>
  <c r="N41" i="3"/>
  <c r="C349" i="12"/>
  <c r="K41" i="4"/>
  <c r="C13" i="13"/>
  <c r="H13" i="13" s="1"/>
  <c r="C8" i="14"/>
</calcChain>
</file>

<file path=xl/sharedStrings.xml><?xml version="1.0" encoding="utf-8"?>
<sst xmlns="http://schemas.openxmlformats.org/spreadsheetml/2006/main" count="1858" uniqueCount="480">
  <si>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</si>
  <si>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</si>
  <si>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</si>
  <si>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</si>
  <si>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</si>
  <si>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</si>
  <si>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</si>
  <si>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</si>
  <si>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</si>
  <si>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</si>
  <si>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</si>
  <si>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CONTORNO DE OJOS RETINALDEHIDO 0.05%</t>
  </si>
  <si>
    <t>LOTE</t>
  </si>
  <si>
    <t>252581</t>
  </si>
  <si>
    <t>OP</t>
  </si>
  <si>
    <t>OP-SS-126</t>
  </si>
  <si>
    <t>PRESENTACIÓN</t>
  </si>
  <si>
    <t>15 mL</t>
  </si>
  <si>
    <t>TAMAÑO LOTE (kg)</t>
  </si>
  <si>
    <t>CLIENTE</t>
  </si>
  <si>
    <t>ANIMUS LAB</t>
  </si>
  <si>
    <t>NOTIFICACIÓN SANITARIA</t>
  </si>
  <si>
    <t>NSOC37029-25CO</t>
  </si>
  <si>
    <t>UNIDADES APROBADAS/FABRICADAS</t>
  </si>
  <si>
    <t>FORMA COSMETICA</t>
  </si>
  <si>
    <t>EMULSION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</si>
  <si>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</si>
  <si>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</si>
  <si>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</si>
  <si>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</si>
  <si>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</si>
  <si>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</si>
  <si>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</si>
  <si>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</si>
  <si>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</si>
  <si>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</si>
  <si>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</si>
  <si>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</si>
  <si>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</si>
  <si>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</si>
  <si>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</si>
  <si>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</si>
  <si>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</si>
  <si>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</si>
  <si>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</si>
  <si>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</si>
  <si>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</si>
  <si>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</si>
  <si>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</si>
  <si>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</si>
  <si>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</si>
  <si>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</si>
  <si>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</si>
  <si>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</si>
  <si>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</si>
  <si>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</si>
  <si>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</si>
  <si>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</si>
  <si>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</si>
  <si>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</si>
  <si>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</si>
  <si>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</si>
  <si>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</si>
  <si>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</si>
  <si>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</si>
  <si>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</si>
  <si>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</si>
  <si>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</si>
  <si>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</si>
  <si>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</si>
  <si>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</si>
  <si>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</si>
  <si>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</si>
  <si>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</si>
  <si>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</si>
  <si>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</si>
  <si>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</si>
  <si>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</si>
  <si>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</si>
  <si>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</si>
  <si>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</si>
  <si>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</si>
  <si>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</si>
  <si>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</si>
  <si>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</si>
  <si>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</si>
  <si>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</si>
  <si>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</si>
  <si>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</si>
  <si>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</si>
  <si>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</si>
  <si>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</si>
  <si>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</si>
  <si>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</si>
  <si>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</si>
  <si>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</si>
  <si>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</si>
  <si>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</si>
  <si>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</si>
  <si>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</si>
  <si>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</si>
  <si>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</si>
  <si>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</si>
  <si>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MPAGUAS01</t>
  </si>
  <si>
    <t>AD-252551</t>
  </si>
  <si>
    <t>ACIDO TRANEXAMICO</t>
  </si>
  <si>
    <t>MPACTRSO01</t>
  </si>
  <si>
    <t>LYPH250618</t>
  </si>
  <si>
    <t>GLICERINA</t>
  </si>
  <si>
    <t>MPGLICLI01</t>
  </si>
  <si>
    <t>M429751120241</t>
  </si>
  <si>
    <t>PROPILENGLICOL</t>
  </si>
  <si>
    <t>MPPROPLI01</t>
  </si>
  <si>
    <t>D357P4J1B3</t>
  </si>
  <si>
    <t>NIACINAMIDA</t>
  </si>
  <si>
    <t>MPNIACSO01</t>
  </si>
  <si>
    <t>SILICONA LIQUIDA</t>
  </si>
  <si>
    <t>MPSILILI01</t>
  </si>
  <si>
    <t>ALCOHOL CETILICO</t>
  </si>
  <si>
    <t>MPALCESO01</t>
  </si>
  <si>
    <t>P4-006-HB</t>
  </si>
  <si>
    <t>ESCUALENO</t>
  </si>
  <si>
    <t>MPESCULI01</t>
  </si>
  <si>
    <t>YT-SQ20250515</t>
  </si>
  <si>
    <t>N-ACETILGLUCOSAMINA</t>
  </si>
  <si>
    <t>MPGLUCSO01</t>
  </si>
  <si>
    <t>YT20241213</t>
  </si>
  <si>
    <t>BETAINA</t>
  </si>
  <si>
    <t>MPBETASO01</t>
  </si>
  <si>
    <t>YT-20240405</t>
  </si>
  <si>
    <t>GLUCONOLACTONA</t>
  </si>
  <si>
    <t>MPGLUCSO02</t>
  </si>
  <si>
    <t>YT-GL20241109</t>
  </si>
  <si>
    <t>ACIDO HILAURONICO 50 KD</t>
  </si>
  <si>
    <t>MPACHISO01</t>
  </si>
  <si>
    <t>YT-HA20250622</t>
  </si>
  <si>
    <t>ALANTOINA</t>
  </si>
  <si>
    <t>MPALANSO01</t>
  </si>
  <si>
    <t>VITAMINA E POLVO</t>
  </si>
  <si>
    <t>MPVITESO01</t>
  </si>
  <si>
    <t>022411A014</t>
  </si>
  <si>
    <t>EZ-4U</t>
  </si>
  <si>
    <t>MPEZ4USO01</t>
  </si>
  <si>
    <t>L-TEANINA</t>
  </si>
  <si>
    <t>MPTEANSO01</t>
  </si>
  <si>
    <t>BETAGLUCAM</t>
  </si>
  <si>
    <t>MPBETASO02</t>
  </si>
  <si>
    <t>YT-20240219</t>
  </si>
  <si>
    <t>PEPTIDOS DE COLAGENO POLVO</t>
  </si>
  <si>
    <t>MPPECOSO01</t>
  </si>
  <si>
    <t>YT-20240725</t>
  </si>
  <si>
    <t>TINOGARD TT</t>
  </si>
  <si>
    <t>MPTINSO001</t>
  </si>
  <si>
    <t>RETINALDEHIDO</t>
  </si>
  <si>
    <t>MPRETSO01</t>
  </si>
  <si>
    <t>YT-RT20250314</t>
  </si>
  <si>
    <t>PALMITOYL TRIPEPTIDE-1</t>
  </si>
  <si>
    <t>MPPALTRISO02</t>
  </si>
  <si>
    <t>PALMITOYL TETRAPEPTIDE-7</t>
  </si>
  <si>
    <t>MPPALTRISO01</t>
  </si>
  <si>
    <t>ACETYL HEXAPEPTIDE-8</t>
  </si>
  <si>
    <t>MPACHESO01</t>
  </si>
  <si>
    <t>SILIMARINA</t>
  </si>
  <si>
    <t>MPSILISO01</t>
  </si>
  <si>
    <t>YT-MT20241103</t>
  </si>
  <si>
    <t>BAKUCHIOL</t>
  </si>
  <si>
    <t>MPBAKULI01</t>
  </si>
  <si>
    <t>YT-BA20250512</t>
  </si>
  <si>
    <t>ADENOSINA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</si>
  <si>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</si>
  <si>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</si>
  <si>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</si>
  <si>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</si>
  <si>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</si>
  <si>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</si>
  <si>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</si>
  <si>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</si>
  <si>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</si>
  <si>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</si>
  <si>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</si>
  <si>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</si>
  <si>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</si>
  <si>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</si>
  <si>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</si>
  <si>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</si>
  <si>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</si>
  <si>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</si>
  <si>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</si>
  <si>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</si>
  <si>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</si>
  <si>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</si>
  <si>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</si>
  <si>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  <family val="1"/>
      </rPr>
      <t>NOTA:</t>
    </r>
    <r>
      <rPr>
        <sz val="12"/>
        <color theme="1"/>
        <rFont val="Times New Roman"/>
        <family val="1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</si>
  <si>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</si>
  <si>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</si>
  <si>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</si>
  <si>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</si>
  <si>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</si>
  <si>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</si>
  <si>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</si>
  <si>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</si>
  <si>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</si>
  <si>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</si>
  <si>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</si>
  <si>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</si>
  <si>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</si>
  <si>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</si>
  <si>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</si>
  <si>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</si>
  <si>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</si>
  <si>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</si>
  <si>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</si>
  <si>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</si>
  <si>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t>1. Dispensar en una balanza analítica precisa con capacidad de 620g y adicionar en un Recipiente las siguientes materias primas:                                                                                                                                                                                                                                                                                                                                                                                                                                 Agua Desionizada
 Ácido tranexámico
 Niacinamida
 Betaína
 Glucosamina
 Gluconolactona
 Alantoína
 Vitamina E en polvo
 L-teanina
 Betaglucano
 Péptidos de colágeno
 Adenosina
 Acetyl hexapéptido-8 Tome un recipiente y agregue el 60% del agua total de la formulación y calentar en una plancha de calentamiento hasta 50 °C.Temperatura Real_____ Con agitación constante, RPM Total____, añada de forma secuencial las materias primas, asegurándose de que cada uno se disuelva completamente antes de incorporar a la fase 2</t>
  </si>
  <si>
    <t>2.Dispensar en una balanza analítica de 620g, y en un Recipiente, adicionar las siguientes materias primas y adicionar la primera fase en esta etapa: Glicerina 
 EZ-4U 
 Agua Desionizada
 Tome un segundo recipiente, agregue la glicerina y el EZ-4U, mezcle y adicione el 30% del agua desionizada, pero primero caliente el agua en una plancha de calentamiento con temperatura de (50°c), Temperatura Real_____, mezcle y adicione a la fase 1.</t>
  </si>
  <si>
    <t>3. Dispensar en una balanza analítica y adicionar en un Recipiente, las siguientes materias primas: Propilenlgicol 50% Acido Hialuronico 50KD 
 Palmitoyl Tripetide-1
 Palmitoyl Tetrapeptide-7 Tome un tercer recipiente, coloque el 50% del propilenglicol y calentar sobre una plancha de calentamiento, Temperatura Real_____, con agitación constante RPM Total____, añada el Palmitoyl tripeptide-1 una vez alcanzados los 70 °C, apague el calentamiento, con un mortero triture bien el Palmitoyl tetrapeptide-7, hasta que quede homogeneo y adicionelo junto con el acido hialuronico 50KD, totalmente ya disuelto, mezcle hasta formar una fase homogenea y añadala lentamente a la fase 1 con agitacion constante, RPM Total____.</t>
  </si>
  <si>
    <t>4. Dispensar en una balanza analítica de 620g y en un recipiente, adicionar las siguientes materias primas: Propilenlgicol 50% Tinogard TT
 Tome un recipiente y disueva el alcohol cetílico hasta que este totalmente liquido, Temperatura Real_____, y añada el tinogard TT, apague el calentamiento una vez que todo esté completamente disuelto y adicionela a lafase 1, se debe mantenerse la temperatura a 70 °C para asegurar una integración adecuada, mantenga una agitación constante durante la adición, RPM Total____.</t>
  </si>
  <si>
    <t>5. Dispensar en una balanza analítica de 620g y en un recipiente, adicionar las siguientes materias primas: Propilenglicol Retinaldehido Tome un recipiente, adicione estas materias primas y sobre una planca de calentamiento, disolver a una temperatura +/- 45°C,Temperatura Real_____, el Retinaldehído con el propilenglicol hasta que se disuelva completamente. Incorporar esta fase al recipiente principal manteniendo agitación constante, RPM Total____.</t>
  </si>
  <si>
    <t>6. Dispensar en una balanza analítica de 620g y en un recipiente, adicionar las siguientes materias primas: Silimarina Agua Desionizada Tome un beacker y un embudo, filtre la silimarina con el agua hasta que quede bien disuelta y adicione a la primera fase, manteniendo agitación constante, RPM Total____.</t>
  </si>
  <si>
    <t>7. Dispensar en una balanza analítica de 620g y en un recipiente, adicionar las siguientes materias primas: Silicona Liquida Escualeno Backuchiol Tome un recipiente, adicione estas materias primas, disuelva hasta que qude una mezcla homogenea, con agitacion constante y adicione a la primera fase.</t>
  </si>
  <si>
    <t>8. Tome un recipiente metálico las 6 etapas de premezclado y deje agitando durante 60 minutos a una velocidad constante de 200 rpm con el agitador hasta que está presente una mezcla homogénea, RPM Real: ______, por último, apague el agitador hasta que la mezcla quede totalmente uniforme.</t>
  </si>
  <si>
    <r>
      <rPr>
        <b/>
        <sz val="12"/>
        <color theme="1"/>
        <rFont val="Arial"/>
        <family val="2"/>
      </rPr>
      <t>NOTA:</t>
    </r>
    <r>
      <rPr>
        <sz val="12"/>
        <color theme="1"/>
        <rFont val="Arial"/>
        <family val="2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</si>
  <si>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</si>
  <si>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</si>
  <si>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</si>
  <si>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</si>
  <si>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</si>
  <si>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</si>
  <si>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</si>
  <si>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</si>
  <si>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</si>
  <si>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</si>
  <si>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</si>
  <si>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</si>
  <si>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</si>
  <si>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</si>
  <si>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</si>
  <si>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</si>
  <si>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</si>
  <si>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</si>
  <si>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</si>
  <si>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</si>
  <si>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</si>
  <si>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Cremoso, ligeramente  uniforme, sin separación de fases.</t>
  </si>
  <si>
    <t>Viscosidad</t>
  </si>
  <si>
    <t>INFORMATIVO</t>
  </si>
  <si>
    <t>Densidad</t>
  </si>
  <si>
    <t>0.950 - 1.100 g/cm³</t>
  </si>
  <si>
    <t>pH</t>
  </si>
  <si>
    <t>5.5 - 6.0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</si>
  <si>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</si>
  <si>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</si>
  <si>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</si>
  <si>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</si>
  <si>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</si>
  <si>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</si>
  <si>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</si>
  <si>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</si>
  <si>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</si>
  <si>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</si>
  <si>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</si>
  <si>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</si>
  <si>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</si>
  <si>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</si>
  <si>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</si>
  <si>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</si>
  <si>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</si>
  <si>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</si>
  <si>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</si>
  <si>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</si>
  <si>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</si>
  <si>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</si>
  <si>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</si>
  <si>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</si>
  <si>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</si>
  <si>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</si>
  <si>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</si>
  <si>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</si>
  <si>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</si>
  <si>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</si>
  <si>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</si>
  <si>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</si>
  <si>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</si>
  <si>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</si>
  <si>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</si>
  <si>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</si>
  <si>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</si>
  <si>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</si>
  <si>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</si>
  <si>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</si>
  <si>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</si>
  <si>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</si>
  <si>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</si>
  <si>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</si>
  <si>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</si>
  <si>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</si>
  <si>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</si>
  <si>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</si>
  <si>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</si>
  <si>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</si>
  <si>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</si>
  <si>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</si>
  <si>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</si>
  <si>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</si>
  <si>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</si>
  <si>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</si>
  <si>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</si>
  <si>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</si>
  <si>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</si>
  <si>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</si>
  <si>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</si>
  <si>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</si>
  <si>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  <family val="1"/>
      </rPr>
      <t xml:space="preserve">TAREAS A REALIZAR </t>
    </r>
    <r>
      <rPr>
        <i/>
        <sz val="12"/>
        <color rgb="FF000000"/>
        <rFont val="Times New Roman"/>
        <family val="1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</si>
  <si>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</si>
  <si>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</si>
  <si>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</si>
  <si>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</si>
  <si>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</si>
  <si>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</si>
  <si>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</si>
  <si>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</si>
  <si>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</si>
  <si>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</si>
  <si>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</si>
  <si>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</si>
  <si>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</si>
  <si>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</si>
  <si>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</si>
  <si>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</si>
  <si>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</si>
  <si>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</si>
  <si>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</si>
  <si>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</si>
  <si>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</si>
  <si>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</si>
  <si>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</si>
  <si>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</si>
  <si>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</si>
  <si>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</si>
  <si>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</si>
  <si>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</si>
  <si>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</si>
  <si>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</si>
  <si>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</si>
  <si>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</si>
  <si>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</si>
  <si>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</si>
  <si>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</si>
  <si>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</si>
  <si>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</si>
  <si>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</si>
  <si>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</si>
  <si>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</si>
  <si>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</si>
  <si>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</si>
  <si>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</si>
  <si>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</si>
  <si>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</si>
  <si>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</si>
  <si>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</si>
  <si>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</si>
  <si>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</si>
  <si>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</si>
  <si>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</si>
  <si>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</si>
  <si>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</si>
  <si>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</si>
  <si>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</si>
  <si>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Amarillo Palido o amarillo dorado</t>
  </si>
  <si>
    <t>Organoléptico</t>
  </si>
  <si>
    <t>Olor</t>
  </si>
  <si>
    <t>Característico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</si>
  <si>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</si>
  <si>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</si>
  <si>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</si>
  <si>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</si>
  <si>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</si>
  <si>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</si>
  <si>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</si>
  <si>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</si>
  <si>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</si>
  <si>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</si>
  <si>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</si>
  <si>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</si>
  <si>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</si>
  <si>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</si>
  <si>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</si>
  <si>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</si>
  <si>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</si>
  <si>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</si>
  <si>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</si>
  <si>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</si>
  <si>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</si>
  <si>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</si>
  <si>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</si>
  <si>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</si>
  <si>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</si>
  <si>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</si>
  <si>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</si>
  <si>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</si>
  <si>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</si>
  <si>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</si>
  <si>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</si>
  <si>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</si>
  <si>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</si>
  <si>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</si>
  <si>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</si>
  <si>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</si>
  <si>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</si>
  <si>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</si>
  <si>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</si>
  <si>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</si>
  <si>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</si>
  <si>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</si>
  <si>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</si>
  <si>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</si>
  <si>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</si>
  <si>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</si>
  <si>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</si>
  <si>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</si>
  <si>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</si>
  <si>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</si>
  <si>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</si>
  <si>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</si>
  <si>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</si>
  <si>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</si>
  <si>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</si>
  <si>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</si>
  <si>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</si>
  <si>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</si>
  <si>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</si>
  <si>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</si>
  <si>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</si>
  <si>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</si>
  <si>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</si>
  <si>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 xml:space="preserve">PRESENTACIÓN </t>
  </si>
  <si>
    <t>ESPECIFICACIÓN</t>
  </si>
  <si>
    <r>
      <rPr>
        <sz val="14"/>
        <color theme="1"/>
        <rFont val="Times New Roman"/>
        <family val="1"/>
      </rPr>
      <t xml:space="preserve">ETIQUETA ACORDE A LO ESTIPULADO EN </t>
    </r>
    <r>
      <rPr>
        <b/>
        <sz val="14"/>
        <color theme="1"/>
        <rFont val="Times New Roman"/>
        <family val="1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</si>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</sst>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0.000"/>
    <numFmt numFmtId="172" formatCode="#,##0.000"/>
    <numFmt numFmtId="173" formatCode="mmm\ yyyy"/>
  </numFmts>
  <fonts count="28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&quot;\0022Times New Roman\0022&quot;"/>
    </font>
    <font>
      <sz val="11"/>
      <color theme="1"/>
      <name val="Verdana"/>
      <family val="2"/>
    </font>
    <font>
      <sz val="11"/>
      <color theme="1"/>
      <name val="Arial"/>
      <family val="2"/>
    </font>
    <font>
      <sz val="13"/>
      <color rgb="FF000000"/>
      <name val="Verdana"/>
      <family val="2"/>
    </font>
    <font>
      <b/>
      <sz val="14"/>
      <color theme="1"/>
      <name val="Arial"/>
      <family val="2"/>
    </font>
    <font>
      <sz val="11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Verdan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Arial"/>
      <family val="2"/>
    </font>
    <font>
      <sz val="8"/>
      <color theme="1"/>
      <name val="Arial"/>
      <family val="2"/>
    </font>
    <font>
      <sz val="14"/>
      <color theme="1"/>
      <name val="Calibri"/>
      <family val="2"/>
    </font>
    <font>
      <i/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9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6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6" fillId="0" borderId="0" xfId="0" applyFont="1" applyAlignment="1">
      <alignment horizontal="center"/>
    </xf>
    <xf numFmtId="0" fontId="1" fillId="2" borderId="29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wrapText="1"/>
    </xf>
    <xf numFmtId="0" fontId="1" fillId="0" borderId="29" xfId="0" applyFont="1" applyBorder="1" applyAlignment="1">
      <alignment wrapText="1"/>
    </xf>
    <xf numFmtId="0" fontId="1" fillId="0" borderId="29" xfId="0" applyFont="1" applyBorder="1" applyAlignment="1">
      <alignment horizontal="center" vertical="center" wrapText="1"/>
    </xf>
    <xf numFmtId="2" fontId="3" fillId="0" borderId="29" xfId="0" applyNumberFormat="1" applyFont="1" applyBorder="1" applyAlignment="1">
      <alignment vertical="center"/>
    </xf>
    <xf numFmtId="0" fontId="3" fillId="0" borderId="29" xfId="0" applyFont="1" applyBorder="1"/>
    <xf numFmtId="168" fontId="6" fillId="0" borderId="0" xfId="0" applyNumberFormat="1" applyFont="1"/>
    <xf numFmtId="169" fontId="6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170" fontId="3" fillId="0" borderId="52" xfId="0" applyNumberFormat="1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 wrapText="1"/>
    </xf>
    <xf numFmtId="166" fontId="3" fillId="0" borderId="56" xfId="0" applyNumberFormat="1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/>
    </xf>
    <xf numFmtId="171" fontId="6" fillId="0" borderId="60" xfId="0" applyNumberFormat="1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71" fontId="6" fillId="0" borderId="29" xfId="0" applyNumberFormat="1" applyFont="1" applyBorder="1" applyAlignment="1">
      <alignment horizontal="center"/>
    </xf>
    <xf numFmtId="2" fontId="1" fillId="6" borderId="55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0" fillId="7" borderId="0" xfId="0" applyFont="1" applyFill="1"/>
    <xf numFmtId="0" fontId="12" fillId="0" borderId="0" xfId="0" applyFont="1" applyAlignment="1">
      <alignment horizontal="left"/>
    </xf>
    <xf numFmtId="0" fontId="1" fillId="0" borderId="19" xfId="0" applyFont="1" applyBorder="1" applyAlignment="1">
      <alignment horizontal="right"/>
    </xf>
    <xf numFmtId="0" fontId="3" fillId="0" borderId="32" xfId="0" applyFont="1" applyBorder="1"/>
    <xf numFmtId="0" fontId="1" fillId="0" borderId="32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3" fillId="0" borderId="17" xfId="0" applyFont="1" applyBorder="1"/>
    <xf numFmtId="0" fontId="1" fillId="0" borderId="16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62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9" fontId="3" fillId="0" borderId="17" xfId="0" applyNumberFormat="1" applyFont="1" applyBorder="1"/>
    <xf numFmtId="0" fontId="13" fillId="0" borderId="0" xfId="0" applyFont="1"/>
    <xf numFmtId="0" fontId="14" fillId="0" borderId="17" xfId="0" applyFont="1" applyBorder="1"/>
    <xf numFmtId="0" fontId="14" fillId="0" borderId="56" xfId="0" applyFont="1" applyBorder="1"/>
    <xf numFmtId="0" fontId="1" fillId="3" borderId="52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vertical="center" wrapText="1"/>
    </xf>
    <xf numFmtId="0" fontId="3" fillId="4" borderId="65" xfId="0" applyFont="1" applyFill="1" applyBorder="1" applyAlignment="1">
      <alignment horizontal="left" vertical="center" wrapText="1"/>
    </xf>
    <xf numFmtId="0" fontId="3" fillId="4" borderId="66" xfId="0" applyFont="1" applyFill="1" applyBorder="1" applyAlignment="1">
      <alignment horizontal="left" vertical="center" wrapText="1"/>
    </xf>
    <xf numFmtId="0" fontId="1" fillId="4" borderId="66" xfId="0" applyFont="1" applyFill="1" applyBorder="1" applyAlignment="1">
      <alignment horizontal="center" vertical="center" wrapText="1"/>
    </xf>
    <xf numFmtId="0" fontId="1" fillId="4" borderId="6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2" fontId="16" fillId="0" borderId="0" xfId="0" applyNumberFormat="1" applyFont="1"/>
    <xf numFmtId="0" fontId="12" fillId="0" borderId="9" xfId="0" applyFont="1" applyBorder="1" applyAlignment="1">
      <alignment horizontal="left"/>
    </xf>
    <xf numFmtId="2" fontId="6" fillId="0" borderId="0" xfId="0" applyNumberFormat="1" applyFont="1"/>
    <xf numFmtId="172" fontId="10" fillId="0" borderId="0" xfId="0" applyNumberFormat="1" applyFont="1" applyAlignment="1">
      <alignment horizontal="center"/>
    </xf>
    <xf numFmtId="0" fontId="3" fillId="4" borderId="69" xfId="0" applyFont="1" applyFill="1" applyBorder="1" applyAlignment="1">
      <alignment horizontal="left" vertical="center" wrapText="1"/>
    </xf>
    <xf numFmtId="0" fontId="3" fillId="4" borderId="66" xfId="0" applyFont="1" applyFill="1" applyBorder="1" applyAlignment="1">
      <alignment horizontal="center" vertical="center" wrapText="1"/>
    </xf>
    <xf numFmtId="0" fontId="6" fillId="0" borderId="32" xfId="0" applyFont="1" applyBorder="1"/>
    <xf numFmtId="165" fontId="6" fillId="0" borderId="29" xfId="0" applyNumberFormat="1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1" fillId="3" borderId="70" xfId="0" applyFont="1" applyFill="1" applyBorder="1" applyAlignment="1">
      <alignment horizontal="center" vertical="center" wrapText="1"/>
    </xf>
    <xf numFmtId="0" fontId="6" fillId="4" borderId="69" xfId="0" applyFont="1" applyFill="1" applyBorder="1" applyAlignment="1">
      <alignment horizontal="left" vertical="center" wrapText="1"/>
    </xf>
    <xf numFmtId="0" fontId="6" fillId="4" borderId="66" xfId="0" applyFont="1" applyFill="1" applyBorder="1" applyAlignment="1">
      <alignment horizontal="center" vertical="center" wrapText="1"/>
    </xf>
    <xf numFmtId="0" fontId="6" fillId="4" borderId="66" xfId="0" applyFont="1" applyFill="1" applyBorder="1" applyAlignment="1">
      <alignment horizontal="left" vertical="center" wrapText="1"/>
    </xf>
    <xf numFmtId="0" fontId="7" fillId="4" borderId="72" xfId="0" applyFont="1" applyFill="1" applyBorder="1" applyAlignment="1">
      <alignment horizontal="left" vertical="center" wrapText="1"/>
    </xf>
    <xf numFmtId="0" fontId="6" fillId="4" borderId="72" xfId="0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" fontId="5" fillId="0" borderId="29" xfId="0" applyNumberFormat="1" applyFont="1" applyBorder="1" applyAlignment="1">
      <alignment horizontal="center" vertical="center" wrapText="1"/>
    </xf>
    <xf numFmtId="1" fontId="5" fillId="0" borderId="29" xfId="0" applyNumberFormat="1" applyFont="1" applyBorder="1" applyAlignment="1">
      <alignment horizontal="center" vertical="center"/>
    </xf>
    <xf numFmtId="1" fontId="5" fillId="0" borderId="29" xfId="0" applyNumberFormat="1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1" fontId="5" fillId="3" borderId="29" xfId="0" applyNumberFormat="1" applyFont="1" applyFill="1" applyBorder="1" applyAlignment="1">
      <alignment horizontal="center" vertical="center"/>
    </xf>
    <xf numFmtId="1" fontId="5" fillId="0" borderId="73" xfId="0" applyNumberFormat="1" applyFont="1" applyBorder="1" applyAlignment="1">
      <alignment horizontal="center" vertical="center" wrapText="1"/>
    </xf>
    <xf numFmtId="1" fontId="5" fillId="0" borderId="60" xfId="0" applyNumberFormat="1" applyFont="1" applyBorder="1" applyAlignment="1">
      <alignment horizontal="center" vertical="center" wrapText="1"/>
    </xf>
    <xf numFmtId="1" fontId="20" fillId="0" borderId="70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center" vertical="center" wrapText="1"/>
    </xf>
    <xf numFmtId="1" fontId="5" fillId="0" borderId="55" xfId="0" applyNumberFormat="1" applyFont="1" applyBorder="1" applyAlignment="1">
      <alignment horizontal="center" vertical="center" wrapText="1"/>
    </xf>
    <xf numFmtId="1" fontId="5" fillId="0" borderId="56" xfId="0" applyNumberFormat="1" applyFont="1" applyBorder="1" applyAlignment="1">
      <alignment horizontal="center" vertical="center" wrapText="1"/>
    </xf>
    <xf numFmtId="1" fontId="5" fillId="0" borderId="5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/>
    </xf>
    <xf numFmtId="0" fontId="3" fillId="4" borderId="75" xfId="0" applyFont="1" applyFill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3" fillId="4" borderId="81" xfId="0" applyFont="1" applyFill="1" applyBorder="1" applyAlignment="1">
      <alignment vertical="center" wrapText="1"/>
    </xf>
    <xf numFmtId="0" fontId="21" fillId="0" borderId="29" xfId="0" applyFont="1" applyBorder="1" applyAlignment="1">
      <alignment horizontal="center" vertical="center"/>
    </xf>
    <xf numFmtId="164" fontId="21" fillId="0" borderId="29" xfId="0" applyNumberFormat="1" applyFont="1" applyBorder="1" applyAlignment="1">
      <alignment horizontal="center" vertical="center"/>
    </xf>
    <xf numFmtId="165" fontId="21" fillId="0" borderId="29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21" fillId="0" borderId="4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right" wrapText="1"/>
    </xf>
    <xf numFmtId="0" fontId="22" fillId="0" borderId="0" xfId="0" applyFont="1" applyAlignment="1">
      <alignment wrapText="1"/>
    </xf>
    <xf numFmtId="0" fontId="22" fillId="0" borderId="16" xfId="0" applyFont="1" applyBorder="1"/>
    <xf numFmtId="0" fontId="21" fillId="0" borderId="6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60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2" fillId="0" borderId="5" xfId="0" applyFont="1" applyBorder="1"/>
    <xf numFmtId="0" fontId="23" fillId="0" borderId="53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21" fillId="7" borderId="29" xfId="0" applyFont="1" applyFill="1" applyBorder="1" applyAlignment="1">
      <alignment horizontal="center" vertical="center" wrapText="1"/>
    </xf>
    <xf numFmtId="0" fontId="24" fillId="0" borderId="0" xfId="0" applyFont="1"/>
    <xf numFmtId="0" fontId="21" fillId="0" borderId="4" xfId="0" applyFont="1" applyBorder="1" applyAlignment="1">
      <alignment horizontal="center" wrapText="1"/>
    </xf>
    <xf numFmtId="0" fontId="23" fillId="0" borderId="60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wrapText="1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1" fillId="0" borderId="11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1" fillId="0" borderId="58" xfId="0" applyFont="1" applyBorder="1" applyAlignment="1">
      <alignment horizontal="center" vertical="center"/>
    </xf>
    <xf numFmtId="0" fontId="25" fillId="0" borderId="59" xfId="0" applyFont="1" applyBorder="1" applyAlignment="1">
      <alignment horizontal="right" vertical="center" wrapText="1"/>
    </xf>
    <xf numFmtId="0" fontId="25" fillId="0" borderId="12" xfId="0" applyFont="1" applyBorder="1" applyAlignment="1">
      <alignment horizontal="right" wrapText="1"/>
    </xf>
    <xf numFmtId="0" fontId="19" fillId="0" borderId="0" xfId="0" applyFont="1" applyAlignment="1">
      <alignment wrapText="1"/>
    </xf>
    <xf numFmtId="0" fontId="25" fillId="0" borderId="30" xfId="0" applyFont="1" applyBorder="1" applyAlignment="1">
      <alignment horizontal="right" wrapText="1"/>
    </xf>
    <xf numFmtId="0" fontId="25" fillId="0" borderId="5" xfId="0" applyFont="1" applyBorder="1" applyAlignment="1">
      <alignment horizontal="right" wrapText="1"/>
    </xf>
    <xf numFmtId="0" fontId="25" fillId="0" borderId="5" xfId="0" applyFont="1" applyBorder="1" applyAlignment="1">
      <alignment horizontal="right" vertical="center" wrapText="1"/>
    </xf>
    <xf numFmtId="0" fontId="25" fillId="0" borderId="16" xfId="0" applyFont="1" applyBorder="1" applyAlignment="1">
      <alignment horizontal="right" wrapText="1"/>
    </xf>
    <xf numFmtId="0" fontId="25" fillId="0" borderId="0" xfId="0" applyFont="1" applyAlignment="1">
      <alignment horizontal="right" wrapText="1"/>
    </xf>
    <xf numFmtId="0" fontId="19" fillId="0" borderId="17" xfId="0" applyFont="1" applyBorder="1" applyAlignment="1">
      <alignment wrapText="1"/>
    </xf>
    <xf numFmtId="0" fontId="19" fillId="0" borderId="11" xfId="0" applyFont="1" applyBorder="1" applyAlignment="1">
      <alignment wrapText="1"/>
    </xf>
    <xf numFmtId="0" fontId="19" fillId="0" borderId="62" xfId="0" applyFont="1" applyBorder="1" applyAlignment="1">
      <alignment wrapText="1"/>
    </xf>
    <xf numFmtId="0" fontId="25" fillId="0" borderId="49" xfId="0" applyFont="1" applyBorder="1" applyAlignment="1">
      <alignment horizontal="left" vertical="center"/>
    </xf>
    <xf numFmtId="0" fontId="19" fillId="0" borderId="25" xfId="0" applyFont="1" applyBorder="1" applyAlignment="1">
      <alignment wrapText="1"/>
    </xf>
    <xf numFmtId="0" fontId="6" fillId="0" borderId="25" xfId="0" applyFont="1" applyBorder="1"/>
    <xf numFmtId="0" fontId="19" fillId="0" borderId="50" xfId="0" applyFont="1" applyBorder="1" applyAlignment="1">
      <alignment wrapText="1"/>
    </xf>
    <xf numFmtId="167" fontId="6" fillId="0" borderId="0" xfId="0" applyNumberFormat="1" applyFont="1"/>
    <xf numFmtId="2" fontId="19" fillId="0" borderId="25" xfId="0" applyNumberFormat="1" applyFont="1" applyBorder="1" applyAlignment="1">
      <alignment wrapText="1"/>
    </xf>
    <xf numFmtId="2" fontId="6" fillId="0" borderId="25" xfId="0" applyNumberFormat="1" applyFont="1" applyBorder="1"/>
    <xf numFmtId="0" fontId="1" fillId="0" borderId="87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164" fontId="21" fillId="0" borderId="88" xfId="0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19" fillId="0" borderId="17" xfId="0" applyFont="1" applyBorder="1"/>
    <xf numFmtId="0" fontId="21" fillId="0" borderId="33" xfId="0" applyFont="1" applyBorder="1" applyAlignment="1">
      <alignment horizontal="center" vertical="center"/>
    </xf>
    <xf numFmtId="165" fontId="21" fillId="0" borderId="88" xfId="0" applyNumberFormat="1" applyFont="1" applyBorder="1" applyAlignment="1">
      <alignment horizontal="center" vertical="center"/>
    </xf>
    <xf numFmtId="164" fontId="1" fillId="0" borderId="88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5" fontId="1" fillId="0" borderId="87" xfId="0" applyNumberFormat="1" applyFont="1" applyBorder="1" applyAlignment="1">
      <alignment horizontal="center" vertical="center"/>
    </xf>
    <xf numFmtId="0" fontId="6" fillId="0" borderId="87" xfId="0" applyFont="1" applyBorder="1" applyAlignment="1">
      <alignment horizontal="center" vertical="center" wrapText="1"/>
    </xf>
    <xf numFmtId="0" fontId="6" fillId="0" borderId="17" xfId="0" applyFont="1" applyBorder="1"/>
    <xf numFmtId="0" fontId="6" fillId="0" borderId="88" xfId="0" applyFont="1" applyBorder="1" applyAlignment="1">
      <alignment horizontal="center" vertical="center" wrapText="1"/>
    </xf>
    <xf numFmtId="1" fontId="3" fillId="0" borderId="46" xfId="0" applyNumberFormat="1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wrapText="1"/>
    </xf>
    <xf numFmtId="0" fontId="6" fillId="0" borderId="89" xfId="0" applyFont="1" applyBorder="1"/>
    <xf numFmtId="0" fontId="7" fillId="0" borderId="88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wrapText="1"/>
    </xf>
    <xf numFmtId="0" fontId="23" fillId="7" borderId="29" xfId="0" applyFont="1" applyFill="1" applyBorder="1" applyAlignment="1">
      <alignment horizontal="center" vertical="center" wrapText="1"/>
    </xf>
    <xf numFmtId="0" fontId="23" fillId="7" borderId="93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vertical="center" wrapText="1"/>
    </xf>
    <xf numFmtId="0" fontId="21" fillId="0" borderId="29" xfId="0" applyFont="1" applyBorder="1" applyAlignment="1">
      <alignment vertical="center" wrapText="1"/>
    </xf>
    <xf numFmtId="0" fontId="21" fillId="0" borderId="29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vertical="center" wrapText="1"/>
    </xf>
    <xf numFmtId="0" fontId="21" fillId="0" borderId="10" xfId="0" applyFont="1" applyBorder="1" applyAlignment="1">
      <alignment wrapText="1"/>
    </xf>
    <xf numFmtId="0" fontId="21" fillId="0" borderId="12" xfId="0" applyFont="1" applyBorder="1" applyAlignment="1">
      <alignment horizontal="center" vertical="center" wrapText="1"/>
    </xf>
    <xf numFmtId="0" fontId="6" fillId="0" borderId="90" xfId="0" applyFont="1" applyBorder="1" applyAlignment="1">
      <alignment wrapText="1"/>
    </xf>
    <xf numFmtId="0" fontId="6" fillId="0" borderId="89" xfId="0" applyFont="1" applyBorder="1" applyAlignment="1">
      <alignment wrapText="1"/>
    </xf>
    <xf numFmtId="0" fontId="7" fillId="0" borderId="46" xfId="0" applyFont="1" applyBorder="1" applyAlignment="1">
      <alignment horizontal="center" vertical="center" wrapText="1"/>
    </xf>
    <xf numFmtId="0" fontId="7" fillId="0" borderId="88" xfId="0" applyFont="1" applyBorder="1" applyAlignment="1">
      <alignment vertical="center" wrapText="1"/>
    </xf>
    <xf numFmtId="0" fontId="6" fillId="0" borderId="88" xfId="0" applyFont="1" applyBorder="1" applyAlignment="1">
      <alignment wrapText="1"/>
    </xf>
    <xf numFmtId="0" fontId="6" fillId="0" borderId="90" xfId="0" applyFont="1" applyBorder="1" applyAlignment="1">
      <alignment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3" fillId="0" borderId="88" xfId="0" applyFont="1" applyBorder="1" applyAlignment="1">
      <alignment horizontal="center" wrapText="1"/>
    </xf>
    <xf numFmtId="0" fontId="1" fillId="0" borderId="88" xfId="0" applyFont="1" applyBorder="1" applyAlignment="1">
      <alignment horizontal="center" wrapText="1"/>
    </xf>
    <xf numFmtId="0" fontId="1" fillId="0" borderId="88" xfId="0" applyFont="1" applyBorder="1" applyAlignment="1">
      <alignment horizontal="center" vertical="center" wrapText="1"/>
    </xf>
    <xf numFmtId="0" fontId="3" fillId="0" borderId="90" xfId="0" applyFont="1" applyBorder="1" applyAlignment="1">
      <alignment wrapText="1"/>
    </xf>
    <xf numFmtId="0" fontId="1" fillId="0" borderId="90" xfId="0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/>
    </xf>
    <xf numFmtId="0" fontId="2" fillId="0" borderId="15" xfId="0" applyFont="1" applyBorder="1"/>
    <xf numFmtId="0" fontId="2" fillId="0" borderId="14" xfId="0" applyFont="1" applyBorder="1"/>
    <xf numFmtId="172" fontId="6" fillId="0" borderId="4" xfId="0" applyNumberFormat="1" applyFont="1" applyBorder="1"/>
    <xf numFmtId="0" fontId="2" fillId="0" borderId="5" xfId="0" applyFont="1" applyBorder="1"/>
    <xf numFmtId="0" fontId="6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7" fillId="0" borderId="49" xfId="0" applyFont="1" applyBorder="1" applyAlignment="1">
      <alignment horizontal="center"/>
    </xf>
    <xf numFmtId="0" fontId="2" fillId="0" borderId="25" xfId="0" applyFont="1" applyBorder="1"/>
    <xf numFmtId="0" fontId="2" fillId="0" borderId="50" xfId="0" applyFont="1" applyBorder="1"/>
    <xf numFmtId="0" fontId="3" fillId="0" borderId="16" xfId="0" applyFont="1" applyBorder="1" applyAlignment="1">
      <alignment horizontal="center"/>
    </xf>
    <xf numFmtId="0" fontId="0" fillId="0" borderId="0" xfId="0"/>
    <xf numFmtId="0" fontId="1" fillId="0" borderId="16" xfId="0" applyFont="1" applyBorder="1" applyAlignment="1">
      <alignment horizontal="right"/>
    </xf>
    <xf numFmtId="0" fontId="12" fillId="0" borderId="0" xfId="0" applyFont="1" applyAlignment="1">
      <alignment horizontal="left"/>
    </xf>
    <xf numFmtId="0" fontId="3" fillId="0" borderId="61" xfId="0" applyFont="1" applyBorder="1" applyAlignment="1">
      <alignment horizontal="left" vertical="center" wrapText="1"/>
    </xf>
    <xf numFmtId="0" fontId="2" fillId="0" borderId="13" xfId="0" applyFont="1" applyBorder="1"/>
    <xf numFmtId="0" fontId="1" fillId="0" borderId="31" xfId="0" applyFont="1" applyBorder="1" applyAlignment="1">
      <alignment horizontal="left" vertical="top" wrapText="1"/>
    </xf>
    <xf numFmtId="0" fontId="2" fillId="0" borderId="32" xfId="0" applyFont="1" applyBorder="1"/>
    <xf numFmtId="0" fontId="2" fillId="0" borderId="33" xfId="0" applyFont="1" applyBorder="1"/>
    <xf numFmtId="0" fontId="2" fillId="0" borderId="49" xfId="0" applyFont="1" applyBorder="1"/>
    <xf numFmtId="0" fontId="1" fillId="0" borderId="31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2" fillId="0" borderId="7" xfId="0" applyFont="1" applyBorder="1"/>
    <xf numFmtId="0" fontId="1" fillId="0" borderId="28" xfId="0" applyFont="1" applyBorder="1" applyAlignment="1">
      <alignment horizontal="left" vertical="center"/>
    </xf>
    <xf numFmtId="0" fontId="2" fillId="0" borderId="19" xfId="0" applyFont="1" applyBorder="1"/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1" xfId="0" applyFont="1" applyBorder="1"/>
    <xf numFmtId="0" fontId="1" fillId="0" borderId="2" xfId="0" applyFont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2" fontId="1" fillId="6" borderId="20" xfId="0" applyNumberFormat="1" applyFont="1" applyFill="1" applyBorder="1" applyAlignment="1">
      <alignment horizontal="center" vertical="center"/>
    </xf>
    <xf numFmtId="0" fontId="2" fillId="0" borderId="27" xfId="0" applyFont="1" applyBorder="1"/>
    <xf numFmtId="2" fontId="6" fillId="0" borderId="4" xfId="0" applyNumberFormat="1" applyFont="1" applyBorder="1"/>
    <xf numFmtId="0" fontId="1" fillId="0" borderId="6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2" fillId="0" borderId="45" xfId="0" applyFont="1" applyBorder="1"/>
    <xf numFmtId="167" fontId="4" fillId="0" borderId="20" xfId="0" applyNumberFormat="1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2" fillId="0" borderId="51" xfId="0" applyFont="1" applyBorder="1"/>
    <xf numFmtId="0" fontId="1" fillId="2" borderId="23" xfId="0" applyFont="1" applyFill="1" applyBorder="1" applyAlignment="1">
      <alignment horizontal="center" vertical="center"/>
    </xf>
    <xf numFmtId="0" fontId="2" fillId="0" borderId="36" xfId="0" applyFont="1" applyBorder="1"/>
    <xf numFmtId="0" fontId="4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2" fillId="0" borderId="9" xfId="0" applyFont="1" applyBorder="1"/>
    <xf numFmtId="0" fontId="3" fillId="0" borderId="31" xfId="0" applyFont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1" fillId="0" borderId="51" xfId="0" applyFont="1" applyBorder="1" applyAlignment="1">
      <alignment horizontal="center" vertical="center"/>
    </xf>
    <xf numFmtId="0" fontId="2" fillId="0" borderId="48" xfId="0" applyFont="1" applyBorder="1"/>
    <xf numFmtId="0" fontId="1" fillId="0" borderId="3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2" fillId="0" borderId="16" xfId="0" applyFont="1" applyBorder="1"/>
    <xf numFmtId="0" fontId="1" fillId="0" borderId="46" xfId="0" applyFont="1" applyBorder="1" applyAlignment="1">
      <alignment horizontal="center" vertical="center"/>
    </xf>
    <xf numFmtId="0" fontId="2" fillId="0" borderId="47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31" xfId="0" applyFont="1" applyBorder="1" applyAlignment="1">
      <alignment horizontal="left" vertical="top"/>
    </xf>
    <xf numFmtId="0" fontId="1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4" fillId="0" borderId="24" xfId="0" applyFont="1" applyBorder="1" applyAlignment="1">
      <alignment horizontal="center" vertical="center"/>
    </xf>
    <xf numFmtId="0" fontId="2" fillId="0" borderId="26" xfId="0" applyFont="1" applyBorder="1"/>
    <xf numFmtId="167" fontId="3" fillId="0" borderId="2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2" xfId="0" applyFont="1" applyBorder="1"/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/>
    </xf>
    <xf numFmtId="0" fontId="2" fillId="0" borderId="43" xfId="0" applyFont="1" applyBorder="1"/>
    <xf numFmtId="0" fontId="1" fillId="3" borderId="44" xfId="0" applyFont="1" applyFill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 wrapText="1"/>
    </xf>
    <xf numFmtId="170" fontId="3" fillId="4" borderId="4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0" fontId="1" fillId="2" borderId="38" xfId="0" applyFont="1" applyFill="1" applyBorder="1" applyAlignment="1">
      <alignment horizontal="center" vertical="center"/>
    </xf>
    <xf numFmtId="0" fontId="2" fillId="0" borderId="39" xfId="0" applyFont="1" applyBorder="1"/>
    <xf numFmtId="0" fontId="1" fillId="3" borderId="40" xfId="0" applyFont="1" applyFill="1" applyBorder="1" applyAlignment="1">
      <alignment horizontal="center" vertical="center"/>
    </xf>
    <xf numFmtId="0" fontId="2" fillId="0" borderId="41" xfId="0" applyFont="1" applyBorder="1"/>
    <xf numFmtId="0" fontId="2" fillId="0" borderId="34" xfId="0" applyFont="1" applyBorder="1"/>
    <xf numFmtId="0" fontId="2" fillId="0" borderId="37" xfId="0" applyFont="1" applyBorder="1"/>
    <xf numFmtId="0" fontId="1" fillId="0" borderId="35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71" fontId="4" fillId="0" borderId="10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 vertical="center"/>
    </xf>
    <xf numFmtId="172" fontId="15" fillId="0" borderId="11" xfId="0" applyNumberFormat="1" applyFont="1" applyBorder="1"/>
    <xf numFmtId="0" fontId="3" fillId="0" borderId="18" xfId="0" applyFont="1" applyBorder="1" applyAlignment="1">
      <alignment horizontal="center" wrapText="1"/>
    </xf>
    <xf numFmtId="172" fontId="16" fillId="7" borderId="0" xfId="0" applyNumberFormat="1" applyFont="1" applyFill="1"/>
    <xf numFmtId="172" fontId="16" fillId="0" borderId="0" xfId="0" applyNumberFormat="1" applyFont="1"/>
    <xf numFmtId="2" fontId="15" fillId="0" borderId="11" xfId="0" applyNumberFormat="1" applyFont="1" applyBorder="1"/>
    <xf numFmtId="0" fontId="1" fillId="3" borderId="18" xfId="0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left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1" fillId="0" borderId="8" xfId="0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23" xfId="0" applyFont="1" applyFill="1" applyBorder="1" applyAlignment="1">
      <alignment horizontal="left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left" vertical="center" wrapText="1"/>
    </xf>
    <xf numFmtId="165" fontId="3" fillId="4" borderId="2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4" borderId="28" xfId="0" applyFont="1" applyFill="1" applyBorder="1" applyAlignment="1">
      <alignment horizontal="left" vertical="center" wrapText="1"/>
    </xf>
    <xf numFmtId="0" fontId="3" fillId="4" borderId="68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6" fillId="4" borderId="49" xfId="0" applyFont="1" applyFill="1" applyBorder="1" applyAlignment="1">
      <alignment horizontal="center" vertical="center" wrapText="1"/>
    </xf>
    <xf numFmtId="1" fontId="17" fillId="5" borderId="28" xfId="0" applyNumberFormat="1" applyFont="1" applyFill="1" applyBorder="1" applyAlignment="1">
      <alignment horizontal="center" vertical="center" wrapText="1"/>
    </xf>
    <xf numFmtId="0" fontId="6" fillId="0" borderId="61" xfId="0" applyFont="1" applyBorder="1" applyAlignment="1">
      <alignment wrapText="1"/>
    </xf>
    <xf numFmtId="0" fontId="18" fillId="0" borderId="4" xfId="0" applyFont="1" applyBorder="1" applyAlignment="1">
      <alignment horizontal="left" wrapText="1"/>
    </xf>
    <xf numFmtId="0" fontId="1" fillId="3" borderId="3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14" fontId="7" fillId="0" borderId="20" xfId="0" applyNumberFormat="1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62" xfId="0" applyFont="1" applyBorder="1"/>
    <xf numFmtId="0" fontId="7" fillId="0" borderId="71" xfId="0" applyFont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left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18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left" vertical="center" wrapText="1"/>
    </xf>
    <xf numFmtId="0" fontId="18" fillId="0" borderId="10" xfId="0" applyFont="1" applyBorder="1" applyAlignment="1">
      <alignment horizontal="left"/>
    </xf>
    <xf numFmtId="0" fontId="6" fillId="0" borderId="23" xfId="0" applyFont="1" applyBorder="1" applyAlignment="1">
      <alignment horizontal="left" vertical="center" wrapText="1"/>
    </xf>
    <xf numFmtId="0" fontId="6" fillId="0" borderId="71" xfId="0" applyFont="1" applyBorder="1" applyAlignment="1">
      <alignment horizontal="center" wrapText="1"/>
    </xf>
    <xf numFmtId="0" fontId="7" fillId="0" borderId="31" xfId="0" applyFont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7" borderId="53" xfId="0" applyFont="1" applyFill="1" applyBorder="1" applyAlignment="1">
      <alignment horizontal="center" vertical="center" wrapText="1"/>
    </xf>
    <xf numFmtId="0" fontId="2" fillId="0" borderId="73" xfId="0" applyFont="1" applyBorder="1"/>
    <xf numFmtId="0" fontId="2" fillId="0" borderId="60" xfId="0" applyFont="1" applyBorder="1"/>
    <xf numFmtId="170" fontId="3" fillId="0" borderId="4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" fillId="0" borderId="53" xfId="0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5" fillId="0" borderId="4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left" vertical="center" wrapText="1"/>
    </xf>
    <xf numFmtId="1" fontId="5" fillId="0" borderId="23" xfId="0" applyNumberFormat="1" applyFont="1" applyBorder="1" applyAlignment="1">
      <alignment horizontal="center" vertical="center" wrapText="1"/>
    </xf>
    <xf numFmtId="1" fontId="5" fillId="5" borderId="46" xfId="0" applyNumberFormat="1" applyFont="1" applyFill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right" vertical="center" wrapText="1"/>
    </xf>
    <xf numFmtId="1" fontId="5" fillId="0" borderId="32" xfId="0" applyNumberFormat="1" applyFont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right" vertical="center" wrapText="1"/>
    </xf>
    <xf numFmtId="1" fontId="5" fillId="0" borderId="19" xfId="0" applyNumberFormat="1" applyFont="1" applyBorder="1" applyAlignment="1">
      <alignment horizontal="center" vertical="center" wrapText="1"/>
    </xf>
    <xf numFmtId="1" fontId="5" fillId="0" borderId="15" xfId="0" applyNumberFormat="1" applyFont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left" vertical="center" wrapText="1"/>
    </xf>
    <xf numFmtId="1" fontId="5" fillId="0" borderId="0" xfId="0" applyNumberFormat="1" applyFont="1" applyAlignment="1">
      <alignment horizontal="right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right" vertical="center" wrapText="1"/>
    </xf>
    <xf numFmtId="1" fontId="5" fillId="0" borderId="16" xfId="0" applyNumberFormat="1" applyFont="1" applyBorder="1" applyAlignment="1">
      <alignment horizontal="right" vertical="center" wrapText="1"/>
    </xf>
    <xf numFmtId="1" fontId="5" fillId="0" borderId="49" xfId="0" applyNumberFormat="1" applyFont="1" applyBorder="1" applyAlignment="1">
      <alignment horizontal="right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3" borderId="28" xfId="0" applyNumberFormat="1" applyFont="1" applyFill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2" borderId="44" xfId="0" applyFont="1" applyFill="1" applyBorder="1" applyAlignment="1">
      <alignment horizontal="left" vertical="center"/>
    </xf>
    <xf numFmtId="0" fontId="1" fillId="2" borderId="4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5" fillId="3" borderId="38" xfId="0" applyNumberFormat="1" applyFont="1" applyFill="1" applyBorder="1" applyAlignment="1">
      <alignment horizontal="center" vertical="center" wrapText="1"/>
    </xf>
    <xf numFmtId="0" fontId="2" fillId="0" borderId="74" xfId="0" applyFont="1" applyBorder="1"/>
    <xf numFmtId="1" fontId="5" fillId="3" borderId="40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/>
    </xf>
    <xf numFmtId="0" fontId="1" fillId="4" borderId="4" xfId="0" applyFont="1" applyFill="1" applyBorder="1" applyAlignment="1">
      <alignment horizontal="right" vertical="center" wrapText="1"/>
    </xf>
    <xf numFmtId="0" fontId="1" fillId="3" borderId="7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center" vertical="center" wrapText="1"/>
    </xf>
    <xf numFmtId="0" fontId="3" fillId="4" borderId="77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left" vertical="center" wrapText="1"/>
    </xf>
    <xf numFmtId="0" fontId="2" fillId="0" borderId="78" xfId="0" applyFont="1" applyBorder="1"/>
    <xf numFmtId="0" fontId="1" fillId="4" borderId="40" xfId="0" applyFont="1" applyFill="1" applyBorder="1" applyAlignment="1">
      <alignment horizontal="center" vertical="center" wrapText="1"/>
    </xf>
    <xf numFmtId="0" fontId="1" fillId="4" borderId="7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80" xfId="0" applyFont="1" applyFill="1" applyBorder="1" applyAlignment="1">
      <alignment horizontal="left" vertical="center" wrapText="1"/>
    </xf>
    <xf numFmtId="0" fontId="1" fillId="4" borderId="61" xfId="0" applyFont="1" applyFill="1" applyBorder="1" applyAlignment="1">
      <alignment horizontal="left" vertical="top" wrapText="1"/>
    </xf>
    <xf numFmtId="0" fontId="3" fillId="4" borderId="42" xfId="0" applyFont="1" applyFill="1" applyBorder="1" applyAlignment="1">
      <alignment horizontal="left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64" fontId="21" fillId="0" borderId="4" xfId="0" applyNumberFormat="1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0" fontId="19" fillId="0" borderId="0" xfId="0" applyFont="1"/>
    <xf numFmtId="0" fontId="21" fillId="0" borderId="20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left" vertical="center" wrapText="1"/>
    </xf>
    <xf numFmtId="0" fontId="22" fillId="0" borderId="20" xfId="0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0" fontId="21" fillId="0" borderId="4" xfId="0" applyFont="1" applyBorder="1" applyAlignment="1">
      <alignment horizontal="left" vertical="center" wrapText="1"/>
    </xf>
    <xf numFmtId="0" fontId="22" fillId="0" borderId="1" xfId="0" applyFont="1" applyBorder="1"/>
    <xf numFmtId="0" fontId="22" fillId="0" borderId="4" xfId="0" applyFont="1" applyBorder="1" applyAlignment="1">
      <alignment horizontal="center"/>
    </xf>
    <xf numFmtId="0" fontId="21" fillId="0" borderId="16" xfId="0" applyFont="1" applyBorder="1" applyAlignment="1">
      <alignment horizontal="center" vertical="center" textRotation="90" wrapText="1"/>
    </xf>
    <xf numFmtId="0" fontId="21" fillId="4" borderId="4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wrapText="1"/>
    </xf>
    <xf numFmtId="0" fontId="22" fillId="0" borderId="11" xfId="0" applyFont="1" applyBorder="1" applyAlignment="1">
      <alignment horizontal="center" wrapText="1"/>
    </xf>
    <xf numFmtId="0" fontId="22" fillId="0" borderId="4" xfId="0" applyFont="1" applyBorder="1" applyAlignment="1">
      <alignment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right" vertical="center" wrapText="1"/>
    </xf>
    <xf numFmtId="0" fontId="22" fillId="0" borderId="15" xfId="0" applyFont="1" applyBorder="1" applyAlignment="1">
      <alignment horizontal="center" vertical="center"/>
    </xf>
    <xf numFmtId="0" fontId="21" fillId="0" borderId="82" xfId="0" applyFont="1" applyBorder="1" applyAlignment="1">
      <alignment horizontal="center" vertical="center" textRotation="90" wrapText="1"/>
    </xf>
    <xf numFmtId="0" fontId="2" fillId="0" borderId="83" xfId="0" applyFont="1" applyBorder="1"/>
    <xf numFmtId="0" fontId="22" fillId="0" borderId="1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center" wrapText="1"/>
    </xf>
    <xf numFmtId="0" fontId="21" fillId="0" borderId="1" xfId="0" applyFont="1" applyBorder="1" applyAlignment="1">
      <alignment horizontal="center" wrapText="1"/>
    </xf>
    <xf numFmtId="0" fontId="23" fillId="0" borderId="4" xfId="0" applyFont="1" applyBorder="1" applyAlignment="1">
      <alignment horizontal="center" vertical="center" wrapText="1"/>
    </xf>
    <xf numFmtId="0" fontId="21" fillId="7" borderId="5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173" fontId="22" fillId="4" borderId="4" xfId="0" applyNumberFormat="1" applyFont="1" applyFill="1" applyBorder="1" applyAlignment="1">
      <alignment horizontal="center" vertical="center" wrapText="1"/>
    </xf>
    <xf numFmtId="1" fontId="22" fillId="4" borderId="4" xfId="0" applyNumberFormat="1" applyFont="1" applyFill="1" applyBorder="1" applyAlignment="1">
      <alignment horizontal="center" vertical="center" wrapText="1"/>
    </xf>
    <xf numFmtId="165" fontId="14" fillId="0" borderId="10" xfId="0" applyNumberFormat="1" applyFont="1" applyBorder="1" applyAlignment="1">
      <alignment horizontal="center" vertical="center" wrapText="1"/>
    </xf>
    <xf numFmtId="49" fontId="14" fillId="0" borderId="10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172" fontId="14" fillId="0" borderId="4" xfId="0" applyNumberFormat="1" applyFont="1" applyBorder="1" applyAlignment="1">
      <alignment horizontal="center" vertical="center" wrapText="1"/>
    </xf>
    <xf numFmtId="2" fontId="14" fillId="0" borderId="11" xfId="0" applyNumberFormat="1" applyFont="1" applyBorder="1" applyAlignment="1">
      <alignment horizontal="center" wrapText="1"/>
    </xf>
    <xf numFmtId="0" fontId="19" fillId="0" borderId="11" xfId="0" applyFont="1" applyBorder="1" applyAlignment="1">
      <alignment wrapText="1"/>
    </xf>
    <xf numFmtId="0" fontId="2" fillId="0" borderId="86" xfId="0" applyFont="1" applyBorder="1"/>
    <xf numFmtId="165" fontId="1" fillId="0" borderId="20" xfId="0" applyNumberFormat="1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 wrapText="1"/>
    </xf>
    <xf numFmtId="0" fontId="2" fillId="0" borderId="85" xfId="0" applyFont="1" applyBorder="1"/>
    <xf numFmtId="0" fontId="1" fillId="0" borderId="3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2" fontId="19" fillId="0" borderId="11" xfId="0" applyNumberFormat="1" applyFont="1" applyBorder="1" applyAlignment="1">
      <alignment wrapText="1"/>
    </xf>
    <xf numFmtId="2" fontId="1" fillId="0" borderId="35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165" fontId="1" fillId="0" borderId="46" xfId="0" applyNumberFormat="1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 wrapText="1"/>
    </xf>
    <xf numFmtId="0" fontId="2" fillId="0" borderId="89" xfId="0" applyFont="1" applyBorder="1"/>
    <xf numFmtId="0" fontId="2" fillId="0" borderId="90" xfId="0" applyFont="1" applyBorder="1"/>
    <xf numFmtId="2" fontId="1" fillId="0" borderId="31" xfId="0" applyNumberFormat="1" applyFont="1" applyBorder="1" applyAlignment="1">
      <alignment horizontal="center" vertical="center" wrapText="1"/>
    </xf>
    <xf numFmtId="164" fontId="1" fillId="0" borderId="46" xfId="0" applyNumberFormat="1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wrapText="1"/>
    </xf>
    <xf numFmtId="0" fontId="19" fillId="0" borderId="46" xfId="0" applyFont="1" applyBorder="1" applyAlignment="1">
      <alignment horizont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wrapText="1"/>
    </xf>
    <xf numFmtId="0" fontId="21" fillId="0" borderId="32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wrapText="1"/>
    </xf>
    <xf numFmtId="0" fontId="21" fillId="0" borderId="87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166" fontId="3" fillId="0" borderId="46" xfId="0" applyNumberFormat="1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/>
    </xf>
    <xf numFmtId="0" fontId="24" fillId="0" borderId="4" xfId="0" applyFont="1" applyBorder="1"/>
    <xf numFmtId="0" fontId="13" fillId="0" borderId="4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1" fillId="7" borderId="4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3" fillId="0" borderId="87" xfId="0" applyFont="1" applyBorder="1" applyAlignment="1">
      <alignment horizontal="center" wrapText="1"/>
    </xf>
    <xf numFmtId="0" fontId="1" fillId="0" borderId="33" xfId="0" applyFont="1" applyBorder="1" applyAlignment="1">
      <alignment horizontal="center" vertical="center" wrapText="1"/>
    </xf>
    <xf numFmtId="0" fontId="2" fillId="0" borderId="94" xfId="0" applyFont="1" applyBorder="1"/>
    <xf numFmtId="0" fontId="3" fillId="0" borderId="46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33</xdr:row>
      <xdr:rowOff>0</xdr:rowOff>
    </xdr:from>
    <xdr:ext cx="25717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32</xdr:row>
      <xdr:rowOff>0</xdr:rowOff>
    </xdr:from>
    <xdr:ext cx="25717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55</xdr:row>
      <xdr:rowOff>0</xdr:rowOff>
    </xdr:from>
    <xdr:ext cx="257175" cy="3238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55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55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55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55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55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55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55</xdr:row>
      <xdr:rowOff>0</xdr:rowOff>
    </xdr:from>
    <xdr:ext cx="257175" cy="3238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55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55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55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55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55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55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55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48</xdr:row>
      <xdr:rowOff>0</xdr:rowOff>
    </xdr:from>
    <xdr:ext cx="257175" cy="3238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48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48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48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48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48</xdr:row>
      <xdr:rowOff>0</xdr:rowOff>
    </xdr:from>
    <xdr:ext cx="257175" cy="323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48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48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48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33</xdr:row>
      <xdr:rowOff>0</xdr:rowOff>
    </xdr:from>
    <xdr:ext cx="2571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47</xdr:row>
      <xdr:rowOff>0</xdr:rowOff>
    </xdr:from>
    <xdr:ext cx="2571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40</xdr:row>
      <xdr:rowOff>0</xdr:rowOff>
    </xdr:from>
    <xdr:ext cx="257175" cy="3238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73</xdr:row>
      <xdr:rowOff>104775</xdr:rowOff>
    </xdr:from>
    <xdr:ext cx="1028700" cy="7334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74</xdr:row>
      <xdr:rowOff>104775</xdr:rowOff>
    </xdr:from>
    <xdr:ext cx="1028700" cy="7334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88</xdr:row>
      <xdr:rowOff>104775</xdr:rowOff>
    </xdr:from>
    <xdr:ext cx="1028700" cy="7334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102</xdr:row>
      <xdr:rowOff>104775</xdr:rowOff>
    </xdr:from>
    <xdr:ext cx="1028700" cy="7334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116</xdr:row>
      <xdr:rowOff>104775</xdr:rowOff>
    </xdr:from>
    <xdr:ext cx="1028700" cy="7334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130</xdr:row>
      <xdr:rowOff>104775</xdr:rowOff>
    </xdr:from>
    <xdr:ext cx="1028700" cy="7334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158</xdr:row>
      <xdr:rowOff>104775</xdr:rowOff>
    </xdr:from>
    <xdr:ext cx="1028700" cy="7334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172</xdr:row>
      <xdr:rowOff>104775</xdr:rowOff>
    </xdr:from>
    <xdr:ext cx="1028700" cy="733425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186</xdr:row>
      <xdr:rowOff>104775</xdr:rowOff>
    </xdr:from>
    <xdr:ext cx="1028700" cy="733425"/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200</xdr:row>
      <xdr:rowOff>104775</xdr:rowOff>
    </xdr:from>
    <xdr:ext cx="1028700" cy="733425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214</xdr:row>
      <xdr:rowOff>104775</xdr:rowOff>
    </xdr:from>
    <xdr:ext cx="1028700" cy="733425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228</xdr:row>
      <xdr:rowOff>104775</xdr:rowOff>
    </xdr:from>
    <xdr:ext cx="1028700" cy="733425"/>
    <xdr:pic>
      <xdr:nvPicPr>
        <xdr:cNvPr id="21" name="image1.png" title="Image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242</xdr:row>
      <xdr:rowOff>104775</xdr:rowOff>
    </xdr:from>
    <xdr:ext cx="1028700" cy="733425"/>
    <xdr:pic>
      <xdr:nvPicPr>
        <xdr:cNvPr id="22" name="image1.png" title="Image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256</xdr:row>
      <xdr:rowOff>104775</xdr:rowOff>
    </xdr:from>
    <xdr:ext cx="1028700" cy="733425"/>
    <xdr:pic>
      <xdr:nvPicPr>
        <xdr:cNvPr id="23" name="image1.png" title="Image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270</xdr:row>
      <xdr:rowOff>104775</xdr:rowOff>
    </xdr:from>
    <xdr:ext cx="1028700" cy="733425"/>
    <xdr:pic>
      <xdr:nvPicPr>
        <xdr:cNvPr id="24" name="image1.png" title="Image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284</xdr:row>
      <xdr:rowOff>104775</xdr:rowOff>
    </xdr:from>
    <xdr:ext cx="1028700" cy="733425"/>
    <xdr:pic>
      <xdr:nvPicPr>
        <xdr:cNvPr id="25" name="image1.png" title="Image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298</xdr:row>
      <xdr:rowOff>104775</xdr:rowOff>
    </xdr:from>
    <xdr:ext cx="1028700" cy="733425"/>
    <xdr:pic>
      <xdr:nvPicPr>
        <xdr:cNvPr id="26" name="image1.png" title="Image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312</xdr:row>
      <xdr:rowOff>104775</xdr:rowOff>
    </xdr:from>
    <xdr:ext cx="1028700" cy="733425"/>
    <xdr:pic>
      <xdr:nvPicPr>
        <xdr:cNvPr id="27" name="image1.png" title="Image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326</xdr:row>
      <xdr:rowOff>104775</xdr:rowOff>
    </xdr:from>
    <xdr:ext cx="1028700" cy="733425"/>
    <xdr:pic>
      <xdr:nvPicPr>
        <xdr:cNvPr id="28" name="image1.png" title="Image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340</xdr:row>
      <xdr:rowOff>104775</xdr:rowOff>
    </xdr:from>
    <xdr:ext cx="1028700" cy="733425"/>
    <xdr:pic>
      <xdr:nvPicPr>
        <xdr:cNvPr id="29" name="image1.png" title="Image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354</xdr:row>
      <xdr:rowOff>104775</xdr:rowOff>
    </xdr:from>
    <xdr:ext cx="1028700" cy="733425"/>
    <xdr:pic>
      <xdr:nvPicPr>
        <xdr:cNvPr id="30" name="image1.png" title="Image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368</xdr:row>
      <xdr:rowOff>104775</xdr:rowOff>
    </xdr:from>
    <xdr:ext cx="1028700" cy="733425"/>
    <xdr:pic>
      <xdr:nvPicPr>
        <xdr:cNvPr id="31" name="image1.png" title="Image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>
      <c r="A1" s="287"/>
      <c r="B1" s="208"/>
      <c r="C1" s="288"/>
      <c r="D1" s="287" t="s">
        <v>0</v>
      </c>
      <c r="E1" s="208"/>
      <c r="F1" s="208"/>
      <c r="G1" s="208"/>
      <c r="H1" s="208"/>
      <c r="I1" s="208"/>
      <c r="J1" s="208"/>
      <c r="K1" s="208"/>
      <c r="L1" s="288"/>
      <c r="M1" s="273" t="s">
        <v>1</v>
      </c>
      <c r="N1" s="204"/>
      <c r="O1" s="292" t="s">
        <v>2</v>
      </c>
      <c r="P1" s="224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>
      <c r="A2" s="289"/>
      <c r="B2" s="213"/>
      <c r="C2" s="251"/>
      <c r="D2" s="290"/>
      <c r="E2" s="230"/>
      <c r="F2" s="230"/>
      <c r="G2" s="230"/>
      <c r="H2" s="230"/>
      <c r="I2" s="230"/>
      <c r="J2" s="230"/>
      <c r="K2" s="230"/>
      <c r="L2" s="291"/>
      <c r="M2" s="293" t="s">
        <v>3</v>
      </c>
      <c r="N2" s="291"/>
      <c r="O2" s="294">
        <v>1</v>
      </c>
      <c r="P2" s="217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>
      <c r="A3" s="289"/>
      <c r="B3" s="213"/>
      <c r="C3" s="251"/>
      <c r="D3" s="295" t="s">
        <v>4</v>
      </c>
      <c r="E3" s="208"/>
      <c r="F3" s="208"/>
      <c r="G3" s="208"/>
      <c r="H3" s="208"/>
      <c r="I3" s="208"/>
      <c r="J3" s="208"/>
      <c r="K3" s="208"/>
      <c r="L3" s="288"/>
      <c r="M3" s="293" t="s">
        <v>5</v>
      </c>
      <c r="N3" s="291"/>
      <c r="O3" s="273" t="s">
        <v>6</v>
      </c>
      <c r="P3" s="202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>
      <c r="A4" s="289"/>
      <c r="B4" s="213"/>
      <c r="C4" s="251"/>
      <c r="D4" s="289"/>
      <c r="E4" s="213"/>
      <c r="F4" s="213"/>
      <c r="G4" s="213"/>
      <c r="H4" s="213"/>
      <c r="I4" s="213"/>
      <c r="J4" s="213"/>
      <c r="K4" s="213"/>
      <c r="L4" s="251"/>
      <c r="M4" s="287" t="s">
        <v>7</v>
      </c>
      <c r="N4" s="288"/>
      <c r="O4" s="262" t="s">
        <v>8</v>
      </c>
      <c r="P4" s="202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>
      <c r="A5" s="290"/>
      <c r="B5" s="230"/>
      <c r="C5" s="291"/>
      <c r="D5" s="290"/>
      <c r="E5" s="230"/>
      <c r="F5" s="230"/>
      <c r="G5" s="230"/>
      <c r="H5" s="230"/>
      <c r="I5" s="230"/>
      <c r="J5" s="230"/>
      <c r="K5" s="230"/>
      <c r="L5" s="291"/>
      <c r="M5" s="290"/>
      <c r="N5" s="291"/>
      <c r="O5" s="263" t="s">
        <v>9</v>
      </c>
      <c r="P5" s="202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>
      <c r="A7" s="239" t="s">
        <v>10</v>
      </c>
      <c r="B7" s="201"/>
      <c r="C7" s="201"/>
      <c r="D7" s="201"/>
      <c r="E7" s="204"/>
      <c r="F7" s="285" t="s">
        <v>11</v>
      </c>
      <c r="G7" s="226"/>
      <c r="H7" s="226"/>
      <c r="I7" s="226"/>
      <c r="J7" s="226"/>
      <c r="K7" s="226"/>
      <c r="L7" s="226"/>
      <c r="M7" s="226"/>
      <c r="N7" s="226"/>
      <c r="O7" s="224"/>
      <c r="P7" s="8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>
      <c r="A8" s="239" t="s">
        <v>12</v>
      </c>
      <c r="B8" s="201"/>
      <c r="C8" s="201"/>
      <c r="D8" s="201"/>
      <c r="E8" s="204"/>
      <c r="F8" s="286" t="s">
        <v>13</v>
      </c>
      <c r="G8" s="201"/>
      <c r="H8" s="201"/>
      <c r="I8" s="201"/>
      <c r="J8" s="204"/>
      <c r="K8" s="255" t="s">
        <v>14</v>
      </c>
      <c r="L8" s="204"/>
      <c r="M8" s="254" t="s">
        <v>15</v>
      </c>
      <c r="N8" s="201"/>
      <c r="O8" s="201"/>
      <c r="P8" s="202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>
      <c r="A9" s="239" t="s">
        <v>16</v>
      </c>
      <c r="B9" s="201"/>
      <c r="C9" s="201"/>
      <c r="D9" s="201"/>
      <c r="E9" s="204"/>
      <c r="F9" s="254" t="s">
        <v>17</v>
      </c>
      <c r="G9" s="201"/>
      <c r="H9" s="201"/>
      <c r="I9" s="201"/>
      <c r="J9" s="204"/>
      <c r="K9" s="255" t="s">
        <v>18</v>
      </c>
      <c r="L9" s="204"/>
      <c r="M9" s="283">
        <v>15</v>
      </c>
      <c r="N9" s="201"/>
      <c r="O9" s="201"/>
      <c r="P9" s="202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>
      <c r="A10" s="239" t="s">
        <v>19</v>
      </c>
      <c r="B10" s="201"/>
      <c r="C10" s="201"/>
      <c r="D10" s="201"/>
      <c r="E10" s="204"/>
      <c r="F10" s="254" t="s">
        <v>20</v>
      </c>
      <c r="G10" s="201"/>
      <c r="H10" s="201"/>
      <c r="I10" s="201"/>
      <c r="J10" s="201"/>
      <c r="K10" s="201"/>
      <c r="L10" s="201"/>
      <c r="M10" s="201"/>
      <c r="N10" s="201"/>
      <c r="O10" s="201"/>
      <c r="P10" s="202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>
      <c r="A11" s="239" t="s">
        <v>21</v>
      </c>
      <c r="B11" s="201"/>
      <c r="C11" s="201"/>
      <c r="D11" s="201"/>
      <c r="E11" s="204"/>
      <c r="F11" s="284" t="s">
        <v>22</v>
      </c>
      <c r="G11" s="233"/>
      <c r="H11" s="233"/>
      <c r="I11" s="233"/>
      <c r="J11" s="234"/>
      <c r="K11" s="256" t="s">
        <v>23</v>
      </c>
      <c r="L11" s="204"/>
      <c r="M11" s="283"/>
      <c r="N11" s="201"/>
      <c r="O11" s="201"/>
      <c r="P11" s="202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>
      <c r="A12" s="247" t="s">
        <v>24</v>
      </c>
      <c r="B12" s="233"/>
      <c r="C12" s="233"/>
      <c r="D12" s="233"/>
      <c r="E12" s="234"/>
      <c r="F12" s="279" t="s">
        <v>25</v>
      </c>
      <c r="G12" s="210"/>
      <c r="H12" s="210"/>
      <c r="I12" s="210"/>
      <c r="J12" s="280"/>
      <c r="K12" s="244" t="s">
        <v>26</v>
      </c>
      <c r="L12" s="234"/>
      <c r="M12" s="281"/>
      <c r="N12" s="233"/>
      <c r="O12" s="233"/>
      <c r="P12" s="236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>
      <c r="A13" s="282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>
      <c r="A14" s="253" t="s">
        <v>27</v>
      </c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10" t="s">
        <v>28</v>
      </c>
      <c r="B15" s="273" t="s">
        <v>29</v>
      </c>
      <c r="C15" s="201"/>
      <c r="D15" s="201"/>
      <c r="E15" s="201"/>
      <c r="F15" s="201"/>
      <c r="G15" s="201"/>
      <c r="H15" s="201"/>
      <c r="I15" s="201"/>
      <c r="J15" s="201"/>
      <c r="K15" s="204"/>
      <c r="L15" s="273" t="s">
        <v>30</v>
      </c>
      <c r="M15" s="204"/>
      <c r="N15" s="273" t="s">
        <v>31</v>
      </c>
      <c r="O15" s="201"/>
      <c r="P15" s="20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>
      <c r="A16" s="11">
        <v>1</v>
      </c>
      <c r="B16" s="272" t="s">
        <v>32</v>
      </c>
      <c r="C16" s="201"/>
      <c r="D16" s="201"/>
      <c r="E16" s="201"/>
      <c r="F16" s="201"/>
      <c r="G16" s="201"/>
      <c r="H16" s="201"/>
      <c r="I16" s="201"/>
      <c r="J16" s="201"/>
      <c r="K16" s="204"/>
      <c r="L16" s="273"/>
      <c r="M16" s="204"/>
      <c r="N16" s="273"/>
      <c r="O16" s="201"/>
      <c r="P16" s="20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>
      <c r="A17" s="12">
        <v>2</v>
      </c>
      <c r="B17" s="272" t="s">
        <v>33</v>
      </c>
      <c r="C17" s="201"/>
      <c r="D17" s="201"/>
      <c r="E17" s="201"/>
      <c r="F17" s="201"/>
      <c r="G17" s="201"/>
      <c r="H17" s="201"/>
      <c r="I17" s="201"/>
      <c r="J17" s="201"/>
      <c r="K17" s="204"/>
      <c r="L17" s="273"/>
      <c r="M17" s="204"/>
      <c r="N17" s="273"/>
      <c r="O17" s="201"/>
      <c r="P17" s="20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>
      <c r="A18" s="11">
        <v>3</v>
      </c>
      <c r="B18" s="272" t="s">
        <v>34</v>
      </c>
      <c r="C18" s="201"/>
      <c r="D18" s="201"/>
      <c r="E18" s="201"/>
      <c r="F18" s="201"/>
      <c r="G18" s="201"/>
      <c r="H18" s="201"/>
      <c r="I18" s="201"/>
      <c r="J18" s="201"/>
      <c r="K18" s="204"/>
      <c r="L18" s="273"/>
      <c r="M18" s="204"/>
      <c r="N18" s="273"/>
      <c r="O18" s="201"/>
      <c r="P18" s="20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>
      <c r="A19" s="12">
        <v>4</v>
      </c>
      <c r="B19" s="272" t="s">
        <v>35</v>
      </c>
      <c r="C19" s="201"/>
      <c r="D19" s="201"/>
      <c r="E19" s="201"/>
      <c r="F19" s="201"/>
      <c r="G19" s="201"/>
      <c r="H19" s="201"/>
      <c r="I19" s="201"/>
      <c r="J19" s="201"/>
      <c r="K19" s="204"/>
      <c r="L19" s="273"/>
      <c r="M19" s="204"/>
      <c r="N19" s="273"/>
      <c r="O19" s="201"/>
      <c r="P19" s="20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>
      <c r="A20" s="11">
        <v>5</v>
      </c>
      <c r="B20" s="272" t="s">
        <v>36</v>
      </c>
      <c r="C20" s="201"/>
      <c r="D20" s="201"/>
      <c r="E20" s="201"/>
      <c r="F20" s="201"/>
      <c r="G20" s="201"/>
      <c r="H20" s="201"/>
      <c r="I20" s="201"/>
      <c r="J20" s="201"/>
      <c r="K20" s="204"/>
      <c r="L20" s="273"/>
      <c r="M20" s="204"/>
      <c r="N20" s="273"/>
      <c r="O20" s="201"/>
      <c r="P20" s="20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>
      <c r="A21" s="11">
        <v>6</v>
      </c>
      <c r="B21" s="272" t="s">
        <v>37</v>
      </c>
      <c r="C21" s="201"/>
      <c r="D21" s="201"/>
      <c r="E21" s="201"/>
      <c r="F21" s="201"/>
      <c r="G21" s="201"/>
      <c r="H21" s="201"/>
      <c r="I21" s="201"/>
      <c r="J21" s="201"/>
      <c r="K21" s="204"/>
      <c r="L21" s="273"/>
      <c r="M21" s="204"/>
      <c r="N21" s="273"/>
      <c r="O21" s="201"/>
      <c r="P21" s="20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>
      <c r="A22" s="11">
        <v>7</v>
      </c>
      <c r="B22" s="272" t="s">
        <v>38</v>
      </c>
      <c r="C22" s="201"/>
      <c r="D22" s="201"/>
      <c r="E22" s="201"/>
      <c r="F22" s="201"/>
      <c r="G22" s="201"/>
      <c r="H22" s="201"/>
      <c r="I22" s="201"/>
      <c r="J22" s="201"/>
      <c r="K22" s="204"/>
      <c r="L22" s="273"/>
      <c r="M22" s="204"/>
      <c r="N22" s="273"/>
      <c r="O22" s="201"/>
      <c r="P22" s="20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>
      <c r="A23" s="11">
        <v>8</v>
      </c>
      <c r="B23" s="272" t="s">
        <v>39</v>
      </c>
      <c r="C23" s="201"/>
      <c r="D23" s="201"/>
      <c r="E23" s="201"/>
      <c r="F23" s="201"/>
      <c r="G23" s="201"/>
      <c r="H23" s="201"/>
      <c r="I23" s="201"/>
      <c r="J23" s="201"/>
      <c r="K23" s="204"/>
      <c r="L23" s="273"/>
      <c r="M23" s="204"/>
      <c r="N23" s="273"/>
      <c r="O23" s="201"/>
      <c r="P23" s="20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>
      <c r="A24" s="12">
        <v>9</v>
      </c>
      <c r="B24" s="272" t="s">
        <v>40</v>
      </c>
      <c r="C24" s="201"/>
      <c r="D24" s="201"/>
      <c r="E24" s="201"/>
      <c r="F24" s="201"/>
      <c r="G24" s="201"/>
      <c r="H24" s="201"/>
      <c r="I24" s="201"/>
      <c r="J24" s="201"/>
      <c r="K24" s="204"/>
      <c r="L24" s="273"/>
      <c r="M24" s="204"/>
      <c r="N24" s="273"/>
      <c r="O24" s="201"/>
      <c r="P24" s="20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>
      <c r="A25" s="11">
        <v>10</v>
      </c>
      <c r="B25" s="272" t="s">
        <v>41</v>
      </c>
      <c r="C25" s="201"/>
      <c r="D25" s="201"/>
      <c r="E25" s="201"/>
      <c r="F25" s="201"/>
      <c r="G25" s="201"/>
      <c r="H25" s="201"/>
      <c r="I25" s="201"/>
      <c r="J25" s="201"/>
      <c r="K25" s="204"/>
      <c r="L25" s="273"/>
      <c r="M25" s="204"/>
      <c r="N25" s="273"/>
      <c r="O25" s="201"/>
      <c r="P25" s="20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>
      <c r="A26" s="11">
        <v>11</v>
      </c>
      <c r="B26" s="272" t="s">
        <v>42</v>
      </c>
      <c r="C26" s="201"/>
      <c r="D26" s="201"/>
      <c r="E26" s="201"/>
      <c r="F26" s="201"/>
      <c r="G26" s="201"/>
      <c r="H26" s="201"/>
      <c r="I26" s="201"/>
      <c r="J26" s="201"/>
      <c r="K26" s="204"/>
      <c r="L26" s="273"/>
      <c r="M26" s="204"/>
      <c r="N26" s="273"/>
      <c r="O26" s="201"/>
      <c r="P26" s="20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>
      <c r="A27" s="11">
        <v>12</v>
      </c>
      <c r="B27" s="272" t="s">
        <v>43</v>
      </c>
      <c r="C27" s="201"/>
      <c r="D27" s="201"/>
      <c r="E27" s="201"/>
      <c r="F27" s="201"/>
      <c r="G27" s="201"/>
      <c r="H27" s="201"/>
      <c r="I27" s="201"/>
      <c r="J27" s="201"/>
      <c r="K27" s="204"/>
      <c r="L27" s="273"/>
      <c r="M27" s="204"/>
      <c r="N27" s="273"/>
      <c r="O27" s="201"/>
      <c r="P27" s="20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>
      <c r="A28" s="12">
        <v>13</v>
      </c>
      <c r="B28" s="272" t="s">
        <v>44</v>
      </c>
      <c r="C28" s="201"/>
      <c r="D28" s="201"/>
      <c r="E28" s="201"/>
      <c r="F28" s="201"/>
      <c r="G28" s="201"/>
      <c r="H28" s="201"/>
      <c r="I28" s="201"/>
      <c r="J28" s="201"/>
      <c r="K28" s="204"/>
      <c r="L28" s="273"/>
      <c r="M28" s="204"/>
      <c r="N28" s="273"/>
      <c r="O28" s="201"/>
      <c r="P28" s="20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>
      <c r="A29" s="274" t="s">
        <v>45</v>
      </c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20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275" t="s">
        <v>46</v>
      </c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4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>
      <c r="A31" s="270"/>
      <c r="B31" s="201"/>
      <c r="C31" s="201"/>
      <c r="D31" s="201"/>
      <c r="E31" s="201"/>
      <c r="F31" s="201"/>
      <c r="G31" s="201"/>
      <c r="H31" s="201"/>
      <c r="I31" s="201"/>
      <c r="J31" s="204"/>
      <c r="K31" s="276"/>
      <c r="L31" s="201"/>
      <c r="M31" s="201"/>
      <c r="N31" s="201"/>
      <c r="O31" s="201"/>
      <c r="P31" s="204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>
      <c r="A32" s="269" t="s">
        <v>47</v>
      </c>
      <c r="B32" s="201"/>
      <c r="C32" s="201"/>
      <c r="D32" s="201"/>
      <c r="E32" s="201"/>
      <c r="F32" s="201"/>
      <c r="G32" s="201"/>
      <c r="H32" s="201"/>
      <c r="I32" s="201"/>
      <c r="J32" s="204"/>
      <c r="K32" s="273" t="s">
        <v>48</v>
      </c>
      <c r="L32" s="201"/>
      <c r="M32" s="201"/>
      <c r="N32" s="201"/>
      <c r="O32" s="201"/>
      <c r="P32" s="204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>
      <c r="A33" s="275" t="s">
        <v>49</v>
      </c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4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>
      <c r="A34" s="277" t="s">
        <v>50</v>
      </c>
      <c r="B34" s="201"/>
      <c r="C34" s="201"/>
      <c r="D34" s="201"/>
      <c r="E34" s="201"/>
      <c r="F34" s="201"/>
      <c r="G34" s="204"/>
      <c r="H34" s="278"/>
      <c r="I34" s="201"/>
      <c r="J34" s="201"/>
      <c r="K34" s="201"/>
      <c r="L34" s="201"/>
      <c r="M34" s="201"/>
      <c r="N34" s="201"/>
      <c r="O34" s="201"/>
      <c r="P34" s="204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>
      <c r="A35" s="269" t="s">
        <v>51</v>
      </c>
      <c r="B35" s="201"/>
      <c r="C35" s="201"/>
      <c r="D35" s="201"/>
      <c r="E35" s="201"/>
      <c r="F35" s="201"/>
      <c r="G35" s="204"/>
      <c r="H35" s="270"/>
      <c r="I35" s="201"/>
      <c r="J35" s="201"/>
      <c r="K35" s="201"/>
      <c r="L35" s="201"/>
      <c r="M35" s="201"/>
      <c r="N35" s="201"/>
      <c r="O35" s="201"/>
      <c r="P35" s="204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2"/>
      <c r="L36" s="2"/>
      <c r="M36" s="14"/>
      <c r="N36" s="15"/>
      <c r="O36" s="15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71" t="s">
        <v>52</v>
      </c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4"/>
      <c r="N38" s="15"/>
      <c r="O38" s="15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4"/>
      <c r="N39" s="15"/>
      <c r="O39" s="15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4"/>
      <c r="N40" s="15"/>
      <c r="O40" s="1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4"/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4"/>
      <c r="N42" s="15"/>
      <c r="O42" s="1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4"/>
      <c r="N43" s="15"/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4"/>
      <c r="N44" s="15"/>
      <c r="O44" s="1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4"/>
      <c r="N45" s="15"/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4"/>
      <c r="N46" s="15"/>
      <c r="O46" s="1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4"/>
      <c r="N47" s="15"/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4"/>
      <c r="N48" s="15"/>
      <c r="O48" s="1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4"/>
      <c r="N49" s="15"/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4"/>
      <c r="N50" s="15"/>
      <c r="O50" s="1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4"/>
      <c r="N51" s="15"/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4"/>
      <c r="N52" s="15"/>
      <c r="O52" s="1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4"/>
      <c r="N53" s="15"/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4"/>
      <c r="N54" s="15"/>
      <c r="O54" s="1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4"/>
      <c r="N55" s="15"/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4"/>
      <c r="N56" s="15"/>
      <c r="O56" s="1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4"/>
      <c r="N57" s="15"/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4"/>
      <c r="N58" s="15"/>
      <c r="O58" s="1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4"/>
      <c r="N59" s="15"/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4"/>
      <c r="N60" s="15"/>
      <c r="O60" s="1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4"/>
      <c r="N61" s="15"/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4"/>
      <c r="N62" s="15"/>
      <c r="O62" s="1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4"/>
      <c r="N63" s="15"/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4"/>
      <c r="N64" s="15"/>
      <c r="O64" s="1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4"/>
      <c r="N65" s="15"/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4"/>
      <c r="N66" s="15"/>
      <c r="O66" s="1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4"/>
      <c r="N67" s="15"/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4"/>
      <c r="N68" s="15"/>
      <c r="O68" s="1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4"/>
      <c r="N69" s="15"/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4"/>
      <c r="N70" s="15"/>
      <c r="O70" s="1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4"/>
      <c r="N71" s="15"/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4"/>
      <c r="N72" s="15"/>
      <c r="O72" s="1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4"/>
      <c r="N73" s="15"/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4"/>
      <c r="N74" s="15"/>
      <c r="O74" s="1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4"/>
      <c r="N75" s="15"/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4"/>
      <c r="N76" s="15"/>
      <c r="O76" s="1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4"/>
      <c r="N77" s="15"/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4"/>
      <c r="N78" s="15"/>
      <c r="O78" s="1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4"/>
      <c r="N79" s="15"/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4"/>
      <c r="N80" s="15"/>
      <c r="O80" s="1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4"/>
      <c r="N81" s="15"/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4"/>
      <c r="N82" s="15"/>
      <c r="O82" s="1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4"/>
      <c r="N83" s="15"/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4"/>
      <c r="N84" s="15"/>
      <c r="O84" s="1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4"/>
      <c r="N85" s="15"/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4"/>
      <c r="N86" s="15"/>
      <c r="O86" s="1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4"/>
      <c r="N87" s="15"/>
      <c r="O87" s="1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4"/>
      <c r="N88" s="15"/>
      <c r="O88" s="1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4"/>
      <c r="N89" s="15"/>
      <c r="O89" s="1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4"/>
      <c r="N90" s="15"/>
      <c r="O90" s="1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4"/>
      <c r="N91" s="15"/>
      <c r="O91" s="1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4"/>
      <c r="N92" s="15"/>
      <c r="O92" s="1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4"/>
      <c r="N93" s="15"/>
      <c r="O93" s="1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4"/>
      <c r="N94" s="15"/>
      <c r="O94" s="1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4"/>
      <c r="N95" s="15"/>
      <c r="O95" s="1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4"/>
      <c r="N96" s="15"/>
      <c r="O96" s="1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4"/>
      <c r="N97" s="15"/>
      <c r="O97" s="1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4"/>
      <c r="N98" s="15"/>
      <c r="O98" s="1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4"/>
      <c r="N99" s="15"/>
      <c r="O99" s="1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4"/>
      <c r="N100" s="15"/>
      <c r="O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4"/>
      <c r="N101" s="15"/>
      <c r="O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4"/>
      <c r="N102" s="15"/>
      <c r="O102" s="1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4"/>
      <c r="N103" s="15"/>
      <c r="O103" s="1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4"/>
      <c r="N104" s="15"/>
      <c r="O104" s="1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4"/>
      <c r="N105" s="15"/>
      <c r="O105" s="1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4"/>
      <c r="N106" s="15"/>
      <c r="O106" s="1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4"/>
      <c r="N107" s="15"/>
      <c r="O107" s="1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4"/>
      <c r="N108" s="15"/>
      <c r="O108" s="1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4"/>
      <c r="N109" s="15"/>
      <c r="O109" s="1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4"/>
      <c r="N110" s="15"/>
      <c r="O110" s="1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4"/>
      <c r="N111" s="15"/>
      <c r="O111" s="1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4"/>
      <c r="N112" s="15"/>
      <c r="O112" s="1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4"/>
      <c r="N113" s="15"/>
      <c r="O113" s="1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4"/>
      <c r="N114" s="15"/>
      <c r="O114" s="1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4"/>
      <c r="N115" s="15"/>
      <c r="O115" s="1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4"/>
      <c r="N116" s="15"/>
      <c r="O116" s="1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4"/>
      <c r="N117" s="15"/>
      <c r="O117" s="1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4"/>
      <c r="N118" s="15"/>
      <c r="O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4"/>
      <c r="N119" s="15"/>
      <c r="O119" s="1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4"/>
      <c r="N120" s="15"/>
      <c r="O120" s="1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4"/>
      <c r="N121" s="15"/>
      <c r="O121" s="1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4"/>
      <c r="N122" s="15"/>
      <c r="O122" s="1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4"/>
      <c r="N123" s="15"/>
      <c r="O123" s="1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4"/>
      <c r="N124" s="15"/>
      <c r="O124" s="1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4"/>
      <c r="N125" s="15"/>
      <c r="O125" s="1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4"/>
      <c r="N126" s="15"/>
      <c r="O126" s="1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4"/>
      <c r="N127" s="15"/>
      <c r="O127" s="1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4"/>
      <c r="N128" s="15"/>
      <c r="O128" s="1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4"/>
      <c r="N129" s="15"/>
      <c r="O129" s="1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4"/>
      <c r="N130" s="15"/>
      <c r="O130" s="1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4"/>
      <c r="N131" s="15"/>
      <c r="O131" s="1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4"/>
      <c r="N132" s="15"/>
      <c r="O132" s="1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4"/>
      <c r="N133" s="15"/>
      <c r="O133" s="1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4"/>
      <c r="N134" s="15"/>
      <c r="O134" s="1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4"/>
      <c r="N135" s="15"/>
      <c r="O135" s="1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4"/>
      <c r="N136" s="15"/>
      <c r="O136" s="1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4"/>
      <c r="N137" s="15"/>
      <c r="O137" s="1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4"/>
      <c r="N138" s="15"/>
      <c r="O138" s="1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4"/>
      <c r="N139" s="15"/>
      <c r="O139" s="1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4"/>
      <c r="N140" s="15"/>
      <c r="O140" s="1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4"/>
      <c r="N141" s="15"/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4"/>
      <c r="N142" s="15"/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4"/>
      <c r="N143" s="15"/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4"/>
      <c r="N144" s="15"/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4"/>
      <c r="N145" s="15"/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4"/>
      <c r="N146" s="15"/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4"/>
      <c r="N147" s="15"/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4"/>
      <c r="N148" s="15"/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4"/>
      <c r="N149" s="15"/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4"/>
      <c r="N150" s="15"/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4"/>
      <c r="N151" s="15"/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4"/>
      <c r="N152" s="15"/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4"/>
      <c r="N153" s="15"/>
      <c r="O153" s="1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4"/>
      <c r="N154" s="15"/>
      <c r="O154" s="1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4"/>
      <c r="N155" s="15"/>
      <c r="O155" s="1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4"/>
      <c r="N156" s="15"/>
      <c r="O156" s="1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4"/>
      <c r="N157" s="15"/>
      <c r="O157" s="1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4"/>
      <c r="N158" s="15"/>
      <c r="O158" s="1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4"/>
      <c r="N159" s="15"/>
      <c r="O159" s="1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4"/>
      <c r="N160" s="15"/>
      <c r="O160" s="1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4"/>
      <c r="N161" s="15"/>
      <c r="O161" s="1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4"/>
      <c r="N162" s="15"/>
      <c r="O162" s="1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4"/>
      <c r="N163" s="15"/>
      <c r="O163" s="1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4"/>
      <c r="N164" s="15"/>
      <c r="O164" s="1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4"/>
      <c r="N165" s="15"/>
      <c r="O165" s="1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4"/>
      <c r="N166" s="15"/>
      <c r="O166" s="1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4"/>
      <c r="N167" s="15"/>
      <c r="O167" s="1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4"/>
      <c r="N168" s="15"/>
      <c r="O168" s="1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4"/>
      <c r="N169" s="15"/>
      <c r="O169" s="1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4"/>
      <c r="N170" s="15"/>
      <c r="O170" s="1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4"/>
      <c r="N171" s="15"/>
      <c r="O171" s="1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4"/>
      <c r="N172" s="15"/>
      <c r="O172" s="1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4"/>
      <c r="N173" s="15"/>
      <c r="O173" s="1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4"/>
      <c r="N174" s="15"/>
      <c r="O174" s="1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4"/>
      <c r="N175" s="15"/>
      <c r="O175" s="1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4"/>
      <c r="N176" s="15"/>
      <c r="O176" s="1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4"/>
      <c r="N177" s="15"/>
      <c r="O177" s="1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4"/>
      <c r="N178" s="15"/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4"/>
      <c r="N179" s="15"/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4"/>
      <c r="N180" s="15"/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4"/>
      <c r="N181" s="15"/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4"/>
      <c r="N182" s="15"/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4"/>
      <c r="N183" s="15"/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4"/>
      <c r="N184" s="15"/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4"/>
      <c r="N185" s="15"/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4"/>
      <c r="N186" s="15"/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4"/>
      <c r="N187" s="15"/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4"/>
      <c r="N188" s="15"/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4"/>
      <c r="N189" s="15"/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4"/>
      <c r="N190" s="15"/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4"/>
      <c r="N191" s="15"/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4"/>
      <c r="N192" s="15"/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4"/>
      <c r="N193" s="15"/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4"/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4"/>
      <c r="N195" s="15"/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4"/>
      <c r="N196" s="15"/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4"/>
      <c r="N197" s="15"/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4"/>
      <c r="N198" s="15"/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4"/>
      <c r="N199" s="15"/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4"/>
      <c r="N200" s="15"/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4"/>
      <c r="N201" s="15"/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4"/>
      <c r="N202" s="15"/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4"/>
      <c r="N203" s="15"/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4"/>
      <c r="N204" s="15"/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4"/>
      <c r="N205" s="15"/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4"/>
      <c r="N206" s="15"/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4"/>
      <c r="N207" s="15"/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4"/>
      <c r="N208" s="15"/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4"/>
      <c r="N209" s="15"/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4"/>
      <c r="N210" s="15"/>
      <c r="O210" s="1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4"/>
      <c r="N211" s="15"/>
      <c r="O211" s="1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4"/>
      <c r="N212" s="15"/>
      <c r="O212" s="1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4"/>
      <c r="N213" s="15"/>
      <c r="O213" s="1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4"/>
      <c r="N214" s="15"/>
      <c r="O214" s="1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4"/>
      <c r="N215" s="15"/>
      <c r="O215" s="1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4"/>
      <c r="N216" s="15"/>
      <c r="O216" s="1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4"/>
      <c r="N217" s="15"/>
      <c r="O217" s="1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4"/>
      <c r="N218" s="15"/>
      <c r="O218" s="1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4"/>
      <c r="N219" s="15"/>
      <c r="O219" s="15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4"/>
      <c r="N220" s="15"/>
      <c r="O220" s="15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4"/>
      <c r="N221" s="15"/>
      <c r="O221" s="15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4"/>
      <c r="N222" s="15"/>
      <c r="O222" s="15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4"/>
      <c r="N223" s="15"/>
      <c r="O223" s="15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4"/>
      <c r="N224" s="15"/>
      <c r="O224" s="15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4"/>
      <c r="N225" s="15"/>
      <c r="O225" s="15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4"/>
      <c r="N226" s="15"/>
      <c r="O226" s="15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4"/>
      <c r="N227" s="15"/>
      <c r="O227" s="15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4"/>
      <c r="N228" s="15"/>
      <c r="O228" s="1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4"/>
      <c r="N229" s="15"/>
      <c r="O229" s="15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4"/>
      <c r="N230" s="15"/>
      <c r="O230" s="15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4"/>
      <c r="N231" s="15"/>
      <c r="O231" s="15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4"/>
      <c r="N232" s="15"/>
      <c r="O232" s="15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4"/>
      <c r="N233" s="15"/>
      <c r="O233" s="1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4"/>
      <c r="N234" s="15"/>
      <c r="O234" s="15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4"/>
      <c r="N235" s="15"/>
      <c r="O235" s="15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4"/>
      <c r="N236" s="15"/>
      <c r="O236" s="15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4"/>
      <c r="N237" s="15"/>
      <c r="O237" s="15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9:E9"/>
    <mergeCell ref="A10:E10"/>
    <mergeCell ref="A11:E11"/>
    <mergeCell ref="A12:E12"/>
    <mergeCell ref="A7:E7"/>
    <mergeCell ref="F7:O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</mergeCells>
  <pageMargins left="0.23622047244094491" right="0.23622047244094491" top="0.39370078740157483" bottom="0.74803149606299213" header="0" footer="0"/>
  <pageSetup paperSize="3"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>
      <c r="A1" s="261"/>
      <c r="B1" s="219"/>
      <c r="C1" s="306"/>
      <c r="D1" s="308" t="s">
        <v>0</v>
      </c>
      <c r="E1" s="219"/>
      <c r="F1" s="219"/>
      <c r="G1" s="219"/>
      <c r="H1" s="219"/>
      <c r="I1" s="219"/>
      <c r="J1" s="219"/>
      <c r="K1" s="219"/>
      <c r="L1" s="306"/>
      <c r="M1" s="292" t="s">
        <v>1</v>
      </c>
      <c r="N1" s="248"/>
      <c r="O1" s="292" t="s">
        <v>53</v>
      </c>
      <c r="P1" s="224"/>
    </row>
    <row r="2" spans="1:19" ht="15" customHeight="1">
      <c r="A2" s="264"/>
      <c r="B2" s="213"/>
      <c r="C2" s="251"/>
      <c r="D2" s="290"/>
      <c r="E2" s="230"/>
      <c r="F2" s="230"/>
      <c r="G2" s="230"/>
      <c r="H2" s="230"/>
      <c r="I2" s="230"/>
      <c r="J2" s="230"/>
      <c r="K2" s="230"/>
      <c r="L2" s="291"/>
      <c r="M2" s="273" t="s">
        <v>3</v>
      </c>
      <c r="N2" s="204"/>
      <c r="O2" s="309">
        <v>1</v>
      </c>
      <c r="P2" s="202"/>
    </row>
    <row r="3" spans="1:19" ht="15.75" customHeight="1">
      <c r="A3" s="264"/>
      <c r="B3" s="213"/>
      <c r="C3" s="251"/>
      <c r="D3" s="295" t="s">
        <v>54</v>
      </c>
      <c r="E3" s="208"/>
      <c r="F3" s="208"/>
      <c r="G3" s="208"/>
      <c r="H3" s="208"/>
      <c r="I3" s="208"/>
      <c r="J3" s="208"/>
      <c r="K3" s="208"/>
      <c r="L3" s="288"/>
      <c r="M3" s="273" t="s">
        <v>5</v>
      </c>
      <c r="N3" s="204"/>
      <c r="O3" s="273" t="s">
        <v>6</v>
      </c>
      <c r="P3" s="202"/>
      <c r="Q3" s="13"/>
      <c r="R3" s="13"/>
      <c r="S3" s="13"/>
    </row>
    <row r="4" spans="1:19" ht="15.75" customHeight="1">
      <c r="A4" s="264"/>
      <c r="B4" s="213"/>
      <c r="C4" s="251"/>
      <c r="D4" s="289"/>
      <c r="E4" s="213"/>
      <c r="F4" s="213"/>
      <c r="G4" s="213"/>
      <c r="H4" s="213"/>
      <c r="I4" s="213"/>
      <c r="J4" s="213"/>
      <c r="K4" s="213"/>
      <c r="L4" s="251"/>
      <c r="M4" s="310" t="s">
        <v>7</v>
      </c>
      <c r="N4" s="251"/>
      <c r="O4" s="262" t="s">
        <v>8</v>
      </c>
      <c r="P4" s="202"/>
      <c r="Q4" s="13"/>
      <c r="R4" s="13"/>
      <c r="S4" s="13"/>
    </row>
    <row r="5" spans="1:19" ht="15.75" customHeight="1">
      <c r="A5" s="307"/>
      <c r="B5" s="230"/>
      <c r="C5" s="291"/>
      <c r="D5" s="290"/>
      <c r="E5" s="230"/>
      <c r="F5" s="230"/>
      <c r="G5" s="230"/>
      <c r="H5" s="230"/>
      <c r="I5" s="230"/>
      <c r="J5" s="230"/>
      <c r="K5" s="230"/>
      <c r="L5" s="291"/>
      <c r="M5" s="290"/>
      <c r="N5" s="291"/>
      <c r="O5" s="263" t="s">
        <v>9</v>
      </c>
      <c r="P5" s="202"/>
      <c r="Q5" s="13"/>
      <c r="R5" s="13"/>
      <c r="S5" s="13"/>
    </row>
    <row r="6" spans="1:19" ht="12" customHeight="1">
      <c r="A6" s="301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51"/>
      <c r="Q6" s="13"/>
      <c r="R6" s="13"/>
      <c r="S6" s="13"/>
    </row>
    <row r="7" spans="1:19" ht="30" customHeight="1">
      <c r="A7" s="255" t="s">
        <v>10</v>
      </c>
      <c r="B7" s="201"/>
      <c r="C7" s="201"/>
      <c r="D7" s="201"/>
      <c r="E7" s="201"/>
      <c r="F7" s="204"/>
      <c r="G7" s="254" t="str">
        <f>'LISTA CHEQUEO'!F7</f>
        <v>CONTORNO DE OJOS RETINALDEHIDO 0.05%</v>
      </c>
      <c r="H7" s="201"/>
      <c r="I7" s="201"/>
      <c r="J7" s="201"/>
      <c r="K7" s="201"/>
      <c r="L7" s="201"/>
      <c r="M7" s="201"/>
      <c r="N7" s="201"/>
      <c r="O7" s="201"/>
      <c r="P7" s="202"/>
      <c r="Q7" s="13"/>
      <c r="R7" s="13"/>
      <c r="S7" s="13"/>
    </row>
    <row r="8" spans="1:19" ht="30" customHeight="1">
      <c r="A8" s="302" t="s">
        <v>21</v>
      </c>
      <c r="B8" s="303"/>
      <c r="C8" s="303"/>
      <c r="D8" s="303"/>
      <c r="E8" s="303"/>
      <c r="F8" s="303"/>
      <c r="G8" s="240" t="str">
        <f>'LISTA CHEQUEO'!F11</f>
        <v>NSOC37029-25CO</v>
      </c>
      <c r="H8" s="233"/>
      <c r="I8" s="233"/>
      <c r="J8" s="233"/>
      <c r="K8" s="234"/>
      <c r="L8" s="304" t="s">
        <v>55</v>
      </c>
      <c r="M8" s="305"/>
      <c r="N8" s="286" t="str">
        <f>'LISTA CHEQUEO'!F8</f>
        <v>252581</v>
      </c>
      <c r="O8" s="201"/>
      <c r="P8" s="204"/>
      <c r="Q8" s="13"/>
      <c r="R8" s="13"/>
      <c r="S8" s="13"/>
    </row>
    <row r="9" spans="1:19" ht="30" customHeight="1">
      <c r="A9" s="296" t="s">
        <v>56</v>
      </c>
      <c r="B9" s="297"/>
      <c r="C9" s="297"/>
      <c r="D9" s="297"/>
      <c r="E9" s="297"/>
      <c r="F9" s="297"/>
      <c r="G9" s="240" t="str">
        <f>'LISTA CHEQUEO'!F12</f>
        <v>EMULSION</v>
      </c>
      <c r="H9" s="233"/>
      <c r="I9" s="233"/>
      <c r="J9" s="233"/>
      <c r="K9" s="234"/>
      <c r="L9" s="298" t="s">
        <v>57</v>
      </c>
      <c r="M9" s="242"/>
      <c r="N9" s="254" t="str">
        <f>'LISTA CHEQUEO'!M8</f>
        <v>OP-SS-126</v>
      </c>
      <c r="O9" s="201"/>
      <c r="P9" s="202"/>
      <c r="Q9" s="13"/>
      <c r="R9" s="13"/>
      <c r="S9" s="13"/>
    </row>
    <row r="10" spans="1:19" ht="30" customHeight="1">
      <c r="A10" s="255" t="s">
        <v>58</v>
      </c>
      <c r="B10" s="201"/>
      <c r="C10" s="201"/>
      <c r="D10" s="201"/>
      <c r="E10" s="201"/>
      <c r="F10" s="204"/>
      <c r="G10" s="299">
        <f>'LISTA CHEQUEO'!M9</f>
        <v>15</v>
      </c>
      <c r="H10" s="201"/>
      <c r="I10" s="201"/>
      <c r="J10" s="201"/>
      <c r="K10" s="204"/>
      <c r="L10" s="275" t="s">
        <v>59</v>
      </c>
      <c r="M10" s="204"/>
      <c r="N10" s="300"/>
      <c r="O10" s="201"/>
      <c r="P10" s="204"/>
      <c r="Q10" s="13"/>
      <c r="R10" s="13"/>
      <c r="S10" s="13"/>
    </row>
    <row r="11" spans="1:19" ht="12" customHeight="1">
      <c r="A11" s="277"/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4"/>
      <c r="Q11" s="13"/>
      <c r="R11" s="13"/>
      <c r="S11" s="13"/>
    </row>
    <row r="12" spans="1:19" ht="42.75" customHeight="1">
      <c r="A12" s="319" t="s">
        <v>60</v>
      </c>
      <c r="B12" s="303"/>
      <c r="C12" s="303"/>
      <c r="D12" s="303"/>
      <c r="E12" s="303"/>
      <c r="F12" s="303"/>
      <c r="G12" s="320"/>
      <c r="H12" s="230"/>
      <c r="I12" s="230"/>
      <c r="J12" s="230"/>
      <c r="K12" s="230"/>
      <c r="L12" s="230"/>
      <c r="M12" s="230"/>
      <c r="N12" s="230"/>
      <c r="O12" s="230"/>
      <c r="P12" s="291"/>
      <c r="Q12" s="13"/>
      <c r="R12" s="13"/>
      <c r="S12" s="13"/>
    </row>
    <row r="13" spans="1:19" ht="43.5" customHeight="1">
      <c r="A13" s="256" t="s">
        <v>61</v>
      </c>
      <c r="B13" s="201"/>
      <c r="C13" s="201"/>
      <c r="D13" s="201"/>
      <c r="E13" s="201"/>
      <c r="F13" s="204"/>
      <c r="G13" s="256" t="s">
        <v>62</v>
      </c>
      <c r="H13" s="204"/>
      <c r="I13" s="256" t="s">
        <v>63</v>
      </c>
      <c r="J13" s="204"/>
      <c r="K13" s="256" t="s">
        <v>64</v>
      </c>
      <c r="L13" s="204"/>
      <c r="M13" s="256" t="s">
        <v>65</v>
      </c>
      <c r="N13" s="204"/>
      <c r="O13" s="256" t="s">
        <v>66</v>
      </c>
      <c r="P13" s="204"/>
      <c r="Q13" s="13"/>
      <c r="R13" s="13"/>
      <c r="S13" s="13"/>
    </row>
    <row r="14" spans="1:19" ht="24.75" customHeight="1">
      <c r="A14" s="316" t="s">
        <v>67</v>
      </c>
      <c r="B14" s="201"/>
      <c r="C14" s="201"/>
      <c r="D14" s="201"/>
      <c r="E14" s="201"/>
      <c r="F14" s="204"/>
      <c r="G14" s="318"/>
      <c r="H14" s="204"/>
      <c r="I14" s="318"/>
      <c r="J14" s="204"/>
      <c r="K14" s="318"/>
      <c r="L14" s="204"/>
      <c r="M14" s="318"/>
      <c r="N14" s="204"/>
      <c r="O14" s="318"/>
      <c r="P14" s="204"/>
      <c r="Q14" s="13"/>
      <c r="R14" s="13"/>
      <c r="S14" s="13"/>
    </row>
    <row r="15" spans="1:19" ht="27.75" customHeight="1">
      <c r="A15" s="316" t="s">
        <v>68</v>
      </c>
      <c r="B15" s="201"/>
      <c r="C15" s="201"/>
      <c r="D15" s="201"/>
      <c r="E15" s="201"/>
      <c r="F15" s="204"/>
      <c r="G15" s="315"/>
      <c r="H15" s="204"/>
      <c r="I15" s="315"/>
      <c r="J15" s="204"/>
      <c r="K15" s="315"/>
      <c r="L15" s="204"/>
      <c r="M15" s="315"/>
      <c r="N15" s="204"/>
      <c r="O15" s="315"/>
      <c r="P15" s="204"/>
      <c r="Q15" s="13"/>
      <c r="R15" s="13"/>
      <c r="S15" s="13"/>
    </row>
    <row r="16" spans="1:19" ht="16.5" customHeight="1">
      <c r="A16" s="317" t="s">
        <v>69</v>
      </c>
      <c r="B16" s="208"/>
      <c r="C16" s="208"/>
      <c r="D16" s="208"/>
      <c r="E16" s="208"/>
      <c r="F16" s="288"/>
      <c r="G16" s="17" t="s">
        <v>70</v>
      </c>
      <c r="H16" s="17" t="s">
        <v>71</v>
      </c>
      <c r="I16" s="17" t="s">
        <v>70</v>
      </c>
      <c r="J16" s="17" t="s">
        <v>71</v>
      </c>
      <c r="K16" s="17" t="s">
        <v>70</v>
      </c>
      <c r="L16" s="17" t="s">
        <v>71</v>
      </c>
      <c r="M16" s="17" t="s">
        <v>70</v>
      </c>
      <c r="N16" s="17" t="s">
        <v>71</v>
      </c>
      <c r="O16" s="17" t="s">
        <v>70</v>
      </c>
      <c r="P16" s="17" t="s">
        <v>71</v>
      </c>
      <c r="Q16" s="13"/>
      <c r="R16" s="13"/>
      <c r="S16" s="13"/>
    </row>
    <row r="17" spans="1:19" ht="16.5" customHeight="1">
      <c r="A17" s="289"/>
      <c r="B17" s="213"/>
      <c r="C17" s="213"/>
      <c r="D17" s="213"/>
      <c r="E17" s="213"/>
      <c r="F17" s="251"/>
      <c r="G17" s="18"/>
      <c r="H17" s="18"/>
      <c r="I17" s="18"/>
      <c r="J17" s="18"/>
      <c r="K17" s="18"/>
      <c r="L17" s="18"/>
      <c r="M17" s="19"/>
      <c r="N17" s="19"/>
      <c r="O17" s="19"/>
      <c r="P17" s="19"/>
      <c r="Q17" s="13"/>
      <c r="R17" s="13"/>
      <c r="S17" s="13"/>
    </row>
    <row r="18" spans="1:19" ht="16.5" customHeight="1">
      <c r="A18" s="290"/>
      <c r="B18" s="230"/>
      <c r="C18" s="230"/>
      <c r="D18" s="230"/>
      <c r="E18" s="230"/>
      <c r="F18" s="291"/>
      <c r="G18" s="20" t="s">
        <v>72</v>
      </c>
      <c r="H18" s="20" t="s">
        <v>73</v>
      </c>
      <c r="I18" s="20" t="s">
        <v>72</v>
      </c>
      <c r="J18" s="20" t="s">
        <v>73</v>
      </c>
      <c r="K18" s="20" t="s">
        <v>72</v>
      </c>
      <c r="L18" s="20" t="s">
        <v>73</v>
      </c>
      <c r="M18" s="17" t="s">
        <v>72</v>
      </c>
      <c r="N18" s="17" t="s">
        <v>73</v>
      </c>
      <c r="O18" s="17" t="s">
        <v>72</v>
      </c>
      <c r="P18" s="17" t="s">
        <v>73</v>
      </c>
      <c r="Q18" s="13"/>
      <c r="R18" s="13"/>
      <c r="S18" s="13"/>
    </row>
    <row r="19" spans="1:19" ht="54" customHeight="1">
      <c r="A19" s="314" t="s">
        <v>74</v>
      </c>
      <c r="B19" s="201"/>
      <c r="C19" s="201"/>
      <c r="D19" s="201"/>
      <c r="E19" s="201"/>
      <c r="F19" s="204"/>
      <c r="G19" s="18"/>
      <c r="H19" s="18"/>
      <c r="I19" s="18"/>
      <c r="J19" s="18"/>
      <c r="K19" s="18"/>
      <c r="L19" s="18"/>
      <c r="M19" s="19"/>
      <c r="N19" s="19"/>
      <c r="O19" s="19"/>
      <c r="P19" s="19"/>
      <c r="Q19" s="13"/>
      <c r="R19" s="13"/>
      <c r="S19" s="13"/>
    </row>
    <row r="20" spans="1:19" ht="30.75" customHeight="1">
      <c r="A20" s="314" t="s">
        <v>75</v>
      </c>
      <c r="B20" s="201"/>
      <c r="C20" s="201"/>
      <c r="D20" s="201"/>
      <c r="E20" s="201"/>
      <c r="F20" s="204"/>
      <c r="G20" s="21"/>
      <c r="H20" s="21"/>
      <c r="I20" s="22"/>
      <c r="J20" s="22"/>
      <c r="K20" s="22"/>
      <c r="L20" s="22"/>
      <c r="M20" s="22"/>
      <c r="N20" s="23"/>
      <c r="O20" s="24"/>
      <c r="P20" s="24"/>
      <c r="Q20" s="13"/>
      <c r="R20" s="13"/>
      <c r="S20" s="13"/>
    </row>
    <row r="21" spans="1:19" ht="39" customHeight="1">
      <c r="A21" s="314" t="s">
        <v>76</v>
      </c>
      <c r="B21" s="201"/>
      <c r="C21" s="201"/>
      <c r="D21" s="201"/>
      <c r="E21" s="201"/>
      <c r="F21" s="204"/>
      <c r="G21" s="21"/>
      <c r="H21" s="21"/>
      <c r="I21" s="22"/>
      <c r="J21" s="22"/>
      <c r="K21" s="22"/>
      <c r="L21" s="22"/>
      <c r="M21" s="22"/>
      <c r="N21" s="23"/>
      <c r="O21" s="24"/>
      <c r="P21" s="24"/>
      <c r="Q21" s="13"/>
      <c r="R21" s="13"/>
      <c r="S21" s="13"/>
    </row>
    <row r="22" spans="1:19" ht="36.75" customHeight="1">
      <c r="A22" s="314" t="s">
        <v>77</v>
      </c>
      <c r="B22" s="201"/>
      <c r="C22" s="201"/>
      <c r="D22" s="201"/>
      <c r="E22" s="201"/>
      <c r="F22" s="204"/>
      <c r="G22" s="21"/>
      <c r="H22" s="21"/>
      <c r="I22" s="22"/>
      <c r="J22" s="22"/>
      <c r="K22" s="22"/>
      <c r="L22" s="22"/>
      <c r="M22" s="22"/>
      <c r="N22" s="23"/>
      <c r="O22" s="24"/>
      <c r="P22" s="24"/>
      <c r="Q22" s="13"/>
      <c r="R22" s="13"/>
      <c r="S22" s="13"/>
    </row>
    <row r="23" spans="1:19" ht="45" customHeight="1">
      <c r="A23" s="314" t="s">
        <v>78</v>
      </c>
      <c r="B23" s="201"/>
      <c r="C23" s="201"/>
      <c r="D23" s="201"/>
      <c r="E23" s="201"/>
      <c r="F23" s="204"/>
      <c r="G23" s="21"/>
      <c r="H23" s="21"/>
      <c r="I23" s="22"/>
      <c r="J23" s="22"/>
      <c r="K23" s="22"/>
      <c r="L23" s="22"/>
      <c r="M23" s="22"/>
      <c r="N23" s="23"/>
      <c r="O23" s="24"/>
      <c r="P23" s="24"/>
      <c r="Q23" s="13"/>
      <c r="R23" s="13"/>
      <c r="S23" s="13"/>
    </row>
    <row r="24" spans="1:19" ht="54" customHeight="1">
      <c r="A24" s="314" t="s">
        <v>79</v>
      </c>
      <c r="B24" s="201"/>
      <c r="C24" s="201"/>
      <c r="D24" s="201"/>
      <c r="E24" s="201"/>
      <c r="F24" s="204"/>
      <c r="G24" s="21"/>
      <c r="H24" s="21"/>
      <c r="I24" s="22"/>
      <c r="J24" s="22"/>
      <c r="K24" s="22"/>
      <c r="L24" s="22"/>
      <c r="M24" s="22"/>
      <c r="N24" s="23"/>
      <c r="O24" s="24"/>
      <c r="P24" s="24"/>
      <c r="Q24" s="13"/>
      <c r="R24" s="13"/>
      <c r="S24" s="13"/>
    </row>
    <row r="25" spans="1:19" ht="42" customHeight="1">
      <c r="A25" s="314" t="s">
        <v>80</v>
      </c>
      <c r="B25" s="201"/>
      <c r="C25" s="201"/>
      <c r="D25" s="201"/>
      <c r="E25" s="201"/>
      <c r="F25" s="204"/>
      <c r="G25" s="21"/>
      <c r="H25" s="21"/>
      <c r="I25" s="22"/>
      <c r="J25" s="22"/>
      <c r="K25" s="22"/>
      <c r="L25" s="22"/>
      <c r="M25" s="22"/>
      <c r="N25" s="23"/>
      <c r="O25" s="24"/>
      <c r="P25" s="24"/>
      <c r="Q25" s="13"/>
      <c r="R25" s="13"/>
      <c r="S25" s="13"/>
    </row>
    <row r="26" spans="1:19" ht="57.75" customHeight="1">
      <c r="A26" s="314" t="s">
        <v>81</v>
      </c>
      <c r="B26" s="201"/>
      <c r="C26" s="201"/>
      <c r="D26" s="201"/>
      <c r="E26" s="201"/>
      <c r="F26" s="204"/>
      <c r="G26" s="21"/>
      <c r="H26" s="21"/>
      <c r="I26" s="22"/>
      <c r="J26" s="22"/>
      <c r="K26" s="22"/>
      <c r="L26" s="22"/>
      <c r="M26" s="22"/>
      <c r="N26" s="23"/>
      <c r="O26" s="24"/>
      <c r="P26" s="24"/>
      <c r="Q26" s="13"/>
      <c r="R26" s="13"/>
      <c r="S26" s="13"/>
    </row>
    <row r="27" spans="1:19" ht="37.5" customHeight="1">
      <c r="A27" s="314" t="s">
        <v>82</v>
      </c>
      <c r="B27" s="201"/>
      <c r="C27" s="201"/>
      <c r="D27" s="201"/>
      <c r="E27" s="201"/>
      <c r="F27" s="204"/>
      <c r="G27" s="21"/>
      <c r="H27" s="21"/>
      <c r="I27" s="22"/>
      <c r="J27" s="22"/>
      <c r="K27" s="22"/>
      <c r="L27" s="22"/>
      <c r="M27" s="22"/>
      <c r="N27" s="23"/>
      <c r="O27" s="24"/>
      <c r="P27" s="24"/>
      <c r="Q27" s="13"/>
      <c r="R27" s="13"/>
      <c r="S27" s="13"/>
    </row>
    <row r="28" spans="1:19" ht="41.25" customHeight="1">
      <c r="A28" s="314" t="s">
        <v>83</v>
      </c>
      <c r="B28" s="201"/>
      <c r="C28" s="201"/>
      <c r="D28" s="201"/>
      <c r="E28" s="201"/>
      <c r="F28" s="204"/>
      <c r="G28" s="21"/>
      <c r="H28" s="21"/>
      <c r="I28" s="22"/>
      <c r="J28" s="22"/>
      <c r="K28" s="22"/>
      <c r="L28" s="22"/>
      <c r="M28" s="22"/>
      <c r="N28" s="23"/>
      <c r="O28" s="24"/>
      <c r="P28" s="24"/>
      <c r="Q28" s="13"/>
      <c r="R28" s="13"/>
      <c r="S28" s="13"/>
    </row>
    <row r="29" spans="1:19" ht="49.5" customHeight="1">
      <c r="A29" s="314" t="s">
        <v>84</v>
      </c>
      <c r="B29" s="201"/>
      <c r="C29" s="201"/>
      <c r="D29" s="201"/>
      <c r="E29" s="201"/>
      <c r="F29" s="204"/>
      <c r="G29" s="21"/>
      <c r="H29" s="21"/>
      <c r="I29" s="22"/>
      <c r="J29" s="22"/>
      <c r="K29" s="22"/>
      <c r="L29" s="22"/>
      <c r="M29" s="22"/>
      <c r="N29" s="23"/>
      <c r="O29" s="24"/>
      <c r="P29" s="24"/>
      <c r="Q29" s="13"/>
      <c r="R29" s="13"/>
      <c r="S29" s="13"/>
    </row>
    <row r="30" spans="1:19" ht="27" customHeight="1">
      <c r="A30" s="314" t="s">
        <v>85</v>
      </c>
      <c r="B30" s="201"/>
      <c r="C30" s="201"/>
      <c r="D30" s="201"/>
      <c r="E30" s="201"/>
      <c r="F30" s="204"/>
      <c r="G30" s="21"/>
      <c r="H30" s="21"/>
      <c r="I30" s="22"/>
      <c r="J30" s="22"/>
      <c r="K30" s="22"/>
      <c r="L30" s="22"/>
      <c r="M30" s="22"/>
      <c r="N30" s="23"/>
      <c r="O30" s="24"/>
      <c r="P30" s="24"/>
      <c r="Q30" s="13"/>
      <c r="R30" s="13"/>
      <c r="S30" s="13"/>
    </row>
    <row r="31" spans="1:19" ht="21.75" customHeight="1">
      <c r="A31" s="269" t="s">
        <v>86</v>
      </c>
      <c r="B31" s="201"/>
      <c r="C31" s="201"/>
      <c r="D31" s="201"/>
      <c r="E31" s="201"/>
      <c r="F31" s="204"/>
      <c r="G31" s="278"/>
      <c r="H31" s="204"/>
      <c r="I31" s="278"/>
      <c r="J31" s="204"/>
      <c r="K31" s="278"/>
      <c r="L31" s="204"/>
      <c r="M31" s="278"/>
      <c r="N31" s="204"/>
      <c r="O31" s="278"/>
      <c r="P31" s="204"/>
      <c r="Q31" s="13"/>
      <c r="R31" s="13"/>
      <c r="S31" s="13"/>
    </row>
    <row r="32" spans="1:19" ht="21" customHeight="1">
      <c r="A32" s="277" t="s">
        <v>87</v>
      </c>
      <c r="B32" s="201"/>
      <c r="C32" s="201"/>
      <c r="D32" s="201"/>
      <c r="E32" s="201"/>
      <c r="F32" s="204"/>
      <c r="G32" s="278"/>
      <c r="H32" s="204"/>
      <c r="I32" s="278"/>
      <c r="J32" s="204"/>
      <c r="K32" s="278"/>
      <c r="L32" s="204"/>
      <c r="M32" s="278"/>
      <c r="N32" s="204"/>
      <c r="O32" s="278"/>
      <c r="P32" s="204"/>
      <c r="Q32" s="13"/>
      <c r="R32" s="13"/>
      <c r="S32" s="13"/>
    </row>
    <row r="33" spans="1:19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4"/>
      <c r="N33" s="15"/>
      <c r="O33" s="15"/>
      <c r="P33" s="2"/>
      <c r="Q33" s="13"/>
      <c r="R33" s="13"/>
      <c r="S33" s="13"/>
    </row>
    <row r="34" spans="1:19" ht="42" customHeight="1">
      <c r="A34" s="313" t="s">
        <v>45</v>
      </c>
      <c r="B34" s="208"/>
      <c r="C34" s="208"/>
      <c r="D34" s="208"/>
      <c r="E34" s="208"/>
      <c r="F34" s="288"/>
      <c r="G34" s="311"/>
      <c r="H34" s="208"/>
      <c r="I34" s="208"/>
      <c r="J34" s="208"/>
      <c r="K34" s="208"/>
      <c r="L34" s="208"/>
      <c r="M34" s="208"/>
      <c r="N34" s="208"/>
      <c r="O34" s="208"/>
      <c r="P34" s="288"/>
      <c r="Q34" s="13"/>
      <c r="R34" s="13"/>
      <c r="S34" s="13"/>
    </row>
    <row r="35" spans="1:19" ht="45.75" customHeight="1">
      <c r="A35" s="289"/>
      <c r="B35" s="213"/>
      <c r="C35" s="213"/>
      <c r="D35" s="213"/>
      <c r="E35" s="213"/>
      <c r="F35" s="251"/>
      <c r="G35" s="289"/>
      <c r="H35" s="213"/>
      <c r="I35" s="213"/>
      <c r="J35" s="213"/>
      <c r="K35" s="213"/>
      <c r="L35" s="213"/>
      <c r="M35" s="213"/>
      <c r="N35" s="213"/>
      <c r="O35" s="213"/>
      <c r="P35" s="251"/>
      <c r="Q35" s="13"/>
      <c r="R35" s="13"/>
      <c r="S35" s="13"/>
    </row>
    <row r="36" spans="1:19" ht="15.75" customHeight="1">
      <c r="A36" s="290"/>
      <c r="B36" s="230"/>
      <c r="C36" s="230"/>
      <c r="D36" s="230"/>
      <c r="E36" s="230"/>
      <c r="F36" s="291"/>
      <c r="G36" s="290"/>
      <c r="H36" s="230"/>
      <c r="I36" s="230"/>
      <c r="J36" s="230"/>
      <c r="K36" s="230"/>
      <c r="L36" s="230"/>
      <c r="M36" s="230"/>
      <c r="N36" s="230"/>
      <c r="O36" s="230"/>
      <c r="P36" s="291"/>
      <c r="Q36" s="13"/>
      <c r="R36" s="13"/>
      <c r="S36" s="13"/>
    </row>
    <row r="37" spans="1:19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5"/>
      <c r="O37" s="15"/>
      <c r="P37" s="2"/>
      <c r="Q37" s="13"/>
      <c r="R37" s="13"/>
      <c r="S37" s="13"/>
    </row>
    <row r="38" spans="1:19" ht="15.75" customHeight="1">
      <c r="A38" s="312" t="s">
        <v>88</v>
      </c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13"/>
      <c r="R38" s="13"/>
      <c r="S38" s="13"/>
    </row>
    <row r="39" spans="1:1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5"/>
      <c r="N39" s="26"/>
      <c r="O39" s="26"/>
      <c r="P39" s="13"/>
      <c r="Q39" s="13"/>
      <c r="R39" s="13"/>
      <c r="S39" s="13"/>
    </row>
    <row r="40" spans="1:19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5"/>
      <c r="N40" s="26"/>
      <c r="O40" s="26"/>
      <c r="P40" s="13"/>
      <c r="Q40" s="13"/>
      <c r="R40" s="13"/>
      <c r="S40" s="13"/>
    </row>
    <row r="41" spans="1:19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5"/>
      <c r="N41" s="26"/>
      <c r="O41" s="26"/>
      <c r="P41" s="13"/>
      <c r="Q41" s="13"/>
      <c r="R41" s="13"/>
      <c r="S41" s="13"/>
    </row>
    <row r="42" spans="1:19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25"/>
      <c r="N42" s="26"/>
      <c r="O42" s="26"/>
      <c r="P42" s="13"/>
      <c r="Q42" s="13"/>
      <c r="R42" s="13"/>
      <c r="S42" s="13"/>
    </row>
    <row r="43" spans="1:19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  <c r="R43" s="13"/>
      <c r="S43" s="13"/>
    </row>
    <row r="44" spans="1:19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  <c r="R44" s="13"/>
      <c r="S44" s="13"/>
    </row>
    <row r="45" spans="1:19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  <c r="R45" s="13"/>
      <c r="S45" s="13"/>
    </row>
    <row r="46" spans="1:19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  <c r="R46" s="13"/>
      <c r="S46" s="13"/>
    </row>
    <row r="47" spans="1:19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  <c r="R47" s="13"/>
      <c r="S47" s="13"/>
    </row>
    <row r="48" spans="1:19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</row>
    <row r="230" spans="1:19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</row>
    <row r="231" spans="1:19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</row>
    <row r="232" spans="1:19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</row>
    <row r="233" spans="1:19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</row>
    <row r="234" spans="1:19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</row>
    <row r="235" spans="1:19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</row>
    <row r="236" spans="1:19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</row>
    <row r="237" spans="1:19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</row>
    <row r="238" spans="1:19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</row>
    <row r="239" spans="1:19" ht="15.75" customHeight="1"/>
    <row r="240" spans="1:1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  <mergeCell ref="O14:P14"/>
    <mergeCell ref="A14:F14"/>
    <mergeCell ref="G14:H14"/>
    <mergeCell ref="I14:J14"/>
    <mergeCell ref="K14:L14"/>
    <mergeCell ref="A19:F19"/>
    <mergeCell ref="A20:F20"/>
    <mergeCell ref="A21:F21"/>
    <mergeCell ref="A22:F22"/>
    <mergeCell ref="A15:F15"/>
    <mergeCell ref="A16:F18"/>
    <mergeCell ref="G15:H15"/>
    <mergeCell ref="I15:J15"/>
    <mergeCell ref="K15:L15"/>
    <mergeCell ref="M15:N15"/>
    <mergeCell ref="O15:P15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006"/>
  <sheetViews>
    <sheetView tabSelected="1" topLeftCell="A30" workbookViewId="0">
      <selection activeCell="A14" sqref="A14:P41"/>
    </sheetView>
  </sheetViews>
  <sheetFormatPr baseColWidth="10" defaultColWidth="14.3984375" defaultRowHeight="15" customHeight="1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2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19" customWidth="1"/>
  </cols>
  <sheetData>
    <row r="1" spans="1:22" ht="15" customHeight="1">
      <c r="A1" s="261" t="s">
        <v>89</v>
      </c>
      <c r="B1" s="219"/>
      <c r="C1" s="220"/>
      <c r="D1" s="261" t="s">
        <v>0</v>
      </c>
      <c r="E1" s="219"/>
      <c r="F1" s="219"/>
      <c r="G1" s="219"/>
      <c r="H1" s="219"/>
      <c r="I1" s="219"/>
      <c r="J1" s="219"/>
      <c r="K1" s="219"/>
      <c r="L1" s="220"/>
      <c r="M1" s="265" t="s">
        <v>1</v>
      </c>
      <c r="N1" s="266"/>
      <c r="O1" s="265" t="s">
        <v>90</v>
      </c>
      <c r="P1" s="260"/>
    </row>
    <row r="2" spans="1:22" ht="15" customHeight="1">
      <c r="A2" s="264"/>
      <c r="B2" s="213"/>
      <c r="C2" s="258"/>
      <c r="D2" s="221"/>
      <c r="E2" s="210"/>
      <c r="F2" s="210"/>
      <c r="G2" s="210"/>
      <c r="H2" s="210"/>
      <c r="I2" s="210"/>
      <c r="J2" s="210"/>
      <c r="K2" s="210"/>
      <c r="L2" s="211"/>
      <c r="M2" s="265" t="s">
        <v>3</v>
      </c>
      <c r="N2" s="260"/>
      <c r="O2" s="267">
        <v>1</v>
      </c>
      <c r="P2" s="258"/>
    </row>
    <row r="3" spans="1:22" ht="15.75" customHeight="1">
      <c r="A3" s="264"/>
      <c r="B3" s="213"/>
      <c r="C3" s="258"/>
      <c r="D3" s="268" t="s">
        <v>91</v>
      </c>
      <c r="E3" s="213"/>
      <c r="F3" s="213"/>
      <c r="G3" s="213"/>
      <c r="H3" s="213"/>
      <c r="I3" s="213"/>
      <c r="J3" s="213"/>
      <c r="K3" s="213"/>
      <c r="L3" s="258"/>
      <c r="M3" s="257" t="s">
        <v>5</v>
      </c>
      <c r="N3" s="258"/>
      <c r="O3" s="259" t="s">
        <v>6</v>
      </c>
      <c r="P3" s="260"/>
      <c r="Q3" s="13"/>
    </row>
    <row r="4" spans="1:22" ht="15.75" customHeight="1">
      <c r="A4" s="264"/>
      <c r="B4" s="213"/>
      <c r="C4" s="258"/>
      <c r="D4" s="213"/>
      <c r="E4" s="213"/>
      <c r="F4" s="213"/>
      <c r="G4" s="213"/>
      <c r="H4" s="213"/>
      <c r="I4" s="213"/>
      <c r="J4" s="213"/>
      <c r="K4" s="213"/>
      <c r="L4" s="258"/>
      <c r="M4" s="261" t="s">
        <v>7</v>
      </c>
      <c r="N4" s="220"/>
      <c r="O4" s="262" t="s">
        <v>8</v>
      </c>
      <c r="P4" s="202"/>
      <c r="Q4" s="13"/>
    </row>
    <row r="5" spans="1:22" ht="15.75" customHeight="1">
      <c r="A5" s="221"/>
      <c r="B5" s="210"/>
      <c r="C5" s="211"/>
      <c r="D5" s="210"/>
      <c r="E5" s="210"/>
      <c r="F5" s="210"/>
      <c r="G5" s="210"/>
      <c r="H5" s="210"/>
      <c r="I5" s="210"/>
      <c r="J5" s="210"/>
      <c r="K5" s="210"/>
      <c r="L5" s="211"/>
      <c r="M5" s="221"/>
      <c r="N5" s="211"/>
      <c r="O5" s="263" t="s">
        <v>9</v>
      </c>
      <c r="P5" s="202"/>
      <c r="Q5" s="13"/>
    </row>
    <row r="6" spans="1:22" ht="12" customHeight="1">
      <c r="A6" s="250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51"/>
      <c r="Q6" s="13"/>
    </row>
    <row r="7" spans="1:22" ht="26.25" customHeight="1">
      <c r="A7" s="252" t="s">
        <v>92</v>
      </c>
      <c r="B7" s="219"/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20"/>
      <c r="Q7" s="13"/>
    </row>
    <row r="8" spans="1:22" ht="26.25" customHeight="1">
      <c r="A8" s="221"/>
      <c r="B8" s="210"/>
      <c r="C8" s="210"/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1"/>
      <c r="Q8" s="13"/>
    </row>
    <row r="9" spans="1:22" ht="36" customHeight="1">
      <c r="A9" s="253" t="s">
        <v>10</v>
      </c>
      <c r="B9" s="226"/>
      <c r="C9" s="226"/>
      <c r="D9" s="226"/>
      <c r="E9" s="226"/>
      <c r="F9" s="248"/>
      <c r="G9" s="254" t="str">
        <f>'DESPEJE DE LINEA'!G7</f>
        <v>CONTORNO DE OJOS RETINALDEHIDO 0.05%</v>
      </c>
      <c r="H9" s="201"/>
      <c r="I9" s="201"/>
      <c r="J9" s="201"/>
      <c r="K9" s="201"/>
      <c r="L9" s="201"/>
      <c r="M9" s="201"/>
      <c r="N9" s="201"/>
      <c r="O9" s="201"/>
      <c r="P9" s="202"/>
      <c r="Q9" s="13"/>
    </row>
    <row r="10" spans="1:22" ht="36" customHeight="1">
      <c r="A10" s="239" t="s">
        <v>21</v>
      </c>
      <c r="B10" s="201"/>
      <c r="C10" s="201"/>
      <c r="D10" s="201"/>
      <c r="E10" s="201"/>
      <c r="F10" s="204"/>
      <c r="G10" s="254" t="str">
        <f>'DESPEJE DE LINEA'!G8</f>
        <v>NSOC37029-25CO</v>
      </c>
      <c r="H10" s="201"/>
      <c r="I10" s="201"/>
      <c r="J10" s="204"/>
      <c r="K10" s="255" t="s">
        <v>55</v>
      </c>
      <c r="L10" s="204"/>
      <c r="M10" s="28" t="str">
        <f>'DESPEJE DE LINEA'!N8</f>
        <v>252581</v>
      </c>
      <c r="N10" s="256" t="s">
        <v>59</v>
      </c>
      <c r="O10" s="204"/>
      <c r="P10" s="29"/>
      <c r="Q10" s="13"/>
    </row>
    <row r="11" spans="1:22" ht="36" customHeight="1">
      <c r="A11" s="239" t="s">
        <v>56</v>
      </c>
      <c r="B11" s="201"/>
      <c r="C11" s="201"/>
      <c r="D11" s="201"/>
      <c r="E11" s="201"/>
      <c r="F11" s="204"/>
      <c r="G11" s="240" t="str">
        <f>'DESPEJE DE LINEA'!G9</f>
        <v>EMULSION</v>
      </c>
      <c r="H11" s="233"/>
      <c r="I11" s="233"/>
      <c r="J11" s="234"/>
      <c r="K11" s="241" t="s">
        <v>93</v>
      </c>
      <c r="L11" s="242"/>
      <c r="M11" s="30" t="str">
        <f>'DESPEJE DE LINEA'!N9</f>
        <v>OP-SS-126</v>
      </c>
      <c r="N11" s="256" t="s">
        <v>94</v>
      </c>
      <c r="O11" s="204"/>
      <c r="P11" s="31">
        <v>5</v>
      </c>
      <c r="Q11" s="13"/>
    </row>
    <row r="12" spans="1:22" ht="36" customHeight="1">
      <c r="A12" s="247" t="s">
        <v>95</v>
      </c>
      <c r="B12" s="233"/>
      <c r="C12" s="233"/>
      <c r="D12" s="233"/>
      <c r="E12" s="233"/>
      <c r="F12" s="234"/>
      <c r="G12" s="243"/>
      <c r="H12" s="233"/>
      <c r="I12" s="233"/>
      <c r="J12" s="234"/>
      <c r="K12" s="244" t="s">
        <v>96</v>
      </c>
      <c r="L12" s="234"/>
      <c r="M12" s="32">
        <v>500</v>
      </c>
      <c r="N12" s="244" t="s">
        <v>58</v>
      </c>
      <c r="O12" s="234"/>
      <c r="P12" s="33">
        <v>14</v>
      </c>
      <c r="Q12" s="13"/>
    </row>
    <row r="13" spans="1:22" ht="12" customHeight="1">
      <c r="A13" s="245">
        <v>1</v>
      </c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13"/>
    </row>
    <row r="14" spans="1:22" ht="42.75" customHeight="1">
      <c r="A14" s="34" t="s">
        <v>97</v>
      </c>
      <c r="B14" s="238" t="s">
        <v>98</v>
      </c>
      <c r="C14" s="226"/>
      <c r="D14" s="226"/>
      <c r="E14" s="226"/>
      <c r="F14" s="248"/>
      <c r="G14" s="238" t="s">
        <v>99</v>
      </c>
      <c r="H14" s="226"/>
      <c r="I14" s="248"/>
      <c r="J14" s="238" t="s">
        <v>12</v>
      </c>
      <c r="K14" s="226"/>
      <c r="L14" s="248"/>
      <c r="M14" s="35" t="s">
        <v>100</v>
      </c>
      <c r="N14" s="238" t="s">
        <v>101</v>
      </c>
      <c r="O14" s="226"/>
      <c r="P14" s="224"/>
      <c r="Q14" s="13"/>
    </row>
    <row r="15" spans="1:22" ht="16.5" customHeight="1">
      <c r="A15" s="36">
        <v>1</v>
      </c>
      <c r="B15" s="237" t="s">
        <v>102</v>
      </c>
      <c r="C15" s="201"/>
      <c r="D15" s="201"/>
      <c r="E15" s="201"/>
      <c r="F15" s="204"/>
      <c r="G15" s="205" t="s">
        <v>103</v>
      </c>
      <c r="H15" s="201"/>
      <c r="I15" s="204"/>
      <c r="J15" s="249" t="s">
        <v>104</v>
      </c>
      <c r="K15" s="201"/>
      <c r="L15" s="204"/>
      <c r="M15" s="37">
        <v>71.625</v>
      </c>
      <c r="N15" s="200">
        <f t="shared" ref="N15:N40" si="0">(+$P$12*M15/100)*1000</f>
        <v>10027.5</v>
      </c>
      <c r="O15" s="201"/>
      <c r="P15" s="202"/>
      <c r="Q15" s="13"/>
      <c r="R15" s="38"/>
      <c r="S15" s="39"/>
      <c r="T15" s="39"/>
      <c r="U15" s="16"/>
      <c r="V15" s="16"/>
    </row>
    <row r="16" spans="1:22" ht="16.5" customHeight="1">
      <c r="A16" s="36">
        <v>2</v>
      </c>
      <c r="B16" s="237" t="s">
        <v>105</v>
      </c>
      <c r="C16" s="201"/>
      <c r="D16" s="201"/>
      <c r="E16" s="201"/>
      <c r="F16" s="204"/>
      <c r="G16" s="205" t="s">
        <v>106</v>
      </c>
      <c r="H16" s="201"/>
      <c r="I16" s="204"/>
      <c r="J16" s="206" t="s">
        <v>107</v>
      </c>
      <c r="K16" s="201"/>
      <c r="L16" s="204"/>
      <c r="M16" s="40">
        <v>5</v>
      </c>
      <c r="N16" s="200">
        <f t="shared" si="0"/>
        <v>700</v>
      </c>
      <c r="O16" s="201"/>
      <c r="P16" s="202"/>
      <c r="Q16" s="13"/>
      <c r="R16" s="38"/>
      <c r="S16" s="39"/>
      <c r="T16" s="39"/>
      <c r="U16" s="16"/>
      <c r="V16" s="16"/>
    </row>
    <row r="17" spans="1:22" ht="16.5" customHeight="1">
      <c r="A17" s="36">
        <v>3</v>
      </c>
      <c r="B17" s="237" t="s">
        <v>108</v>
      </c>
      <c r="C17" s="201"/>
      <c r="D17" s="201"/>
      <c r="E17" s="201"/>
      <c r="F17" s="204"/>
      <c r="G17" s="205" t="s">
        <v>109</v>
      </c>
      <c r="H17" s="201"/>
      <c r="I17" s="204"/>
      <c r="J17" s="206" t="s">
        <v>110</v>
      </c>
      <c r="K17" s="201"/>
      <c r="L17" s="204"/>
      <c r="M17" s="40">
        <v>5</v>
      </c>
      <c r="N17" s="200">
        <f t="shared" si="0"/>
        <v>700</v>
      </c>
      <c r="O17" s="201"/>
      <c r="P17" s="202"/>
      <c r="Q17" s="13"/>
      <c r="R17" s="38"/>
      <c r="S17" s="39"/>
      <c r="T17" s="39"/>
      <c r="U17" s="16"/>
      <c r="V17" s="16"/>
    </row>
    <row r="18" spans="1:22" ht="16.5" customHeight="1">
      <c r="A18" s="36">
        <v>4</v>
      </c>
      <c r="B18" s="203" t="s">
        <v>111</v>
      </c>
      <c r="C18" s="201"/>
      <c r="D18" s="201"/>
      <c r="E18" s="201"/>
      <c r="F18" s="204"/>
      <c r="G18" s="205" t="s">
        <v>112</v>
      </c>
      <c r="H18" s="201"/>
      <c r="I18" s="204"/>
      <c r="J18" s="206" t="s">
        <v>113</v>
      </c>
      <c r="K18" s="201"/>
      <c r="L18" s="204"/>
      <c r="M18" s="40">
        <v>5</v>
      </c>
      <c r="N18" s="200">
        <f t="shared" si="0"/>
        <v>700</v>
      </c>
      <c r="O18" s="201"/>
      <c r="P18" s="202"/>
      <c r="Q18" s="13"/>
      <c r="R18" s="38"/>
      <c r="S18" s="39"/>
      <c r="T18" s="39"/>
      <c r="U18" s="16"/>
      <c r="V18" s="16"/>
    </row>
    <row r="19" spans="1:22" ht="16.5" customHeight="1">
      <c r="A19" s="36">
        <v>5</v>
      </c>
      <c r="B19" s="203" t="s">
        <v>114</v>
      </c>
      <c r="C19" s="201"/>
      <c r="D19" s="201"/>
      <c r="E19" s="201"/>
      <c r="F19" s="204"/>
      <c r="G19" s="205" t="s">
        <v>115</v>
      </c>
      <c r="H19" s="201"/>
      <c r="I19" s="204"/>
      <c r="J19" s="206"/>
      <c r="K19" s="201"/>
      <c r="L19" s="204"/>
      <c r="M19" s="40">
        <v>3</v>
      </c>
      <c r="N19" s="200">
        <f t="shared" si="0"/>
        <v>420</v>
      </c>
      <c r="O19" s="201"/>
      <c r="P19" s="202"/>
      <c r="Q19" s="13"/>
      <c r="R19" s="38"/>
      <c r="S19" s="39"/>
      <c r="T19" s="39"/>
      <c r="U19" s="16"/>
      <c r="V19" s="16"/>
    </row>
    <row r="20" spans="1:22" ht="15" customHeight="1">
      <c r="A20" s="36">
        <v>6</v>
      </c>
      <c r="B20" s="203" t="s">
        <v>116</v>
      </c>
      <c r="C20" s="201"/>
      <c r="D20" s="201"/>
      <c r="E20" s="201"/>
      <c r="F20" s="204"/>
      <c r="G20" s="205" t="s">
        <v>117</v>
      </c>
      <c r="H20" s="201"/>
      <c r="I20" s="204"/>
      <c r="J20" s="206">
        <v>10005316</v>
      </c>
      <c r="K20" s="201"/>
      <c r="L20" s="204"/>
      <c r="M20" s="40">
        <v>2</v>
      </c>
      <c r="N20" s="200">
        <f t="shared" si="0"/>
        <v>280</v>
      </c>
      <c r="O20" s="201"/>
      <c r="P20" s="202"/>
      <c r="Q20" s="13"/>
      <c r="R20" s="38"/>
      <c r="S20" s="39"/>
      <c r="T20" s="39"/>
      <c r="U20" s="16"/>
      <c r="V20" s="16"/>
    </row>
    <row r="21" spans="1:22" ht="15" customHeight="1">
      <c r="A21" s="36">
        <v>7</v>
      </c>
      <c r="B21" s="203" t="s">
        <v>118</v>
      </c>
      <c r="C21" s="201"/>
      <c r="D21" s="201"/>
      <c r="E21" s="201"/>
      <c r="F21" s="204"/>
      <c r="G21" s="205" t="s">
        <v>119</v>
      </c>
      <c r="H21" s="201"/>
      <c r="I21" s="204"/>
      <c r="J21" s="206" t="s">
        <v>120</v>
      </c>
      <c r="K21" s="201"/>
      <c r="L21" s="204"/>
      <c r="M21" s="40">
        <v>1.5</v>
      </c>
      <c r="N21" s="200">
        <f t="shared" si="0"/>
        <v>210</v>
      </c>
      <c r="O21" s="201"/>
      <c r="P21" s="202"/>
      <c r="Q21" s="13"/>
      <c r="R21" s="38"/>
      <c r="S21" s="39"/>
      <c r="T21" s="39"/>
      <c r="U21" s="16"/>
      <c r="V21" s="16"/>
    </row>
    <row r="22" spans="1:22" ht="15" customHeight="1">
      <c r="A22" s="36">
        <v>8</v>
      </c>
      <c r="B22" s="203" t="s">
        <v>121</v>
      </c>
      <c r="C22" s="201"/>
      <c r="D22" s="201"/>
      <c r="E22" s="201"/>
      <c r="F22" s="204"/>
      <c r="G22" s="205" t="s">
        <v>122</v>
      </c>
      <c r="H22" s="201"/>
      <c r="I22" s="204"/>
      <c r="J22" s="206" t="s">
        <v>123</v>
      </c>
      <c r="K22" s="201"/>
      <c r="L22" s="204"/>
      <c r="M22" s="40">
        <v>1.5</v>
      </c>
      <c r="N22" s="200">
        <f t="shared" si="0"/>
        <v>210</v>
      </c>
      <c r="O22" s="201"/>
      <c r="P22" s="202"/>
      <c r="Q22" s="13"/>
      <c r="R22" s="38"/>
      <c r="S22" s="39"/>
      <c r="T22" s="39"/>
      <c r="U22" s="16"/>
      <c r="V22" s="16"/>
    </row>
    <row r="23" spans="1:22" ht="15" customHeight="1">
      <c r="A23" s="36">
        <v>9</v>
      </c>
      <c r="B23" s="203" t="s">
        <v>124</v>
      </c>
      <c r="C23" s="201"/>
      <c r="D23" s="201"/>
      <c r="E23" s="201"/>
      <c r="F23" s="204"/>
      <c r="G23" s="205" t="s">
        <v>125</v>
      </c>
      <c r="H23" s="201"/>
      <c r="I23" s="204"/>
      <c r="J23" s="206" t="s">
        <v>126</v>
      </c>
      <c r="K23" s="201"/>
      <c r="L23" s="204"/>
      <c r="M23" s="40">
        <v>1.5</v>
      </c>
      <c r="N23" s="200">
        <f t="shared" si="0"/>
        <v>210</v>
      </c>
      <c r="O23" s="201"/>
      <c r="P23" s="202"/>
      <c r="Q23" s="13"/>
      <c r="R23" s="38"/>
      <c r="S23" s="39"/>
      <c r="T23" s="39"/>
      <c r="U23" s="16"/>
      <c r="V23" s="16"/>
    </row>
    <row r="24" spans="1:22" ht="15" customHeight="1">
      <c r="A24" s="36">
        <v>10</v>
      </c>
      <c r="B24" s="203" t="s">
        <v>127</v>
      </c>
      <c r="C24" s="201"/>
      <c r="D24" s="201"/>
      <c r="E24" s="201"/>
      <c r="F24" s="204"/>
      <c r="G24" s="205" t="s">
        <v>128</v>
      </c>
      <c r="H24" s="201"/>
      <c r="I24" s="204"/>
      <c r="J24" s="206" t="s">
        <v>129</v>
      </c>
      <c r="K24" s="201"/>
      <c r="L24" s="204"/>
      <c r="M24" s="40">
        <v>1</v>
      </c>
      <c r="N24" s="200">
        <f t="shared" si="0"/>
        <v>140</v>
      </c>
      <c r="O24" s="201"/>
      <c r="P24" s="202"/>
      <c r="Q24" s="13"/>
      <c r="R24" s="38"/>
      <c r="S24" s="39"/>
      <c r="T24" s="39"/>
      <c r="U24" s="16"/>
      <c r="V24" s="16"/>
    </row>
    <row r="25" spans="1:22" ht="15" customHeight="1">
      <c r="A25" s="36">
        <v>11</v>
      </c>
      <c r="B25" s="203" t="s">
        <v>130</v>
      </c>
      <c r="C25" s="201"/>
      <c r="D25" s="201"/>
      <c r="E25" s="201"/>
      <c r="F25" s="204"/>
      <c r="G25" s="205" t="s">
        <v>131</v>
      </c>
      <c r="H25" s="201"/>
      <c r="I25" s="204"/>
      <c r="J25" s="206" t="s">
        <v>132</v>
      </c>
      <c r="K25" s="201"/>
      <c r="L25" s="204"/>
      <c r="M25" s="40">
        <v>0.5</v>
      </c>
      <c r="N25" s="200">
        <f t="shared" si="0"/>
        <v>70</v>
      </c>
      <c r="O25" s="201"/>
      <c r="P25" s="202"/>
      <c r="Q25" s="13"/>
      <c r="R25" s="38"/>
      <c r="S25" s="39"/>
      <c r="T25" s="39"/>
      <c r="U25" s="16"/>
      <c r="V25" s="16"/>
    </row>
    <row r="26" spans="1:22" ht="18" customHeight="1">
      <c r="A26" s="36">
        <v>12</v>
      </c>
      <c r="B26" s="203" t="s">
        <v>133</v>
      </c>
      <c r="C26" s="201"/>
      <c r="D26" s="201"/>
      <c r="E26" s="201"/>
      <c r="F26" s="204"/>
      <c r="G26" s="205" t="s">
        <v>134</v>
      </c>
      <c r="H26" s="201"/>
      <c r="I26" s="204"/>
      <c r="J26" s="206" t="s">
        <v>135</v>
      </c>
      <c r="K26" s="201"/>
      <c r="L26" s="204"/>
      <c r="M26" s="40">
        <v>0.5</v>
      </c>
      <c r="N26" s="200">
        <f t="shared" si="0"/>
        <v>70</v>
      </c>
      <c r="O26" s="201"/>
      <c r="P26" s="202"/>
      <c r="Q26" s="13"/>
      <c r="R26" s="38"/>
      <c r="S26" s="39"/>
      <c r="T26" s="39"/>
      <c r="U26" s="16"/>
      <c r="V26" s="16"/>
    </row>
    <row r="27" spans="1:22" ht="15" customHeight="1">
      <c r="A27" s="36">
        <v>13</v>
      </c>
      <c r="B27" s="203" t="s">
        <v>136</v>
      </c>
      <c r="C27" s="201"/>
      <c r="D27" s="201"/>
      <c r="E27" s="201"/>
      <c r="F27" s="204"/>
      <c r="G27" s="205" t="s">
        <v>137</v>
      </c>
      <c r="H27" s="201"/>
      <c r="I27" s="204"/>
      <c r="J27" s="206">
        <v>20241202</v>
      </c>
      <c r="K27" s="201"/>
      <c r="L27" s="204"/>
      <c r="M27" s="40">
        <v>0.5</v>
      </c>
      <c r="N27" s="200">
        <f t="shared" si="0"/>
        <v>70</v>
      </c>
      <c r="O27" s="201"/>
      <c r="P27" s="202"/>
      <c r="Q27" s="13"/>
      <c r="R27" s="38"/>
      <c r="S27" s="39"/>
      <c r="T27" s="39"/>
      <c r="U27" s="16"/>
      <c r="V27" s="16"/>
    </row>
    <row r="28" spans="1:22" ht="15" customHeight="1">
      <c r="A28" s="36">
        <v>14</v>
      </c>
      <c r="B28" s="203" t="s">
        <v>138</v>
      </c>
      <c r="C28" s="201"/>
      <c r="D28" s="201"/>
      <c r="E28" s="201"/>
      <c r="F28" s="204"/>
      <c r="G28" s="205" t="s">
        <v>139</v>
      </c>
      <c r="H28" s="201"/>
      <c r="I28" s="204"/>
      <c r="J28" s="206" t="s">
        <v>140</v>
      </c>
      <c r="K28" s="201"/>
      <c r="L28" s="204"/>
      <c r="M28" s="40">
        <v>0.5</v>
      </c>
      <c r="N28" s="200">
        <f t="shared" si="0"/>
        <v>70</v>
      </c>
      <c r="O28" s="201"/>
      <c r="P28" s="202"/>
      <c r="Q28" s="13"/>
      <c r="R28" s="38"/>
      <c r="S28" s="39"/>
      <c r="T28" s="39"/>
      <c r="U28" s="16"/>
      <c r="V28" s="16"/>
    </row>
    <row r="29" spans="1:22" ht="15" customHeight="1">
      <c r="A29" s="36">
        <v>15</v>
      </c>
      <c r="B29" s="203" t="s">
        <v>141</v>
      </c>
      <c r="C29" s="201"/>
      <c r="D29" s="201"/>
      <c r="E29" s="201"/>
      <c r="F29" s="204"/>
      <c r="G29" s="205" t="s">
        <v>142</v>
      </c>
      <c r="H29" s="201"/>
      <c r="I29" s="204"/>
      <c r="J29" s="206"/>
      <c r="K29" s="201"/>
      <c r="L29" s="204"/>
      <c r="M29" s="40">
        <v>0.4</v>
      </c>
      <c r="N29" s="200">
        <f t="shared" si="0"/>
        <v>56.000000000000007</v>
      </c>
      <c r="O29" s="201"/>
      <c r="P29" s="202"/>
      <c r="Q29" s="13"/>
      <c r="R29" s="38"/>
      <c r="S29" s="39"/>
      <c r="T29" s="39"/>
      <c r="U29" s="16"/>
      <c r="V29" s="16"/>
    </row>
    <row r="30" spans="1:22" ht="15" customHeight="1">
      <c r="A30" s="36">
        <v>16</v>
      </c>
      <c r="B30" s="203" t="s">
        <v>143</v>
      </c>
      <c r="C30" s="201"/>
      <c r="D30" s="201"/>
      <c r="E30" s="201"/>
      <c r="F30" s="204"/>
      <c r="G30" s="205" t="s">
        <v>144</v>
      </c>
      <c r="H30" s="201"/>
      <c r="I30" s="204"/>
      <c r="J30" s="206">
        <v>20220526</v>
      </c>
      <c r="K30" s="201"/>
      <c r="L30" s="204"/>
      <c r="M30" s="40">
        <v>0.1</v>
      </c>
      <c r="N30" s="200">
        <f t="shared" si="0"/>
        <v>14.000000000000002</v>
      </c>
      <c r="O30" s="201"/>
      <c r="P30" s="202"/>
      <c r="Q30" s="13"/>
      <c r="R30" s="38"/>
      <c r="S30" s="39"/>
      <c r="T30" s="39"/>
      <c r="U30" s="16"/>
      <c r="V30" s="16"/>
    </row>
    <row r="31" spans="1:22" ht="15" customHeight="1">
      <c r="A31" s="36">
        <v>17</v>
      </c>
      <c r="B31" s="203" t="s">
        <v>145</v>
      </c>
      <c r="C31" s="201"/>
      <c r="D31" s="201"/>
      <c r="E31" s="201"/>
      <c r="F31" s="204"/>
      <c r="G31" s="205" t="s">
        <v>146</v>
      </c>
      <c r="H31" s="201"/>
      <c r="I31" s="204"/>
      <c r="J31" s="206" t="s">
        <v>147</v>
      </c>
      <c r="K31" s="201"/>
      <c r="L31" s="204"/>
      <c r="M31" s="40">
        <v>0.05</v>
      </c>
      <c r="N31" s="200">
        <f t="shared" si="0"/>
        <v>7.0000000000000009</v>
      </c>
      <c r="O31" s="201"/>
      <c r="P31" s="202"/>
      <c r="Q31" s="13"/>
      <c r="R31" s="38"/>
      <c r="S31" s="39"/>
      <c r="T31" s="39"/>
      <c r="U31" s="16"/>
      <c r="V31" s="16"/>
    </row>
    <row r="32" spans="1:22" ht="15" customHeight="1">
      <c r="A32" s="36">
        <v>18</v>
      </c>
      <c r="B32" s="203" t="s">
        <v>148</v>
      </c>
      <c r="C32" s="201"/>
      <c r="D32" s="201"/>
      <c r="E32" s="201"/>
      <c r="F32" s="204"/>
      <c r="G32" s="205" t="s">
        <v>149</v>
      </c>
      <c r="H32" s="201"/>
      <c r="I32" s="204"/>
      <c r="J32" s="206" t="s">
        <v>150</v>
      </c>
      <c r="K32" s="201"/>
      <c r="L32" s="204"/>
      <c r="M32" s="40">
        <v>0.05</v>
      </c>
      <c r="N32" s="200">
        <f t="shared" si="0"/>
        <v>7.0000000000000009</v>
      </c>
      <c r="O32" s="201"/>
      <c r="P32" s="202"/>
      <c r="Q32" s="13"/>
      <c r="R32" s="38"/>
      <c r="S32" s="39"/>
      <c r="T32" s="39"/>
      <c r="U32" s="16"/>
      <c r="V32" s="16"/>
    </row>
    <row r="33" spans="1:22" ht="15" customHeight="1">
      <c r="A33" s="36">
        <v>19</v>
      </c>
      <c r="B33" s="203" t="s">
        <v>151</v>
      </c>
      <c r="C33" s="201"/>
      <c r="D33" s="201"/>
      <c r="E33" s="201"/>
      <c r="F33" s="204"/>
      <c r="G33" s="205" t="s">
        <v>152</v>
      </c>
      <c r="H33" s="201"/>
      <c r="I33" s="204"/>
      <c r="J33" s="206">
        <v>26515086</v>
      </c>
      <c r="K33" s="201"/>
      <c r="L33" s="204"/>
      <c r="M33" s="40">
        <v>0.03</v>
      </c>
      <c r="N33" s="200">
        <f t="shared" si="0"/>
        <v>4.2</v>
      </c>
      <c r="O33" s="201"/>
      <c r="P33" s="202"/>
      <c r="Q33" s="13"/>
      <c r="R33" s="38"/>
      <c r="S33" s="39"/>
      <c r="T33" s="39"/>
      <c r="U33" s="16"/>
      <c r="V33" s="16"/>
    </row>
    <row r="34" spans="1:22" ht="15" customHeight="1">
      <c r="A34" s="36">
        <v>20</v>
      </c>
      <c r="B34" s="203" t="s">
        <v>153</v>
      </c>
      <c r="C34" s="201"/>
      <c r="D34" s="201"/>
      <c r="E34" s="201"/>
      <c r="F34" s="204"/>
      <c r="G34" s="205" t="s">
        <v>154</v>
      </c>
      <c r="H34" s="201"/>
      <c r="I34" s="204"/>
      <c r="J34" s="206" t="s">
        <v>155</v>
      </c>
      <c r="K34" s="201"/>
      <c r="L34" s="204"/>
      <c r="M34" s="40">
        <v>2.5000000000000001E-2</v>
      </c>
      <c r="N34" s="200">
        <f t="shared" si="0"/>
        <v>3.5000000000000004</v>
      </c>
      <c r="O34" s="201"/>
      <c r="P34" s="202"/>
      <c r="Q34" s="13"/>
      <c r="R34" s="38"/>
      <c r="S34" s="39"/>
      <c r="T34" s="39"/>
      <c r="U34" s="16"/>
      <c r="V34" s="16"/>
    </row>
    <row r="35" spans="1:22" ht="15" customHeight="1">
      <c r="A35" s="36">
        <v>21</v>
      </c>
      <c r="B35" s="203" t="s">
        <v>156</v>
      </c>
      <c r="C35" s="201"/>
      <c r="D35" s="201"/>
      <c r="E35" s="201"/>
      <c r="F35" s="204"/>
      <c r="G35" s="205" t="s">
        <v>157</v>
      </c>
      <c r="H35" s="201"/>
      <c r="I35" s="204"/>
      <c r="J35" s="206"/>
      <c r="K35" s="201"/>
      <c r="L35" s="204"/>
      <c r="M35" s="40">
        <v>0.01</v>
      </c>
      <c r="N35" s="200">
        <f t="shared" si="0"/>
        <v>1.4000000000000001</v>
      </c>
      <c r="O35" s="201"/>
      <c r="P35" s="202"/>
      <c r="Q35" s="13"/>
      <c r="R35" s="38"/>
      <c r="S35" s="39"/>
      <c r="T35" s="39"/>
      <c r="U35" s="16"/>
      <c r="V35" s="16"/>
    </row>
    <row r="36" spans="1:22" ht="15" customHeight="1">
      <c r="A36" s="36">
        <v>22</v>
      </c>
      <c r="B36" s="203" t="s">
        <v>158</v>
      </c>
      <c r="C36" s="201"/>
      <c r="D36" s="201"/>
      <c r="E36" s="201"/>
      <c r="F36" s="204"/>
      <c r="G36" s="205" t="s">
        <v>159</v>
      </c>
      <c r="H36" s="201"/>
      <c r="I36" s="204"/>
      <c r="J36" s="206"/>
      <c r="K36" s="201"/>
      <c r="L36" s="204"/>
      <c r="M36" s="40">
        <v>0.01</v>
      </c>
      <c r="N36" s="200">
        <f t="shared" si="0"/>
        <v>1.4000000000000001</v>
      </c>
      <c r="O36" s="201"/>
      <c r="P36" s="202"/>
      <c r="Q36" s="13"/>
      <c r="R36" s="38"/>
      <c r="S36" s="39"/>
      <c r="T36" s="39"/>
      <c r="U36" s="16"/>
      <c r="V36" s="16"/>
    </row>
    <row r="37" spans="1:22" ht="15" customHeight="1">
      <c r="A37" s="36">
        <v>23</v>
      </c>
      <c r="B37" s="203" t="s">
        <v>160</v>
      </c>
      <c r="C37" s="201"/>
      <c r="D37" s="201"/>
      <c r="E37" s="201"/>
      <c r="F37" s="204"/>
      <c r="G37" s="205" t="s">
        <v>161</v>
      </c>
      <c r="H37" s="201"/>
      <c r="I37" s="204"/>
      <c r="J37" s="206"/>
      <c r="K37" s="201"/>
      <c r="L37" s="204"/>
      <c r="M37" s="40">
        <v>0.01</v>
      </c>
      <c r="N37" s="200">
        <f t="shared" si="0"/>
        <v>1.4000000000000001</v>
      </c>
      <c r="O37" s="201"/>
      <c r="P37" s="202"/>
      <c r="Q37" s="13"/>
      <c r="R37" s="38"/>
      <c r="S37" s="39"/>
      <c r="T37" s="39"/>
      <c r="U37" s="16"/>
      <c r="V37" s="16"/>
    </row>
    <row r="38" spans="1:22" ht="15" customHeight="1">
      <c r="A38" s="36">
        <v>24</v>
      </c>
      <c r="B38" s="203" t="s">
        <v>162</v>
      </c>
      <c r="C38" s="201"/>
      <c r="D38" s="201"/>
      <c r="E38" s="201"/>
      <c r="F38" s="204"/>
      <c r="G38" s="205" t="s">
        <v>163</v>
      </c>
      <c r="H38" s="201"/>
      <c r="I38" s="204"/>
      <c r="J38" s="206" t="s">
        <v>164</v>
      </c>
      <c r="K38" s="201"/>
      <c r="L38" s="204"/>
      <c r="M38" s="40">
        <v>0.01</v>
      </c>
      <c r="N38" s="200">
        <f t="shared" si="0"/>
        <v>1.4000000000000001</v>
      </c>
      <c r="O38" s="201"/>
      <c r="P38" s="202"/>
      <c r="Q38" s="13"/>
      <c r="R38" s="38"/>
      <c r="S38" s="39"/>
      <c r="T38" s="39"/>
      <c r="U38" s="16"/>
      <c r="V38" s="16"/>
    </row>
    <row r="39" spans="1:22" ht="15" customHeight="1">
      <c r="A39" s="36">
        <v>25</v>
      </c>
      <c r="B39" s="203" t="s">
        <v>165</v>
      </c>
      <c r="C39" s="201"/>
      <c r="D39" s="201"/>
      <c r="E39" s="201"/>
      <c r="F39" s="204"/>
      <c r="G39" s="205" t="s">
        <v>166</v>
      </c>
      <c r="H39" s="201"/>
      <c r="I39" s="204"/>
      <c r="J39" s="206" t="s">
        <v>167</v>
      </c>
      <c r="K39" s="201"/>
      <c r="L39" s="204"/>
      <c r="M39" s="40">
        <v>0.15</v>
      </c>
      <c r="N39" s="200">
        <f t="shared" si="0"/>
        <v>21</v>
      </c>
      <c r="O39" s="201"/>
      <c r="P39" s="202"/>
      <c r="Q39" s="13"/>
      <c r="R39" s="38"/>
      <c r="S39" s="39"/>
      <c r="T39" s="39"/>
      <c r="U39" s="16"/>
      <c r="V39" s="16"/>
    </row>
    <row r="40" spans="1:22" ht="15" customHeight="1">
      <c r="A40" s="36">
        <v>26</v>
      </c>
      <c r="B40" s="203" t="s">
        <v>168</v>
      </c>
      <c r="C40" s="201"/>
      <c r="D40" s="201"/>
      <c r="E40" s="201"/>
      <c r="F40" s="204"/>
      <c r="G40" s="205"/>
      <c r="H40" s="201"/>
      <c r="I40" s="204"/>
      <c r="J40" s="206"/>
      <c r="K40" s="201"/>
      <c r="L40" s="204"/>
      <c r="M40" s="40">
        <v>0.03</v>
      </c>
      <c r="N40" s="200">
        <f t="shared" si="0"/>
        <v>4.2</v>
      </c>
      <c r="O40" s="201"/>
      <c r="P40" s="202"/>
      <c r="Q40" s="13"/>
      <c r="R40" s="38"/>
      <c r="S40" s="39"/>
      <c r="T40" s="39"/>
      <c r="U40" s="16"/>
      <c r="V40" s="16"/>
    </row>
    <row r="41" spans="1:22" ht="21" customHeight="1">
      <c r="A41" s="232" t="s">
        <v>169</v>
      </c>
      <c r="B41" s="233"/>
      <c r="C41" s="233"/>
      <c r="D41" s="233"/>
      <c r="E41" s="233"/>
      <c r="F41" s="233"/>
      <c r="G41" s="233"/>
      <c r="H41" s="233"/>
      <c r="I41" s="233"/>
      <c r="J41" s="233"/>
      <c r="K41" s="233"/>
      <c r="L41" s="234"/>
      <c r="M41" s="41">
        <f>SUM(M15:M40)</f>
        <v>100.00000000000003</v>
      </c>
      <c r="N41" s="235">
        <f>SUM(N15:P40)</f>
        <v>14000</v>
      </c>
      <c r="O41" s="233"/>
      <c r="P41" s="236"/>
      <c r="Q41" s="13"/>
      <c r="R41" s="42"/>
      <c r="S41" s="43"/>
      <c r="T41" s="43"/>
    </row>
    <row r="42" spans="1:22" ht="18" customHeight="1">
      <c r="A42" s="225" t="s">
        <v>170</v>
      </c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4"/>
      <c r="Q42" s="13"/>
      <c r="R42" s="42"/>
      <c r="S42" s="43"/>
      <c r="T42" s="43"/>
    </row>
    <row r="43" spans="1:22" ht="51" customHeight="1">
      <c r="A43" s="227" t="s">
        <v>171</v>
      </c>
      <c r="B43" s="201"/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2"/>
      <c r="Q43" s="13"/>
      <c r="R43" s="42"/>
      <c r="S43" s="43"/>
      <c r="T43" s="43"/>
    </row>
    <row r="44" spans="1:22" ht="33" customHeight="1">
      <c r="A44" s="227" t="s">
        <v>172</v>
      </c>
      <c r="B44" s="201"/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2"/>
      <c r="Q44" s="13"/>
      <c r="R44" s="44"/>
      <c r="S44" s="43"/>
      <c r="T44" s="43"/>
    </row>
    <row r="45" spans="1:22" ht="30.75" customHeight="1">
      <c r="A45" s="227" t="s">
        <v>173</v>
      </c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2"/>
      <c r="Q45" s="13"/>
      <c r="R45" s="42"/>
      <c r="S45" s="43"/>
      <c r="T45" s="43"/>
    </row>
    <row r="46" spans="1:22" ht="18" customHeight="1">
      <c r="A46" s="216" t="s">
        <v>174</v>
      </c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17"/>
      <c r="Q46" s="13"/>
      <c r="R46" s="44"/>
      <c r="S46" s="43"/>
      <c r="T46" s="43"/>
    </row>
    <row r="47" spans="1:22" ht="34.5" customHeight="1">
      <c r="A47" s="218" t="s">
        <v>45</v>
      </c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20"/>
      <c r="Q47" s="13"/>
      <c r="R47" s="42"/>
      <c r="S47" s="43"/>
      <c r="T47" s="43"/>
    </row>
    <row r="48" spans="1:22" ht="27" customHeight="1">
      <c r="A48" s="221"/>
      <c r="B48" s="210"/>
      <c r="C48" s="210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1"/>
      <c r="Q48" s="13"/>
      <c r="R48" s="215"/>
      <c r="S48" s="213"/>
      <c r="T48" s="213"/>
    </row>
    <row r="49" spans="1:20" ht="19.5" customHeight="1">
      <c r="A49" s="222" t="s">
        <v>175</v>
      </c>
      <c r="B49" s="219"/>
      <c r="C49" s="219"/>
      <c r="D49" s="219"/>
      <c r="E49" s="219"/>
      <c r="F49" s="46"/>
      <c r="G49" s="228"/>
      <c r="H49" s="226"/>
      <c r="I49" s="226"/>
      <c r="J49" s="226"/>
      <c r="K49" s="226"/>
      <c r="L49" s="226"/>
      <c r="M49" s="47"/>
      <c r="N49" s="48" t="s">
        <v>67</v>
      </c>
      <c r="O49" s="223"/>
      <c r="P49" s="224"/>
      <c r="Q49" s="13"/>
      <c r="R49" s="215"/>
      <c r="S49" s="213"/>
      <c r="T49" s="213"/>
    </row>
    <row r="50" spans="1:20" ht="18" customHeight="1">
      <c r="A50" s="212"/>
      <c r="B50" s="213"/>
      <c r="C50" s="213"/>
      <c r="D50" s="213"/>
      <c r="E50" s="213"/>
      <c r="F50" s="2"/>
      <c r="G50" s="207" t="s">
        <v>176</v>
      </c>
      <c r="H50" s="208"/>
      <c r="I50" s="208"/>
      <c r="J50" s="208"/>
      <c r="K50" s="208"/>
      <c r="L50" s="208"/>
      <c r="M50" s="2"/>
      <c r="N50" s="50"/>
      <c r="O50" s="50"/>
      <c r="P50" s="51"/>
      <c r="Q50" s="13"/>
      <c r="R50" s="215"/>
      <c r="S50" s="213"/>
      <c r="T50" s="213"/>
    </row>
    <row r="51" spans="1:20" ht="19.5" customHeight="1">
      <c r="A51" s="214" t="s">
        <v>177</v>
      </c>
      <c r="B51" s="213"/>
      <c r="C51" s="213"/>
      <c r="D51" s="213"/>
      <c r="E51" s="213"/>
      <c r="F51" s="53"/>
      <c r="G51" s="229"/>
      <c r="H51" s="230"/>
      <c r="I51" s="230"/>
      <c r="J51" s="230"/>
      <c r="K51" s="230"/>
      <c r="L51" s="230"/>
      <c r="M51" s="2"/>
      <c r="N51" s="54" t="s">
        <v>67</v>
      </c>
      <c r="O51" s="53"/>
      <c r="P51" s="55"/>
      <c r="Q51" s="13"/>
      <c r="R51" s="215"/>
      <c r="S51" s="213"/>
      <c r="T51" s="213"/>
    </row>
    <row r="52" spans="1:20" ht="33.75" customHeight="1">
      <c r="A52" s="212"/>
      <c r="B52" s="213"/>
      <c r="C52" s="213"/>
      <c r="D52" s="213"/>
      <c r="E52" s="213"/>
      <c r="F52" s="2"/>
      <c r="G52" s="231" t="s">
        <v>178</v>
      </c>
      <c r="H52" s="208"/>
      <c r="I52" s="208"/>
      <c r="J52" s="208"/>
      <c r="K52" s="208"/>
      <c r="L52" s="208"/>
      <c r="M52" s="56"/>
      <c r="N52" s="57"/>
      <c r="O52" s="57"/>
      <c r="P52" s="51"/>
      <c r="Q52" s="13"/>
      <c r="R52" s="215"/>
      <c r="S52" s="213"/>
      <c r="T52" s="213"/>
    </row>
    <row r="53" spans="1:20" ht="19.5" customHeight="1">
      <c r="A53" s="214" t="s">
        <v>179</v>
      </c>
      <c r="B53" s="213"/>
      <c r="C53" s="213"/>
      <c r="D53" s="213"/>
      <c r="E53" s="213"/>
      <c r="F53" s="53"/>
      <c r="G53" s="229"/>
      <c r="H53" s="230"/>
      <c r="I53" s="230"/>
      <c r="J53" s="230"/>
      <c r="K53" s="230"/>
      <c r="L53" s="230"/>
      <c r="M53" s="2"/>
      <c r="N53" s="54" t="s">
        <v>67</v>
      </c>
      <c r="O53" s="53"/>
      <c r="P53" s="55"/>
      <c r="Q53" s="13"/>
    </row>
    <row r="54" spans="1:20" ht="19.5" customHeight="1">
      <c r="A54" s="52"/>
      <c r="B54" s="54"/>
      <c r="C54" s="54"/>
      <c r="D54" s="54"/>
      <c r="E54" s="54"/>
      <c r="F54" s="207" t="s">
        <v>180</v>
      </c>
      <c r="G54" s="208"/>
      <c r="H54" s="208"/>
      <c r="I54" s="208"/>
      <c r="J54" s="208"/>
      <c r="K54" s="208"/>
      <c r="L54" s="208"/>
      <c r="M54" s="2"/>
      <c r="N54" s="54"/>
      <c r="O54" s="54"/>
      <c r="P54" s="58"/>
      <c r="Q54" s="13"/>
    </row>
    <row r="55" spans="1:20" ht="19.5" customHeight="1">
      <c r="A55" s="209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1"/>
      <c r="Q55" s="13"/>
    </row>
    <row r="56" spans="1:20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</row>
    <row r="57" spans="1:20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</row>
    <row r="58" spans="1:20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</row>
    <row r="59" spans="1:20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</row>
    <row r="60" spans="1:2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</row>
    <row r="61" spans="1:20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</row>
    <row r="62" spans="1:20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</row>
    <row r="63" spans="1:20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</row>
    <row r="64" spans="1:20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</row>
    <row r="65" spans="1:17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</row>
    <row r="66" spans="1:17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</row>
    <row r="67" spans="1:1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</row>
    <row r="68" spans="1:17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</row>
    <row r="69" spans="1:17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</row>
    <row r="70" spans="1:17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</row>
    <row r="71" spans="1:17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</row>
    <row r="72" spans="1:17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</row>
    <row r="73" spans="1:17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</row>
    <row r="74" spans="1:17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</row>
    <row r="75" spans="1:17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</row>
    <row r="76" spans="1:17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</row>
    <row r="77" spans="1:1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</row>
    <row r="78" spans="1:17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</row>
    <row r="79" spans="1:17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</row>
    <row r="80" spans="1:17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</row>
    <row r="81" spans="1:17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</row>
    <row r="82" spans="1:17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</row>
    <row r="83" spans="1:17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</row>
    <row r="84" spans="1:17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</row>
    <row r="85" spans="1:17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</row>
    <row r="86" spans="1:17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</row>
    <row r="87" spans="1:1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</row>
    <row r="88" spans="1:17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</row>
    <row r="89" spans="1:17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</row>
    <row r="90" spans="1:17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</row>
    <row r="91" spans="1:17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</row>
    <row r="92" spans="1:17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</row>
    <row r="93" spans="1:17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</row>
    <row r="94" spans="1:17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</row>
    <row r="95" spans="1:17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</row>
    <row r="96" spans="1:17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</row>
    <row r="97" spans="1:1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</row>
    <row r="98" spans="1:17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</row>
    <row r="99" spans="1:17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</row>
    <row r="100" spans="1:17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</row>
    <row r="101" spans="1:17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</row>
    <row r="102" spans="1:17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</row>
    <row r="103" spans="1:17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</row>
    <row r="104" spans="1:17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</row>
    <row r="105" spans="1:17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</row>
    <row r="106" spans="1:17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</row>
    <row r="107" spans="1:1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</row>
    <row r="108" spans="1:17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</row>
    <row r="109" spans="1:17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</row>
    <row r="110" spans="1:17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</row>
    <row r="111" spans="1:17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</row>
    <row r="112" spans="1:17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</row>
    <row r="113" spans="1:17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</row>
    <row r="114" spans="1:17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</row>
    <row r="115" spans="1:17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</row>
    <row r="116" spans="1:17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</row>
    <row r="117" spans="1: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</row>
    <row r="118" spans="1:17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</row>
    <row r="119" spans="1:17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</row>
    <row r="120" spans="1:17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</row>
    <row r="121" spans="1:17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</row>
    <row r="122" spans="1:17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</row>
    <row r="123" spans="1:17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</row>
    <row r="124" spans="1:17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</row>
    <row r="125" spans="1:17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</row>
    <row r="126" spans="1:17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</row>
    <row r="127" spans="1:1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</row>
    <row r="128" spans="1:17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</row>
    <row r="129" spans="1:17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</row>
    <row r="130" spans="1:17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</row>
    <row r="131" spans="1:17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</row>
    <row r="132" spans="1:17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</row>
    <row r="133" spans="1:17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</row>
    <row r="134" spans="1:17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</row>
    <row r="135" spans="1:17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</row>
    <row r="136" spans="1:17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</row>
    <row r="137" spans="1:1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</row>
    <row r="138" spans="1:17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</row>
    <row r="139" spans="1:17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</row>
    <row r="140" spans="1:17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</row>
    <row r="141" spans="1:17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</row>
    <row r="142" spans="1:17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</row>
    <row r="143" spans="1:17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</row>
    <row r="144" spans="1:17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</row>
    <row r="145" spans="1:17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</row>
    <row r="146" spans="1:17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</row>
    <row r="147" spans="1:1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</row>
    <row r="148" spans="1:17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</row>
    <row r="149" spans="1:17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</row>
    <row r="150" spans="1:17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</row>
    <row r="151" spans="1:17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</row>
    <row r="152" spans="1:17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</row>
    <row r="153" spans="1:17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</row>
    <row r="154" spans="1:17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</row>
    <row r="155" spans="1:17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</row>
    <row r="156" spans="1:17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</row>
    <row r="157" spans="1:1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</row>
    <row r="158" spans="1:17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</row>
    <row r="159" spans="1:17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</row>
    <row r="160" spans="1:17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</row>
    <row r="161" spans="1:17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</row>
    <row r="162" spans="1:17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</row>
    <row r="163" spans="1:17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</row>
    <row r="164" spans="1:17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</row>
    <row r="165" spans="1:17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</row>
    <row r="166" spans="1:17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</row>
    <row r="167" spans="1:1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</row>
    <row r="168" spans="1:17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</row>
    <row r="169" spans="1:17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</row>
    <row r="170" spans="1:17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</row>
    <row r="171" spans="1:17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</row>
    <row r="172" spans="1:17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</row>
    <row r="173" spans="1:17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</row>
    <row r="174" spans="1:17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</row>
    <row r="175" spans="1:17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</row>
    <row r="176" spans="1:17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</row>
    <row r="177" spans="1:1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</row>
    <row r="178" spans="1:17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</row>
    <row r="179" spans="1:17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</row>
    <row r="180" spans="1:17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</row>
    <row r="181" spans="1:17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</row>
    <row r="182" spans="1:17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</row>
    <row r="183" spans="1:17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</row>
    <row r="184" spans="1:17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</row>
    <row r="185" spans="1:17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</row>
    <row r="186" spans="1:17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</row>
    <row r="187" spans="1:1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</row>
    <row r="188" spans="1:17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</row>
    <row r="189" spans="1:17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</row>
    <row r="190" spans="1:17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</row>
    <row r="191" spans="1:17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</row>
    <row r="192" spans="1:17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</row>
    <row r="193" spans="1:17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</row>
    <row r="194" spans="1:17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</row>
    <row r="195" spans="1:17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</row>
    <row r="196" spans="1:17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</row>
    <row r="197" spans="1:1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</row>
    <row r="198" spans="1:17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</row>
    <row r="199" spans="1:17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</row>
    <row r="200" spans="1:17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</row>
    <row r="201" spans="1:17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</row>
    <row r="202" spans="1:17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</row>
    <row r="203" spans="1:17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</row>
    <row r="204" spans="1:17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</row>
    <row r="205" spans="1:17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</row>
    <row r="206" spans="1:17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</row>
    <row r="207" spans="1:1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</row>
    <row r="208" spans="1:17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</row>
    <row r="209" spans="1:17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</row>
    <row r="210" spans="1:17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</row>
    <row r="211" spans="1:17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</row>
    <row r="212" spans="1:17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</row>
    <row r="213" spans="1:17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</row>
    <row r="214" spans="1:17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</row>
    <row r="215" spans="1:17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</row>
    <row r="216" spans="1:17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</row>
    <row r="217" spans="1: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</row>
    <row r="218" spans="1:17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</row>
    <row r="219" spans="1:17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</row>
    <row r="220" spans="1:17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</row>
    <row r="221" spans="1:17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</row>
    <row r="222" spans="1:17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</row>
    <row r="223" spans="1:17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</row>
    <row r="224" spans="1:17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</row>
    <row r="225" spans="1:17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</row>
    <row r="226" spans="1:17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</row>
    <row r="227" spans="1:1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</row>
    <row r="228" spans="1:17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</row>
    <row r="229" spans="1:17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</row>
    <row r="230" spans="1:17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</row>
    <row r="231" spans="1:17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</row>
    <row r="232" spans="1:17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</row>
    <row r="233" spans="1:17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</row>
    <row r="234" spans="1:17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</row>
    <row r="235" spans="1:17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</row>
    <row r="236" spans="1:17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</row>
    <row r="237" spans="1:1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</row>
    <row r="238" spans="1:17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</row>
    <row r="239" spans="1:17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</row>
    <row r="240" spans="1:17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</row>
    <row r="241" spans="1:17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</row>
    <row r="242" spans="1:17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25"/>
      <c r="N242" s="26"/>
      <c r="O242" s="26"/>
      <c r="P242" s="13"/>
      <c r="Q242" s="13"/>
    </row>
    <row r="243" spans="1:17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25"/>
      <c r="N243" s="26"/>
      <c r="O243" s="26"/>
      <c r="P243" s="13"/>
      <c r="Q243" s="13"/>
    </row>
    <row r="244" spans="1:17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25"/>
      <c r="N244" s="26"/>
      <c r="O244" s="26"/>
      <c r="P244" s="13"/>
      <c r="Q244" s="13"/>
    </row>
    <row r="245" spans="1:17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25"/>
      <c r="N245" s="26"/>
      <c r="O245" s="26"/>
      <c r="P245" s="13"/>
      <c r="Q245" s="13"/>
    </row>
    <row r="246" spans="1:17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25"/>
      <c r="N246" s="26"/>
      <c r="O246" s="26"/>
      <c r="P246" s="13"/>
      <c r="Q246" s="13"/>
    </row>
    <row r="247" spans="1:1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25"/>
      <c r="N247" s="26"/>
      <c r="O247" s="26"/>
      <c r="P247" s="13"/>
      <c r="Q247" s="13"/>
    </row>
    <row r="248" spans="1:17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25"/>
      <c r="N248" s="26"/>
      <c r="O248" s="26"/>
      <c r="P248" s="13"/>
      <c r="Q248" s="13"/>
    </row>
    <row r="249" spans="1:17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25"/>
      <c r="N249" s="26"/>
      <c r="O249" s="26"/>
      <c r="P249" s="13"/>
      <c r="Q249" s="13"/>
    </row>
    <row r="250" spans="1:17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25"/>
      <c r="N250" s="26"/>
      <c r="O250" s="26"/>
      <c r="P250" s="13"/>
      <c r="Q250" s="13"/>
    </row>
    <row r="251" spans="1:17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25"/>
      <c r="N251" s="26"/>
      <c r="O251" s="26"/>
      <c r="P251" s="13"/>
      <c r="Q251" s="13"/>
    </row>
    <row r="252" spans="1:17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25"/>
      <c r="N252" s="26"/>
      <c r="O252" s="26"/>
      <c r="P252" s="13"/>
      <c r="Q252" s="13"/>
    </row>
    <row r="253" spans="1:17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25"/>
      <c r="N253" s="26"/>
      <c r="O253" s="26"/>
      <c r="P253" s="13"/>
      <c r="Q253" s="13"/>
    </row>
    <row r="254" spans="1:17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25"/>
      <c r="N254" s="26"/>
      <c r="O254" s="26"/>
      <c r="P254" s="13"/>
      <c r="Q254" s="13"/>
    </row>
    <row r="255" spans="1:17" ht="15.75" customHeight="1"/>
    <row r="256" spans="1:1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63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N23:P23"/>
    <mergeCell ref="N24:P24"/>
    <mergeCell ref="N25:P25"/>
    <mergeCell ref="N26:P26"/>
    <mergeCell ref="N27:P27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3:F23"/>
    <mergeCell ref="G23:I23"/>
    <mergeCell ref="J23:L23"/>
    <mergeCell ref="B24:F24"/>
    <mergeCell ref="G24:I24"/>
    <mergeCell ref="J24:L24"/>
    <mergeCell ref="B25:F25"/>
    <mergeCell ref="G38:I38"/>
    <mergeCell ref="J38:L38"/>
    <mergeCell ref="N38:P38"/>
    <mergeCell ref="B36:F36"/>
    <mergeCell ref="G36:I36"/>
    <mergeCell ref="J36:L36"/>
    <mergeCell ref="B37:F37"/>
    <mergeCell ref="G37:I37"/>
    <mergeCell ref="J37:L37"/>
    <mergeCell ref="B38:F38"/>
    <mergeCell ref="B39:F39"/>
    <mergeCell ref="G39:I39"/>
    <mergeCell ref="J39:L39"/>
    <mergeCell ref="N39:P39"/>
    <mergeCell ref="G40:I40"/>
    <mergeCell ref="J40:L40"/>
    <mergeCell ref="N40:P40"/>
    <mergeCell ref="B40:F40"/>
    <mergeCell ref="A41:L41"/>
    <mergeCell ref="N41:P41"/>
    <mergeCell ref="A42:P42"/>
    <mergeCell ref="A43:P43"/>
    <mergeCell ref="A44:P44"/>
    <mergeCell ref="A45:P45"/>
    <mergeCell ref="G49:L49"/>
    <mergeCell ref="G50:L50"/>
    <mergeCell ref="G51:L51"/>
    <mergeCell ref="G52:L52"/>
    <mergeCell ref="G53:L53"/>
    <mergeCell ref="F54:L54"/>
    <mergeCell ref="A55:P55"/>
    <mergeCell ref="A50:E50"/>
    <mergeCell ref="A51:E51"/>
    <mergeCell ref="A52:E52"/>
    <mergeCell ref="A53:E53"/>
    <mergeCell ref="R51:T51"/>
    <mergeCell ref="R52:T52"/>
    <mergeCell ref="A46:P46"/>
    <mergeCell ref="A47:P48"/>
    <mergeCell ref="R48:T48"/>
    <mergeCell ref="A49:E49"/>
    <mergeCell ref="O49:P49"/>
    <mergeCell ref="R49:T49"/>
    <mergeCell ref="R50:T50"/>
    <mergeCell ref="G28:I28"/>
    <mergeCell ref="J28:L28"/>
    <mergeCell ref="N28:P28"/>
    <mergeCell ref="B26:F26"/>
    <mergeCell ref="G26:I26"/>
    <mergeCell ref="J26:L26"/>
    <mergeCell ref="B27:F27"/>
    <mergeCell ref="G27:I27"/>
    <mergeCell ref="J27:L27"/>
    <mergeCell ref="B28:F28"/>
    <mergeCell ref="B29:F29"/>
    <mergeCell ref="G29:I29"/>
    <mergeCell ref="J29:L29"/>
    <mergeCell ref="N29:P29"/>
    <mergeCell ref="G30:I30"/>
    <mergeCell ref="J30:L30"/>
    <mergeCell ref="N30:P30"/>
    <mergeCell ref="N31:P31"/>
    <mergeCell ref="N32:P32"/>
    <mergeCell ref="N33:P33"/>
    <mergeCell ref="N34:P34"/>
    <mergeCell ref="N35:P35"/>
    <mergeCell ref="N36:P36"/>
    <mergeCell ref="N37:P37"/>
    <mergeCell ref="B30:F30"/>
    <mergeCell ref="B31:F31"/>
    <mergeCell ref="G31:I31"/>
    <mergeCell ref="J31:L31"/>
    <mergeCell ref="B32:F32"/>
    <mergeCell ref="G32:I32"/>
    <mergeCell ref="J32:L32"/>
    <mergeCell ref="G35:I35"/>
    <mergeCell ref="J35:L35"/>
    <mergeCell ref="B33:F33"/>
    <mergeCell ref="G33:I33"/>
    <mergeCell ref="J33:L33"/>
    <mergeCell ref="B34:F34"/>
    <mergeCell ref="G34:I34"/>
    <mergeCell ref="J34:L34"/>
    <mergeCell ref="B35:F3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005"/>
  <sheetViews>
    <sheetView workbookViewId="0"/>
  </sheetViews>
  <sheetFormatPr baseColWidth="10" defaultColWidth="14.3984375" defaultRowHeight="15" customHeight="1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14.8632812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32.53125" customWidth="1"/>
    <col min="18" max="21" width="44" customWidth="1"/>
  </cols>
  <sheetData>
    <row r="1" spans="1:21" ht="19.5" customHeight="1">
      <c r="A1" s="261"/>
      <c r="B1" s="219"/>
      <c r="C1" s="306"/>
      <c r="D1" s="308" t="s">
        <v>0</v>
      </c>
      <c r="E1" s="219"/>
      <c r="F1" s="219"/>
      <c r="G1" s="219"/>
      <c r="H1" s="219"/>
      <c r="I1" s="219"/>
      <c r="J1" s="219"/>
      <c r="K1" s="219"/>
      <c r="L1" s="306"/>
      <c r="M1" s="292" t="s">
        <v>1</v>
      </c>
      <c r="N1" s="248"/>
      <c r="O1" s="292" t="s">
        <v>181</v>
      </c>
      <c r="P1" s="224"/>
      <c r="Q1" s="13"/>
      <c r="R1" s="13"/>
      <c r="S1" s="13"/>
      <c r="T1" s="13"/>
      <c r="U1" s="13"/>
    </row>
    <row r="2" spans="1:21" ht="21" customHeight="1">
      <c r="A2" s="264"/>
      <c r="B2" s="213"/>
      <c r="C2" s="251"/>
      <c r="D2" s="290"/>
      <c r="E2" s="230"/>
      <c r="F2" s="230"/>
      <c r="G2" s="230"/>
      <c r="H2" s="230"/>
      <c r="I2" s="230"/>
      <c r="J2" s="230"/>
      <c r="K2" s="230"/>
      <c r="L2" s="291"/>
      <c r="M2" s="293" t="s">
        <v>3</v>
      </c>
      <c r="N2" s="291"/>
      <c r="O2" s="294">
        <v>1</v>
      </c>
      <c r="P2" s="217"/>
      <c r="Q2" s="13"/>
      <c r="R2" s="13"/>
      <c r="S2" s="13"/>
      <c r="T2" s="13"/>
      <c r="U2" s="13"/>
    </row>
    <row r="3" spans="1:21" ht="18.75" customHeight="1">
      <c r="A3" s="264"/>
      <c r="B3" s="213"/>
      <c r="C3" s="251"/>
      <c r="D3" s="295" t="s">
        <v>182</v>
      </c>
      <c r="E3" s="208"/>
      <c r="F3" s="208"/>
      <c r="G3" s="208"/>
      <c r="H3" s="208"/>
      <c r="I3" s="208"/>
      <c r="J3" s="208"/>
      <c r="K3" s="208"/>
      <c r="L3" s="208"/>
      <c r="M3" s="293" t="s">
        <v>5</v>
      </c>
      <c r="N3" s="291"/>
      <c r="O3" s="273" t="s">
        <v>6</v>
      </c>
      <c r="P3" s="202"/>
      <c r="Q3" s="59"/>
      <c r="R3" s="59"/>
      <c r="S3" s="59"/>
      <c r="T3" s="59"/>
      <c r="U3" s="59"/>
    </row>
    <row r="4" spans="1:21" ht="15.75" customHeight="1">
      <c r="A4" s="264"/>
      <c r="B4" s="213"/>
      <c r="C4" s="251"/>
      <c r="D4" s="289"/>
      <c r="E4" s="213"/>
      <c r="F4" s="213"/>
      <c r="G4" s="213"/>
      <c r="H4" s="213"/>
      <c r="I4" s="213"/>
      <c r="J4" s="213"/>
      <c r="K4" s="213"/>
      <c r="L4" s="213"/>
      <c r="M4" s="287" t="s">
        <v>7</v>
      </c>
      <c r="N4" s="288"/>
      <c r="O4" s="262" t="s">
        <v>8</v>
      </c>
      <c r="P4" s="202"/>
      <c r="Q4" s="13"/>
      <c r="R4" s="13"/>
      <c r="S4" s="13"/>
      <c r="T4" s="13"/>
      <c r="U4" s="13"/>
    </row>
    <row r="5" spans="1:21" ht="15.75" customHeight="1">
      <c r="A5" s="307"/>
      <c r="B5" s="230"/>
      <c r="C5" s="291"/>
      <c r="D5" s="290"/>
      <c r="E5" s="230"/>
      <c r="F5" s="230"/>
      <c r="G5" s="230"/>
      <c r="H5" s="230"/>
      <c r="I5" s="230"/>
      <c r="J5" s="230"/>
      <c r="K5" s="230"/>
      <c r="L5" s="230"/>
      <c r="M5" s="290"/>
      <c r="N5" s="291"/>
      <c r="O5" s="263" t="s">
        <v>9</v>
      </c>
      <c r="P5" s="202"/>
      <c r="Q5" s="13"/>
      <c r="R5" s="13"/>
      <c r="S5" s="13"/>
      <c r="T5" s="13"/>
      <c r="U5" s="13"/>
    </row>
    <row r="6" spans="1:21" ht="12" customHeight="1">
      <c r="A6" s="349"/>
      <c r="B6" s="230"/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13"/>
      <c r="R6" s="13"/>
      <c r="S6" s="13"/>
      <c r="T6" s="13"/>
      <c r="U6" s="13"/>
    </row>
    <row r="7" spans="1:21" ht="36" customHeight="1">
      <c r="A7" s="302" t="s">
        <v>10</v>
      </c>
      <c r="B7" s="303"/>
      <c r="C7" s="303"/>
      <c r="D7" s="303"/>
      <c r="E7" s="305"/>
      <c r="F7" s="254" t="str">
        <f>OP!G9</f>
        <v>CONTORNO DE OJOS RETINALDEHIDO 0.05%</v>
      </c>
      <c r="G7" s="201"/>
      <c r="H7" s="201"/>
      <c r="I7" s="201"/>
      <c r="J7" s="201"/>
      <c r="K7" s="201"/>
      <c r="L7" s="201"/>
      <c r="M7" s="201"/>
      <c r="N7" s="201"/>
      <c r="O7" s="201"/>
      <c r="P7" s="202"/>
      <c r="Q7" s="13"/>
      <c r="R7" s="13"/>
      <c r="S7" s="13"/>
      <c r="T7" s="13"/>
      <c r="U7" s="13"/>
    </row>
    <row r="8" spans="1:21" ht="36" customHeight="1">
      <c r="A8" s="336" t="s">
        <v>55</v>
      </c>
      <c r="B8" s="201"/>
      <c r="C8" s="201"/>
      <c r="D8" s="201"/>
      <c r="E8" s="204"/>
      <c r="F8" s="286" t="str">
        <f>OP!M10</f>
        <v>252581</v>
      </c>
      <c r="G8" s="204"/>
      <c r="H8" s="304" t="s">
        <v>183</v>
      </c>
      <c r="I8" s="303"/>
      <c r="J8" s="303"/>
      <c r="K8" s="303"/>
      <c r="L8" s="281"/>
      <c r="M8" s="236"/>
      <c r="N8" s="256" t="s">
        <v>184</v>
      </c>
      <c r="O8" s="204"/>
      <c r="P8" s="60"/>
      <c r="Q8" s="13"/>
      <c r="R8" s="13"/>
      <c r="S8" s="13"/>
      <c r="T8" s="13"/>
      <c r="U8" s="13"/>
    </row>
    <row r="9" spans="1:21" ht="36" customHeight="1">
      <c r="A9" s="337" t="s">
        <v>185</v>
      </c>
      <c r="B9" s="233"/>
      <c r="C9" s="233"/>
      <c r="D9" s="233"/>
      <c r="E9" s="234"/>
      <c r="F9" s="254" t="str">
        <f>OP!M11</f>
        <v>OP-SS-126</v>
      </c>
      <c r="G9" s="202"/>
      <c r="H9" s="338" t="s">
        <v>186</v>
      </c>
      <c r="I9" s="233"/>
      <c r="J9" s="233"/>
      <c r="K9" s="234"/>
      <c r="L9" s="339"/>
      <c r="M9" s="234"/>
      <c r="N9" s="340" t="s">
        <v>187</v>
      </c>
      <c r="O9" s="341"/>
      <c r="P9" s="61"/>
      <c r="Q9" s="13"/>
      <c r="R9" s="13"/>
      <c r="S9" s="13"/>
      <c r="T9" s="13"/>
      <c r="U9" s="13"/>
    </row>
    <row r="10" spans="1:21" ht="12" customHeight="1">
      <c r="A10" s="342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51"/>
      <c r="Q10" s="59"/>
      <c r="R10" s="59"/>
      <c r="S10" s="59"/>
      <c r="T10" s="59"/>
      <c r="U10" s="59"/>
    </row>
    <row r="11" spans="1:21" ht="21" customHeight="1">
      <c r="A11" s="329" t="s">
        <v>188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4"/>
      <c r="N11" s="275" t="s">
        <v>189</v>
      </c>
      <c r="O11" s="204"/>
      <c r="P11" s="62" t="s">
        <v>190</v>
      </c>
      <c r="Q11" s="13"/>
      <c r="R11" s="13"/>
      <c r="S11" s="13"/>
      <c r="T11" s="13"/>
      <c r="U11" s="13"/>
    </row>
    <row r="12" spans="1:21" ht="36.75" customHeight="1">
      <c r="A12" s="330" t="s">
        <v>191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4"/>
      <c r="N12" s="331"/>
      <c r="O12" s="204"/>
      <c r="P12" s="63"/>
      <c r="Q12" s="13"/>
      <c r="R12" s="13"/>
      <c r="S12" s="13"/>
      <c r="T12" s="13"/>
      <c r="U12" s="13"/>
    </row>
    <row r="13" spans="1:21" ht="12" customHeight="1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6"/>
      <c r="O13" s="66"/>
      <c r="P13" s="67"/>
      <c r="Q13" s="13"/>
      <c r="R13" s="13"/>
      <c r="S13" s="13"/>
      <c r="T13" s="13"/>
      <c r="U13" s="13"/>
    </row>
    <row r="14" spans="1:21" ht="18.75" customHeight="1">
      <c r="A14" s="332" t="s">
        <v>192</v>
      </c>
      <c r="B14" s="233"/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6"/>
      <c r="Q14" s="13"/>
      <c r="R14" s="13"/>
      <c r="S14" s="13"/>
      <c r="T14" s="13"/>
      <c r="U14" s="13"/>
    </row>
    <row r="15" spans="1:21" ht="24.75" customHeight="1">
      <c r="A15" s="333" t="s">
        <v>193</v>
      </c>
      <c r="B15" s="226"/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4"/>
      <c r="Q15" s="68"/>
      <c r="R15" s="68"/>
      <c r="S15" s="68"/>
      <c r="T15" s="68"/>
      <c r="U15" s="68"/>
    </row>
    <row r="16" spans="1:21" ht="27" customHeight="1">
      <c r="A16" s="334" t="s">
        <v>194</v>
      </c>
      <c r="B16" s="204"/>
      <c r="C16" s="335" t="s">
        <v>195</v>
      </c>
      <c r="D16" s="201"/>
      <c r="E16" s="201"/>
      <c r="F16" s="201"/>
      <c r="G16" s="204"/>
      <c r="H16" s="335" t="s">
        <v>100</v>
      </c>
      <c r="I16" s="201"/>
      <c r="J16" s="204"/>
      <c r="K16" s="335" t="s">
        <v>101</v>
      </c>
      <c r="L16" s="204"/>
      <c r="M16" s="335" t="s">
        <v>12</v>
      </c>
      <c r="N16" s="204"/>
      <c r="O16" s="335" t="s">
        <v>196</v>
      </c>
      <c r="P16" s="202"/>
      <c r="Q16" s="68"/>
      <c r="R16" s="68"/>
      <c r="S16" s="68"/>
      <c r="T16" s="68"/>
      <c r="U16" s="68"/>
    </row>
    <row r="17" spans="1:21" ht="20.25" customHeight="1">
      <c r="A17" s="321" t="str">
        <f>OP!G15</f>
        <v>MPAGUAS01</v>
      </c>
      <c r="B17" s="204"/>
      <c r="C17" s="328" t="str">
        <f>OP!B15</f>
        <v>AGUA DESIONIZADA</v>
      </c>
      <c r="D17" s="230"/>
      <c r="E17" s="230"/>
      <c r="F17" s="230"/>
      <c r="G17" s="291"/>
      <c r="H17" s="322">
        <f>OP!M15</f>
        <v>71.625</v>
      </c>
      <c r="I17" s="230"/>
      <c r="J17" s="291"/>
      <c r="K17" s="323">
        <f>OP!N15</f>
        <v>10027.5</v>
      </c>
      <c r="L17" s="204"/>
      <c r="M17" s="270" t="str">
        <f>OP!J15</f>
        <v>AD-252551</v>
      </c>
      <c r="N17" s="204"/>
      <c r="O17" s="270"/>
      <c r="P17" s="202"/>
      <c r="Q17" s="68"/>
      <c r="R17" s="327"/>
      <c r="S17" s="213"/>
      <c r="T17" s="213"/>
      <c r="U17" s="70"/>
    </row>
    <row r="18" spans="1:21" ht="20.25" customHeight="1">
      <c r="A18" s="321" t="str">
        <f>OP!G16</f>
        <v>MPACTRSO01</v>
      </c>
      <c r="B18" s="204"/>
      <c r="C18" s="328" t="str">
        <f>OP!B16</f>
        <v>ACIDO TRANEXAMICO</v>
      </c>
      <c r="D18" s="230"/>
      <c r="E18" s="230"/>
      <c r="F18" s="230"/>
      <c r="G18" s="291"/>
      <c r="H18" s="322">
        <f>OP!M16</f>
        <v>5</v>
      </c>
      <c r="I18" s="230"/>
      <c r="J18" s="291"/>
      <c r="K18" s="323">
        <f>OP!N16</f>
        <v>700</v>
      </c>
      <c r="L18" s="204"/>
      <c r="M18" s="270" t="str">
        <f>OP!J16</f>
        <v>LYPH250618</v>
      </c>
      <c r="N18" s="204"/>
      <c r="O18" s="270"/>
      <c r="P18" s="202"/>
      <c r="Q18" s="68"/>
      <c r="R18" s="327"/>
      <c r="S18" s="213"/>
      <c r="T18" s="213"/>
      <c r="U18" s="45"/>
    </row>
    <row r="19" spans="1:21" ht="20.25" customHeight="1">
      <c r="A19" s="321" t="str">
        <f>OP!G17</f>
        <v>MPGLICLI01</v>
      </c>
      <c r="B19" s="204"/>
      <c r="C19" s="328" t="str">
        <f>OP!B17</f>
        <v>GLICERINA</v>
      </c>
      <c r="D19" s="230"/>
      <c r="E19" s="230"/>
      <c r="F19" s="230"/>
      <c r="G19" s="291"/>
      <c r="H19" s="322">
        <f>OP!M17</f>
        <v>5</v>
      </c>
      <c r="I19" s="230"/>
      <c r="J19" s="291"/>
      <c r="K19" s="323">
        <f>OP!N17</f>
        <v>700</v>
      </c>
      <c r="L19" s="204"/>
      <c r="M19" s="270" t="str">
        <f>OP!J17</f>
        <v>M429751120241</v>
      </c>
      <c r="N19" s="204"/>
      <c r="O19" s="270"/>
      <c r="P19" s="202"/>
      <c r="Q19" s="68"/>
      <c r="R19" s="327"/>
      <c r="S19" s="213"/>
      <c r="T19" s="213"/>
      <c r="U19" s="45"/>
    </row>
    <row r="20" spans="1:21" ht="20.25" customHeight="1">
      <c r="A20" s="321" t="str">
        <f>OP!G18</f>
        <v>MPPROPLI01</v>
      </c>
      <c r="B20" s="204"/>
      <c r="C20" s="324" t="str">
        <f>OP!B18</f>
        <v>PROPILENGLICOL</v>
      </c>
      <c r="D20" s="230"/>
      <c r="E20" s="230"/>
      <c r="F20" s="230"/>
      <c r="G20" s="291"/>
      <c r="H20" s="322">
        <f>OP!M18</f>
        <v>5</v>
      </c>
      <c r="I20" s="230"/>
      <c r="J20" s="291"/>
      <c r="K20" s="323">
        <f>OP!N18</f>
        <v>700</v>
      </c>
      <c r="L20" s="204"/>
      <c r="M20" s="270" t="str">
        <f>OP!J18</f>
        <v>D357P4J1B3</v>
      </c>
      <c r="N20" s="204"/>
      <c r="O20" s="270"/>
      <c r="P20" s="202"/>
      <c r="Q20" s="68"/>
      <c r="R20" s="327"/>
      <c r="S20" s="213"/>
      <c r="T20" s="213"/>
      <c r="U20" s="45"/>
    </row>
    <row r="21" spans="1:21" ht="20.25" customHeight="1">
      <c r="A21" s="321" t="str">
        <f>OP!G19</f>
        <v>MPNIACSO01</v>
      </c>
      <c r="B21" s="204"/>
      <c r="C21" s="324" t="str">
        <f>OP!B19</f>
        <v>NIACINAMIDA</v>
      </c>
      <c r="D21" s="230"/>
      <c r="E21" s="230"/>
      <c r="F21" s="230"/>
      <c r="G21" s="291"/>
      <c r="H21" s="322">
        <f>OP!M19</f>
        <v>3</v>
      </c>
      <c r="I21" s="230"/>
      <c r="J21" s="291"/>
      <c r="K21" s="323">
        <f>OP!N19</f>
        <v>420</v>
      </c>
      <c r="L21" s="204"/>
      <c r="M21" s="270">
        <f>OP!J19</f>
        <v>0</v>
      </c>
      <c r="N21" s="204"/>
      <c r="O21" s="270"/>
      <c r="P21" s="202"/>
      <c r="Q21" s="68"/>
      <c r="R21" s="327"/>
      <c r="S21" s="213"/>
      <c r="T21" s="213"/>
      <c r="U21" s="45"/>
    </row>
    <row r="22" spans="1:21" ht="20.25" customHeight="1">
      <c r="A22" s="325" t="str">
        <f>OP!G20</f>
        <v>MPSILILI01</v>
      </c>
      <c r="B22" s="204"/>
      <c r="C22" s="324" t="str">
        <f>OP!B20</f>
        <v>SILICONA LIQUIDA</v>
      </c>
      <c r="D22" s="230"/>
      <c r="E22" s="230"/>
      <c r="F22" s="230"/>
      <c r="G22" s="291"/>
      <c r="H22" s="322">
        <f>OP!M20</f>
        <v>2</v>
      </c>
      <c r="I22" s="230"/>
      <c r="J22" s="291"/>
      <c r="K22" s="323">
        <f>OP!N20</f>
        <v>280</v>
      </c>
      <c r="L22" s="204"/>
      <c r="M22" s="270">
        <f>OP!J20</f>
        <v>10005316</v>
      </c>
      <c r="N22" s="204"/>
      <c r="O22" s="270"/>
      <c r="P22" s="202"/>
      <c r="Q22" s="68"/>
      <c r="R22" s="326"/>
      <c r="S22" s="213"/>
      <c r="T22" s="213"/>
      <c r="U22" s="45"/>
    </row>
    <row r="23" spans="1:21" ht="20.25" customHeight="1">
      <c r="A23" s="321" t="str">
        <f>OP!G21</f>
        <v>MPALCESO01</v>
      </c>
      <c r="B23" s="204"/>
      <c r="C23" s="324" t="str">
        <f>OP!B21</f>
        <v>ALCOHOL CETILICO</v>
      </c>
      <c r="D23" s="230"/>
      <c r="E23" s="230"/>
      <c r="F23" s="230"/>
      <c r="G23" s="291"/>
      <c r="H23" s="322">
        <f>OP!M21</f>
        <v>1.5</v>
      </c>
      <c r="I23" s="230"/>
      <c r="J23" s="291"/>
      <c r="K23" s="323">
        <f>OP!N21</f>
        <v>210</v>
      </c>
      <c r="L23" s="204"/>
      <c r="M23" s="270" t="str">
        <f>OP!J21</f>
        <v>P4-006-HB</v>
      </c>
      <c r="N23" s="204"/>
      <c r="O23" s="270"/>
      <c r="P23" s="202"/>
      <c r="Q23" s="68"/>
      <c r="R23" s="327"/>
      <c r="S23" s="213"/>
      <c r="T23" s="213"/>
      <c r="U23" s="45"/>
    </row>
    <row r="24" spans="1:21" ht="20.25" customHeight="1">
      <c r="A24" s="321" t="str">
        <f>OP!G22</f>
        <v>MPESCULI01</v>
      </c>
      <c r="B24" s="204"/>
      <c r="C24" s="324" t="str">
        <f>OP!B22</f>
        <v>ESCUALENO</v>
      </c>
      <c r="D24" s="230"/>
      <c r="E24" s="230"/>
      <c r="F24" s="230"/>
      <c r="G24" s="291"/>
      <c r="H24" s="322">
        <f>OP!M22</f>
        <v>1.5</v>
      </c>
      <c r="I24" s="230"/>
      <c r="J24" s="291"/>
      <c r="K24" s="323">
        <f>OP!N22</f>
        <v>210</v>
      </c>
      <c r="L24" s="204"/>
      <c r="M24" s="270" t="str">
        <f>OP!J22</f>
        <v>YT-SQ20250515</v>
      </c>
      <c r="N24" s="204"/>
      <c r="O24" s="270"/>
      <c r="P24" s="202"/>
      <c r="Q24" s="68"/>
      <c r="R24" s="327"/>
      <c r="S24" s="213"/>
      <c r="T24" s="213"/>
      <c r="U24" s="45"/>
    </row>
    <row r="25" spans="1:21" ht="20.25" customHeight="1">
      <c r="A25" s="321" t="str">
        <f>OP!G23</f>
        <v>MPGLUCSO01</v>
      </c>
      <c r="B25" s="204"/>
      <c r="C25" s="324" t="str">
        <f>OP!B23</f>
        <v>N-ACETILGLUCOSAMINA</v>
      </c>
      <c r="D25" s="230"/>
      <c r="E25" s="230"/>
      <c r="F25" s="230"/>
      <c r="G25" s="291"/>
      <c r="H25" s="322">
        <f>OP!M23</f>
        <v>1.5</v>
      </c>
      <c r="I25" s="230"/>
      <c r="J25" s="291"/>
      <c r="K25" s="323">
        <f>OP!N23</f>
        <v>210</v>
      </c>
      <c r="L25" s="204"/>
      <c r="M25" s="270" t="str">
        <f>OP!J23</f>
        <v>YT20241213</v>
      </c>
      <c r="N25" s="204"/>
      <c r="O25" s="270"/>
      <c r="P25" s="202"/>
      <c r="Q25" s="68"/>
      <c r="R25" s="327"/>
      <c r="S25" s="213"/>
      <c r="T25" s="213"/>
      <c r="U25" s="45"/>
    </row>
    <row r="26" spans="1:21" ht="20.25" customHeight="1">
      <c r="A26" s="321" t="str">
        <f>OP!G24</f>
        <v>MPBETASO01</v>
      </c>
      <c r="B26" s="204"/>
      <c r="C26" s="324" t="str">
        <f>OP!B24</f>
        <v>BETAINA</v>
      </c>
      <c r="D26" s="230"/>
      <c r="E26" s="230"/>
      <c r="F26" s="230"/>
      <c r="G26" s="291"/>
      <c r="H26" s="322">
        <f>OP!M24</f>
        <v>1</v>
      </c>
      <c r="I26" s="230"/>
      <c r="J26" s="291"/>
      <c r="K26" s="323">
        <f>OP!N24</f>
        <v>140</v>
      </c>
      <c r="L26" s="204"/>
      <c r="M26" s="270" t="str">
        <f>OP!J24</f>
        <v>YT-20240405</v>
      </c>
      <c r="N26" s="204"/>
      <c r="O26" s="270"/>
      <c r="P26" s="202"/>
      <c r="Q26" s="68"/>
      <c r="R26" s="327"/>
      <c r="S26" s="213"/>
      <c r="T26" s="213"/>
      <c r="U26" s="45"/>
    </row>
    <row r="27" spans="1:21" ht="20.25" customHeight="1">
      <c r="A27" s="321" t="str">
        <f>OP!G25</f>
        <v>MPGLUCSO02</v>
      </c>
      <c r="B27" s="204"/>
      <c r="C27" s="324" t="str">
        <f>OP!B25</f>
        <v>GLUCONOLACTONA</v>
      </c>
      <c r="D27" s="230"/>
      <c r="E27" s="230"/>
      <c r="F27" s="230"/>
      <c r="G27" s="291"/>
      <c r="H27" s="322">
        <f>OP!M25</f>
        <v>0.5</v>
      </c>
      <c r="I27" s="230"/>
      <c r="J27" s="291"/>
      <c r="K27" s="323">
        <f>OP!N25</f>
        <v>70</v>
      </c>
      <c r="L27" s="204"/>
      <c r="M27" s="270" t="str">
        <f>OP!J25</f>
        <v>YT-GL20241109</v>
      </c>
      <c r="N27" s="204"/>
      <c r="O27" s="270"/>
      <c r="P27" s="202"/>
      <c r="Q27" s="68"/>
      <c r="R27" s="326"/>
      <c r="S27" s="213"/>
      <c r="T27" s="213"/>
      <c r="U27" s="45"/>
    </row>
    <row r="28" spans="1:21" ht="20.25" customHeight="1">
      <c r="A28" s="321" t="str">
        <f>OP!G26</f>
        <v>MPACHISO01</v>
      </c>
      <c r="B28" s="204"/>
      <c r="C28" s="324" t="str">
        <f>OP!B26</f>
        <v>ACIDO HILAURONICO 50 KD</v>
      </c>
      <c r="D28" s="230"/>
      <c r="E28" s="230"/>
      <c r="F28" s="230"/>
      <c r="G28" s="291"/>
      <c r="H28" s="322">
        <f>OP!M26</f>
        <v>0.5</v>
      </c>
      <c r="I28" s="230"/>
      <c r="J28" s="291"/>
      <c r="K28" s="323">
        <f>OP!N26</f>
        <v>70</v>
      </c>
      <c r="L28" s="204"/>
      <c r="M28" s="270" t="str">
        <f>OP!J26</f>
        <v>YT-HA20250622</v>
      </c>
      <c r="N28" s="204"/>
      <c r="O28" s="270"/>
      <c r="P28" s="202"/>
      <c r="Q28" s="68"/>
      <c r="R28" s="326"/>
      <c r="S28" s="213"/>
      <c r="T28" s="213"/>
      <c r="U28" s="45"/>
    </row>
    <row r="29" spans="1:21" ht="20.25" customHeight="1">
      <c r="A29" s="321" t="str">
        <f>OP!G27</f>
        <v>MPALANSO01</v>
      </c>
      <c r="B29" s="204"/>
      <c r="C29" s="324" t="str">
        <f>OP!B27</f>
        <v>ALANTOINA</v>
      </c>
      <c r="D29" s="230"/>
      <c r="E29" s="230"/>
      <c r="F29" s="230"/>
      <c r="G29" s="291"/>
      <c r="H29" s="322">
        <f>OP!M27</f>
        <v>0.5</v>
      </c>
      <c r="I29" s="230"/>
      <c r="J29" s="291"/>
      <c r="K29" s="323">
        <f>OP!N27</f>
        <v>70</v>
      </c>
      <c r="L29" s="204"/>
      <c r="M29" s="270">
        <f>OP!J27</f>
        <v>20241202</v>
      </c>
      <c r="N29" s="204"/>
      <c r="O29" s="270"/>
      <c r="P29" s="202"/>
      <c r="Q29" s="68"/>
      <c r="R29" s="327"/>
      <c r="S29" s="213"/>
      <c r="T29" s="213"/>
      <c r="U29" s="45"/>
    </row>
    <row r="30" spans="1:21" ht="20.25" customHeight="1">
      <c r="A30" s="321" t="str">
        <f>OP!G28</f>
        <v>MPVITESO01</v>
      </c>
      <c r="B30" s="204"/>
      <c r="C30" s="324" t="str">
        <f>OP!B28</f>
        <v>VITAMINA E POLVO</v>
      </c>
      <c r="D30" s="230"/>
      <c r="E30" s="230"/>
      <c r="F30" s="230"/>
      <c r="G30" s="291"/>
      <c r="H30" s="322">
        <f>OP!M28</f>
        <v>0.5</v>
      </c>
      <c r="I30" s="230"/>
      <c r="J30" s="291"/>
      <c r="K30" s="323">
        <f>OP!N28</f>
        <v>70</v>
      </c>
      <c r="L30" s="204"/>
      <c r="M30" s="270" t="str">
        <f>OP!J28</f>
        <v>022411A014</v>
      </c>
      <c r="N30" s="204"/>
      <c r="O30" s="270"/>
      <c r="P30" s="202"/>
      <c r="Q30" s="68"/>
      <c r="R30" s="69"/>
      <c r="S30" s="69"/>
      <c r="T30" s="69"/>
      <c r="U30" s="45"/>
    </row>
    <row r="31" spans="1:21" ht="20.25" customHeight="1">
      <c r="A31" s="321" t="str">
        <f>OP!G29</f>
        <v>MPEZ4USO01</v>
      </c>
      <c r="B31" s="204"/>
      <c r="C31" s="324" t="str">
        <f>OP!B29</f>
        <v>EZ-4U</v>
      </c>
      <c r="D31" s="230"/>
      <c r="E31" s="230"/>
      <c r="F31" s="230"/>
      <c r="G31" s="291"/>
      <c r="H31" s="322">
        <f>OP!M29</f>
        <v>0.4</v>
      </c>
      <c r="I31" s="230"/>
      <c r="J31" s="291"/>
      <c r="K31" s="323">
        <f>OP!N29</f>
        <v>56.000000000000007</v>
      </c>
      <c r="L31" s="204"/>
      <c r="M31" s="270">
        <f>OP!J29</f>
        <v>0</v>
      </c>
      <c r="N31" s="204"/>
      <c r="O31" s="270"/>
      <c r="P31" s="202"/>
      <c r="Q31" s="68"/>
      <c r="R31" s="69"/>
      <c r="S31" s="69"/>
      <c r="T31" s="69"/>
      <c r="U31" s="45"/>
    </row>
    <row r="32" spans="1:21" ht="20.25" customHeight="1">
      <c r="A32" s="321" t="str">
        <f>OP!G30</f>
        <v>MPTEANSO01</v>
      </c>
      <c r="B32" s="204"/>
      <c r="C32" s="324" t="str">
        <f>OP!B30</f>
        <v>L-TEANINA</v>
      </c>
      <c r="D32" s="230"/>
      <c r="E32" s="230"/>
      <c r="F32" s="230"/>
      <c r="G32" s="291"/>
      <c r="H32" s="322">
        <f>OP!M30</f>
        <v>0.1</v>
      </c>
      <c r="I32" s="230"/>
      <c r="J32" s="291"/>
      <c r="K32" s="323">
        <f>OP!N30</f>
        <v>14.000000000000002</v>
      </c>
      <c r="L32" s="204"/>
      <c r="M32" s="270">
        <f>OP!J30</f>
        <v>20220526</v>
      </c>
      <c r="N32" s="204"/>
      <c r="O32" s="270"/>
      <c r="P32" s="202"/>
      <c r="Q32" s="68"/>
      <c r="R32" s="69"/>
      <c r="S32" s="69"/>
      <c r="T32" s="69"/>
      <c r="U32" s="45"/>
    </row>
    <row r="33" spans="1:21" ht="20.25" customHeight="1">
      <c r="A33" s="321" t="str">
        <f>OP!G31</f>
        <v>MPBETASO02</v>
      </c>
      <c r="B33" s="204"/>
      <c r="C33" s="324" t="str">
        <f>OP!B31</f>
        <v>BETAGLUCAM</v>
      </c>
      <c r="D33" s="230"/>
      <c r="E33" s="230"/>
      <c r="F33" s="230"/>
      <c r="G33" s="291"/>
      <c r="H33" s="322">
        <f>OP!M31</f>
        <v>0.05</v>
      </c>
      <c r="I33" s="230"/>
      <c r="J33" s="291"/>
      <c r="K33" s="323">
        <f>OP!N31</f>
        <v>7.0000000000000009</v>
      </c>
      <c r="L33" s="204"/>
      <c r="M33" s="270" t="str">
        <f>OP!J31</f>
        <v>YT-20240219</v>
      </c>
      <c r="N33" s="204"/>
      <c r="O33" s="270"/>
      <c r="P33" s="202"/>
      <c r="Q33" s="68"/>
      <c r="R33" s="69"/>
      <c r="S33" s="69"/>
      <c r="T33" s="69"/>
      <c r="U33" s="45"/>
    </row>
    <row r="34" spans="1:21" ht="20.25" customHeight="1">
      <c r="A34" s="321" t="str">
        <f>OP!G32</f>
        <v>MPPECOSO01</v>
      </c>
      <c r="B34" s="204"/>
      <c r="C34" s="324" t="str">
        <f>OP!B32</f>
        <v>PEPTIDOS DE COLAGENO POLVO</v>
      </c>
      <c r="D34" s="230"/>
      <c r="E34" s="230"/>
      <c r="F34" s="230"/>
      <c r="G34" s="291"/>
      <c r="H34" s="322">
        <f>OP!M32</f>
        <v>0.05</v>
      </c>
      <c r="I34" s="230"/>
      <c r="J34" s="291"/>
      <c r="K34" s="323">
        <f>OP!N32</f>
        <v>7.0000000000000009</v>
      </c>
      <c r="L34" s="204"/>
      <c r="M34" s="270" t="str">
        <f>OP!J32</f>
        <v>YT-20240725</v>
      </c>
      <c r="N34" s="204"/>
      <c r="O34" s="270"/>
      <c r="P34" s="202"/>
      <c r="Q34" s="68"/>
      <c r="R34" s="69"/>
      <c r="S34" s="69"/>
      <c r="T34" s="69"/>
      <c r="U34" s="45"/>
    </row>
    <row r="35" spans="1:21" ht="20.25" customHeight="1">
      <c r="A35" s="321" t="str">
        <f>OP!G33</f>
        <v>MPTINSO001</v>
      </c>
      <c r="B35" s="204"/>
      <c r="C35" s="324" t="str">
        <f>OP!B33</f>
        <v>TINOGARD TT</v>
      </c>
      <c r="D35" s="230"/>
      <c r="E35" s="230"/>
      <c r="F35" s="230"/>
      <c r="G35" s="291"/>
      <c r="H35" s="322">
        <f>OP!M33</f>
        <v>0.03</v>
      </c>
      <c r="I35" s="230"/>
      <c r="J35" s="291"/>
      <c r="K35" s="323">
        <f>OP!N33</f>
        <v>4.2</v>
      </c>
      <c r="L35" s="204"/>
      <c r="M35" s="270">
        <f>OP!J33</f>
        <v>26515086</v>
      </c>
      <c r="N35" s="204"/>
      <c r="O35" s="270"/>
      <c r="P35" s="202"/>
      <c r="Q35" s="68"/>
      <c r="R35" s="69"/>
      <c r="S35" s="69"/>
      <c r="T35" s="69"/>
      <c r="U35" s="45"/>
    </row>
    <row r="36" spans="1:21" ht="20.25" customHeight="1">
      <c r="A36" s="321" t="str">
        <f>OP!G34</f>
        <v>MPRETSO01</v>
      </c>
      <c r="B36" s="204"/>
      <c r="C36" s="324" t="str">
        <f>OP!B34</f>
        <v>RETINALDEHIDO</v>
      </c>
      <c r="D36" s="230"/>
      <c r="E36" s="230"/>
      <c r="F36" s="230"/>
      <c r="G36" s="291"/>
      <c r="H36" s="322">
        <f>OP!M34</f>
        <v>2.5000000000000001E-2</v>
      </c>
      <c r="I36" s="230"/>
      <c r="J36" s="291"/>
      <c r="K36" s="323">
        <f>OP!N34</f>
        <v>3.5000000000000004</v>
      </c>
      <c r="L36" s="204"/>
      <c r="M36" s="270" t="str">
        <f>OP!J34</f>
        <v>YT-RT20250314</v>
      </c>
      <c r="N36" s="204"/>
      <c r="O36" s="270"/>
      <c r="P36" s="202"/>
      <c r="Q36" s="68"/>
      <c r="R36" s="69"/>
      <c r="S36" s="69"/>
      <c r="T36" s="69"/>
      <c r="U36" s="45"/>
    </row>
    <row r="37" spans="1:21" ht="20.25" customHeight="1">
      <c r="A37" s="321" t="str">
        <f>OP!G35</f>
        <v>MPPALTRISO02</v>
      </c>
      <c r="B37" s="204"/>
      <c r="C37" s="324" t="str">
        <f>OP!B35</f>
        <v>PALMITOYL TRIPEPTIDE-1</v>
      </c>
      <c r="D37" s="230"/>
      <c r="E37" s="230"/>
      <c r="F37" s="230"/>
      <c r="G37" s="291"/>
      <c r="H37" s="322">
        <f>OP!M35</f>
        <v>0.01</v>
      </c>
      <c r="I37" s="230"/>
      <c r="J37" s="291"/>
      <c r="K37" s="323">
        <f>OP!N35</f>
        <v>1.4000000000000001</v>
      </c>
      <c r="L37" s="204"/>
      <c r="M37" s="270">
        <f>OP!J35</f>
        <v>0</v>
      </c>
      <c r="N37" s="204"/>
      <c r="O37" s="270"/>
      <c r="P37" s="202"/>
      <c r="Q37" s="68"/>
      <c r="R37" s="69"/>
      <c r="S37" s="69"/>
      <c r="T37" s="69"/>
      <c r="U37" s="45"/>
    </row>
    <row r="38" spans="1:21" ht="20.25" customHeight="1">
      <c r="A38" s="321" t="str">
        <f>OP!G36</f>
        <v>MPPALTRISO01</v>
      </c>
      <c r="B38" s="204"/>
      <c r="C38" s="324" t="str">
        <f>OP!B36</f>
        <v>PALMITOYL TETRAPEPTIDE-7</v>
      </c>
      <c r="D38" s="230"/>
      <c r="E38" s="230"/>
      <c r="F38" s="230"/>
      <c r="G38" s="291"/>
      <c r="H38" s="322">
        <f>OP!M36</f>
        <v>0.01</v>
      </c>
      <c r="I38" s="230"/>
      <c r="J38" s="291"/>
      <c r="K38" s="323">
        <f>OP!N36</f>
        <v>1.4000000000000001</v>
      </c>
      <c r="L38" s="204"/>
      <c r="M38" s="270">
        <f>OP!J36</f>
        <v>0</v>
      </c>
      <c r="N38" s="204"/>
      <c r="O38" s="270"/>
      <c r="P38" s="202"/>
      <c r="Q38" s="68"/>
      <c r="R38" s="69"/>
      <c r="S38" s="69"/>
      <c r="T38" s="69"/>
      <c r="U38" s="45"/>
    </row>
    <row r="39" spans="1:21" ht="20.25" customHeight="1">
      <c r="A39" s="321" t="str">
        <f>OP!G37</f>
        <v>MPACHESO01</v>
      </c>
      <c r="B39" s="204"/>
      <c r="C39" s="324" t="str">
        <f>OP!B37</f>
        <v>ACETYL HEXAPEPTIDE-8</v>
      </c>
      <c r="D39" s="230"/>
      <c r="E39" s="230"/>
      <c r="F39" s="230"/>
      <c r="G39" s="291"/>
      <c r="H39" s="322">
        <f>OP!M37</f>
        <v>0.01</v>
      </c>
      <c r="I39" s="230"/>
      <c r="J39" s="291"/>
      <c r="K39" s="323">
        <f>OP!N37</f>
        <v>1.4000000000000001</v>
      </c>
      <c r="L39" s="204"/>
      <c r="M39" s="270">
        <f>OP!J37</f>
        <v>0</v>
      </c>
      <c r="N39" s="204"/>
      <c r="O39" s="270"/>
      <c r="P39" s="202"/>
      <c r="Q39" s="68"/>
      <c r="R39" s="69"/>
      <c r="S39" s="69"/>
      <c r="T39" s="69"/>
      <c r="U39" s="45"/>
    </row>
    <row r="40" spans="1:21" ht="20.25" customHeight="1">
      <c r="A40" s="321" t="str">
        <f>OP!G38</f>
        <v>MPSILISO01</v>
      </c>
      <c r="B40" s="204"/>
      <c r="C40" s="324" t="str">
        <f>OP!B38</f>
        <v>SILIMARINA</v>
      </c>
      <c r="D40" s="230"/>
      <c r="E40" s="230"/>
      <c r="F40" s="230"/>
      <c r="G40" s="291"/>
      <c r="H40" s="322">
        <f>OP!M38</f>
        <v>0.01</v>
      </c>
      <c r="I40" s="230"/>
      <c r="J40" s="291"/>
      <c r="K40" s="323">
        <f>OP!N38</f>
        <v>1.4000000000000001</v>
      </c>
      <c r="L40" s="204"/>
      <c r="M40" s="270" t="str">
        <f>OP!J38</f>
        <v>YT-MT20241103</v>
      </c>
      <c r="N40" s="204"/>
      <c r="O40" s="270"/>
      <c r="P40" s="202"/>
      <c r="Q40" s="68"/>
      <c r="R40" s="69"/>
      <c r="S40" s="69"/>
      <c r="T40" s="69"/>
      <c r="U40" s="45"/>
    </row>
    <row r="41" spans="1:21" ht="20.25" customHeight="1">
      <c r="A41" s="321" t="str">
        <f>OP!G39</f>
        <v>MPBAKULI01</v>
      </c>
      <c r="B41" s="204"/>
      <c r="C41" s="324" t="str">
        <f>OP!B39</f>
        <v>BAKUCHIOL</v>
      </c>
      <c r="D41" s="230"/>
      <c r="E41" s="230"/>
      <c r="F41" s="230"/>
      <c r="G41" s="291"/>
      <c r="H41" s="322">
        <f>OP!M39</f>
        <v>0.15</v>
      </c>
      <c r="I41" s="230"/>
      <c r="J41" s="291"/>
      <c r="K41" s="323">
        <f>OP!N39</f>
        <v>21</v>
      </c>
      <c r="L41" s="204"/>
      <c r="M41" s="270" t="str">
        <f>OP!J39</f>
        <v>YT-BA20250512</v>
      </c>
      <c r="N41" s="204"/>
      <c r="O41" s="270"/>
      <c r="P41" s="202"/>
      <c r="Q41" s="68"/>
      <c r="R41" s="69"/>
      <c r="S41" s="69"/>
      <c r="T41" s="69"/>
      <c r="U41" s="45"/>
    </row>
    <row r="42" spans="1:21" ht="20.25" customHeight="1">
      <c r="A42" s="321">
        <f>OP!G40</f>
        <v>0</v>
      </c>
      <c r="B42" s="204"/>
      <c r="C42" s="324" t="str">
        <f>OP!B40</f>
        <v>ADENOSINA</v>
      </c>
      <c r="D42" s="230"/>
      <c r="E42" s="230"/>
      <c r="F42" s="230"/>
      <c r="G42" s="291"/>
      <c r="H42" s="322">
        <f>OP!M40</f>
        <v>0.03</v>
      </c>
      <c r="I42" s="230"/>
      <c r="J42" s="291"/>
      <c r="K42" s="323">
        <f>OP!N40</f>
        <v>4.2</v>
      </c>
      <c r="L42" s="204"/>
      <c r="M42" s="270">
        <f>OP!J40</f>
        <v>0</v>
      </c>
      <c r="N42" s="204"/>
      <c r="O42" s="270"/>
      <c r="P42" s="202"/>
      <c r="Q42" s="68"/>
      <c r="R42" s="69"/>
      <c r="S42" s="69"/>
      <c r="T42" s="69"/>
      <c r="U42" s="45"/>
    </row>
    <row r="43" spans="1:21" ht="42.75" customHeight="1">
      <c r="A43" s="350" t="s">
        <v>197</v>
      </c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58"/>
      <c r="Q43" s="71"/>
      <c r="R43" s="72"/>
      <c r="S43" s="45"/>
      <c r="T43" s="45"/>
      <c r="U43" s="45"/>
    </row>
    <row r="44" spans="1:21" ht="38.25" customHeight="1">
      <c r="A44" s="221"/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1"/>
      <c r="Q44" s="13"/>
      <c r="R44" s="13"/>
      <c r="S44" s="13"/>
      <c r="T44" s="13"/>
      <c r="U44" s="13"/>
    </row>
    <row r="45" spans="1:21" ht="12" customHeight="1">
      <c r="A45" s="342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51"/>
      <c r="Q45" s="13"/>
      <c r="R45" s="13"/>
      <c r="S45" s="13"/>
      <c r="T45" s="13"/>
      <c r="U45" s="13"/>
    </row>
    <row r="46" spans="1:21" ht="36" customHeight="1">
      <c r="A46" s="351" t="s">
        <v>198</v>
      </c>
      <c r="B46" s="226"/>
      <c r="C46" s="248"/>
      <c r="D46" s="352"/>
      <c r="E46" s="226"/>
      <c r="F46" s="226"/>
      <c r="G46" s="226"/>
      <c r="H46" s="73"/>
      <c r="I46" s="73"/>
      <c r="J46" s="73"/>
      <c r="K46" s="343" t="s">
        <v>199</v>
      </c>
      <c r="L46" s="248"/>
      <c r="M46" s="353"/>
      <c r="N46" s="226"/>
      <c r="O46" s="226"/>
      <c r="P46" s="224"/>
      <c r="Q46" s="13"/>
      <c r="R46" s="13"/>
      <c r="S46" s="13"/>
      <c r="T46" s="13"/>
      <c r="U46" s="13"/>
    </row>
    <row r="47" spans="1:21" ht="36" customHeight="1">
      <c r="A47" s="354" t="s">
        <v>200</v>
      </c>
      <c r="B47" s="201"/>
      <c r="C47" s="204"/>
      <c r="D47" s="74"/>
      <c r="E47" s="74"/>
      <c r="F47" s="74"/>
      <c r="G47" s="74"/>
      <c r="H47" s="65"/>
      <c r="I47" s="65"/>
      <c r="J47" s="65"/>
      <c r="K47" s="344" t="s">
        <v>200</v>
      </c>
      <c r="L47" s="204"/>
      <c r="M47" s="331"/>
      <c r="N47" s="201"/>
      <c r="O47" s="201"/>
      <c r="P47" s="202"/>
      <c r="Q47" s="13"/>
      <c r="R47" s="13"/>
      <c r="S47" s="13"/>
      <c r="T47" s="13"/>
      <c r="U47" s="13"/>
    </row>
    <row r="48" spans="1:21" ht="36" customHeight="1">
      <c r="A48" s="345" t="s">
        <v>201</v>
      </c>
      <c r="B48" s="233"/>
      <c r="C48" s="234"/>
      <c r="D48" s="346"/>
      <c r="E48" s="233"/>
      <c r="F48" s="233"/>
      <c r="G48" s="233"/>
      <c r="H48" s="233"/>
      <c r="I48" s="233"/>
      <c r="J48" s="234"/>
      <c r="K48" s="347" t="s">
        <v>201</v>
      </c>
      <c r="L48" s="242"/>
      <c r="M48" s="348"/>
      <c r="N48" s="233"/>
      <c r="O48" s="233"/>
      <c r="P48" s="236"/>
      <c r="Q48" s="13"/>
      <c r="R48" s="13"/>
      <c r="S48" s="13"/>
      <c r="T48" s="13"/>
      <c r="U48" s="13"/>
    </row>
    <row r="49" spans="1:21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75"/>
      <c r="L49" s="75"/>
      <c r="M49" s="25"/>
      <c r="N49" s="26"/>
      <c r="O49" s="26"/>
      <c r="P49" s="13"/>
      <c r="Q49" s="13"/>
      <c r="R49" s="13"/>
      <c r="S49" s="13"/>
      <c r="T49" s="13"/>
      <c r="U49" s="13"/>
    </row>
    <row r="50" spans="1:21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  <c r="T50" s="13"/>
      <c r="U50" s="13"/>
    </row>
    <row r="51" spans="1:2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  <c r="T51" s="13"/>
      <c r="U51" s="13"/>
    </row>
    <row r="52" spans="1:21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  <c r="T52" s="13"/>
      <c r="U52" s="13"/>
    </row>
    <row r="53" spans="1:21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  <c r="T53" s="13"/>
      <c r="U53" s="13"/>
    </row>
    <row r="54" spans="1:21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  <c r="T54" s="13"/>
      <c r="U54" s="13"/>
    </row>
    <row r="55" spans="1:21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  <c r="T55" s="13"/>
      <c r="U55" s="13"/>
    </row>
    <row r="56" spans="1:21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  <c r="T56" s="13"/>
      <c r="U56" s="13"/>
    </row>
    <row r="57" spans="1:21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  <c r="T57" s="13"/>
      <c r="U57" s="13"/>
    </row>
    <row r="58" spans="1:21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  <c r="T58" s="13"/>
      <c r="U58" s="13"/>
    </row>
    <row r="59" spans="1:21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  <c r="T59" s="13"/>
      <c r="U59" s="13"/>
    </row>
    <row r="60" spans="1:21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  <c r="T60" s="13"/>
      <c r="U60" s="13"/>
    </row>
    <row r="61" spans="1:2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  <c r="T61" s="13"/>
      <c r="U61" s="13"/>
    </row>
    <row r="62" spans="1:21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  <c r="T62" s="13"/>
      <c r="U62" s="13"/>
    </row>
    <row r="63" spans="1:21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  <c r="T63" s="13"/>
      <c r="U63" s="13"/>
    </row>
    <row r="64" spans="1:21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  <c r="T64" s="13"/>
      <c r="U64" s="13"/>
    </row>
    <row r="65" spans="1:21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  <c r="T65" s="13"/>
      <c r="U65" s="13"/>
    </row>
    <row r="66" spans="1:21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  <c r="T66" s="13"/>
      <c r="U66" s="13"/>
    </row>
    <row r="67" spans="1:21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  <c r="T67" s="13"/>
      <c r="U67" s="13"/>
    </row>
    <row r="68" spans="1:21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  <c r="T68" s="13"/>
      <c r="U68" s="13"/>
    </row>
    <row r="69" spans="1:21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  <c r="T69" s="13"/>
      <c r="U69" s="13"/>
    </row>
    <row r="70" spans="1:21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  <c r="T70" s="13"/>
      <c r="U70" s="13"/>
    </row>
    <row r="71" spans="1:2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  <c r="T71" s="13"/>
      <c r="U71" s="13"/>
    </row>
    <row r="72" spans="1:21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  <c r="T72" s="13"/>
      <c r="U72" s="13"/>
    </row>
    <row r="73" spans="1:21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  <c r="T73" s="13"/>
      <c r="U73" s="13"/>
    </row>
    <row r="74" spans="1:21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  <c r="T74" s="13"/>
      <c r="U74" s="13"/>
    </row>
    <row r="75" spans="1:21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  <c r="T75" s="13"/>
      <c r="U75" s="13"/>
    </row>
    <row r="76" spans="1:21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  <c r="T76" s="13"/>
      <c r="U76" s="13"/>
    </row>
    <row r="77" spans="1:21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  <c r="T77" s="13"/>
      <c r="U77" s="13"/>
    </row>
    <row r="78" spans="1:21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  <c r="T78" s="13"/>
      <c r="U78" s="13"/>
    </row>
    <row r="79" spans="1:21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  <c r="T79" s="13"/>
      <c r="U79" s="13"/>
    </row>
    <row r="80" spans="1:21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  <c r="T80" s="13"/>
      <c r="U80" s="13"/>
    </row>
    <row r="81" spans="1:2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  <c r="T81" s="13"/>
      <c r="U81" s="13"/>
    </row>
    <row r="82" spans="1:21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  <c r="T82" s="13"/>
      <c r="U82" s="13"/>
    </row>
    <row r="83" spans="1:21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  <c r="T83" s="13"/>
      <c r="U83" s="13"/>
    </row>
    <row r="84" spans="1:21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  <c r="T84" s="13"/>
      <c r="U84" s="13"/>
    </row>
    <row r="85" spans="1:21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  <c r="T85" s="13"/>
      <c r="U85" s="13"/>
    </row>
    <row r="86" spans="1:21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  <c r="T86" s="13"/>
      <c r="U86" s="13"/>
    </row>
    <row r="87" spans="1:21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  <c r="T87" s="13"/>
      <c r="U87" s="13"/>
    </row>
    <row r="88" spans="1:21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  <c r="T88" s="13"/>
      <c r="U88" s="13"/>
    </row>
    <row r="89" spans="1:21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  <c r="T89" s="13"/>
      <c r="U89" s="13"/>
    </row>
    <row r="90" spans="1:21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  <c r="T90" s="13"/>
      <c r="U90" s="13"/>
    </row>
    <row r="91" spans="1:2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  <c r="T91" s="13"/>
      <c r="U91" s="13"/>
    </row>
    <row r="92" spans="1:21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  <c r="T92" s="13"/>
      <c r="U92" s="13"/>
    </row>
    <row r="93" spans="1:21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  <c r="T93" s="13"/>
      <c r="U93" s="13"/>
    </row>
    <row r="94" spans="1:21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  <c r="T94" s="13"/>
      <c r="U94" s="13"/>
    </row>
    <row r="95" spans="1:21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  <c r="T95" s="13"/>
      <c r="U95" s="13"/>
    </row>
    <row r="96" spans="1:21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  <c r="T96" s="13"/>
      <c r="U96" s="13"/>
    </row>
    <row r="97" spans="1:21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  <c r="T97" s="13"/>
      <c r="U97" s="13"/>
    </row>
    <row r="98" spans="1:21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  <c r="T98" s="13"/>
      <c r="U98" s="13"/>
    </row>
    <row r="99" spans="1:21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  <c r="T99" s="13"/>
      <c r="U99" s="13"/>
    </row>
    <row r="100" spans="1:21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  <c r="T100" s="13"/>
      <c r="U100" s="13"/>
    </row>
    <row r="101" spans="1:2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  <c r="T101" s="13"/>
      <c r="U101" s="13"/>
    </row>
    <row r="102" spans="1:21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  <c r="T102" s="13"/>
      <c r="U102" s="13"/>
    </row>
    <row r="103" spans="1:21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  <c r="T103" s="13"/>
      <c r="U103" s="13"/>
    </row>
    <row r="104" spans="1:21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  <c r="T104" s="13"/>
      <c r="U104" s="13"/>
    </row>
    <row r="105" spans="1:21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  <c r="T105" s="13"/>
      <c r="U105" s="13"/>
    </row>
    <row r="106" spans="1:21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  <c r="T106" s="13"/>
      <c r="U106" s="13"/>
    </row>
    <row r="107" spans="1:21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  <c r="T107" s="13"/>
      <c r="U107" s="13"/>
    </row>
    <row r="108" spans="1:21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  <c r="T108" s="13"/>
      <c r="U108" s="13"/>
    </row>
    <row r="109" spans="1:21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  <c r="T109" s="13"/>
      <c r="U109" s="13"/>
    </row>
    <row r="110" spans="1:21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  <c r="T110" s="13"/>
      <c r="U110" s="13"/>
    </row>
    <row r="111" spans="1:2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  <c r="T111" s="13"/>
      <c r="U111" s="13"/>
    </row>
    <row r="112" spans="1:21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  <c r="T112" s="13"/>
      <c r="U112" s="13"/>
    </row>
    <row r="113" spans="1:21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  <c r="T113" s="13"/>
      <c r="U113" s="13"/>
    </row>
    <row r="114" spans="1:21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  <c r="T114" s="13"/>
      <c r="U114" s="13"/>
    </row>
    <row r="115" spans="1:21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  <c r="T115" s="13"/>
      <c r="U115" s="13"/>
    </row>
    <row r="116" spans="1:21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  <c r="T116" s="13"/>
      <c r="U116" s="13"/>
    </row>
    <row r="117" spans="1:21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  <c r="T117" s="13"/>
      <c r="U117" s="13"/>
    </row>
    <row r="118" spans="1:21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  <c r="T118" s="13"/>
      <c r="U118" s="13"/>
    </row>
    <row r="119" spans="1:21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  <c r="T119" s="13"/>
      <c r="U119" s="13"/>
    </row>
    <row r="120" spans="1:21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  <c r="T120" s="13"/>
      <c r="U120" s="13"/>
    </row>
    <row r="121" spans="1: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  <c r="T121" s="13"/>
      <c r="U121" s="13"/>
    </row>
    <row r="122" spans="1:21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  <c r="T122" s="13"/>
      <c r="U122" s="13"/>
    </row>
    <row r="123" spans="1:21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  <c r="T123" s="13"/>
      <c r="U123" s="13"/>
    </row>
    <row r="124" spans="1:21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  <c r="T124" s="13"/>
      <c r="U124" s="13"/>
    </row>
    <row r="125" spans="1:21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  <c r="T125" s="13"/>
      <c r="U125" s="13"/>
    </row>
    <row r="126" spans="1:21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  <c r="T126" s="13"/>
      <c r="U126" s="13"/>
    </row>
    <row r="127" spans="1:21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  <c r="T127" s="13"/>
      <c r="U127" s="13"/>
    </row>
    <row r="128" spans="1:21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  <c r="T128" s="13"/>
      <c r="U128" s="13"/>
    </row>
    <row r="129" spans="1:21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  <c r="T129" s="13"/>
      <c r="U129" s="13"/>
    </row>
    <row r="130" spans="1:21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  <c r="T130" s="13"/>
      <c r="U130" s="13"/>
    </row>
    <row r="131" spans="1:2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  <c r="T131" s="13"/>
      <c r="U131" s="13"/>
    </row>
    <row r="132" spans="1:21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  <c r="T132" s="13"/>
      <c r="U132" s="13"/>
    </row>
    <row r="133" spans="1:21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  <c r="T133" s="13"/>
      <c r="U133" s="13"/>
    </row>
    <row r="134" spans="1:21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  <c r="T134" s="13"/>
      <c r="U134" s="13"/>
    </row>
    <row r="135" spans="1:21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  <c r="T135" s="13"/>
      <c r="U135" s="13"/>
    </row>
    <row r="136" spans="1:21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  <c r="T136" s="13"/>
      <c r="U136" s="13"/>
    </row>
    <row r="137" spans="1:21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  <c r="T137" s="13"/>
      <c r="U137" s="13"/>
    </row>
    <row r="138" spans="1:21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  <c r="T138" s="13"/>
      <c r="U138" s="13"/>
    </row>
    <row r="139" spans="1:21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  <c r="T139" s="13"/>
      <c r="U139" s="13"/>
    </row>
    <row r="140" spans="1:21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  <c r="T140" s="13"/>
      <c r="U140" s="13"/>
    </row>
    <row r="141" spans="1:2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  <c r="T141" s="13"/>
      <c r="U141" s="13"/>
    </row>
    <row r="142" spans="1:21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  <c r="T142" s="13"/>
      <c r="U142" s="13"/>
    </row>
    <row r="143" spans="1:21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  <c r="T143" s="13"/>
      <c r="U143" s="13"/>
    </row>
    <row r="144" spans="1:21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  <c r="T144" s="13"/>
      <c r="U144" s="13"/>
    </row>
    <row r="145" spans="1:21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  <c r="T145" s="13"/>
      <c r="U145" s="13"/>
    </row>
    <row r="146" spans="1:21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  <c r="T146" s="13"/>
      <c r="U146" s="13"/>
    </row>
    <row r="147" spans="1:21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  <c r="T147" s="13"/>
      <c r="U147" s="13"/>
    </row>
    <row r="148" spans="1:21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  <c r="T148" s="13"/>
      <c r="U148" s="13"/>
    </row>
    <row r="149" spans="1:21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  <c r="T149" s="13"/>
      <c r="U149" s="13"/>
    </row>
    <row r="150" spans="1:21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  <c r="T150" s="13"/>
      <c r="U150" s="13"/>
    </row>
    <row r="151" spans="1:2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  <c r="T151" s="13"/>
      <c r="U151" s="13"/>
    </row>
    <row r="152" spans="1:21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  <c r="T152" s="13"/>
      <c r="U152" s="13"/>
    </row>
    <row r="153" spans="1:21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  <c r="T153" s="13"/>
      <c r="U153" s="13"/>
    </row>
    <row r="154" spans="1:21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  <c r="T154" s="13"/>
      <c r="U154" s="13"/>
    </row>
    <row r="155" spans="1:21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  <c r="T155" s="13"/>
      <c r="U155" s="13"/>
    </row>
    <row r="156" spans="1:21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  <c r="T156" s="13"/>
      <c r="U156" s="13"/>
    </row>
    <row r="157" spans="1:21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  <c r="T157" s="13"/>
      <c r="U157" s="13"/>
    </row>
    <row r="158" spans="1:21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  <c r="T158" s="13"/>
      <c r="U158" s="13"/>
    </row>
    <row r="159" spans="1:21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  <c r="T159" s="13"/>
      <c r="U159" s="13"/>
    </row>
    <row r="160" spans="1:21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  <c r="T160" s="13"/>
      <c r="U160" s="13"/>
    </row>
    <row r="161" spans="1:2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  <c r="T161" s="13"/>
      <c r="U161" s="13"/>
    </row>
    <row r="162" spans="1:21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  <c r="T162" s="13"/>
      <c r="U162" s="13"/>
    </row>
    <row r="163" spans="1:21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  <c r="T163" s="13"/>
      <c r="U163" s="13"/>
    </row>
    <row r="164" spans="1:21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  <c r="T164" s="13"/>
      <c r="U164" s="13"/>
    </row>
    <row r="165" spans="1:21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  <c r="T165" s="13"/>
      <c r="U165" s="13"/>
    </row>
    <row r="166" spans="1:21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  <c r="T166" s="13"/>
      <c r="U166" s="13"/>
    </row>
    <row r="167" spans="1:21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  <c r="T167" s="13"/>
      <c r="U167" s="13"/>
    </row>
    <row r="168" spans="1:21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  <c r="T168" s="13"/>
      <c r="U168" s="13"/>
    </row>
    <row r="169" spans="1:21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  <c r="T169" s="13"/>
      <c r="U169" s="13"/>
    </row>
    <row r="170" spans="1:21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  <c r="T170" s="13"/>
      <c r="U170" s="13"/>
    </row>
    <row r="171" spans="1:2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  <c r="T171" s="13"/>
      <c r="U171" s="13"/>
    </row>
    <row r="172" spans="1:21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  <c r="T172" s="13"/>
      <c r="U172" s="13"/>
    </row>
    <row r="173" spans="1:21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  <c r="T173" s="13"/>
      <c r="U173" s="13"/>
    </row>
    <row r="174" spans="1:21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  <c r="T174" s="13"/>
      <c r="U174" s="13"/>
    </row>
    <row r="175" spans="1:21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  <c r="T175" s="13"/>
      <c r="U175" s="13"/>
    </row>
    <row r="176" spans="1:21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  <c r="T176" s="13"/>
      <c r="U176" s="13"/>
    </row>
    <row r="177" spans="1:21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  <c r="T177" s="13"/>
      <c r="U177" s="13"/>
    </row>
    <row r="178" spans="1:21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  <c r="T178" s="13"/>
      <c r="U178" s="13"/>
    </row>
    <row r="179" spans="1:21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  <c r="T179" s="13"/>
      <c r="U179" s="13"/>
    </row>
    <row r="180" spans="1:21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  <c r="T180" s="13"/>
      <c r="U180" s="13"/>
    </row>
    <row r="181" spans="1:2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  <c r="T181" s="13"/>
      <c r="U181" s="13"/>
    </row>
    <row r="182" spans="1:21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  <c r="T182" s="13"/>
      <c r="U182" s="13"/>
    </row>
    <row r="183" spans="1:21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  <c r="T183" s="13"/>
      <c r="U183" s="13"/>
    </row>
    <row r="184" spans="1:21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  <c r="T184" s="13"/>
      <c r="U184" s="13"/>
    </row>
    <row r="185" spans="1:21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  <c r="T185" s="13"/>
      <c r="U185" s="13"/>
    </row>
    <row r="186" spans="1:21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  <c r="T186" s="13"/>
      <c r="U186" s="13"/>
    </row>
    <row r="187" spans="1:21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  <c r="T187" s="13"/>
      <c r="U187" s="13"/>
    </row>
    <row r="188" spans="1:21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  <c r="T188" s="13"/>
      <c r="U188" s="13"/>
    </row>
    <row r="189" spans="1:21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  <c r="T189" s="13"/>
      <c r="U189" s="13"/>
    </row>
    <row r="190" spans="1:21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  <c r="T190" s="13"/>
      <c r="U190" s="13"/>
    </row>
    <row r="191" spans="1:2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  <c r="T191" s="13"/>
      <c r="U191" s="13"/>
    </row>
    <row r="192" spans="1:21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  <c r="T192" s="13"/>
      <c r="U192" s="13"/>
    </row>
    <row r="193" spans="1:21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  <c r="T193" s="13"/>
      <c r="U193" s="13"/>
    </row>
    <row r="194" spans="1:21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  <c r="T194" s="13"/>
      <c r="U194" s="13"/>
    </row>
    <row r="195" spans="1:21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  <c r="T195" s="13"/>
      <c r="U195" s="13"/>
    </row>
    <row r="196" spans="1:21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  <c r="T196" s="13"/>
      <c r="U196" s="13"/>
    </row>
    <row r="197" spans="1:21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  <c r="T197" s="13"/>
      <c r="U197" s="13"/>
    </row>
    <row r="198" spans="1:21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  <c r="T198" s="13"/>
      <c r="U198" s="13"/>
    </row>
    <row r="199" spans="1:21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  <c r="T199" s="13"/>
      <c r="U199" s="13"/>
    </row>
    <row r="200" spans="1:21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  <c r="T200" s="13"/>
      <c r="U200" s="13"/>
    </row>
    <row r="201" spans="1:2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  <c r="T201" s="13"/>
      <c r="U201" s="13"/>
    </row>
    <row r="202" spans="1:21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  <c r="T202" s="13"/>
      <c r="U202" s="13"/>
    </row>
    <row r="203" spans="1:21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  <c r="T203" s="13"/>
      <c r="U203" s="13"/>
    </row>
    <row r="204" spans="1:21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  <c r="T204" s="13"/>
      <c r="U204" s="13"/>
    </row>
    <row r="205" spans="1:21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  <c r="T205" s="13"/>
      <c r="U205" s="13"/>
    </row>
    <row r="206" spans="1:21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  <c r="T206" s="13"/>
      <c r="U206" s="13"/>
    </row>
    <row r="207" spans="1:21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  <c r="T207" s="13"/>
      <c r="U207" s="13"/>
    </row>
    <row r="208" spans="1:21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  <c r="T208" s="13"/>
      <c r="U208" s="13"/>
    </row>
    <row r="209" spans="1:21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  <c r="T209" s="13"/>
      <c r="U209" s="13"/>
    </row>
    <row r="210" spans="1:21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  <c r="T210" s="13"/>
      <c r="U210" s="13"/>
    </row>
    <row r="211" spans="1:2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  <c r="T211" s="13"/>
      <c r="U211" s="13"/>
    </row>
    <row r="212" spans="1:21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  <c r="T212" s="13"/>
      <c r="U212" s="13"/>
    </row>
    <row r="213" spans="1:21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  <c r="T213" s="13"/>
      <c r="U213" s="13"/>
    </row>
    <row r="214" spans="1:21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  <c r="T214" s="13"/>
      <c r="U214" s="13"/>
    </row>
    <row r="215" spans="1:21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  <c r="T215" s="13"/>
      <c r="U215" s="13"/>
    </row>
    <row r="216" spans="1:21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  <c r="T216" s="13"/>
      <c r="U216" s="13"/>
    </row>
    <row r="217" spans="1:21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  <c r="T217" s="13"/>
      <c r="U217" s="13"/>
    </row>
    <row r="218" spans="1:21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  <c r="T218" s="13"/>
      <c r="U218" s="13"/>
    </row>
    <row r="219" spans="1:21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  <c r="T219" s="13"/>
      <c r="U219" s="13"/>
    </row>
    <row r="220" spans="1:21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  <c r="T220" s="13"/>
      <c r="U220" s="13"/>
    </row>
    <row r="221" spans="1: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  <c r="T221" s="13"/>
      <c r="U221" s="13"/>
    </row>
    <row r="222" spans="1:21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  <c r="T222" s="13"/>
      <c r="U222" s="13"/>
    </row>
    <row r="223" spans="1:21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  <c r="T223" s="13"/>
      <c r="U223" s="13"/>
    </row>
    <row r="224" spans="1:21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  <c r="T224" s="13"/>
      <c r="U224" s="13"/>
    </row>
    <row r="225" spans="1:21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  <c r="T225" s="13"/>
      <c r="U225" s="13"/>
    </row>
    <row r="226" spans="1:21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  <c r="T226" s="13"/>
      <c r="U226" s="13"/>
    </row>
    <row r="227" spans="1:21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  <c r="T227" s="13"/>
      <c r="U227" s="13"/>
    </row>
    <row r="228" spans="1:21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  <c r="T228" s="13"/>
      <c r="U228" s="13"/>
    </row>
    <row r="229" spans="1:21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  <c r="T229" s="13"/>
      <c r="U229" s="13"/>
    </row>
    <row r="230" spans="1:21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  <c r="T230" s="13"/>
      <c r="U230" s="13"/>
    </row>
    <row r="231" spans="1:2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  <c r="T231" s="13"/>
      <c r="U231" s="13"/>
    </row>
    <row r="232" spans="1:21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  <c r="T232" s="13"/>
      <c r="U232" s="13"/>
    </row>
    <row r="233" spans="1:21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  <c r="T233" s="13"/>
      <c r="U233" s="13"/>
    </row>
    <row r="234" spans="1:21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  <c r="T234" s="13"/>
      <c r="U234" s="13"/>
    </row>
    <row r="235" spans="1:21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  <c r="T235" s="13"/>
      <c r="U235" s="13"/>
    </row>
    <row r="236" spans="1:21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  <c r="T236" s="13"/>
      <c r="U236" s="13"/>
    </row>
    <row r="237" spans="1:21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  <c r="T237" s="13"/>
      <c r="U237" s="13"/>
    </row>
    <row r="238" spans="1:21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  <c r="T238" s="13"/>
      <c r="U238" s="13"/>
    </row>
    <row r="239" spans="1:21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  <c r="R239" s="13"/>
      <c r="S239" s="13"/>
      <c r="T239" s="13"/>
      <c r="U239" s="13"/>
    </row>
    <row r="240" spans="1:21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  <c r="R240" s="13"/>
      <c r="S240" s="13"/>
      <c r="T240" s="13"/>
      <c r="U240" s="13"/>
    </row>
    <row r="241" spans="1:2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  <c r="R241" s="13"/>
      <c r="S241" s="13"/>
      <c r="T241" s="13"/>
      <c r="U241" s="13"/>
    </row>
    <row r="242" spans="1:21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25"/>
      <c r="N242" s="26"/>
      <c r="O242" s="26"/>
      <c r="P242" s="13"/>
      <c r="Q242" s="13"/>
      <c r="R242" s="13"/>
      <c r="S242" s="13"/>
      <c r="T242" s="13"/>
      <c r="U242" s="13"/>
    </row>
    <row r="243" spans="1:21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25"/>
      <c r="N243" s="26"/>
      <c r="O243" s="26"/>
      <c r="P243" s="13"/>
      <c r="Q243" s="13"/>
      <c r="R243" s="13"/>
      <c r="S243" s="13"/>
      <c r="T243" s="13"/>
      <c r="U243" s="13"/>
    </row>
    <row r="244" spans="1:21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25"/>
      <c r="N244" s="26"/>
      <c r="O244" s="26"/>
      <c r="P244" s="13"/>
      <c r="Q244" s="13"/>
      <c r="R244" s="13"/>
      <c r="S244" s="13"/>
      <c r="T244" s="13"/>
      <c r="U244" s="13"/>
    </row>
    <row r="245" spans="1:21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25"/>
      <c r="N245" s="26"/>
      <c r="O245" s="26"/>
      <c r="P245" s="13"/>
      <c r="Q245" s="13"/>
      <c r="R245" s="13"/>
      <c r="S245" s="13"/>
      <c r="T245" s="13"/>
      <c r="U245" s="13"/>
    </row>
    <row r="246" spans="1:21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25"/>
      <c r="N246" s="26"/>
      <c r="O246" s="26"/>
      <c r="P246" s="13"/>
      <c r="Q246" s="13"/>
      <c r="R246" s="13"/>
      <c r="S246" s="13"/>
      <c r="T246" s="13"/>
      <c r="U246" s="13"/>
    </row>
    <row r="247" spans="1:21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25"/>
      <c r="N247" s="26"/>
      <c r="O247" s="26"/>
      <c r="P247" s="13"/>
      <c r="Q247" s="13"/>
      <c r="R247" s="13"/>
      <c r="S247" s="13"/>
      <c r="T247" s="13"/>
      <c r="U247" s="13"/>
    </row>
    <row r="248" spans="1:21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25"/>
      <c r="N248" s="26"/>
      <c r="O248" s="26"/>
      <c r="P248" s="13"/>
      <c r="Q248" s="13"/>
      <c r="R248" s="13"/>
      <c r="S248" s="13"/>
      <c r="T248" s="13"/>
      <c r="U248" s="13"/>
    </row>
    <row r="249" spans="1:21" ht="15.75" customHeight="1"/>
    <row r="250" spans="1:21" ht="15.75" customHeight="1"/>
    <row r="251" spans="1:21" ht="15.75" customHeight="1"/>
    <row r="252" spans="1:21" ht="15.75" customHeight="1"/>
    <row r="253" spans="1:21" ht="15.75" customHeight="1"/>
    <row r="254" spans="1:21" ht="15.75" customHeight="1"/>
    <row r="255" spans="1:21" ht="15.75" customHeight="1"/>
    <row r="256" spans="1:21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20">
    <mergeCell ref="M34:N34"/>
    <mergeCell ref="O34:P34"/>
    <mergeCell ref="H35:J35"/>
    <mergeCell ref="O35:P35"/>
    <mergeCell ref="C35:G35"/>
    <mergeCell ref="C36:G36"/>
    <mergeCell ref="H36:J36"/>
    <mergeCell ref="K36:L36"/>
    <mergeCell ref="M36:N36"/>
    <mergeCell ref="O36:P36"/>
    <mergeCell ref="M41:N41"/>
    <mergeCell ref="O41:P41"/>
    <mergeCell ref="A42:B42"/>
    <mergeCell ref="H42:J42"/>
    <mergeCell ref="K42:L42"/>
    <mergeCell ref="M42:N42"/>
    <mergeCell ref="O42:P42"/>
    <mergeCell ref="C42:G42"/>
    <mergeCell ref="M38:N38"/>
    <mergeCell ref="O38:P38"/>
    <mergeCell ref="M39:N39"/>
    <mergeCell ref="O39:P39"/>
    <mergeCell ref="C38:G38"/>
    <mergeCell ref="H38:J38"/>
    <mergeCell ref="K38:L38"/>
    <mergeCell ref="H39:J39"/>
    <mergeCell ref="K39:L39"/>
    <mergeCell ref="A40:B40"/>
    <mergeCell ref="A41:B41"/>
    <mergeCell ref="M40:N40"/>
    <mergeCell ref="O40:P40"/>
    <mergeCell ref="A43:P44"/>
    <mergeCell ref="A45:P45"/>
    <mergeCell ref="A46:C46"/>
    <mergeCell ref="D46:G46"/>
    <mergeCell ref="M46:P46"/>
    <mergeCell ref="A47:C47"/>
    <mergeCell ref="M47:P47"/>
    <mergeCell ref="K31:L31"/>
    <mergeCell ref="M31:N31"/>
    <mergeCell ref="K32:L32"/>
    <mergeCell ref="M32:N32"/>
    <mergeCell ref="O32:P32"/>
    <mergeCell ref="K33:L33"/>
    <mergeCell ref="M33:N33"/>
    <mergeCell ref="O33:P33"/>
    <mergeCell ref="A32:B32"/>
    <mergeCell ref="C32:G32"/>
    <mergeCell ref="H32:J32"/>
    <mergeCell ref="C33:G33"/>
    <mergeCell ref="H33:J33"/>
    <mergeCell ref="K35:L35"/>
    <mergeCell ref="M35:N35"/>
    <mergeCell ref="M37:N37"/>
    <mergeCell ref="O37:P37"/>
    <mergeCell ref="A30:B30"/>
    <mergeCell ref="C30:G30"/>
    <mergeCell ref="H30:J30"/>
    <mergeCell ref="K30:L30"/>
    <mergeCell ref="M30:N30"/>
    <mergeCell ref="O30:P30"/>
    <mergeCell ref="A31:B31"/>
    <mergeCell ref="O31:P31"/>
    <mergeCell ref="C31:G31"/>
    <mergeCell ref="H31:J31"/>
    <mergeCell ref="K46:L46"/>
    <mergeCell ref="K47:L47"/>
    <mergeCell ref="A48:C48"/>
    <mergeCell ref="D48:J48"/>
    <mergeCell ref="K48:L48"/>
    <mergeCell ref="M48:P4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A10:P10"/>
    <mergeCell ref="K16:L16"/>
    <mergeCell ref="M16:N16"/>
    <mergeCell ref="K17:L17"/>
    <mergeCell ref="M17:N17"/>
    <mergeCell ref="O17:P17"/>
    <mergeCell ref="R17:T17"/>
    <mergeCell ref="A11:M11"/>
    <mergeCell ref="N11:O11"/>
    <mergeCell ref="A12:M12"/>
    <mergeCell ref="N12:O12"/>
    <mergeCell ref="A14:P14"/>
    <mergeCell ref="A15:P15"/>
    <mergeCell ref="A16:B16"/>
    <mergeCell ref="O16:P16"/>
    <mergeCell ref="C16:G16"/>
    <mergeCell ref="H16:J16"/>
    <mergeCell ref="A17:B17"/>
    <mergeCell ref="C17:G17"/>
    <mergeCell ref="H17:J17"/>
    <mergeCell ref="A23:B23"/>
    <mergeCell ref="C23:G23"/>
    <mergeCell ref="H23:J23"/>
    <mergeCell ref="K23:L23"/>
    <mergeCell ref="M23:N23"/>
    <mergeCell ref="O23:P23"/>
    <mergeCell ref="R23:T23"/>
    <mergeCell ref="A24:B24"/>
    <mergeCell ref="C24:G24"/>
    <mergeCell ref="H24:J24"/>
    <mergeCell ref="K24:L24"/>
    <mergeCell ref="M24:N24"/>
    <mergeCell ref="O24:P24"/>
    <mergeCell ref="R24:T24"/>
    <mergeCell ref="K28:L28"/>
    <mergeCell ref="M28:N28"/>
    <mergeCell ref="O28:P28"/>
    <mergeCell ref="R28:T28"/>
    <mergeCell ref="A25:B25"/>
    <mergeCell ref="C25:G25"/>
    <mergeCell ref="H25:J25"/>
    <mergeCell ref="K25:L25"/>
    <mergeCell ref="M25:N25"/>
    <mergeCell ref="O25:P25"/>
    <mergeCell ref="R25:T25"/>
    <mergeCell ref="A26:B26"/>
    <mergeCell ref="C26:G26"/>
    <mergeCell ref="H26:J26"/>
    <mergeCell ref="K26:L26"/>
    <mergeCell ref="M26:N26"/>
    <mergeCell ref="O26:P26"/>
    <mergeCell ref="R26:T26"/>
    <mergeCell ref="H18:J18"/>
    <mergeCell ref="K18:L18"/>
    <mergeCell ref="M18:N18"/>
    <mergeCell ref="O18:P18"/>
    <mergeCell ref="R18:T18"/>
    <mergeCell ref="A19:B19"/>
    <mergeCell ref="C19:G19"/>
    <mergeCell ref="H19:J19"/>
    <mergeCell ref="K19:L19"/>
    <mergeCell ref="M19:N19"/>
    <mergeCell ref="O19:P19"/>
    <mergeCell ref="R19:T19"/>
    <mergeCell ref="A18:B18"/>
    <mergeCell ref="C18:G18"/>
    <mergeCell ref="A20:B20"/>
    <mergeCell ref="C20:G20"/>
    <mergeCell ref="H20:J20"/>
    <mergeCell ref="K20:L20"/>
    <mergeCell ref="M20:N20"/>
    <mergeCell ref="O20:P20"/>
    <mergeCell ref="R20:T20"/>
    <mergeCell ref="A21:B21"/>
    <mergeCell ref="C21:G21"/>
    <mergeCell ref="H21:J21"/>
    <mergeCell ref="K21:L21"/>
    <mergeCell ref="M21:N21"/>
    <mergeCell ref="O21:P21"/>
    <mergeCell ref="R21:T21"/>
    <mergeCell ref="A22:B22"/>
    <mergeCell ref="C22:G22"/>
    <mergeCell ref="H22:J22"/>
    <mergeCell ref="K22:L22"/>
    <mergeCell ref="M22:N22"/>
    <mergeCell ref="O22:P22"/>
    <mergeCell ref="R22:T22"/>
    <mergeCell ref="A29:B29"/>
    <mergeCell ref="C29:G29"/>
    <mergeCell ref="H29:J29"/>
    <mergeCell ref="K29:L29"/>
    <mergeCell ref="M29:N29"/>
    <mergeCell ref="O29:P29"/>
    <mergeCell ref="R29:T29"/>
    <mergeCell ref="A27:B27"/>
    <mergeCell ref="C27:G27"/>
    <mergeCell ref="H27:J27"/>
    <mergeCell ref="K27:L27"/>
    <mergeCell ref="M27:N27"/>
    <mergeCell ref="O27:P27"/>
    <mergeCell ref="R27:T27"/>
    <mergeCell ref="A28:B28"/>
    <mergeCell ref="C28:G28"/>
    <mergeCell ref="H28:J28"/>
    <mergeCell ref="A33:B33"/>
    <mergeCell ref="A34:B34"/>
    <mergeCell ref="A35:B35"/>
    <mergeCell ref="A36:B36"/>
    <mergeCell ref="A37:B37"/>
    <mergeCell ref="A38:B38"/>
    <mergeCell ref="A39:B39"/>
    <mergeCell ref="H41:J41"/>
    <mergeCell ref="K41:L41"/>
    <mergeCell ref="C39:G39"/>
    <mergeCell ref="C40:G40"/>
    <mergeCell ref="H40:J40"/>
    <mergeCell ref="K40:L40"/>
    <mergeCell ref="C41:G41"/>
    <mergeCell ref="C37:G37"/>
    <mergeCell ref="H37:J37"/>
    <mergeCell ref="K37:L37"/>
    <mergeCell ref="C34:G34"/>
    <mergeCell ref="H34:J34"/>
    <mergeCell ref="K34:L3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1003"/>
  <sheetViews>
    <sheetView workbookViewId="0"/>
  </sheetViews>
  <sheetFormatPr baseColWidth="10" defaultColWidth="14.3984375" defaultRowHeight="15" customHeight="1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1.3984375" customWidth="1"/>
    <col min="17" max="19" width="19" customWidth="1"/>
  </cols>
  <sheetData>
    <row r="1" spans="1:19" ht="15" customHeight="1">
      <c r="A1" s="261"/>
      <c r="B1" s="219"/>
      <c r="C1" s="306"/>
      <c r="D1" s="308" t="s">
        <v>0</v>
      </c>
      <c r="E1" s="219"/>
      <c r="F1" s="219"/>
      <c r="G1" s="219"/>
      <c r="H1" s="219"/>
      <c r="I1" s="219"/>
      <c r="J1" s="219"/>
      <c r="K1" s="219"/>
      <c r="L1" s="306"/>
      <c r="M1" s="292" t="s">
        <v>1</v>
      </c>
      <c r="N1" s="248"/>
      <c r="O1" s="292" t="s">
        <v>202</v>
      </c>
      <c r="P1" s="224"/>
    </row>
    <row r="2" spans="1:19" ht="15" customHeight="1">
      <c r="A2" s="264"/>
      <c r="B2" s="213"/>
      <c r="C2" s="251"/>
      <c r="D2" s="290"/>
      <c r="E2" s="230"/>
      <c r="F2" s="230"/>
      <c r="G2" s="230"/>
      <c r="H2" s="230"/>
      <c r="I2" s="230"/>
      <c r="J2" s="230"/>
      <c r="K2" s="230"/>
      <c r="L2" s="291"/>
      <c r="M2" s="293" t="s">
        <v>3</v>
      </c>
      <c r="N2" s="291"/>
      <c r="O2" s="294">
        <v>1</v>
      </c>
      <c r="P2" s="217"/>
    </row>
    <row r="3" spans="1:19" ht="15" customHeight="1">
      <c r="A3" s="264"/>
      <c r="B3" s="213"/>
      <c r="C3" s="251"/>
      <c r="D3" s="374" t="s">
        <v>203</v>
      </c>
      <c r="E3" s="208"/>
      <c r="F3" s="208"/>
      <c r="G3" s="208"/>
      <c r="H3" s="208"/>
      <c r="I3" s="208"/>
      <c r="J3" s="208"/>
      <c r="K3" s="208"/>
      <c r="L3" s="217"/>
      <c r="M3" s="293" t="s">
        <v>5</v>
      </c>
      <c r="N3" s="291"/>
      <c r="O3" s="273" t="s">
        <v>6</v>
      </c>
      <c r="P3" s="202"/>
    </row>
    <row r="4" spans="1:19" ht="15" customHeight="1">
      <c r="A4" s="264"/>
      <c r="B4" s="213"/>
      <c r="C4" s="251"/>
      <c r="D4" s="289"/>
      <c r="E4" s="213"/>
      <c r="F4" s="213"/>
      <c r="G4" s="213"/>
      <c r="H4" s="213"/>
      <c r="I4" s="213"/>
      <c r="J4" s="213"/>
      <c r="K4" s="213"/>
      <c r="L4" s="258"/>
      <c r="M4" s="287" t="s">
        <v>7</v>
      </c>
      <c r="N4" s="288"/>
      <c r="O4" s="262" t="s">
        <v>8</v>
      </c>
      <c r="P4" s="202"/>
    </row>
    <row r="5" spans="1:19" ht="15.75" customHeight="1">
      <c r="A5" s="307"/>
      <c r="B5" s="230"/>
      <c r="C5" s="291"/>
      <c r="D5" s="290"/>
      <c r="E5" s="230"/>
      <c r="F5" s="230"/>
      <c r="G5" s="230"/>
      <c r="H5" s="230"/>
      <c r="I5" s="230"/>
      <c r="J5" s="230"/>
      <c r="K5" s="230"/>
      <c r="L5" s="375"/>
      <c r="M5" s="290"/>
      <c r="N5" s="291"/>
      <c r="O5" s="263" t="s">
        <v>9</v>
      </c>
      <c r="P5" s="202"/>
      <c r="Q5" s="13"/>
      <c r="R5" s="13"/>
      <c r="S5" s="13"/>
    </row>
    <row r="6" spans="1:19" ht="12" customHeight="1">
      <c r="A6" s="367"/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59"/>
      <c r="R6" s="59"/>
      <c r="S6" s="59"/>
    </row>
    <row r="7" spans="1:19" ht="36" customHeight="1">
      <c r="A7" s="368" t="s">
        <v>10</v>
      </c>
      <c r="B7" s="226"/>
      <c r="C7" s="226"/>
      <c r="D7" s="226"/>
      <c r="E7" s="248"/>
      <c r="F7" s="254" t="str">
        <f>DISPENSACIÓN!F7</f>
        <v>CONTORNO DE OJOS RETINALDEHIDO 0.05%</v>
      </c>
      <c r="G7" s="201"/>
      <c r="H7" s="201"/>
      <c r="I7" s="201"/>
      <c r="J7" s="201"/>
      <c r="K7" s="201"/>
      <c r="L7" s="201"/>
      <c r="M7" s="201"/>
      <c r="N7" s="201"/>
      <c r="O7" s="201"/>
      <c r="P7" s="202"/>
      <c r="Q7" s="13"/>
      <c r="R7" s="13"/>
      <c r="S7" s="13"/>
    </row>
    <row r="8" spans="1:19" ht="36" customHeight="1">
      <c r="A8" s="373" t="s">
        <v>204</v>
      </c>
      <c r="B8" s="297"/>
      <c r="C8" s="297"/>
      <c r="D8" s="297"/>
      <c r="E8" s="242"/>
      <c r="F8" s="369" t="str">
        <f>DISPENSACIÓN!F8</f>
        <v>252581</v>
      </c>
      <c r="G8" s="204"/>
      <c r="H8" s="370" t="s">
        <v>205</v>
      </c>
      <c r="I8" s="201"/>
      <c r="J8" s="201"/>
      <c r="K8" s="204"/>
      <c r="L8" s="76"/>
      <c r="M8" s="371" t="s">
        <v>206</v>
      </c>
      <c r="N8" s="204"/>
      <c r="O8" s="372"/>
      <c r="P8" s="202"/>
      <c r="Q8" s="13"/>
      <c r="R8" s="13"/>
      <c r="S8" s="13"/>
    </row>
    <row r="9" spans="1:19" ht="36" customHeight="1">
      <c r="A9" s="362" t="s">
        <v>207</v>
      </c>
      <c r="B9" s="210"/>
      <c r="C9" s="210"/>
      <c r="D9" s="210"/>
      <c r="E9" s="280"/>
      <c r="F9" s="363" t="str">
        <f>DISPENSACIÓN!F9</f>
        <v>OP-SS-126</v>
      </c>
      <c r="G9" s="288"/>
      <c r="H9" s="364" t="s">
        <v>208</v>
      </c>
      <c r="I9" s="233"/>
      <c r="J9" s="233"/>
      <c r="K9" s="234"/>
      <c r="L9" s="77"/>
      <c r="M9" s="365" t="s">
        <v>209</v>
      </c>
      <c r="N9" s="234"/>
      <c r="O9" s="366"/>
      <c r="P9" s="236"/>
      <c r="Q9" s="13"/>
      <c r="R9" s="13"/>
      <c r="S9" s="13"/>
    </row>
    <row r="10" spans="1:19" ht="12" customHeight="1">
      <c r="A10" s="245"/>
      <c r="B10" s="246"/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13"/>
      <c r="R10" s="13"/>
      <c r="S10" s="13"/>
    </row>
    <row r="11" spans="1:19" ht="39" customHeight="1">
      <c r="A11" s="360" t="s">
        <v>210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91"/>
      <c r="N11" s="361" t="s">
        <v>189</v>
      </c>
      <c r="O11" s="291"/>
      <c r="P11" s="78" t="s">
        <v>190</v>
      </c>
      <c r="Q11" s="13"/>
      <c r="R11" s="13"/>
      <c r="S11" s="13"/>
    </row>
    <row r="12" spans="1:19" ht="45" customHeight="1">
      <c r="A12" s="330" t="s">
        <v>211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4"/>
      <c r="N12" s="331"/>
      <c r="O12" s="204"/>
      <c r="P12" s="63"/>
      <c r="Q12" s="13"/>
      <c r="R12" s="13"/>
      <c r="S12" s="13"/>
    </row>
    <row r="13" spans="1:19" ht="12" customHeight="1">
      <c r="A13" s="356"/>
      <c r="B13" s="210"/>
      <c r="C13" s="210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1"/>
      <c r="Q13" s="13"/>
      <c r="R13" s="13"/>
      <c r="S13" s="13"/>
    </row>
    <row r="14" spans="1:19" ht="36" customHeight="1">
      <c r="A14" s="357" t="s">
        <v>212</v>
      </c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4"/>
      <c r="Q14" s="13"/>
      <c r="R14" s="13"/>
      <c r="S14" s="13"/>
    </row>
    <row r="15" spans="1:19" ht="15.4">
      <c r="A15" s="35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17"/>
      <c r="Q15" s="13"/>
      <c r="R15" s="13"/>
      <c r="S15" s="13"/>
    </row>
    <row r="16" spans="1:19" ht="228.75" customHeight="1">
      <c r="A16" s="359" t="s">
        <v>213</v>
      </c>
      <c r="B16" s="201"/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2"/>
      <c r="Q16" s="13"/>
      <c r="R16" s="13"/>
      <c r="S16" s="13"/>
    </row>
    <row r="17" spans="1:19" ht="99.75" customHeight="1">
      <c r="A17" s="355" t="s">
        <v>214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2"/>
      <c r="Q17" s="13"/>
      <c r="R17" s="13"/>
      <c r="S17" s="13"/>
    </row>
    <row r="18" spans="1:19" ht="111" customHeight="1">
      <c r="A18" s="355" t="s">
        <v>215</v>
      </c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2"/>
      <c r="Q18" s="13"/>
      <c r="R18" s="13"/>
      <c r="S18" s="13"/>
    </row>
    <row r="19" spans="1:19" ht="67.5" customHeight="1">
      <c r="A19" s="355" t="s">
        <v>216</v>
      </c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2"/>
      <c r="Q19" s="13"/>
      <c r="R19" s="13"/>
      <c r="S19" s="13"/>
    </row>
    <row r="20" spans="1:19" ht="62.25" customHeight="1">
      <c r="A20" s="355" t="s">
        <v>217</v>
      </c>
      <c r="B20" s="201"/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2"/>
      <c r="Q20" s="13"/>
      <c r="R20" s="13"/>
      <c r="S20" s="13"/>
    </row>
    <row r="21" spans="1:19" ht="57" customHeight="1">
      <c r="A21" s="355" t="s">
        <v>218</v>
      </c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2"/>
      <c r="Q21" s="13"/>
      <c r="R21" s="13"/>
      <c r="S21" s="13"/>
    </row>
    <row r="22" spans="1:19" ht="58.5" customHeight="1">
      <c r="A22" s="355" t="s">
        <v>219</v>
      </c>
      <c r="B22" s="201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4"/>
      <c r="Q22" s="13"/>
      <c r="R22" s="13"/>
      <c r="S22" s="13"/>
    </row>
    <row r="23" spans="1:19" ht="51.75" customHeight="1">
      <c r="A23" s="355" t="s">
        <v>220</v>
      </c>
      <c r="B23" s="201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4"/>
      <c r="Q23" s="13"/>
      <c r="R23" s="13"/>
      <c r="S23" s="13"/>
    </row>
    <row r="24" spans="1:19" ht="12" customHeight="1">
      <c r="A24" s="386"/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91"/>
      <c r="Q24" s="13"/>
      <c r="R24" s="13"/>
      <c r="S24" s="13"/>
    </row>
    <row r="25" spans="1:19" ht="60.75" customHeight="1">
      <c r="A25" s="387" t="s">
        <v>221</v>
      </c>
      <c r="B25" s="233"/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6"/>
      <c r="Q25" s="13"/>
      <c r="R25" s="13"/>
      <c r="S25" s="13"/>
    </row>
    <row r="26" spans="1:19" ht="30.75" customHeight="1">
      <c r="A26" s="388"/>
      <c r="B26" s="246"/>
      <c r="C26" s="246"/>
      <c r="D26" s="246"/>
      <c r="E26" s="246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66"/>
      <c r="Q26" s="13"/>
      <c r="R26" s="13"/>
      <c r="S26" s="13"/>
    </row>
    <row r="27" spans="1:19" ht="27.75" customHeight="1">
      <c r="A27" s="389" t="s">
        <v>222</v>
      </c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20"/>
      <c r="Q27" s="13"/>
      <c r="R27" s="13"/>
      <c r="S27" s="13"/>
    </row>
    <row r="28" spans="1:19" ht="27.75" customHeight="1">
      <c r="A28" s="221"/>
      <c r="B28" s="210"/>
      <c r="C28" s="210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1"/>
      <c r="Q28" s="13"/>
      <c r="R28" s="13"/>
      <c r="S28" s="13"/>
    </row>
    <row r="29" spans="1:19" ht="12" customHeight="1">
      <c r="A29" s="376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66"/>
      <c r="Q29" s="59"/>
      <c r="R29" s="59"/>
      <c r="S29" s="59"/>
    </row>
    <row r="30" spans="1:19" ht="36" customHeight="1">
      <c r="A30" s="377" t="s">
        <v>223</v>
      </c>
      <c r="B30" s="226"/>
      <c r="C30" s="248"/>
      <c r="D30" s="378"/>
      <c r="E30" s="226"/>
      <c r="F30" s="226"/>
      <c r="G30" s="226"/>
      <c r="H30" s="79"/>
      <c r="I30" s="79"/>
      <c r="J30" s="79"/>
      <c r="K30" s="381" t="s">
        <v>199</v>
      </c>
      <c r="L30" s="248"/>
      <c r="M30" s="378"/>
      <c r="N30" s="226"/>
      <c r="O30" s="226"/>
      <c r="P30" s="224"/>
      <c r="Q30" s="13"/>
      <c r="R30" s="13"/>
      <c r="S30" s="13"/>
    </row>
    <row r="31" spans="1:19" ht="36" customHeight="1">
      <c r="A31" s="382" t="s">
        <v>200</v>
      </c>
      <c r="B31" s="201"/>
      <c r="C31" s="204"/>
      <c r="D31" s="80"/>
      <c r="E31" s="80"/>
      <c r="F31" s="80"/>
      <c r="G31" s="80"/>
      <c r="H31" s="81"/>
      <c r="I31" s="81"/>
      <c r="J31" s="81"/>
      <c r="K31" s="383" t="s">
        <v>200</v>
      </c>
      <c r="L31" s="204"/>
      <c r="M31" s="384"/>
      <c r="N31" s="201"/>
      <c r="O31" s="201"/>
      <c r="P31" s="202"/>
      <c r="Q31" s="13"/>
      <c r="R31" s="13"/>
      <c r="S31" s="13"/>
    </row>
    <row r="32" spans="1:19" ht="36" customHeight="1">
      <c r="A32" s="385" t="s">
        <v>201</v>
      </c>
      <c r="B32" s="233"/>
      <c r="C32" s="234"/>
      <c r="D32" s="380"/>
      <c r="E32" s="233"/>
      <c r="F32" s="233"/>
      <c r="G32" s="233"/>
      <c r="H32" s="233"/>
      <c r="I32" s="233"/>
      <c r="J32" s="234"/>
      <c r="K32" s="379" t="s">
        <v>201</v>
      </c>
      <c r="L32" s="234"/>
      <c r="M32" s="380"/>
      <c r="N32" s="233"/>
      <c r="O32" s="233"/>
      <c r="P32" s="236"/>
      <c r="Q32" s="13"/>
      <c r="R32" s="13"/>
      <c r="S32" s="13"/>
    </row>
    <row r="33" spans="1:19" ht="18.75" customHeight="1">
      <c r="A33" s="82"/>
      <c r="B33" s="82"/>
      <c r="C33" s="82"/>
      <c r="D33" s="83"/>
      <c r="E33" s="83"/>
      <c r="F33" s="83"/>
      <c r="G33" s="83"/>
      <c r="H33" s="83"/>
      <c r="I33" s="83"/>
      <c r="J33" s="83"/>
      <c r="K33" s="82"/>
      <c r="L33" s="82"/>
      <c r="M33" s="83"/>
      <c r="N33" s="83"/>
      <c r="O33" s="83"/>
      <c r="P33" s="83"/>
      <c r="Q33" s="13"/>
      <c r="R33" s="13"/>
      <c r="S33" s="13"/>
    </row>
    <row r="34" spans="1:19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25"/>
      <c r="N34" s="26"/>
      <c r="O34" s="26"/>
      <c r="P34" s="13"/>
      <c r="Q34" s="13"/>
      <c r="R34" s="13"/>
      <c r="S34" s="13"/>
    </row>
    <row r="35" spans="1:19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25"/>
      <c r="N35" s="26"/>
      <c r="O35" s="26"/>
      <c r="P35" s="13"/>
      <c r="Q35" s="13"/>
      <c r="R35" s="13"/>
      <c r="S35" s="13"/>
    </row>
    <row r="36" spans="1:19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25"/>
      <c r="N36" s="26"/>
      <c r="O36" s="26"/>
      <c r="P36" s="13"/>
      <c r="Q36" s="13"/>
      <c r="R36" s="13"/>
      <c r="S36" s="13"/>
    </row>
    <row r="37" spans="1:19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25"/>
      <c r="N37" s="26"/>
      <c r="O37" s="26"/>
      <c r="P37" s="13"/>
      <c r="Q37" s="13"/>
      <c r="R37" s="13"/>
      <c r="S37" s="13"/>
    </row>
    <row r="38" spans="1:19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25"/>
      <c r="N38" s="26"/>
      <c r="O38" s="26"/>
      <c r="P38" s="13"/>
      <c r="Q38" s="13"/>
      <c r="R38" s="13"/>
      <c r="S38" s="13"/>
    </row>
    <row r="39" spans="1:1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5"/>
      <c r="N39" s="26"/>
      <c r="O39" s="26"/>
      <c r="P39" s="13"/>
      <c r="Q39" s="13"/>
      <c r="R39" s="13"/>
      <c r="S39" s="13"/>
    </row>
    <row r="40" spans="1:19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5"/>
      <c r="N40" s="26"/>
      <c r="O40" s="26"/>
      <c r="P40" s="13"/>
      <c r="Q40" s="13"/>
      <c r="R40" s="13"/>
      <c r="S40" s="13"/>
    </row>
    <row r="41" spans="1:19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5"/>
      <c r="N41" s="26"/>
      <c r="O41" s="26"/>
      <c r="P41" s="13"/>
      <c r="Q41" s="13"/>
      <c r="R41" s="13"/>
      <c r="S41" s="13"/>
    </row>
    <row r="42" spans="1:19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25"/>
      <c r="N42" s="26"/>
      <c r="O42" s="26"/>
      <c r="P42" s="13"/>
      <c r="Q42" s="13"/>
      <c r="R42" s="13"/>
      <c r="S42" s="13"/>
    </row>
    <row r="43" spans="1:19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  <c r="R43" s="13"/>
      <c r="S43" s="13"/>
    </row>
    <row r="44" spans="1:19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  <c r="R44" s="13"/>
      <c r="S44" s="13"/>
    </row>
    <row r="45" spans="1:19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  <c r="R45" s="13"/>
      <c r="S45" s="13"/>
    </row>
    <row r="46" spans="1:19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  <c r="R46" s="13"/>
      <c r="S46" s="13"/>
    </row>
    <row r="47" spans="1:19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  <c r="R47" s="13"/>
      <c r="S47" s="13"/>
    </row>
    <row r="48" spans="1:19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</row>
    <row r="230" spans="1:19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</row>
    <row r="231" spans="1:19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</row>
    <row r="232" spans="1:19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</row>
    <row r="233" spans="1:19" ht="15.75" customHeight="1"/>
    <row r="234" spans="1:19" ht="15.75" customHeight="1"/>
    <row r="235" spans="1:19" ht="15.75" customHeight="1"/>
    <row r="236" spans="1:19" ht="15.75" customHeight="1"/>
    <row r="237" spans="1:19" ht="15.75" customHeight="1"/>
    <row r="238" spans="1:19" ht="15.75" customHeight="1"/>
    <row r="239" spans="1:19" ht="15.75" customHeight="1"/>
    <row r="240" spans="1:1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7">
    <mergeCell ref="A23:P23"/>
    <mergeCell ref="A24:P24"/>
    <mergeCell ref="A25:P25"/>
    <mergeCell ref="A26:P26"/>
    <mergeCell ref="A27:P28"/>
    <mergeCell ref="A29:P29"/>
    <mergeCell ref="A30:C30"/>
    <mergeCell ref="M30:P30"/>
    <mergeCell ref="K32:L32"/>
    <mergeCell ref="M32:P32"/>
    <mergeCell ref="D30:G30"/>
    <mergeCell ref="K30:L30"/>
    <mergeCell ref="A31:C31"/>
    <mergeCell ref="K31:L31"/>
    <mergeCell ref="M31:P31"/>
    <mergeCell ref="A32:C32"/>
    <mergeCell ref="D32:J32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A16:P16"/>
    <mergeCell ref="A17:P17"/>
    <mergeCell ref="A18:P18"/>
    <mergeCell ref="A19:P19"/>
    <mergeCell ref="A20:P20"/>
    <mergeCell ref="A21:P21"/>
    <mergeCell ref="A22:P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10.86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>
      <c r="A1" s="84"/>
      <c r="B1" s="397"/>
      <c r="C1" s="288"/>
      <c r="D1" s="287" t="s">
        <v>0</v>
      </c>
      <c r="E1" s="208"/>
      <c r="F1" s="208"/>
      <c r="G1" s="208"/>
      <c r="H1" s="288"/>
      <c r="I1" s="10" t="s">
        <v>1</v>
      </c>
      <c r="J1" s="273" t="s">
        <v>224</v>
      </c>
      <c r="K1" s="20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17.25" customHeight="1">
      <c r="A2" s="84"/>
      <c r="B2" s="289"/>
      <c r="C2" s="251"/>
      <c r="D2" s="289"/>
      <c r="E2" s="213"/>
      <c r="F2" s="213"/>
      <c r="G2" s="213"/>
      <c r="H2" s="251"/>
      <c r="I2" s="10" t="s">
        <v>3</v>
      </c>
      <c r="J2" s="309">
        <v>1</v>
      </c>
      <c r="K2" s="20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8" customHeight="1">
      <c r="A3" s="84"/>
      <c r="B3" s="289"/>
      <c r="C3" s="251"/>
      <c r="D3" s="290"/>
      <c r="E3" s="230"/>
      <c r="F3" s="230"/>
      <c r="G3" s="230"/>
      <c r="H3" s="291"/>
      <c r="I3" s="10" t="s">
        <v>5</v>
      </c>
      <c r="J3" s="273" t="s">
        <v>6</v>
      </c>
      <c r="K3" s="20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8.75" customHeight="1">
      <c r="A4" s="85" t="s">
        <v>225</v>
      </c>
      <c r="B4" s="289"/>
      <c r="C4" s="251"/>
      <c r="D4" s="287" t="s">
        <v>226</v>
      </c>
      <c r="E4" s="208"/>
      <c r="F4" s="208"/>
      <c r="G4" s="208"/>
      <c r="H4" s="288"/>
      <c r="I4" s="398" t="s">
        <v>7</v>
      </c>
      <c r="J4" s="273" t="s">
        <v>227</v>
      </c>
      <c r="K4" s="204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21" customHeight="1">
      <c r="A5" s="85"/>
      <c r="B5" s="290"/>
      <c r="C5" s="291"/>
      <c r="D5" s="290"/>
      <c r="E5" s="230"/>
      <c r="F5" s="230"/>
      <c r="G5" s="230"/>
      <c r="H5" s="291"/>
      <c r="I5" s="395"/>
      <c r="J5" s="263" t="s">
        <v>228</v>
      </c>
      <c r="K5" s="204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45.75" customHeight="1">
      <c r="A6" s="84"/>
      <c r="B6" s="273" t="s">
        <v>229</v>
      </c>
      <c r="C6" s="204"/>
      <c r="D6" s="270" t="str">
        <f>'INSTRUCTIVO FAB'!F7</f>
        <v>CONTORNO DE OJOS RETINALDEHIDO 0.05%</v>
      </c>
      <c r="E6" s="201"/>
      <c r="F6" s="202"/>
      <c r="G6" s="273" t="s">
        <v>230</v>
      </c>
      <c r="H6" s="204"/>
      <c r="I6" s="399"/>
      <c r="J6" s="201"/>
      <c r="K6" s="20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27.75" customHeight="1">
      <c r="A7" s="84"/>
      <c r="B7" s="273" t="s">
        <v>231</v>
      </c>
      <c r="C7" s="204"/>
      <c r="D7" s="254" t="str">
        <f>'INSTRUCTIVO FAB'!F9</f>
        <v>OP-SS-126</v>
      </c>
      <c r="E7" s="201"/>
      <c r="F7" s="204"/>
      <c r="G7" s="273" t="s">
        <v>232</v>
      </c>
      <c r="H7" s="204"/>
      <c r="I7" s="254"/>
      <c r="J7" s="201"/>
      <c r="K7" s="20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27.75" customHeight="1">
      <c r="A8" s="84"/>
      <c r="B8" s="273" t="s">
        <v>233</v>
      </c>
      <c r="C8" s="204"/>
      <c r="D8" s="286" t="str">
        <f>'INSTRUCTIVO FAB'!F8</f>
        <v>252581</v>
      </c>
      <c r="E8" s="201"/>
      <c r="F8" s="204"/>
      <c r="G8" s="273" t="s">
        <v>234</v>
      </c>
      <c r="H8" s="204"/>
      <c r="I8" s="254" t="str">
        <f>OP!G11</f>
        <v>EMULSION</v>
      </c>
      <c r="J8" s="201"/>
      <c r="K8" s="20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33.75" customHeight="1">
      <c r="A9" s="84"/>
      <c r="B9" s="273" t="s">
        <v>235</v>
      </c>
      <c r="C9" s="204"/>
      <c r="D9" s="283">
        <f>OP!P12</f>
        <v>14</v>
      </c>
      <c r="E9" s="201"/>
      <c r="F9" s="204"/>
      <c r="G9" s="273" t="s">
        <v>236</v>
      </c>
      <c r="H9" s="204"/>
      <c r="I9" s="396"/>
      <c r="J9" s="201"/>
      <c r="K9" s="20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27.75" customHeight="1">
      <c r="A10" s="84"/>
      <c r="B10" s="390" t="s">
        <v>237</v>
      </c>
      <c r="C10" s="201"/>
      <c r="D10" s="201"/>
      <c r="E10" s="201"/>
      <c r="F10" s="201"/>
      <c r="G10" s="201"/>
      <c r="H10" s="201"/>
      <c r="I10" s="201"/>
      <c r="J10" s="201"/>
      <c r="K10" s="20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29.25" customHeight="1">
      <c r="A11" s="84"/>
      <c r="B11" s="391" t="s">
        <v>238</v>
      </c>
      <c r="C11" s="288"/>
      <c r="D11" s="391" t="s">
        <v>239</v>
      </c>
      <c r="E11" s="208"/>
      <c r="F11" s="208"/>
      <c r="G11" s="208"/>
      <c r="H11" s="288"/>
      <c r="I11" s="390" t="s">
        <v>240</v>
      </c>
      <c r="J11" s="201"/>
      <c r="K11" s="20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24.75" customHeight="1">
      <c r="A12" s="84"/>
      <c r="B12" s="290"/>
      <c r="C12" s="291"/>
      <c r="D12" s="290"/>
      <c r="E12" s="230"/>
      <c r="F12" s="230"/>
      <c r="G12" s="230"/>
      <c r="H12" s="291"/>
      <c r="I12" s="86" t="s">
        <v>241</v>
      </c>
      <c r="J12" s="86" t="s">
        <v>72</v>
      </c>
      <c r="K12" s="86" t="s">
        <v>73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95.25" customHeight="1">
      <c r="A13" s="84"/>
      <c r="B13" s="273" t="s">
        <v>242</v>
      </c>
      <c r="C13" s="204"/>
      <c r="D13" s="270" t="s">
        <v>243</v>
      </c>
      <c r="E13" s="201"/>
      <c r="F13" s="201"/>
      <c r="G13" s="201"/>
      <c r="H13" s="204"/>
      <c r="I13" s="11"/>
      <c r="J13" s="24"/>
      <c r="K13" s="2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80.25" customHeight="1">
      <c r="A14" s="84"/>
      <c r="B14" s="273" t="s">
        <v>244</v>
      </c>
      <c r="C14" s="204"/>
      <c r="D14" s="273" t="s">
        <v>245</v>
      </c>
      <c r="E14" s="201"/>
      <c r="F14" s="201"/>
      <c r="G14" s="201"/>
      <c r="H14" s="204"/>
      <c r="I14" s="11"/>
      <c r="J14" s="24"/>
      <c r="K14" s="2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75.75" customHeight="1">
      <c r="A15" s="84"/>
      <c r="B15" s="392" t="s">
        <v>246</v>
      </c>
      <c r="C15" s="204"/>
      <c r="D15" s="254" t="s">
        <v>247</v>
      </c>
      <c r="E15" s="201"/>
      <c r="F15" s="201"/>
      <c r="G15" s="201"/>
      <c r="H15" s="204"/>
      <c r="I15" s="11"/>
      <c r="J15" s="24"/>
      <c r="K15" s="2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84" customHeight="1">
      <c r="A16" s="84"/>
      <c r="B16" s="273" t="s">
        <v>248</v>
      </c>
      <c r="C16" s="204"/>
      <c r="D16" s="254" t="s">
        <v>249</v>
      </c>
      <c r="E16" s="201"/>
      <c r="F16" s="201"/>
      <c r="G16" s="201"/>
      <c r="H16" s="204"/>
      <c r="I16" s="11"/>
      <c r="J16" s="24"/>
      <c r="K16" s="2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26.25" customHeight="1">
      <c r="A17" s="84"/>
      <c r="B17" s="254" t="s">
        <v>250</v>
      </c>
      <c r="C17" s="201"/>
      <c r="D17" s="201"/>
      <c r="E17" s="201"/>
      <c r="F17" s="201"/>
      <c r="G17" s="201"/>
      <c r="H17" s="201"/>
      <c r="I17" s="201"/>
      <c r="J17" s="201"/>
      <c r="K17" s="20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22.5" customHeight="1">
      <c r="A18" s="84"/>
      <c r="B18" s="393" t="s">
        <v>31</v>
      </c>
      <c r="C18" s="400"/>
      <c r="D18" s="208"/>
      <c r="E18" s="208"/>
      <c r="F18" s="208"/>
      <c r="G18" s="208"/>
      <c r="H18" s="208"/>
      <c r="I18" s="208"/>
      <c r="J18" s="208"/>
      <c r="K18" s="288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22.5" customHeight="1">
      <c r="A19" s="84"/>
      <c r="B19" s="394"/>
      <c r="C19" s="289"/>
      <c r="D19" s="213"/>
      <c r="E19" s="213"/>
      <c r="F19" s="213"/>
      <c r="G19" s="213"/>
      <c r="H19" s="213"/>
      <c r="I19" s="213"/>
      <c r="J19" s="213"/>
      <c r="K19" s="251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60" customHeight="1">
      <c r="A20" s="84"/>
      <c r="B20" s="394"/>
      <c r="C20" s="289"/>
      <c r="D20" s="213"/>
      <c r="E20" s="213"/>
      <c r="F20" s="213"/>
      <c r="G20" s="213"/>
      <c r="H20" s="213"/>
      <c r="I20" s="213"/>
      <c r="J20" s="213"/>
      <c r="K20" s="251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63" customHeight="1">
      <c r="A21" s="84"/>
      <c r="B21" s="394"/>
      <c r="C21" s="289"/>
      <c r="D21" s="213"/>
      <c r="E21" s="213"/>
      <c r="F21" s="213"/>
      <c r="G21" s="213"/>
      <c r="H21" s="213"/>
      <c r="I21" s="213"/>
      <c r="J21" s="213"/>
      <c r="K21" s="251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33" customHeight="1">
      <c r="A22" s="84"/>
      <c r="B22" s="395"/>
      <c r="C22" s="290"/>
      <c r="D22" s="230"/>
      <c r="E22" s="230"/>
      <c r="F22" s="230"/>
      <c r="G22" s="230"/>
      <c r="H22" s="230"/>
      <c r="I22" s="230"/>
      <c r="J22" s="230"/>
      <c r="K22" s="291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30" customHeight="1">
      <c r="A23" s="84"/>
      <c r="B23" s="390" t="s">
        <v>251</v>
      </c>
      <c r="C23" s="201"/>
      <c r="D23" s="201"/>
      <c r="E23" s="201"/>
      <c r="F23" s="201"/>
      <c r="G23" s="201"/>
      <c r="H23" s="201"/>
      <c r="I23" s="201"/>
      <c r="J23" s="201"/>
      <c r="K23" s="20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30" customHeight="1">
      <c r="A24" s="84"/>
      <c r="B24" s="10"/>
      <c r="C24" s="390" t="s">
        <v>252</v>
      </c>
      <c r="D24" s="204"/>
      <c r="E24" s="10"/>
      <c r="F24" s="390" t="s">
        <v>253</v>
      </c>
      <c r="G24" s="204"/>
      <c r="H24" s="273"/>
      <c r="I24" s="204"/>
      <c r="J24" s="390" t="s">
        <v>254</v>
      </c>
      <c r="K24" s="20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33" customHeight="1">
      <c r="A25" s="84"/>
      <c r="B25" s="390"/>
      <c r="C25" s="201"/>
      <c r="D25" s="201"/>
      <c r="E25" s="201"/>
      <c r="F25" s="201"/>
      <c r="G25" s="201"/>
      <c r="H25" s="201"/>
      <c r="I25" s="201"/>
      <c r="J25" s="201"/>
      <c r="K25" s="20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30.75" customHeight="1">
      <c r="A26" s="84"/>
      <c r="B26" s="390" t="s">
        <v>86</v>
      </c>
      <c r="C26" s="204"/>
      <c r="D26" s="273"/>
      <c r="E26" s="201"/>
      <c r="F26" s="204"/>
      <c r="G26" s="87" t="s">
        <v>255</v>
      </c>
      <c r="H26" s="273"/>
      <c r="I26" s="201"/>
      <c r="J26" s="201"/>
      <c r="K26" s="20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30" customHeight="1">
      <c r="A27" s="84"/>
      <c r="B27" s="390" t="s">
        <v>256</v>
      </c>
      <c r="C27" s="204"/>
      <c r="D27" s="273"/>
      <c r="E27" s="201"/>
      <c r="F27" s="204"/>
      <c r="G27" s="86" t="s">
        <v>256</v>
      </c>
      <c r="H27" s="273"/>
      <c r="I27" s="201"/>
      <c r="J27" s="201"/>
      <c r="K27" s="20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24.75" customHeight="1">
      <c r="A28" s="84"/>
      <c r="B28" s="390" t="s">
        <v>67</v>
      </c>
      <c r="C28" s="204"/>
      <c r="D28" s="273"/>
      <c r="E28" s="201"/>
      <c r="F28" s="204"/>
      <c r="G28" s="86" t="s">
        <v>67</v>
      </c>
      <c r="H28" s="273"/>
      <c r="I28" s="201"/>
      <c r="J28" s="201"/>
      <c r="K28" s="20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5.75" customHeight="1">
      <c r="A29" s="84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5.75" customHeight="1">
      <c r="A30" s="8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15.75" customHeight="1">
      <c r="A31" s="8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5.75" customHeight="1">
      <c r="A32" s="8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5.75" customHeight="1">
      <c r="A33" s="8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customHeight="1">
      <c r="A34" s="84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5.75" customHeight="1">
      <c r="A35" s="8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5.75" customHeight="1">
      <c r="A36" s="8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5.75" customHeight="1">
      <c r="A37" s="8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5.75" customHeight="1">
      <c r="A38" s="8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>
      <c r="A39" s="8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>
      <c r="A40" s="8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>
      <c r="A41" s="8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>
      <c r="A42" s="8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>
      <c r="A43" s="8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.75" customHeight="1">
      <c r="A44" s="8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customHeight="1">
      <c r="A45" s="8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>
      <c r="A46" s="8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 customHeight="1">
      <c r="A47" s="8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customHeight="1">
      <c r="A48" s="8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>
      <c r="A49" s="8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>
      <c r="A50" s="8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.75" customHeight="1">
      <c r="A51" s="8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>
      <c r="A52" s="8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 customHeight="1">
      <c r="A53" s="8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 customHeight="1">
      <c r="A54" s="8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>
      <c r="A55" s="8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>
      <c r="A56" s="8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>
      <c r="A57" s="8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>
      <c r="A58" s="8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>
      <c r="A59" s="8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>
      <c r="A60" s="8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.75" customHeight="1">
      <c r="A61" s="8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.75" customHeight="1">
      <c r="A62" s="8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5.75" customHeight="1">
      <c r="A63" s="8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customHeight="1">
      <c r="A64" s="8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>
      <c r="A65" s="8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.75" customHeight="1">
      <c r="A66" s="8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>
      <c r="A67" s="8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>
      <c r="A68" s="8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>
      <c r="A69" s="8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.75" customHeight="1">
      <c r="A70" s="8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>
      <c r="A71" s="8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>
      <c r="A72" s="8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>
      <c r="A73" s="8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>
      <c r="A74" s="8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>
      <c r="A75" s="8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>
      <c r="A76" s="8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>
      <c r="A77" s="8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>
      <c r="A78" s="8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>
      <c r="A79" s="8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>
      <c r="A80" s="8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>
      <c r="A81" s="8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>
      <c r="A82" s="8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>
      <c r="A83" s="8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>
      <c r="A84" s="8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>
      <c r="A85" s="8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>
      <c r="A86" s="8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>
      <c r="A87" s="8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>
      <c r="A88" s="8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>
      <c r="A89" s="8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>
      <c r="A90" s="8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>
      <c r="A91" s="8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>
      <c r="A92" s="8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>
      <c r="A93" s="8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>
      <c r="A94" s="8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>
      <c r="A95" s="8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>
      <c r="A96" s="8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>
      <c r="A97" s="8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>
      <c r="A98" s="8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>
      <c r="A99" s="8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>
      <c r="A100" s="8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>
      <c r="A101" s="8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>
      <c r="A102" s="8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>
      <c r="A103" s="8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>
      <c r="A104" s="8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>
      <c r="A105" s="8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>
      <c r="A106" s="8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>
      <c r="A107" s="8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>
      <c r="A108" s="8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>
      <c r="A109" s="8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>
      <c r="A110" s="8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>
      <c r="A111" s="8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>
      <c r="A112" s="8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>
      <c r="A113" s="8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>
      <c r="A114" s="8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>
      <c r="A115" s="8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>
      <c r="A116" s="8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>
      <c r="A117" s="8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>
      <c r="A118" s="8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>
      <c r="A119" s="8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>
      <c r="A120" s="8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>
      <c r="A121" s="8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>
      <c r="A122" s="8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>
      <c r="A123" s="8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>
      <c r="A124" s="8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>
      <c r="A125" s="8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>
      <c r="A126" s="8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>
      <c r="A127" s="8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>
      <c r="A128" s="8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>
      <c r="A129" s="8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>
      <c r="A130" s="8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>
      <c r="A131" s="8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>
      <c r="A132" s="8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>
      <c r="A133" s="8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>
      <c r="A134" s="8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>
      <c r="A135" s="8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>
      <c r="A136" s="8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>
      <c r="A137" s="8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>
      <c r="A138" s="8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>
      <c r="A139" s="8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>
      <c r="A140" s="8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>
      <c r="A141" s="8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>
      <c r="A142" s="8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>
      <c r="A143" s="8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>
      <c r="A144" s="8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>
      <c r="A145" s="8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>
      <c r="A146" s="8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>
      <c r="A147" s="8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>
      <c r="A148" s="8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>
      <c r="A149" s="8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>
      <c r="A150" s="8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>
      <c r="A151" s="8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>
      <c r="A152" s="8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>
      <c r="A153" s="8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>
      <c r="A154" s="8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>
      <c r="A155" s="8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>
      <c r="A156" s="8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>
      <c r="A157" s="8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>
      <c r="A158" s="8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>
      <c r="A159" s="8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>
      <c r="A160" s="8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>
      <c r="A161" s="8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>
      <c r="A162" s="8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>
      <c r="A163" s="8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>
      <c r="A164" s="8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>
      <c r="A165" s="8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>
      <c r="A166" s="8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>
      <c r="A167" s="8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>
      <c r="A168" s="8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>
      <c r="A169" s="8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>
      <c r="A170" s="8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>
      <c r="A171" s="8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>
      <c r="A172" s="8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>
      <c r="A173" s="8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>
      <c r="A174" s="8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>
      <c r="A175" s="8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>
      <c r="A176" s="8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>
      <c r="A177" s="8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>
      <c r="A178" s="8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>
      <c r="A179" s="8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>
      <c r="A180" s="8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>
      <c r="A181" s="8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>
      <c r="A182" s="8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>
      <c r="A183" s="8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>
      <c r="A184" s="8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>
      <c r="A185" s="8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>
      <c r="A186" s="8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>
      <c r="A187" s="8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>
      <c r="A188" s="8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>
      <c r="A189" s="8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>
      <c r="A190" s="8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>
      <c r="A191" s="8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>
      <c r="A192" s="8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>
      <c r="A193" s="8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>
      <c r="A194" s="8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>
      <c r="A195" s="8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>
      <c r="A196" s="8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>
      <c r="A197" s="8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>
      <c r="A198" s="8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>
      <c r="A199" s="8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>
      <c r="A200" s="8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>
      <c r="A201" s="8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>
      <c r="A202" s="8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>
      <c r="A203" s="8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>
      <c r="A204" s="8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>
      <c r="A205" s="8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>
      <c r="A206" s="8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>
      <c r="A207" s="8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>
      <c r="A208" s="8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>
      <c r="A209" s="8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>
      <c r="A210" s="8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>
      <c r="A211" s="8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>
      <c r="A212" s="8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>
      <c r="A213" s="8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>
      <c r="A214" s="8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>
      <c r="A215" s="8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>
      <c r="A216" s="8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>
      <c r="A217" s="8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>
      <c r="A218" s="8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>
      <c r="A219" s="8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>
      <c r="A220" s="8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>
      <c r="A221" s="8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>
      <c r="A222" s="8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>
      <c r="A223" s="8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>
      <c r="A224" s="8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>
      <c r="A225" s="8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>
      <c r="A226" s="8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>
      <c r="A227" s="8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>
      <c r="A228" s="8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>
      <c r="A1" s="287"/>
      <c r="B1" s="208"/>
      <c r="C1" s="288"/>
      <c r="D1" s="287" t="s">
        <v>0</v>
      </c>
      <c r="E1" s="208"/>
      <c r="F1" s="208"/>
      <c r="G1" s="208"/>
      <c r="H1" s="208"/>
      <c r="I1" s="208"/>
      <c r="J1" s="208"/>
      <c r="K1" s="208"/>
      <c r="L1" s="288"/>
      <c r="M1" s="273" t="s">
        <v>1</v>
      </c>
      <c r="N1" s="204"/>
      <c r="O1" s="292" t="s">
        <v>257</v>
      </c>
      <c r="P1" s="224"/>
      <c r="Q1" s="13"/>
      <c r="R1" s="13"/>
      <c r="S1" s="13"/>
    </row>
    <row r="2" spans="1:19" ht="18.75" customHeight="1">
      <c r="A2" s="289"/>
      <c r="B2" s="213"/>
      <c r="C2" s="251"/>
      <c r="D2" s="290"/>
      <c r="E2" s="230"/>
      <c r="F2" s="230"/>
      <c r="G2" s="230"/>
      <c r="H2" s="230"/>
      <c r="I2" s="230"/>
      <c r="J2" s="230"/>
      <c r="K2" s="230"/>
      <c r="L2" s="291"/>
      <c r="M2" s="293" t="s">
        <v>3</v>
      </c>
      <c r="N2" s="291"/>
      <c r="O2" s="294">
        <v>1</v>
      </c>
      <c r="P2" s="217"/>
      <c r="Q2" s="13"/>
      <c r="R2" s="13"/>
      <c r="S2" s="13"/>
    </row>
    <row r="3" spans="1:19" ht="17.25" customHeight="1">
      <c r="A3" s="289"/>
      <c r="B3" s="213"/>
      <c r="C3" s="251"/>
      <c r="D3" s="295" t="s">
        <v>258</v>
      </c>
      <c r="E3" s="208"/>
      <c r="F3" s="208"/>
      <c r="G3" s="208"/>
      <c r="H3" s="208"/>
      <c r="I3" s="208"/>
      <c r="J3" s="208"/>
      <c r="K3" s="208"/>
      <c r="L3" s="208"/>
      <c r="M3" s="293" t="s">
        <v>5</v>
      </c>
      <c r="N3" s="291"/>
      <c r="O3" s="273" t="s">
        <v>6</v>
      </c>
      <c r="P3" s="202"/>
      <c r="Q3" s="13"/>
      <c r="R3" s="13"/>
      <c r="S3" s="13"/>
    </row>
    <row r="4" spans="1:19" ht="17.25" customHeight="1">
      <c r="A4" s="289"/>
      <c r="B4" s="213"/>
      <c r="C4" s="251"/>
      <c r="D4" s="289"/>
      <c r="E4" s="213"/>
      <c r="F4" s="213"/>
      <c r="G4" s="213"/>
      <c r="H4" s="213"/>
      <c r="I4" s="213"/>
      <c r="J4" s="213"/>
      <c r="K4" s="213"/>
      <c r="L4" s="213"/>
      <c r="M4" s="287" t="s">
        <v>7</v>
      </c>
      <c r="N4" s="288"/>
      <c r="O4" s="262" t="s">
        <v>8</v>
      </c>
      <c r="P4" s="202"/>
      <c r="Q4" s="13"/>
      <c r="R4" s="13"/>
      <c r="S4" s="13"/>
    </row>
    <row r="5" spans="1:19" ht="17.25" customHeight="1">
      <c r="A5" s="289"/>
      <c r="B5" s="213"/>
      <c r="C5" s="251"/>
      <c r="D5" s="289"/>
      <c r="E5" s="213"/>
      <c r="F5" s="213"/>
      <c r="G5" s="213"/>
      <c r="H5" s="213"/>
      <c r="I5" s="213"/>
      <c r="J5" s="213"/>
      <c r="K5" s="213"/>
      <c r="L5" s="213"/>
      <c r="M5" s="290"/>
      <c r="N5" s="291"/>
      <c r="O5" s="263" t="s">
        <v>9</v>
      </c>
      <c r="P5" s="202"/>
      <c r="Q5" s="13"/>
      <c r="R5" s="13"/>
      <c r="S5" s="13"/>
    </row>
    <row r="6" spans="1:19" ht="27.75" customHeight="1">
      <c r="A6" s="433" t="s">
        <v>10</v>
      </c>
      <c r="B6" s="201"/>
      <c r="C6" s="201"/>
      <c r="D6" s="201"/>
      <c r="E6" s="204"/>
      <c r="F6" s="254" t="str">
        <f>'COC GRANEL'!D6</f>
        <v>CONTORNO DE OJOS RETINALDEHIDO 0.05%</v>
      </c>
      <c r="G6" s="201"/>
      <c r="H6" s="201"/>
      <c r="I6" s="201"/>
      <c r="J6" s="201"/>
      <c r="K6" s="201"/>
      <c r="L6" s="201"/>
      <c r="M6" s="201"/>
      <c r="N6" s="201"/>
      <c r="O6" s="201"/>
      <c r="P6" s="202"/>
      <c r="Q6" s="13"/>
      <c r="R6" s="13"/>
      <c r="S6" s="13"/>
    </row>
    <row r="7" spans="1:19" ht="24" customHeight="1">
      <c r="A7" s="438" t="s">
        <v>55</v>
      </c>
      <c r="B7" s="297"/>
      <c r="C7" s="297"/>
      <c r="D7" s="297"/>
      <c r="E7" s="242"/>
      <c r="F7" s="434" t="str">
        <f>'COC GRANEL'!D8</f>
        <v>252581</v>
      </c>
      <c r="G7" s="288"/>
      <c r="H7" s="435" t="s">
        <v>259</v>
      </c>
      <c r="I7" s="242"/>
      <c r="J7" s="374" t="str">
        <f>'COC GRANEL'!D7</f>
        <v>OP-SS-126</v>
      </c>
      <c r="K7" s="208"/>
      <c r="L7" s="288"/>
      <c r="M7" s="436" t="s">
        <v>16</v>
      </c>
      <c r="N7" s="242"/>
      <c r="O7" s="437" t="str">
        <f>'LISTA CHEQUEO'!F9</f>
        <v>15 mL</v>
      </c>
      <c r="P7" s="217"/>
      <c r="Q7" s="13"/>
      <c r="R7" s="13"/>
      <c r="S7" s="13"/>
    </row>
    <row r="8" spans="1:19" ht="28.5" customHeight="1">
      <c r="A8" s="439" t="s">
        <v>260</v>
      </c>
      <c r="B8" s="201"/>
      <c r="C8" s="201"/>
      <c r="D8" s="201"/>
      <c r="E8" s="204"/>
      <c r="F8" s="440">
        <f>OP!M12</f>
        <v>500</v>
      </c>
      <c r="G8" s="204"/>
      <c r="H8" s="439" t="s">
        <v>261</v>
      </c>
      <c r="I8" s="201"/>
      <c r="J8" s="399"/>
      <c r="K8" s="201"/>
      <c r="L8" s="201"/>
      <c r="M8" s="439" t="s">
        <v>262</v>
      </c>
      <c r="N8" s="201"/>
      <c r="O8" s="277"/>
      <c r="P8" s="202"/>
      <c r="Q8" s="13"/>
      <c r="R8" s="13"/>
      <c r="S8" s="13"/>
    </row>
    <row r="9" spans="1:19" ht="36.75" customHeight="1">
      <c r="A9" s="444" t="s">
        <v>263</v>
      </c>
      <c r="B9" s="201"/>
      <c r="C9" s="201"/>
      <c r="D9" s="201"/>
      <c r="E9" s="204"/>
      <c r="F9" s="445"/>
      <c r="G9" s="204"/>
      <c r="H9" s="439" t="s">
        <v>264</v>
      </c>
      <c r="I9" s="204"/>
      <c r="J9" s="273"/>
      <c r="K9" s="201"/>
      <c r="L9" s="204"/>
      <c r="M9" s="439" t="s">
        <v>187</v>
      </c>
      <c r="N9" s="204"/>
      <c r="O9" s="277"/>
      <c r="P9" s="202"/>
      <c r="Q9" s="13"/>
      <c r="R9" s="13"/>
      <c r="S9" s="13"/>
    </row>
    <row r="10" spans="1:19" ht="19.5" customHeight="1">
      <c r="A10" s="329" t="s">
        <v>188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4"/>
      <c r="N10" s="275" t="s">
        <v>189</v>
      </c>
      <c r="O10" s="204"/>
      <c r="P10" s="62" t="s">
        <v>190</v>
      </c>
      <c r="Q10" s="13"/>
      <c r="R10" s="13"/>
      <c r="S10" s="13"/>
    </row>
    <row r="11" spans="1:19" ht="29.25" customHeight="1">
      <c r="A11" s="330" t="s">
        <v>191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4"/>
      <c r="N11" s="331"/>
      <c r="O11" s="204"/>
      <c r="P11" s="63"/>
      <c r="Q11" s="13"/>
      <c r="R11" s="13"/>
      <c r="S11" s="13"/>
    </row>
    <row r="12" spans="1:19" ht="19.5" customHeight="1">
      <c r="A12" s="441" t="s">
        <v>265</v>
      </c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303"/>
      <c r="O12" s="303"/>
      <c r="P12" s="442"/>
      <c r="Q12" s="89"/>
      <c r="R12" s="89"/>
      <c r="S12" s="89"/>
    </row>
    <row r="13" spans="1:19" ht="29.25" customHeight="1">
      <c r="A13" s="441" t="s">
        <v>266</v>
      </c>
      <c r="B13" s="303"/>
      <c r="C13" s="405" t="s">
        <v>12</v>
      </c>
      <c r="D13" s="201"/>
      <c r="E13" s="204"/>
      <c r="F13" s="405" t="s">
        <v>267</v>
      </c>
      <c r="G13" s="201"/>
      <c r="H13" s="201"/>
      <c r="I13" s="201"/>
      <c r="J13" s="201"/>
      <c r="K13" s="201"/>
      <c r="L13" s="201"/>
      <c r="M13" s="405" t="s">
        <v>268</v>
      </c>
      <c r="N13" s="204"/>
      <c r="O13" s="443" t="s">
        <v>269</v>
      </c>
      <c r="P13" s="442"/>
      <c r="Q13" s="89"/>
      <c r="R13" s="89"/>
      <c r="S13" s="89"/>
    </row>
    <row r="14" spans="1:19" ht="29.25" customHeight="1">
      <c r="A14" s="402"/>
      <c r="B14" s="201"/>
      <c r="C14" s="401"/>
      <c r="D14" s="201"/>
      <c r="E14" s="201"/>
      <c r="F14" s="401"/>
      <c r="G14" s="201"/>
      <c r="H14" s="201"/>
      <c r="I14" s="201"/>
      <c r="J14" s="201"/>
      <c r="K14" s="201"/>
      <c r="L14" s="204"/>
      <c r="M14" s="420"/>
      <c r="N14" s="204"/>
      <c r="O14" s="401"/>
      <c r="P14" s="202"/>
      <c r="Q14" s="89"/>
      <c r="R14" s="89"/>
      <c r="S14" s="89"/>
    </row>
    <row r="15" spans="1:19" ht="29.25" customHeight="1">
      <c r="A15" s="402"/>
      <c r="B15" s="201"/>
      <c r="C15" s="401"/>
      <c r="D15" s="201"/>
      <c r="E15" s="201"/>
      <c r="F15" s="401"/>
      <c r="G15" s="201"/>
      <c r="H15" s="201"/>
      <c r="I15" s="201"/>
      <c r="J15" s="201"/>
      <c r="K15" s="201"/>
      <c r="L15" s="204"/>
      <c r="M15" s="420"/>
      <c r="N15" s="204"/>
      <c r="O15" s="401"/>
      <c r="P15" s="202"/>
      <c r="Q15" s="89"/>
      <c r="R15" s="89"/>
      <c r="S15" s="89"/>
    </row>
    <row r="16" spans="1:19" ht="29.25" customHeight="1">
      <c r="A16" s="402"/>
      <c r="B16" s="201"/>
      <c r="C16" s="401"/>
      <c r="D16" s="201"/>
      <c r="E16" s="201"/>
      <c r="F16" s="401"/>
      <c r="G16" s="201"/>
      <c r="H16" s="201"/>
      <c r="I16" s="201"/>
      <c r="J16" s="201"/>
      <c r="K16" s="201"/>
      <c r="L16" s="204"/>
      <c r="M16" s="420"/>
      <c r="N16" s="204"/>
      <c r="O16" s="401"/>
      <c r="P16" s="202"/>
      <c r="Q16" s="89"/>
      <c r="R16" s="89"/>
      <c r="S16" s="89"/>
    </row>
    <row r="17" spans="1:19" ht="29.25" customHeight="1">
      <c r="A17" s="402"/>
      <c r="B17" s="201"/>
      <c r="C17" s="401"/>
      <c r="D17" s="201"/>
      <c r="E17" s="201"/>
      <c r="F17" s="401"/>
      <c r="G17" s="201"/>
      <c r="H17" s="201"/>
      <c r="I17" s="201"/>
      <c r="J17" s="201"/>
      <c r="K17" s="201"/>
      <c r="L17" s="204"/>
      <c r="M17" s="420"/>
      <c r="N17" s="204"/>
      <c r="O17" s="401"/>
      <c r="P17" s="202"/>
      <c r="Q17" s="89"/>
      <c r="R17" s="89"/>
      <c r="S17" s="89"/>
    </row>
    <row r="18" spans="1:19" ht="29.25" customHeight="1">
      <c r="A18" s="402"/>
      <c r="B18" s="204"/>
      <c r="C18" s="427"/>
      <c r="D18" s="230"/>
      <c r="E18" s="291"/>
      <c r="F18" s="430"/>
      <c r="G18" s="230"/>
      <c r="H18" s="230"/>
      <c r="I18" s="230"/>
      <c r="J18" s="230"/>
      <c r="K18" s="230"/>
      <c r="L18" s="291"/>
      <c r="M18" s="401"/>
      <c r="N18" s="204"/>
      <c r="O18" s="401"/>
      <c r="P18" s="202"/>
      <c r="Q18" s="89"/>
      <c r="R18" s="89"/>
      <c r="S18" s="89"/>
    </row>
    <row r="19" spans="1:19" ht="21" customHeight="1">
      <c r="A19" s="401" t="s">
        <v>270</v>
      </c>
      <c r="B19" s="201"/>
      <c r="C19" s="201"/>
      <c r="D19" s="201"/>
      <c r="E19" s="201"/>
      <c r="F19" s="204"/>
      <c r="G19" s="90" t="s">
        <v>189</v>
      </c>
      <c r="H19" s="404"/>
      <c r="I19" s="201"/>
      <c r="J19" s="204"/>
      <c r="K19" s="91" t="s">
        <v>190</v>
      </c>
      <c r="L19" s="92"/>
      <c r="M19" s="92" t="s">
        <v>271</v>
      </c>
      <c r="N19" s="404"/>
      <c r="O19" s="201"/>
      <c r="P19" s="202"/>
      <c r="Q19" s="93"/>
      <c r="R19" s="89"/>
      <c r="S19" s="89"/>
    </row>
    <row r="20" spans="1:19" ht="21" customHeight="1">
      <c r="A20" s="405" t="s">
        <v>272</v>
      </c>
      <c r="B20" s="204"/>
      <c r="C20" s="407"/>
      <c r="D20" s="201"/>
      <c r="E20" s="201"/>
      <c r="F20" s="201"/>
      <c r="G20" s="204"/>
      <c r="H20" s="406" t="s">
        <v>273</v>
      </c>
      <c r="I20" s="204"/>
      <c r="J20" s="407"/>
      <c r="K20" s="201"/>
      <c r="L20" s="201"/>
      <c r="M20" s="204"/>
      <c r="N20" s="94" t="s">
        <v>274</v>
      </c>
      <c r="O20" s="404"/>
      <c r="P20" s="202"/>
      <c r="Q20" s="89"/>
      <c r="R20" s="89"/>
      <c r="S20" s="89"/>
    </row>
    <row r="21" spans="1:19" ht="16.5" customHeight="1">
      <c r="A21" s="405" t="s">
        <v>275</v>
      </c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2"/>
      <c r="Q21" s="89"/>
      <c r="R21" s="89"/>
      <c r="S21" s="89"/>
    </row>
    <row r="22" spans="1:19" ht="24.75" customHeight="1">
      <c r="A22" s="319" t="s">
        <v>276</v>
      </c>
      <c r="B22" s="303"/>
      <c r="C22" s="303"/>
      <c r="D22" s="303"/>
      <c r="E22" s="305"/>
      <c r="F22" s="409"/>
      <c r="G22" s="230"/>
      <c r="H22" s="230"/>
      <c r="I22" s="230"/>
      <c r="J22" s="230"/>
      <c r="K22" s="230"/>
      <c r="L22" s="319" t="s">
        <v>277</v>
      </c>
      <c r="M22" s="305"/>
      <c r="N22" s="410"/>
      <c r="O22" s="230"/>
      <c r="P22" s="375"/>
      <c r="Q22" s="89"/>
      <c r="R22" s="89"/>
      <c r="S22" s="89"/>
    </row>
    <row r="23" spans="1:19" ht="24.75" customHeight="1">
      <c r="A23" s="256" t="s">
        <v>278</v>
      </c>
      <c r="B23" s="201"/>
      <c r="C23" s="201"/>
      <c r="D23" s="201"/>
      <c r="E23" s="204"/>
      <c r="F23" s="408"/>
      <c r="G23" s="201"/>
      <c r="H23" s="201"/>
      <c r="I23" s="201"/>
      <c r="J23" s="201"/>
      <c r="K23" s="201"/>
      <c r="L23" s="256" t="s">
        <v>279</v>
      </c>
      <c r="M23" s="204"/>
      <c r="N23" s="411"/>
      <c r="O23" s="201"/>
      <c r="P23" s="202"/>
      <c r="Q23" s="89"/>
      <c r="R23" s="89"/>
      <c r="S23" s="89"/>
    </row>
    <row r="24" spans="1:19" ht="24.75" customHeight="1">
      <c r="A24" s="405" t="s">
        <v>280</v>
      </c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4"/>
      <c r="Q24" s="89"/>
      <c r="R24" s="89"/>
      <c r="S24" s="89"/>
    </row>
    <row r="25" spans="1:19" ht="24.75" customHeight="1">
      <c r="A25" s="412" t="s">
        <v>281</v>
      </c>
      <c r="B25" s="288"/>
      <c r="C25" s="431" t="s">
        <v>282</v>
      </c>
      <c r="D25" s="251"/>
      <c r="E25" s="432" t="s">
        <v>86</v>
      </c>
      <c r="F25" s="213"/>
      <c r="G25" s="251"/>
      <c r="H25" s="432" t="s">
        <v>283</v>
      </c>
      <c r="I25" s="213"/>
      <c r="J25" s="251"/>
      <c r="K25" s="95" t="s">
        <v>284</v>
      </c>
      <c r="L25" s="96" t="s">
        <v>285</v>
      </c>
      <c r="M25" s="96" t="s">
        <v>286</v>
      </c>
      <c r="N25" s="427" t="s">
        <v>287</v>
      </c>
      <c r="O25" s="291"/>
      <c r="P25" s="97" t="s">
        <v>288</v>
      </c>
      <c r="Q25" s="89"/>
      <c r="R25" s="89"/>
      <c r="S25" s="89"/>
    </row>
    <row r="26" spans="1:19" ht="24.75" customHeight="1">
      <c r="A26" s="290"/>
      <c r="B26" s="291"/>
      <c r="C26" s="401"/>
      <c r="D26" s="204"/>
      <c r="E26" s="401"/>
      <c r="F26" s="201"/>
      <c r="G26" s="204"/>
      <c r="H26" s="401"/>
      <c r="I26" s="201"/>
      <c r="J26" s="204"/>
      <c r="K26" s="90"/>
      <c r="L26" s="98"/>
      <c r="M26" s="99"/>
      <c r="N26" s="428"/>
      <c r="O26" s="234"/>
      <c r="P26" s="100"/>
      <c r="Q26" s="89"/>
      <c r="R26" s="89"/>
      <c r="S26" s="89"/>
    </row>
    <row r="27" spans="1:19" ht="24.75" customHeight="1">
      <c r="A27" s="429" t="s">
        <v>289</v>
      </c>
      <c r="B27" s="226"/>
      <c r="C27" s="226"/>
      <c r="D27" s="226"/>
      <c r="E27" s="226"/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4"/>
      <c r="Q27" s="89"/>
      <c r="R27" s="89"/>
      <c r="S27" s="89"/>
    </row>
    <row r="28" spans="1:19" ht="24.75" customHeight="1">
      <c r="A28" s="402" t="s">
        <v>67</v>
      </c>
      <c r="B28" s="204"/>
      <c r="C28" s="401" t="s">
        <v>282</v>
      </c>
      <c r="D28" s="204"/>
      <c r="E28" s="401" t="s">
        <v>86</v>
      </c>
      <c r="F28" s="201"/>
      <c r="G28" s="204"/>
      <c r="H28" s="401" t="s">
        <v>290</v>
      </c>
      <c r="I28" s="201"/>
      <c r="J28" s="204"/>
      <c r="K28" s="90" t="s">
        <v>291</v>
      </c>
      <c r="L28" s="90" t="s">
        <v>292</v>
      </c>
      <c r="M28" s="90" t="s">
        <v>293</v>
      </c>
      <c r="N28" s="401" t="s">
        <v>294</v>
      </c>
      <c r="O28" s="204"/>
      <c r="P28" s="101" t="s">
        <v>295</v>
      </c>
      <c r="Q28" s="89"/>
      <c r="R28" s="89"/>
      <c r="S28" s="89"/>
    </row>
    <row r="29" spans="1:19" ht="24.75" customHeight="1">
      <c r="A29" s="413"/>
      <c r="B29" s="204"/>
      <c r="C29" s="401"/>
      <c r="D29" s="204"/>
      <c r="E29" s="401"/>
      <c r="F29" s="201"/>
      <c r="G29" s="204"/>
      <c r="H29" s="401"/>
      <c r="I29" s="201"/>
      <c r="J29" s="204"/>
      <c r="K29" s="90"/>
      <c r="L29" s="90"/>
      <c r="M29" s="90"/>
      <c r="N29" s="401"/>
      <c r="O29" s="204"/>
      <c r="P29" s="101"/>
      <c r="Q29" s="89"/>
      <c r="R29" s="89"/>
      <c r="S29" s="89"/>
    </row>
    <row r="30" spans="1:19" ht="24.75" customHeight="1">
      <c r="A30" s="413"/>
      <c r="B30" s="204"/>
      <c r="C30" s="401"/>
      <c r="D30" s="204"/>
      <c r="E30" s="401"/>
      <c r="F30" s="201"/>
      <c r="G30" s="204"/>
      <c r="H30" s="401"/>
      <c r="I30" s="201"/>
      <c r="J30" s="204"/>
      <c r="K30" s="90"/>
      <c r="L30" s="90"/>
      <c r="M30" s="90"/>
      <c r="N30" s="401"/>
      <c r="O30" s="204"/>
      <c r="P30" s="101"/>
      <c r="Q30" s="89"/>
      <c r="R30" s="89"/>
      <c r="S30" s="89"/>
    </row>
    <row r="31" spans="1:19" ht="24.75" customHeight="1">
      <c r="A31" s="413"/>
      <c r="B31" s="204"/>
      <c r="C31" s="401"/>
      <c r="D31" s="204"/>
      <c r="E31" s="401"/>
      <c r="F31" s="201"/>
      <c r="G31" s="204"/>
      <c r="H31" s="401"/>
      <c r="I31" s="201"/>
      <c r="J31" s="204"/>
      <c r="K31" s="90"/>
      <c r="L31" s="90"/>
      <c r="M31" s="90"/>
      <c r="N31" s="401"/>
      <c r="O31" s="204"/>
      <c r="P31" s="101"/>
      <c r="Q31" s="89"/>
      <c r="R31" s="89"/>
      <c r="S31" s="89"/>
    </row>
    <row r="32" spans="1:19" ht="24.75" customHeight="1">
      <c r="A32" s="413"/>
      <c r="B32" s="204"/>
      <c r="C32" s="401"/>
      <c r="D32" s="204"/>
      <c r="E32" s="401"/>
      <c r="F32" s="201"/>
      <c r="G32" s="204"/>
      <c r="H32" s="401"/>
      <c r="I32" s="201"/>
      <c r="J32" s="204"/>
      <c r="K32" s="90"/>
      <c r="L32" s="90"/>
      <c r="M32" s="90"/>
      <c r="N32" s="401"/>
      <c r="O32" s="204"/>
      <c r="P32" s="101"/>
      <c r="Q32" s="89"/>
      <c r="R32" s="89"/>
      <c r="S32" s="89"/>
    </row>
    <row r="33" spans="1:19" ht="24.75" customHeight="1">
      <c r="A33" s="413"/>
      <c r="B33" s="204"/>
      <c r="C33" s="401"/>
      <c r="D33" s="204"/>
      <c r="E33" s="401"/>
      <c r="F33" s="201"/>
      <c r="G33" s="204"/>
      <c r="H33" s="401"/>
      <c r="I33" s="201"/>
      <c r="J33" s="204"/>
      <c r="K33" s="90"/>
      <c r="L33" s="90"/>
      <c r="M33" s="90"/>
      <c r="N33" s="401"/>
      <c r="O33" s="204"/>
      <c r="P33" s="101"/>
      <c r="Q33" s="89"/>
      <c r="R33" s="89"/>
      <c r="S33" s="89"/>
    </row>
    <row r="34" spans="1:19" ht="24.75" customHeight="1">
      <c r="A34" s="413"/>
      <c r="B34" s="204"/>
      <c r="C34" s="401"/>
      <c r="D34" s="204"/>
      <c r="E34" s="401"/>
      <c r="F34" s="201"/>
      <c r="G34" s="204"/>
      <c r="H34" s="401"/>
      <c r="I34" s="201"/>
      <c r="J34" s="204"/>
      <c r="K34" s="90"/>
      <c r="L34" s="90"/>
      <c r="M34" s="90"/>
      <c r="N34" s="401"/>
      <c r="O34" s="204"/>
      <c r="P34" s="101"/>
      <c r="Q34" s="89"/>
      <c r="R34" s="89"/>
      <c r="S34" s="89"/>
    </row>
    <row r="35" spans="1:19" ht="24.75" customHeight="1">
      <c r="A35" s="402" t="s">
        <v>296</v>
      </c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4"/>
      <c r="P35" s="101"/>
      <c r="Q35" s="89"/>
      <c r="R35" s="89"/>
      <c r="S35" s="89"/>
    </row>
    <row r="36" spans="1:19" ht="24.75" customHeight="1">
      <c r="A36" s="402" t="s">
        <v>297</v>
      </c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4"/>
      <c r="P36" s="101"/>
      <c r="Q36" s="89"/>
      <c r="R36" s="89"/>
      <c r="S36" s="89"/>
    </row>
    <row r="37" spans="1:19" ht="24.75" customHeight="1">
      <c r="A37" s="414" t="s">
        <v>298</v>
      </c>
      <c r="B37" s="233"/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4"/>
      <c r="P37" s="100"/>
      <c r="Q37" s="89"/>
      <c r="R37" s="89"/>
      <c r="S37" s="89"/>
    </row>
    <row r="38" spans="1:19" ht="24.75" customHeight="1">
      <c r="A38" s="415" t="s">
        <v>299</v>
      </c>
      <c r="B38" s="246"/>
      <c r="C38" s="246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60"/>
      <c r="Q38" s="89"/>
      <c r="R38" s="89"/>
      <c r="S38" s="89"/>
    </row>
    <row r="39" spans="1:19" ht="24.75" customHeight="1">
      <c r="A39" s="416" t="s">
        <v>300</v>
      </c>
      <c r="B39" s="219"/>
      <c r="C39" s="219"/>
      <c r="D39" s="219"/>
      <c r="E39" s="417"/>
      <c r="F39" s="219"/>
      <c r="G39" s="219"/>
      <c r="H39" s="219"/>
      <c r="I39" s="219"/>
      <c r="J39" s="219"/>
      <c r="K39" s="219"/>
      <c r="L39" s="418" t="s">
        <v>301</v>
      </c>
      <c r="M39" s="219"/>
      <c r="N39" s="419"/>
      <c r="O39" s="226"/>
      <c r="P39" s="224"/>
      <c r="Q39" s="89"/>
      <c r="R39" s="89"/>
      <c r="S39" s="89"/>
    </row>
    <row r="40" spans="1:19" ht="24.75" customHeight="1">
      <c r="A40" s="425" t="s">
        <v>302</v>
      </c>
      <c r="B40" s="213"/>
      <c r="C40" s="213"/>
      <c r="D40" s="213"/>
      <c r="E40" s="420"/>
      <c r="F40" s="201"/>
      <c r="G40" s="201"/>
      <c r="H40" s="201"/>
      <c r="I40" s="201"/>
      <c r="J40" s="201"/>
      <c r="K40" s="201"/>
      <c r="L40" s="422" t="s">
        <v>303</v>
      </c>
      <c r="M40" s="213"/>
      <c r="N40" s="420"/>
      <c r="O40" s="201"/>
      <c r="P40" s="202"/>
      <c r="Q40" s="89"/>
      <c r="R40" s="89"/>
      <c r="S40" s="89"/>
    </row>
    <row r="41" spans="1:19" ht="24.75" customHeight="1">
      <c r="A41" s="426" t="s">
        <v>304</v>
      </c>
      <c r="B41" s="210"/>
      <c r="C41" s="210"/>
      <c r="D41" s="210"/>
      <c r="E41" s="423"/>
      <c r="F41" s="210"/>
      <c r="G41" s="210"/>
      <c r="H41" s="210"/>
      <c r="I41" s="210"/>
      <c r="J41" s="210"/>
      <c r="K41" s="210"/>
      <c r="L41" s="424" t="s">
        <v>305</v>
      </c>
      <c r="M41" s="210"/>
      <c r="N41" s="423"/>
      <c r="O41" s="210"/>
      <c r="P41" s="211"/>
      <c r="Q41" s="89"/>
      <c r="R41" s="89"/>
      <c r="S41" s="89"/>
    </row>
    <row r="42" spans="1:19" ht="24.75" customHeight="1">
      <c r="A42" s="403" t="s">
        <v>197</v>
      </c>
      <c r="B42" s="219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20"/>
      <c r="Q42" s="89"/>
      <c r="R42" s="89"/>
      <c r="S42" s="89"/>
    </row>
    <row r="43" spans="1:19" ht="17.25" customHeight="1">
      <c r="A43" s="221"/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1"/>
      <c r="Q43" s="89"/>
      <c r="R43" s="89"/>
      <c r="S43" s="89"/>
    </row>
    <row r="44" spans="1:19" ht="27.75" customHeight="1">
      <c r="A44" s="351" t="s">
        <v>306</v>
      </c>
      <c r="B44" s="226"/>
      <c r="C44" s="248"/>
      <c r="D44" s="352"/>
      <c r="E44" s="226"/>
      <c r="F44" s="226"/>
      <c r="G44" s="226"/>
      <c r="H44" s="73"/>
      <c r="I44" s="73"/>
      <c r="J44" s="73"/>
      <c r="K44" s="343" t="s">
        <v>307</v>
      </c>
      <c r="L44" s="248"/>
      <c r="M44" s="353"/>
      <c r="N44" s="226"/>
      <c r="O44" s="226"/>
      <c r="P44" s="224"/>
      <c r="Q44" s="89"/>
      <c r="R44" s="89"/>
      <c r="S44" s="89"/>
    </row>
    <row r="45" spans="1:19" ht="24.75" customHeight="1">
      <c r="A45" s="354" t="s">
        <v>200</v>
      </c>
      <c r="B45" s="201"/>
      <c r="C45" s="204"/>
      <c r="D45" s="74"/>
      <c r="E45" s="74"/>
      <c r="F45" s="74"/>
      <c r="G45" s="74"/>
      <c r="H45" s="65"/>
      <c r="I45" s="65"/>
      <c r="J45" s="65"/>
      <c r="K45" s="344" t="s">
        <v>200</v>
      </c>
      <c r="L45" s="204"/>
      <c r="M45" s="331"/>
      <c r="N45" s="201"/>
      <c r="O45" s="201"/>
      <c r="P45" s="202"/>
      <c r="Q45" s="89"/>
      <c r="R45" s="89"/>
      <c r="S45" s="89"/>
    </row>
    <row r="46" spans="1:19" ht="24.75" customHeight="1">
      <c r="A46" s="345" t="s">
        <v>201</v>
      </c>
      <c r="B46" s="233"/>
      <c r="C46" s="234"/>
      <c r="D46" s="346"/>
      <c r="E46" s="233"/>
      <c r="F46" s="233"/>
      <c r="G46" s="233"/>
      <c r="H46" s="233"/>
      <c r="I46" s="233"/>
      <c r="J46" s="234"/>
      <c r="K46" s="421" t="s">
        <v>201</v>
      </c>
      <c r="L46" s="234"/>
      <c r="M46" s="346"/>
      <c r="N46" s="233"/>
      <c r="O46" s="233"/>
      <c r="P46" s="236"/>
      <c r="Q46" s="89"/>
      <c r="R46" s="89"/>
      <c r="S46" s="89"/>
    </row>
    <row r="47" spans="1:19" ht="24.75" customHeight="1">
      <c r="A47" s="82"/>
      <c r="B47" s="82"/>
      <c r="C47" s="82"/>
      <c r="D47" s="83"/>
      <c r="E47" s="83"/>
      <c r="F47" s="83"/>
      <c r="G47" s="83"/>
      <c r="H47" s="83"/>
      <c r="I47" s="83"/>
      <c r="J47" s="83"/>
      <c r="K47" s="82"/>
      <c r="L47" s="82"/>
      <c r="M47" s="83"/>
      <c r="N47" s="83"/>
      <c r="O47" s="83"/>
      <c r="P47" s="83"/>
      <c r="Q47" s="89"/>
      <c r="R47" s="89"/>
      <c r="S47" s="89"/>
    </row>
    <row r="48" spans="1:19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</row>
    <row r="230" spans="1:19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</row>
    <row r="231" spans="1:19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</row>
    <row r="232" spans="1:19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</row>
    <row r="233" spans="1:19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</row>
    <row r="234" spans="1:19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</row>
    <row r="235" spans="1:19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</row>
    <row r="236" spans="1:19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</row>
    <row r="237" spans="1:19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</row>
    <row r="238" spans="1:19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</row>
    <row r="239" spans="1:1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  <c r="R239" s="13"/>
      <c r="S239" s="13"/>
    </row>
    <row r="240" spans="1:19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  <c r="R240" s="13"/>
      <c r="S240" s="13"/>
    </row>
    <row r="241" spans="1:19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  <c r="R241" s="13"/>
      <c r="S241" s="13"/>
    </row>
    <row r="242" spans="1:19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25"/>
      <c r="N242" s="26"/>
      <c r="O242" s="26"/>
      <c r="P242" s="13"/>
      <c r="Q242" s="13"/>
      <c r="R242" s="13"/>
      <c r="S242" s="13"/>
    </row>
    <row r="243" spans="1:19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25"/>
      <c r="N243" s="26"/>
      <c r="O243" s="26"/>
      <c r="P243" s="13"/>
      <c r="Q243" s="13"/>
      <c r="R243" s="13"/>
      <c r="S243" s="13"/>
    </row>
    <row r="244" spans="1:19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25"/>
      <c r="N244" s="26"/>
      <c r="O244" s="26"/>
      <c r="P244" s="13"/>
      <c r="Q244" s="13"/>
      <c r="R244" s="13"/>
      <c r="S244" s="13"/>
    </row>
    <row r="245" spans="1:19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25"/>
      <c r="N245" s="26"/>
      <c r="O245" s="26"/>
      <c r="P245" s="13"/>
      <c r="Q245" s="13"/>
      <c r="R245" s="13"/>
      <c r="S245" s="13"/>
    </row>
    <row r="246" spans="1:19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25"/>
      <c r="N246" s="26"/>
      <c r="O246" s="26"/>
      <c r="P246" s="13"/>
      <c r="Q246" s="13"/>
      <c r="R246" s="13"/>
      <c r="S246" s="13"/>
    </row>
    <row r="247" spans="1:19" ht="15.75" customHeight="1"/>
    <row r="248" spans="1:19" ht="15.75" customHeight="1"/>
    <row r="249" spans="1:19" ht="15.75" customHeight="1"/>
    <row r="250" spans="1:19" ht="15.75" customHeight="1"/>
    <row r="251" spans="1:19" ht="15.75" customHeight="1"/>
    <row r="252" spans="1:19" ht="15.75" customHeight="1"/>
    <row r="253" spans="1:19" ht="15.75" customHeight="1"/>
    <row r="254" spans="1:19" ht="15.75" customHeight="1"/>
    <row r="255" spans="1:19" ht="15.75" customHeight="1"/>
    <row r="256" spans="1:1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C25:D25"/>
    <mergeCell ref="E25:G25"/>
    <mergeCell ref="H25:J25"/>
    <mergeCell ref="H26:J26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0:D40"/>
    <mergeCell ref="A41:D41"/>
    <mergeCell ref="A44:C44"/>
    <mergeCell ref="D44:G44"/>
    <mergeCell ref="A45:C45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0"/>
  <sheetViews>
    <sheetView workbookViewId="0"/>
  </sheetViews>
  <sheetFormatPr baseColWidth="10" defaultColWidth="14.3984375" defaultRowHeight="15" customHeight="1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>
      <c r="A1" s="287"/>
      <c r="B1" s="208"/>
      <c r="C1" s="288"/>
      <c r="D1" s="287" t="s">
        <v>0</v>
      </c>
      <c r="E1" s="208"/>
      <c r="F1" s="208"/>
      <c r="G1" s="208"/>
      <c r="H1" s="208"/>
      <c r="I1" s="208"/>
      <c r="J1" s="208"/>
      <c r="K1" s="208"/>
      <c r="L1" s="288"/>
      <c r="M1" s="273" t="s">
        <v>1</v>
      </c>
      <c r="N1" s="204"/>
      <c r="O1" s="292" t="s">
        <v>308</v>
      </c>
      <c r="P1" s="224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>
      <c r="A2" s="289"/>
      <c r="B2" s="213"/>
      <c r="C2" s="251"/>
      <c r="D2" s="290"/>
      <c r="E2" s="230"/>
      <c r="F2" s="230"/>
      <c r="G2" s="230"/>
      <c r="H2" s="230"/>
      <c r="I2" s="230"/>
      <c r="J2" s="230"/>
      <c r="K2" s="230"/>
      <c r="L2" s="291"/>
      <c r="M2" s="293" t="s">
        <v>3</v>
      </c>
      <c r="N2" s="291"/>
      <c r="O2" s="294">
        <v>1</v>
      </c>
      <c r="P2" s="217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>
      <c r="A3" s="289"/>
      <c r="B3" s="213"/>
      <c r="C3" s="251"/>
      <c r="D3" s="295" t="s">
        <v>309</v>
      </c>
      <c r="E3" s="208"/>
      <c r="F3" s="208"/>
      <c r="G3" s="208"/>
      <c r="H3" s="208"/>
      <c r="I3" s="208"/>
      <c r="J3" s="208"/>
      <c r="K3" s="208"/>
      <c r="L3" s="288"/>
      <c r="M3" s="293" t="s">
        <v>5</v>
      </c>
      <c r="N3" s="291"/>
      <c r="O3" s="273" t="s">
        <v>6</v>
      </c>
      <c r="P3" s="202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>
      <c r="A4" s="289"/>
      <c r="B4" s="213"/>
      <c r="C4" s="251"/>
      <c r="D4" s="289"/>
      <c r="E4" s="213"/>
      <c r="F4" s="213"/>
      <c r="G4" s="213"/>
      <c r="H4" s="213"/>
      <c r="I4" s="213"/>
      <c r="J4" s="213"/>
      <c r="K4" s="213"/>
      <c r="L4" s="251"/>
      <c r="M4" s="287" t="s">
        <v>7</v>
      </c>
      <c r="N4" s="288"/>
      <c r="O4" s="262" t="s">
        <v>8</v>
      </c>
      <c r="P4" s="202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>
      <c r="A5" s="290"/>
      <c r="B5" s="230"/>
      <c r="C5" s="291"/>
      <c r="D5" s="290"/>
      <c r="E5" s="230"/>
      <c r="F5" s="230"/>
      <c r="G5" s="230"/>
      <c r="H5" s="230"/>
      <c r="I5" s="230"/>
      <c r="J5" s="230"/>
      <c r="K5" s="230"/>
      <c r="L5" s="291"/>
      <c r="M5" s="290"/>
      <c r="N5" s="291"/>
      <c r="O5" s="263" t="s">
        <v>9</v>
      </c>
      <c r="P5" s="202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>
      <c r="A6" s="9"/>
      <c r="B6" s="9"/>
      <c r="C6" s="9"/>
      <c r="D6" s="6"/>
      <c r="E6" s="6"/>
      <c r="F6" s="6"/>
      <c r="G6" s="6"/>
      <c r="H6" s="6"/>
      <c r="I6" s="6"/>
      <c r="J6" s="6"/>
      <c r="K6" s="6"/>
      <c r="L6" s="6"/>
      <c r="M6" s="49"/>
      <c r="N6" s="49"/>
      <c r="O6" s="102"/>
      <c r="P6" s="102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>
      <c r="A7" s="239" t="s">
        <v>10</v>
      </c>
      <c r="B7" s="201"/>
      <c r="C7" s="201"/>
      <c r="D7" s="201"/>
      <c r="E7" s="204"/>
      <c r="F7" s="254" t="str">
        <f>'ORDEN ENVASADO'!F6</f>
        <v>CONTORNO DE OJOS RETINALDEHIDO 0.05%</v>
      </c>
      <c r="G7" s="201"/>
      <c r="H7" s="201"/>
      <c r="I7" s="201"/>
      <c r="J7" s="201"/>
      <c r="K7" s="201"/>
      <c r="L7" s="201"/>
      <c r="M7" s="201"/>
      <c r="N7" s="201"/>
      <c r="O7" s="201"/>
      <c r="P7" s="202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>
      <c r="A8" s="463" t="s">
        <v>55</v>
      </c>
      <c r="B8" s="297"/>
      <c r="C8" s="297"/>
      <c r="D8" s="297"/>
      <c r="E8" s="242"/>
      <c r="F8" s="434" t="str">
        <f>'ORDEN ENVASADO'!F7</f>
        <v>252581</v>
      </c>
      <c r="G8" s="288"/>
      <c r="H8" s="241" t="s">
        <v>259</v>
      </c>
      <c r="I8" s="242"/>
      <c r="J8" s="374" t="str">
        <f>'ORDEN ENVASADO'!J7</f>
        <v>OP-SS-126</v>
      </c>
      <c r="K8" s="208"/>
      <c r="L8" s="288"/>
      <c r="M8" s="462" t="s">
        <v>16</v>
      </c>
      <c r="N8" s="242"/>
      <c r="O8" s="437" t="str">
        <f>'LISTA CHEQUEO'!F9</f>
        <v>15 mL</v>
      </c>
      <c r="P8" s="217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>
      <c r="A9" s="336" t="s">
        <v>263</v>
      </c>
      <c r="B9" s="201"/>
      <c r="C9" s="201"/>
      <c r="D9" s="201"/>
      <c r="E9" s="204"/>
      <c r="F9" s="445"/>
      <c r="G9" s="204"/>
      <c r="H9" s="256" t="s">
        <v>261</v>
      </c>
      <c r="I9" s="201"/>
      <c r="J9" s="399"/>
      <c r="K9" s="201"/>
      <c r="L9" s="201"/>
      <c r="M9" s="256" t="s">
        <v>262</v>
      </c>
      <c r="N9" s="201"/>
      <c r="O9" s="277"/>
      <c r="P9" s="202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>
      <c r="A10" s="336" t="s">
        <v>310</v>
      </c>
      <c r="B10" s="201"/>
      <c r="C10" s="201"/>
      <c r="D10" s="201"/>
      <c r="E10" s="204"/>
      <c r="F10" s="445"/>
      <c r="G10" s="204"/>
      <c r="H10" s="256" t="s">
        <v>311</v>
      </c>
      <c r="I10" s="204"/>
      <c r="J10" s="273"/>
      <c r="K10" s="201"/>
      <c r="L10" s="204"/>
      <c r="M10" s="256" t="s">
        <v>187</v>
      </c>
      <c r="N10" s="204"/>
      <c r="O10" s="277"/>
      <c r="P10" s="202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>
      <c r="A11" s="329" t="s">
        <v>188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4"/>
      <c r="N11" s="275" t="s">
        <v>189</v>
      </c>
      <c r="O11" s="204"/>
      <c r="P11" s="62" t="s">
        <v>190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>
      <c r="A12" s="461" t="s">
        <v>191</v>
      </c>
      <c r="B12" s="297"/>
      <c r="C12" s="297"/>
      <c r="D12" s="297"/>
      <c r="E12" s="297"/>
      <c r="F12" s="297"/>
      <c r="G12" s="297"/>
      <c r="H12" s="297"/>
      <c r="I12" s="297"/>
      <c r="J12" s="297"/>
      <c r="K12" s="297"/>
      <c r="L12" s="297"/>
      <c r="M12" s="242"/>
      <c r="N12" s="449"/>
      <c r="O12" s="242"/>
      <c r="P12" s="103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>
      <c r="A13" s="405" t="s">
        <v>312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2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>
      <c r="A14" s="344" t="s">
        <v>313</v>
      </c>
      <c r="B14" s="201"/>
      <c r="C14" s="204"/>
      <c r="D14" s="344" t="s">
        <v>314</v>
      </c>
      <c r="E14" s="201"/>
      <c r="F14" s="204"/>
      <c r="G14" s="344" t="s">
        <v>315</v>
      </c>
      <c r="H14" s="204"/>
      <c r="I14" s="344" t="s">
        <v>316</v>
      </c>
      <c r="J14" s="201"/>
      <c r="K14" s="201"/>
      <c r="L14" s="204"/>
      <c r="M14" s="344" t="s">
        <v>317</v>
      </c>
      <c r="N14" s="204"/>
      <c r="O14" s="344" t="s">
        <v>318</v>
      </c>
      <c r="P14" s="204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>
      <c r="A15" s="275" t="s">
        <v>319</v>
      </c>
      <c r="B15" s="201"/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104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>
      <c r="A16" s="453" t="s">
        <v>320</v>
      </c>
      <c r="B16" s="303"/>
      <c r="C16" s="305"/>
      <c r="D16" s="318" t="s">
        <v>321</v>
      </c>
      <c r="E16" s="201"/>
      <c r="F16" s="201"/>
      <c r="G16" s="201"/>
      <c r="H16" s="201"/>
      <c r="I16" s="201"/>
      <c r="J16" s="201"/>
      <c r="K16" s="201"/>
      <c r="L16" s="204"/>
      <c r="M16" s="454" t="s">
        <v>86</v>
      </c>
      <c r="N16" s="305"/>
      <c r="O16" s="453" t="s">
        <v>87</v>
      </c>
      <c r="P16" s="442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>
      <c r="A17" s="449" t="s">
        <v>322</v>
      </c>
      <c r="B17" s="297"/>
      <c r="C17" s="242"/>
      <c r="D17" s="318"/>
      <c r="E17" s="201"/>
      <c r="F17" s="201"/>
      <c r="G17" s="201"/>
      <c r="H17" s="201"/>
      <c r="I17" s="201"/>
      <c r="J17" s="201"/>
      <c r="K17" s="201"/>
      <c r="L17" s="204"/>
      <c r="M17" s="450"/>
      <c r="N17" s="242"/>
      <c r="O17" s="455"/>
      <c r="P17" s="202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>
      <c r="A18" s="449" t="s">
        <v>323</v>
      </c>
      <c r="B18" s="297"/>
      <c r="C18" s="242"/>
      <c r="D18" s="318"/>
      <c r="E18" s="201"/>
      <c r="F18" s="201"/>
      <c r="G18" s="201"/>
      <c r="H18" s="201"/>
      <c r="I18" s="201"/>
      <c r="J18" s="201"/>
      <c r="K18" s="201"/>
      <c r="L18" s="204"/>
      <c r="M18" s="451"/>
      <c r="N18" s="242"/>
      <c r="O18" s="450"/>
      <c r="P18" s="452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>
      <c r="A19" s="275" t="s">
        <v>324</v>
      </c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2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>
      <c r="A20" s="275" t="s">
        <v>325</v>
      </c>
      <c r="B20" s="204"/>
      <c r="C20" s="275" t="s">
        <v>67</v>
      </c>
      <c r="D20" s="201"/>
      <c r="E20" s="204"/>
      <c r="F20" s="275" t="s">
        <v>310</v>
      </c>
      <c r="G20" s="204"/>
      <c r="H20" s="275" t="s">
        <v>311</v>
      </c>
      <c r="I20" s="204"/>
      <c r="J20" s="275" t="s">
        <v>326</v>
      </c>
      <c r="K20" s="201"/>
      <c r="L20" s="204"/>
      <c r="M20" s="275" t="s">
        <v>327</v>
      </c>
      <c r="N20" s="204"/>
      <c r="O20" s="275" t="s">
        <v>328</v>
      </c>
      <c r="P20" s="202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>
      <c r="A21" s="318" t="s">
        <v>329</v>
      </c>
      <c r="B21" s="204"/>
      <c r="C21" s="318"/>
      <c r="D21" s="201"/>
      <c r="E21" s="204"/>
      <c r="F21" s="446" t="s">
        <v>330</v>
      </c>
      <c r="G21" s="204"/>
      <c r="H21" s="446" t="s">
        <v>330</v>
      </c>
      <c r="I21" s="204"/>
      <c r="J21" s="318"/>
      <c r="K21" s="201"/>
      <c r="L21" s="204"/>
      <c r="M21" s="318"/>
      <c r="N21" s="204"/>
      <c r="O21" s="318"/>
      <c r="P21" s="202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>
      <c r="A22" s="318" t="s">
        <v>331</v>
      </c>
      <c r="B22" s="204"/>
      <c r="C22" s="318"/>
      <c r="D22" s="201"/>
      <c r="E22" s="204"/>
      <c r="F22" s="446" t="s">
        <v>330</v>
      </c>
      <c r="G22" s="204"/>
      <c r="H22" s="446" t="s">
        <v>330</v>
      </c>
      <c r="I22" s="204"/>
      <c r="J22" s="318"/>
      <c r="K22" s="201"/>
      <c r="L22" s="204"/>
      <c r="M22" s="318"/>
      <c r="N22" s="204"/>
      <c r="O22" s="318"/>
      <c r="P22" s="202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>
      <c r="A23" s="318" t="s">
        <v>332</v>
      </c>
      <c r="B23" s="204"/>
      <c r="C23" s="318"/>
      <c r="D23" s="201"/>
      <c r="E23" s="204"/>
      <c r="F23" s="446" t="s">
        <v>330</v>
      </c>
      <c r="G23" s="204"/>
      <c r="H23" s="446" t="s">
        <v>330</v>
      </c>
      <c r="I23" s="204"/>
      <c r="J23" s="318"/>
      <c r="K23" s="201"/>
      <c r="L23" s="204"/>
      <c r="M23" s="318"/>
      <c r="N23" s="204"/>
      <c r="O23" s="318"/>
      <c r="P23" s="202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>
      <c r="A24" s="318" t="s">
        <v>333</v>
      </c>
      <c r="B24" s="204"/>
      <c r="C24" s="318"/>
      <c r="D24" s="201"/>
      <c r="E24" s="204"/>
      <c r="F24" s="446" t="s">
        <v>330</v>
      </c>
      <c r="G24" s="204"/>
      <c r="H24" s="446" t="s">
        <v>330</v>
      </c>
      <c r="I24" s="204"/>
      <c r="J24" s="318"/>
      <c r="K24" s="201"/>
      <c r="L24" s="204"/>
      <c r="M24" s="318"/>
      <c r="N24" s="204"/>
      <c r="O24" s="318"/>
      <c r="P24" s="202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>
      <c r="A25" s="318" t="s">
        <v>334</v>
      </c>
      <c r="B25" s="204"/>
      <c r="C25" s="318"/>
      <c r="D25" s="201"/>
      <c r="E25" s="204"/>
      <c r="F25" s="446" t="s">
        <v>330</v>
      </c>
      <c r="G25" s="204"/>
      <c r="H25" s="446" t="s">
        <v>330</v>
      </c>
      <c r="I25" s="204"/>
      <c r="J25" s="318"/>
      <c r="K25" s="201"/>
      <c r="L25" s="204"/>
      <c r="M25" s="318"/>
      <c r="N25" s="204"/>
      <c r="O25" s="318"/>
      <c r="P25" s="202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>
      <c r="A26" s="275" t="s">
        <v>335</v>
      </c>
      <c r="B26" s="204"/>
      <c r="C26" s="276"/>
      <c r="D26" s="201"/>
      <c r="E26" s="204"/>
      <c r="F26" s="447" t="s">
        <v>274</v>
      </c>
      <c r="G26" s="204"/>
      <c r="H26" s="318"/>
      <c r="I26" s="204"/>
      <c r="J26" s="275" t="s">
        <v>336</v>
      </c>
      <c r="K26" s="201"/>
      <c r="L26" s="204"/>
      <c r="M26" s="331"/>
      <c r="N26" s="204"/>
      <c r="O26" s="448" t="s">
        <v>274</v>
      </c>
      <c r="P26" s="202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>
      <c r="A27" s="457" t="s">
        <v>337</v>
      </c>
      <c r="B27" s="297"/>
      <c r="C27" s="297"/>
      <c r="D27" s="297"/>
      <c r="E27" s="297"/>
      <c r="F27" s="297"/>
      <c r="G27" s="297"/>
      <c r="H27" s="297"/>
      <c r="I27" s="297"/>
      <c r="J27" s="297"/>
      <c r="K27" s="297"/>
      <c r="L27" s="297"/>
      <c r="M27" s="297"/>
      <c r="N27" s="297"/>
      <c r="O27" s="297"/>
      <c r="P27" s="452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>
      <c r="A28" s="318" t="s">
        <v>338</v>
      </c>
      <c r="B28" s="201"/>
      <c r="C28" s="201"/>
      <c r="D28" s="201"/>
      <c r="E28" s="201"/>
      <c r="F28" s="201"/>
      <c r="G28" s="204"/>
      <c r="H28" s="318"/>
      <c r="I28" s="201"/>
      <c r="J28" s="201"/>
      <c r="K28" s="201"/>
      <c r="L28" s="201"/>
      <c r="M28" s="201"/>
      <c r="N28" s="201"/>
      <c r="O28" s="201"/>
      <c r="P28" s="202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>
      <c r="A29" s="318" t="s">
        <v>339</v>
      </c>
      <c r="B29" s="201"/>
      <c r="C29" s="201"/>
      <c r="D29" s="201"/>
      <c r="E29" s="201"/>
      <c r="F29" s="201"/>
      <c r="G29" s="204"/>
      <c r="H29" s="318"/>
      <c r="I29" s="201"/>
      <c r="J29" s="201"/>
      <c r="K29" s="201"/>
      <c r="L29" s="201"/>
      <c r="M29" s="201"/>
      <c r="N29" s="201"/>
      <c r="O29" s="201"/>
      <c r="P29" s="202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>
      <c r="A30" s="318" t="s">
        <v>340</v>
      </c>
      <c r="B30" s="201"/>
      <c r="C30" s="201"/>
      <c r="D30" s="201"/>
      <c r="E30" s="201"/>
      <c r="F30" s="201"/>
      <c r="G30" s="204"/>
      <c r="H30" s="318"/>
      <c r="I30" s="201"/>
      <c r="J30" s="201"/>
      <c r="K30" s="201"/>
      <c r="L30" s="201"/>
      <c r="M30" s="201"/>
      <c r="N30" s="201"/>
      <c r="O30" s="201"/>
      <c r="P30" s="202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>
      <c r="A31" s="458" t="s">
        <v>262</v>
      </c>
      <c r="B31" s="303"/>
      <c r="C31" s="303"/>
      <c r="D31" s="303"/>
      <c r="E31" s="303"/>
      <c r="F31" s="303"/>
      <c r="G31" s="305"/>
      <c r="H31" s="318"/>
      <c r="I31" s="201"/>
      <c r="J31" s="201"/>
      <c r="K31" s="201"/>
      <c r="L31" s="201"/>
      <c r="M31" s="201"/>
      <c r="N31" s="201"/>
      <c r="O31" s="201"/>
      <c r="P31" s="202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>
      <c r="A32" s="456" t="s">
        <v>310</v>
      </c>
      <c r="B32" s="201"/>
      <c r="C32" s="201"/>
      <c r="D32" s="201"/>
      <c r="E32" s="201"/>
      <c r="F32" s="201"/>
      <c r="G32" s="204"/>
      <c r="H32" s="318"/>
      <c r="I32" s="201"/>
      <c r="J32" s="201"/>
      <c r="K32" s="201"/>
      <c r="L32" s="201"/>
      <c r="M32" s="201"/>
      <c r="N32" s="201"/>
      <c r="O32" s="201"/>
      <c r="P32" s="202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>
      <c r="A33" s="456" t="s">
        <v>311</v>
      </c>
      <c r="B33" s="201"/>
      <c r="C33" s="201"/>
      <c r="D33" s="201"/>
      <c r="E33" s="201"/>
      <c r="F33" s="201"/>
      <c r="G33" s="204"/>
      <c r="H33" s="318"/>
      <c r="I33" s="201"/>
      <c r="J33" s="201"/>
      <c r="K33" s="201"/>
      <c r="L33" s="201"/>
      <c r="M33" s="201"/>
      <c r="N33" s="201"/>
      <c r="O33" s="201"/>
      <c r="P33" s="202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>
      <c r="A34" s="456" t="s">
        <v>272</v>
      </c>
      <c r="B34" s="201"/>
      <c r="C34" s="201"/>
      <c r="D34" s="201"/>
      <c r="E34" s="201"/>
      <c r="F34" s="201"/>
      <c r="G34" s="204"/>
      <c r="H34" s="318"/>
      <c r="I34" s="201"/>
      <c r="J34" s="201"/>
      <c r="K34" s="201"/>
      <c r="L34" s="201"/>
      <c r="M34" s="201"/>
      <c r="N34" s="201"/>
      <c r="O34" s="201"/>
      <c r="P34" s="202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>
      <c r="A35" s="456" t="s">
        <v>273</v>
      </c>
      <c r="B35" s="201"/>
      <c r="C35" s="201"/>
      <c r="D35" s="201"/>
      <c r="E35" s="201"/>
      <c r="F35" s="201"/>
      <c r="G35" s="201"/>
      <c r="H35" s="318"/>
      <c r="I35" s="201"/>
      <c r="J35" s="201"/>
      <c r="K35" s="201"/>
      <c r="L35" s="204"/>
      <c r="M35" s="318" t="s">
        <v>67</v>
      </c>
      <c r="N35" s="204"/>
      <c r="O35" s="318"/>
      <c r="P35" s="202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>
      <c r="A36" s="460" t="s">
        <v>45</v>
      </c>
      <c r="B36" s="208"/>
      <c r="C36" s="208"/>
      <c r="D36" s="208"/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17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>
      <c r="A37" s="264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58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>
      <c r="A38" s="307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375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>
      <c r="A39" s="354" t="s">
        <v>341</v>
      </c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4"/>
      <c r="M39" s="19" t="s">
        <v>274</v>
      </c>
      <c r="N39" s="331"/>
      <c r="O39" s="201"/>
      <c r="P39" s="202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>
      <c r="A40" s="459" t="s">
        <v>342</v>
      </c>
      <c r="B40" s="341"/>
      <c r="C40" s="341"/>
      <c r="D40" s="341"/>
      <c r="E40" s="341"/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105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4"/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4"/>
      <c r="N42" s="15"/>
      <c r="O42" s="1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4"/>
      <c r="N43" s="15"/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4"/>
      <c r="N44" s="15"/>
      <c r="O44" s="1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4"/>
      <c r="N45" s="15"/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4"/>
      <c r="N46" s="15"/>
      <c r="O46" s="1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4"/>
      <c r="N47" s="15"/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4"/>
      <c r="N48" s="15"/>
      <c r="O48" s="1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4"/>
      <c r="N49" s="15"/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4"/>
      <c r="N50" s="15"/>
      <c r="O50" s="1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4"/>
      <c r="N51" s="15"/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4"/>
      <c r="N52" s="15"/>
      <c r="O52" s="1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4"/>
      <c r="N53" s="15"/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4"/>
      <c r="N54" s="15"/>
      <c r="O54" s="1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4"/>
      <c r="N55" s="15"/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4"/>
      <c r="N56" s="15"/>
      <c r="O56" s="1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4"/>
      <c r="N57" s="15"/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4"/>
      <c r="N58" s="15"/>
      <c r="O58" s="1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4"/>
      <c r="N59" s="15"/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4"/>
      <c r="N60" s="15"/>
      <c r="O60" s="1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4"/>
      <c r="N61" s="15"/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4"/>
      <c r="N62" s="15"/>
      <c r="O62" s="1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4"/>
      <c r="N63" s="15"/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4"/>
      <c r="N64" s="15"/>
      <c r="O64" s="1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4"/>
      <c r="N65" s="15"/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4"/>
      <c r="N66" s="15"/>
      <c r="O66" s="1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4"/>
      <c r="N67" s="15"/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4"/>
      <c r="N68" s="15"/>
      <c r="O68" s="1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4"/>
      <c r="N69" s="15"/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4"/>
      <c r="N70" s="15"/>
      <c r="O70" s="1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4"/>
      <c r="N71" s="15"/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4"/>
      <c r="N72" s="15"/>
      <c r="O72" s="1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4"/>
      <c r="N73" s="15"/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4"/>
      <c r="N74" s="15"/>
      <c r="O74" s="1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4"/>
      <c r="N75" s="15"/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4"/>
      <c r="N76" s="15"/>
      <c r="O76" s="1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4"/>
      <c r="N77" s="15"/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4"/>
      <c r="N78" s="15"/>
      <c r="O78" s="1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4"/>
      <c r="N79" s="15"/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4"/>
      <c r="N80" s="15"/>
      <c r="O80" s="1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4"/>
      <c r="N81" s="15"/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4"/>
      <c r="N82" s="15"/>
      <c r="O82" s="1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4"/>
      <c r="N83" s="15"/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4"/>
      <c r="N84" s="15"/>
      <c r="O84" s="1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4"/>
      <c r="N85" s="15"/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4"/>
      <c r="N86" s="15"/>
      <c r="O86" s="1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4"/>
      <c r="N87" s="15"/>
      <c r="O87" s="1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4"/>
      <c r="N88" s="15"/>
      <c r="O88" s="1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4"/>
      <c r="N89" s="15"/>
      <c r="O89" s="1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4"/>
      <c r="N90" s="15"/>
      <c r="O90" s="1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4"/>
      <c r="N91" s="15"/>
      <c r="O91" s="1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4"/>
      <c r="N92" s="15"/>
      <c r="O92" s="1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4"/>
      <c r="N93" s="15"/>
      <c r="O93" s="1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4"/>
      <c r="N94" s="15"/>
      <c r="O94" s="1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4"/>
      <c r="N95" s="15"/>
      <c r="O95" s="1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4"/>
      <c r="N96" s="15"/>
      <c r="O96" s="1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4"/>
      <c r="N97" s="15"/>
      <c r="O97" s="1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4"/>
      <c r="N98" s="15"/>
      <c r="O98" s="1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4"/>
      <c r="N99" s="15"/>
      <c r="O99" s="1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4"/>
      <c r="N100" s="15"/>
      <c r="O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4"/>
      <c r="N101" s="15"/>
      <c r="O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4"/>
      <c r="N102" s="15"/>
      <c r="O102" s="1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4"/>
      <c r="N103" s="15"/>
      <c r="O103" s="1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4"/>
      <c r="N104" s="15"/>
      <c r="O104" s="1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4"/>
      <c r="N105" s="15"/>
      <c r="O105" s="1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4"/>
      <c r="N106" s="15"/>
      <c r="O106" s="1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4"/>
      <c r="N107" s="15"/>
      <c r="O107" s="1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4"/>
      <c r="N108" s="15"/>
      <c r="O108" s="1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4"/>
      <c r="N109" s="15"/>
      <c r="O109" s="1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4"/>
      <c r="N110" s="15"/>
      <c r="O110" s="1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4"/>
      <c r="N111" s="15"/>
      <c r="O111" s="1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4"/>
      <c r="N112" s="15"/>
      <c r="O112" s="1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4"/>
      <c r="N113" s="15"/>
      <c r="O113" s="1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4"/>
      <c r="N114" s="15"/>
      <c r="O114" s="1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4"/>
      <c r="N115" s="15"/>
      <c r="O115" s="1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4"/>
      <c r="N116" s="15"/>
      <c r="O116" s="1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4"/>
      <c r="N117" s="15"/>
      <c r="O117" s="1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4"/>
      <c r="N118" s="15"/>
      <c r="O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4"/>
      <c r="N119" s="15"/>
      <c r="O119" s="1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4"/>
      <c r="N120" s="15"/>
      <c r="O120" s="1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4"/>
      <c r="N121" s="15"/>
      <c r="O121" s="1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4"/>
      <c r="N122" s="15"/>
      <c r="O122" s="1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4"/>
      <c r="N123" s="15"/>
      <c r="O123" s="1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4"/>
      <c r="N124" s="15"/>
      <c r="O124" s="1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4"/>
      <c r="N125" s="15"/>
      <c r="O125" s="1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4"/>
      <c r="N126" s="15"/>
      <c r="O126" s="1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4"/>
      <c r="N127" s="15"/>
      <c r="O127" s="1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4"/>
      <c r="N128" s="15"/>
      <c r="O128" s="1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4"/>
      <c r="N129" s="15"/>
      <c r="O129" s="1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4"/>
      <c r="N130" s="15"/>
      <c r="O130" s="1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4"/>
      <c r="N131" s="15"/>
      <c r="O131" s="1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4"/>
      <c r="N132" s="15"/>
      <c r="O132" s="1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4"/>
      <c r="N133" s="15"/>
      <c r="O133" s="1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4"/>
      <c r="N134" s="15"/>
      <c r="O134" s="1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4"/>
      <c r="N135" s="15"/>
      <c r="O135" s="1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4"/>
      <c r="N136" s="15"/>
      <c r="O136" s="1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4"/>
      <c r="N137" s="15"/>
      <c r="O137" s="1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4"/>
      <c r="N138" s="15"/>
      <c r="O138" s="1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4"/>
      <c r="N139" s="15"/>
      <c r="O139" s="1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4"/>
      <c r="N140" s="15"/>
      <c r="O140" s="1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4"/>
      <c r="N141" s="15"/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4"/>
      <c r="N142" s="15"/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4"/>
      <c r="N143" s="15"/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4"/>
      <c r="N144" s="15"/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4"/>
      <c r="N145" s="15"/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4"/>
      <c r="N146" s="15"/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4"/>
      <c r="N147" s="15"/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4"/>
      <c r="N148" s="15"/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4"/>
      <c r="N149" s="15"/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4"/>
      <c r="N150" s="15"/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4"/>
      <c r="N151" s="15"/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4"/>
      <c r="N152" s="15"/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4"/>
      <c r="N153" s="15"/>
      <c r="O153" s="1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4"/>
      <c r="N154" s="15"/>
      <c r="O154" s="1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4"/>
      <c r="N155" s="15"/>
      <c r="O155" s="1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4"/>
      <c r="N156" s="15"/>
      <c r="O156" s="1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4"/>
      <c r="N157" s="15"/>
      <c r="O157" s="1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4"/>
      <c r="N158" s="15"/>
      <c r="O158" s="1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4"/>
      <c r="N159" s="15"/>
      <c r="O159" s="1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4"/>
      <c r="N160" s="15"/>
      <c r="O160" s="1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4"/>
      <c r="N161" s="15"/>
      <c r="O161" s="1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4"/>
      <c r="N162" s="15"/>
      <c r="O162" s="1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4"/>
      <c r="N163" s="15"/>
      <c r="O163" s="1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4"/>
      <c r="N164" s="15"/>
      <c r="O164" s="1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4"/>
      <c r="N165" s="15"/>
      <c r="O165" s="1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4"/>
      <c r="N166" s="15"/>
      <c r="O166" s="1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4"/>
      <c r="N167" s="15"/>
      <c r="O167" s="1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4"/>
      <c r="N168" s="15"/>
      <c r="O168" s="1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4"/>
      <c r="N169" s="15"/>
      <c r="O169" s="1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4"/>
      <c r="N170" s="15"/>
      <c r="O170" s="1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4"/>
      <c r="N171" s="15"/>
      <c r="O171" s="1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4"/>
      <c r="N172" s="15"/>
      <c r="O172" s="1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4"/>
      <c r="N173" s="15"/>
      <c r="O173" s="1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4"/>
      <c r="N174" s="15"/>
      <c r="O174" s="1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4"/>
      <c r="N175" s="15"/>
      <c r="O175" s="1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4"/>
      <c r="N176" s="15"/>
      <c r="O176" s="1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4"/>
      <c r="N177" s="15"/>
      <c r="O177" s="1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4"/>
      <c r="N178" s="15"/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4"/>
      <c r="N179" s="15"/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4"/>
      <c r="N180" s="15"/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4"/>
      <c r="N181" s="15"/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4"/>
      <c r="N182" s="15"/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4"/>
      <c r="N183" s="15"/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4"/>
      <c r="N184" s="15"/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4"/>
      <c r="N185" s="15"/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4"/>
      <c r="N186" s="15"/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4"/>
      <c r="N187" s="15"/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4"/>
      <c r="N188" s="15"/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4"/>
      <c r="N189" s="15"/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4"/>
      <c r="N190" s="15"/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4"/>
      <c r="N191" s="15"/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4"/>
      <c r="N192" s="15"/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4"/>
      <c r="N193" s="15"/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4"/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4"/>
      <c r="N195" s="15"/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4"/>
      <c r="N196" s="15"/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4"/>
      <c r="N197" s="15"/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4"/>
      <c r="N198" s="15"/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4"/>
      <c r="N199" s="15"/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4"/>
      <c r="N200" s="15"/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4"/>
      <c r="N201" s="15"/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4"/>
      <c r="N202" s="15"/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4"/>
      <c r="N203" s="15"/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4"/>
      <c r="N204" s="15"/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4"/>
      <c r="N205" s="15"/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4"/>
      <c r="N206" s="15"/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4"/>
      <c r="N207" s="15"/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4"/>
      <c r="N208" s="15"/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4"/>
      <c r="N209" s="15"/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4"/>
      <c r="N210" s="15"/>
      <c r="O210" s="1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4"/>
      <c r="N211" s="15"/>
      <c r="O211" s="1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4"/>
      <c r="N212" s="15"/>
      <c r="O212" s="1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4"/>
      <c r="N213" s="15"/>
      <c r="O213" s="1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4"/>
      <c r="N214" s="15"/>
      <c r="O214" s="1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4"/>
      <c r="N215" s="15"/>
      <c r="O215" s="1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4"/>
      <c r="N216" s="15"/>
      <c r="O216" s="1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4"/>
      <c r="N217" s="15"/>
      <c r="O217" s="1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4"/>
      <c r="N218" s="15"/>
      <c r="O218" s="1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4"/>
      <c r="N219" s="15"/>
      <c r="O219" s="15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4"/>
      <c r="N220" s="15"/>
      <c r="O220" s="15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4"/>
      <c r="N221" s="15"/>
      <c r="O221" s="15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4"/>
      <c r="N222" s="15"/>
      <c r="O222" s="15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4"/>
      <c r="N223" s="15"/>
      <c r="O223" s="15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4"/>
      <c r="N224" s="15"/>
      <c r="O224" s="15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4"/>
      <c r="N225" s="15"/>
      <c r="O225" s="15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4"/>
      <c r="N226" s="15"/>
      <c r="O226" s="15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4"/>
      <c r="N227" s="15"/>
      <c r="O227" s="15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4"/>
      <c r="N228" s="15"/>
      <c r="O228" s="1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4"/>
      <c r="N229" s="15"/>
      <c r="O229" s="15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4"/>
      <c r="N230" s="15"/>
      <c r="O230" s="15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4"/>
      <c r="N231" s="15"/>
      <c r="O231" s="15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4"/>
      <c r="N232" s="15"/>
      <c r="O232" s="15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4"/>
      <c r="N233" s="15"/>
      <c r="O233" s="1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4"/>
      <c r="N234" s="15"/>
      <c r="O234" s="15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4"/>
      <c r="N235" s="15"/>
      <c r="O235" s="15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4"/>
      <c r="N236" s="15"/>
      <c r="O236" s="15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4"/>
      <c r="N237" s="15"/>
      <c r="O237" s="15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4"/>
      <c r="N238" s="15"/>
      <c r="O238" s="15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4"/>
      <c r="N239" s="15"/>
      <c r="O239" s="15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4"/>
      <c r="N240" s="15"/>
      <c r="O240" s="15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D14:F14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73"/>
  <sheetViews>
    <sheetView workbookViewId="0"/>
  </sheetViews>
  <sheetFormatPr baseColWidth="10" defaultColWidth="14.3984375" defaultRowHeight="15" customHeight="1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>
      <c r="A1" s="466"/>
      <c r="B1" s="288"/>
      <c r="C1" s="466" t="s">
        <v>0</v>
      </c>
      <c r="D1" s="208"/>
      <c r="E1" s="208"/>
      <c r="F1" s="208"/>
      <c r="G1" s="288"/>
      <c r="H1" s="106" t="s">
        <v>1</v>
      </c>
      <c r="I1" s="106" t="s">
        <v>343</v>
      </c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24" customHeight="1">
      <c r="A2" s="289"/>
      <c r="B2" s="251"/>
      <c r="C2" s="289"/>
      <c r="D2" s="213"/>
      <c r="E2" s="213"/>
      <c r="F2" s="213"/>
      <c r="G2" s="251"/>
      <c r="H2" s="106" t="s">
        <v>3</v>
      </c>
      <c r="I2" s="107">
        <v>1</v>
      </c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24" customHeight="1">
      <c r="A3" s="289"/>
      <c r="B3" s="251"/>
      <c r="C3" s="290"/>
      <c r="D3" s="230"/>
      <c r="E3" s="230"/>
      <c r="F3" s="230"/>
      <c r="G3" s="291"/>
      <c r="H3" s="106" t="s">
        <v>5</v>
      </c>
      <c r="I3" s="106" t="s">
        <v>6</v>
      </c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30" customHeight="1">
      <c r="A4" s="289"/>
      <c r="B4" s="251"/>
      <c r="C4" s="466" t="s">
        <v>344</v>
      </c>
      <c r="D4" s="208"/>
      <c r="E4" s="208"/>
      <c r="F4" s="208"/>
      <c r="G4" s="288"/>
      <c r="H4" s="106" t="s">
        <v>7</v>
      </c>
      <c r="I4" s="106" t="s">
        <v>345</v>
      </c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22.5" customHeight="1">
      <c r="A5" s="290"/>
      <c r="B5" s="291"/>
      <c r="C5" s="290"/>
      <c r="D5" s="230"/>
      <c r="E5" s="230"/>
      <c r="F5" s="230"/>
      <c r="G5" s="291"/>
      <c r="H5" s="106"/>
      <c r="I5" s="108" t="s">
        <v>346</v>
      </c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14.25" customHeight="1">
      <c r="A6" s="109"/>
      <c r="B6" s="109"/>
      <c r="C6" s="109"/>
      <c r="D6" s="109"/>
      <c r="E6" s="109"/>
      <c r="F6" s="109"/>
      <c r="G6" s="109"/>
      <c r="H6" s="109"/>
      <c r="I6" s="109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4.25" customHeight="1">
      <c r="A7" s="110"/>
      <c r="B7" s="110"/>
      <c r="C7" s="110"/>
      <c r="D7" s="110"/>
      <c r="E7" s="110"/>
      <c r="F7" s="110"/>
      <c r="G7" s="110"/>
      <c r="H7" s="110"/>
      <c r="I7" s="110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22.5" customHeight="1">
      <c r="A8" s="468"/>
      <c r="B8" s="466" t="s">
        <v>0</v>
      </c>
      <c r="C8" s="208"/>
      <c r="D8" s="208"/>
      <c r="E8" s="208"/>
      <c r="F8" s="288"/>
      <c r="G8" s="106" t="s">
        <v>1</v>
      </c>
      <c r="H8" s="467" t="s">
        <v>343</v>
      </c>
      <c r="I8" s="20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24" customHeight="1">
      <c r="A9" s="289"/>
      <c r="B9" s="289"/>
      <c r="C9" s="213"/>
      <c r="D9" s="213"/>
      <c r="E9" s="213"/>
      <c r="F9" s="251"/>
      <c r="G9" s="106" t="s">
        <v>3</v>
      </c>
      <c r="H9" s="469">
        <v>1</v>
      </c>
      <c r="I9" s="20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24" customHeight="1">
      <c r="A10" s="289"/>
      <c r="B10" s="290"/>
      <c r="C10" s="230"/>
      <c r="D10" s="230"/>
      <c r="E10" s="230"/>
      <c r="F10" s="291"/>
      <c r="G10" s="106" t="s">
        <v>5</v>
      </c>
      <c r="H10" s="467" t="s">
        <v>6</v>
      </c>
      <c r="I10" s="20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21" customHeight="1">
      <c r="A11" s="289"/>
      <c r="B11" s="466" t="s">
        <v>344</v>
      </c>
      <c r="C11" s="208"/>
      <c r="D11" s="208"/>
      <c r="E11" s="208"/>
      <c r="F11" s="288"/>
      <c r="G11" s="470" t="s">
        <v>7</v>
      </c>
      <c r="H11" s="467" t="s">
        <v>345</v>
      </c>
      <c r="I11" s="20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24" customHeight="1">
      <c r="A12" s="290"/>
      <c r="B12" s="290"/>
      <c r="C12" s="230"/>
      <c r="D12" s="230"/>
      <c r="E12" s="230"/>
      <c r="F12" s="291"/>
      <c r="G12" s="395"/>
      <c r="H12" s="471" t="s">
        <v>346</v>
      </c>
      <c r="I12" s="20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54" customHeight="1">
      <c r="A13" s="112" t="s">
        <v>347</v>
      </c>
      <c r="B13" s="464"/>
      <c r="C13" s="201"/>
      <c r="D13" s="201"/>
      <c r="E13" s="201"/>
      <c r="F13" s="201"/>
      <c r="G13" s="201"/>
      <c r="H13" s="201"/>
      <c r="I13" s="20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57" customHeight="1">
      <c r="A14" s="112" t="s">
        <v>348</v>
      </c>
      <c r="B14" s="464"/>
      <c r="C14" s="201"/>
      <c r="D14" s="201"/>
      <c r="E14" s="201"/>
      <c r="F14" s="204"/>
      <c r="G14" s="112" t="s">
        <v>201</v>
      </c>
      <c r="H14" s="465"/>
      <c r="I14" s="20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63.75" customHeight="1">
      <c r="A15" s="112" t="s">
        <v>349</v>
      </c>
      <c r="B15" s="464"/>
      <c r="C15" s="201"/>
      <c r="D15" s="201"/>
      <c r="E15" s="201"/>
      <c r="F15" s="204"/>
      <c r="G15" s="112" t="s">
        <v>350</v>
      </c>
      <c r="H15" s="464"/>
      <c r="I15" s="20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66.75" customHeight="1">
      <c r="A16" s="112" t="s">
        <v>351</v>
      </c>
      <c r="B16" s="464"/>
      <c r="C16" s="201"/>
      <c r="D16" s="201"/>
      <c r="E16" s="201"/>
      <c r="F16" s="204"/>
      <c r="G16" s="112" t="s">
        <v>350</v>
      </c>
      <c r="H16" s="464"/>
      <c r="I16" s="20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63.75" customHeight="1">
      <c r="A17" s="112" t="s">
        <v>352</v>
      </c>
      <c r="B17" s="464"/>
      <c r="C17" s="201"/>
      <c r="D17" s="201"/>
      <c r="E17" s="201"/>
      <c r="F17" s="201"/>
      <c r="G17" s="201"/>
      <c r="H17" s="201"/>
      <c r="I17" s="20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46.5" customHeight="1">
      <c r="A18" s="112" t="s">
        <v>223</v>
      </c>
      <c r="B18" s="464"/>
      <c r="C18" s="201"/>
      <c r="D18" s="201"/>
      <c r="E18" s="201"/>
      <c r="F18" s="204"/>
      <c r="G18" s="112" t="s">
        <v>274</v>
      </c>
      <c r="H18" s="465"/>
      <c r="I18" s="20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48" customHeight="1">
      <c r="A19" s="112" t="s">
        <v>199</v>
      </c>
      <c r="B19" s="464"/>
      <c r="C19" s="201"/>
      <c r="D19" s="201"/>
      <c r="E19" s="201"/>
      <c r="F19" s="204"/>
      <c r="G19" s="112" t="s">
        <v>274</v>
      </c>
      <c r="H19" s="465"/>
      <c r="I19" s="20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4.25" customHeight="1">
      <c r="A20" s="84"/>
      <c r="B20" s="84"/>
      <c r="C20" s="84"/>
      <c r="D20" s="84"/>
      <c r="E20" s="84"/>
      <c r="F20" s="84"/>
      <c r="G20" s="84"/>
      <c r="H20" s="472"/>
      <c r="I20" s="213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22.5" customHeight="1">
      <c r="A21" s="468"/>
      <c r="B21" s="466" t="s">
        <v>0</v>
      </c>
      <c r="C21" s="208"/>
      <c r="D21" s="208"/>
      <c r="E21" s="208"/>
      <c r="F21" s="288"/>
      <c r="G21" s="106" t="s">
        <v>1</v>
      </c>
      <c r="H21" s="467" t="s">
        <v>343</v>
      </c>
      <c r="I21" s="20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23.25" customHeight="1">
      <c r="A22" s="289"/>
      <c r="B22" s="289"/>
      <c r="C22" s="213"/>
      <c r="D22" s="213"/>
      <c r="E22" s="213"/>
      <c r="F22" s="251"/>
      <c r="G22" s="106" t="s">
        <v>3</v>
      </c>
      <c r="H22" s="469">
        <v>1</v>
      </c>
      <c r="I22" s="20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27.75" customHeight="1">
      <c r="A23" s="289"/>
      <c r="B23" s="290"/>
      <c r="C23" s="230"/>
      <c r="D23" s="230"/>
      <c r="E23" s="230"/>
      <c r="F23" s="291"/>
      <c r="G23" s="106" t="s">
        <v>5</v>
      </c>
      <c r="H23" s="467" t="s">
        <v>6</v>
      </c>
      <c r="I23" s="20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27.75" customHeight="1">
      <c r="A24" s="289"/>
      <c r="B24" s="466" t="s">
        <v>344</v>
      </c>
      <c r="C24" s="208"/>
      <c r="D24" s="208"/>
      <c r="E24" s="208"/>
      <c r="F24" s="288"/>
      <c r="G24" s="470" t="s">
        <v>7</v>
      </c>
      <c r="H24" s="467" t="s">
        <v>345</v>
      </c>
      <c r="I24" s="20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34.5" customHeight="1">
      <c r="A25" s="290"/>
      <c r="B25" s="290"/>
      <c r="C25" s="230"/>
      <c r="D25" s="230"/>
      <c r="E25" s="230"/>
      <c r="F25" s="291"/>
      <c r="G25" s="395"/>
      <c r="H25" s="471" t="s">
        <v>346</v>
      </c>
      <c r="I25" s="20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63.75" customHeight="1">
      <c r="A26" s="112" t="s">
        <v>347</v>
      </c>
      <c r="B26" s="464"/>
      <c r="C26" s="201"/>
      <c r="D26" s="201"/>
      <c r="E26" s="201"/>
      <c r="F26" s="201"/>
      <c r="G26" s="201"/>
      <c r="H26" s="201"/>
      <c r="I26" s="20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48" customHeight="1">
      <c r="A27" s="112" t="s">
        <v>348</v>
      </c>
      <c r="B27" s="464"/>
      <c r="C27" s="201"/>
      <c r="D27" s="201"/>
      <c r="E27" s="201"/>
      <c r="F27" s="204"/>
      <c r="G27" s="112" t="s">
        <v>201</v>
      </c>
      <c r="H27" s="465"/>
      <c r="I27" s="20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57.75" customHeight="1">
      <c r="A28" s="112" t="s">
        <v>349</v>
      </c>
      <c r="B28" s="464"/>
      <c r="C28" s="201"/>
      <c r="D28" s="201"/>
      <c r="E28" s="201"/>
      <c r="F28" s="204"/>
      <c r="G28" s="112" t="s">
        <v>350</v>
      </c>
      <c r="H28" s="464"/>
      <c r="I28" s="20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57" customHeight="1">
      <c r="A29" s="112" t="s">
        <v>351</v>
      </c>
      <c r="B29" s="464"/>
      <c r="C29" s="201"/>
      <c r="D29" s="201"/>
      <c r="E29" s="201"/>
      <c r="F29" s="204"/>
      <c r="G29" s="112" t="s">
        <v>350</v>
      </c>
      <c r="H29" s="464"/>
      <c r="I29" s="20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49.5" customHeight="1">
      <c r="A30" s="112" t="s">
        <v>352</v>
      </c>
      <c r="B30" s="464"/>
      <c r="C30" s="201"/>
      <c r="D30" s="201"/>
      <c r="E30" s="201"/>
      <c r="F30" s="201"/>
      <c r="G30" s="201"/>
      <c r="H30" s="201"/>
      <c r="I30" s="20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42.75" customHeight="1">
      <c r="A31" s="112" t="s">
        <v>223</v>
      </c>
      <c r="B31" s="464"/>
      <c r="C31" s="201"/>
      <c r="D31" s="201"/>
      <c r="E31" s="201"/>
      <c r="F31" s="204"/>
      <c r="G31" s="112" t="s">
        <v>274</v>
      </c>
      <c r="H31" s="465"/>
      <c r="I31" s="20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48" customHeight="1">
      <c r="A32" s="112" t="s">
        <v>199</v>
      </c>
      <c r="B32" s="464"/>
      <c r="C32" s="201"/>
      <c r="D32" s="201"/>
      <c r="E32" s="201"/>
      <c r="F32" s="204"/>
      <c r="G32" s="112" t="s">
        <v>274</v>
      </c>
      <c r="H32" s="465"/>
      <c r="I32" s="20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4.25" customHeight="1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24.75" customHeight="1">
      <c r="A34" s="468"/>
      <c r="B34" s="466" t="s">
        <v>0</v>
      </c>
      <c r="C34" s="208"/>
      <c r="D34" s="208"/>
      <c r="E34" s="208"/>
      <c r="F34" s="288"/>
      <c r="G34" s="106" t="s">
        <v>1</v>
      </c>
      <c r="H34" s="467" t="s">
        <v>343</v>
      </c>
      <c r="I34" s="20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21.75" customHeight="1">
      <c r="A35" s="289"/>
      <c r="B35" s="289"/>
      <c r="C35" s="213"/>
      <c r="D35" s="213"/>
      <c r="E35" s="213"/>
      <c r="F35" s="251"/>
      <c r="G35" s="106" t="s">
        <v>3</v>
      </c>
      <c r="H35" s="469">
        <v>1</v>
      </c>
      <c r="I35" s="20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25.5" customHeight="1">
      <c r="A36" s="289"/>
      <c r="B36" s="290"/>
      <c r="C36" s="230"/>
      <c r="D36" s="230"/>
      <c r="E36" s="230"/>
      <c r="F36" s="291"/>
      <c r="G36" s="106" t="s">
        <v>5</v>
      </c>
      <c r="H36" s="467" t="s">
        <v>6</v>
      </c>
      <c r="I36" s="20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27.75" customHeight="1">
      <c r="A37" s="289"/>
      <c r="B37" s="466" t="s">
        <v>344</v>
      </c>
      <c r="C37" s="208"/>
      <c r="D37" s="208"/>
      <c r="E37" s="208"/>
      <c r="F37" s="288"/>
      <c r="G37" s="470" t="s">
        <v>7</v>
      </c>
      <c r="H37" s="467" t="s">
        <v>345</v>
      </c>
      <c r="I37" s="20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30.75" customHeight="1">
      <c r="A38" s="290"/>
      <c r="B38" s="290"/>
      <c r="C38" s="230"/>
      <c r="D38" s="230"/>
      <c r="E38" s="230"/>
      <c r="F38" s="291"/>
      <c r="G38" s="395"/>
      <c r="H38" s="471" t="s">
        <v>346</v>
      </c>
      <c r="I38" s="20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54" customHeight="1">
      <c r="A39" s="112" t="s">
        <v>347</v>
      </c>
      <c r="B39" s="464"/>
      <c r="C39" s="201"/>
      <c r="D39" s="201"/>
      <c r="E39" s="201"/>
      <c r="F39" s="201"/>
      <c r="G39" s="201"/>
      <c r="H39" s="201"/>
      <c r="I39" s="20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48.75" customHeight="1">
      <c r="A40" s="112" t="s">
        <v>348</v>
      </c>
      <c r="B40" s="464"/>
      <c r="C40" s="201"/>
      <c r="D40" s="201"/>
      <c r="E40" s="201"/>
      <c r="F40" s="204"/>
      <c r="G40" s="112" t="s">
        <v>201</v>
      </c>
      <c r="H40" s="465"/>
      <c r="I40" s="20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52.5" customHeight="1">
      <c r="A41" s="112" t="s">
        <v>349</v>
      </c>
      <c r="B41" s="464"/>
      <c r="C41" s="201"/>
      <c r="D41" s="201"/>
      <c r="E41" s="201"/>
      <c r="F41" s="204"/>
      <c r="G41" s="112" t="s">
        <v>350</v>
      </c>
      <c r="H41" s="464"/>
      <c r="I41" s="20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54.75" customHeight="1">
      <c r="A42" s="112" t="s">
        <v>351</v>
      </c>
      <c r="B42" s="464"/>
      <c r="C42" s="201"/>
      <c r="D42" s="201"/>
      <c r="E42" s="201"/>
      <c r="F42" s="204"/>
      <c r="G42" s="112" t="s">
        <v>350</v>
      </c>
      <c r="H42" s="464"/>
      <c r="I42" s="20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57.75" customHeight="1">
      <c r="A43" s="112" t="s">
        <v>352</v>
      </c>
      <c r="B43" s="464"/>
      <c r="C43" s="201"/>
      <c r="D43" s="201"/>
      <c r="E43" s="201"/>
      <c r="F43" s="201"/>
      <c r="G43" s="201"/>
      <c r="H43" s="201"/>
      <c r="I43" s="20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54" customHeight="1">
      <c r="A44" s="112" t="s">
        <v>223</v>
      </c>
      <c r="B44" s="464"/>
      <c r="C44" s="201"/>
      <c r="D44" s="201"/>
      <c r="E44" s="201"/>
      <c r="F44" s="204"/>
      <c r="G44" s="112" t="s">
        <v>274</v>
      </c>
      <c r="H44" s="465"/>
      <c r="I44" s="20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54" customHeight="1">
      <c r="A45" s="112" t="s">
        <v>199</v>
      </c>
      <c r="B45" s="464"/>
      <c r="C45" s="201"/>
      <c r="D45" s="201"/>
      <c r="E45" s="201"/>
      <c r="F45" s="204"/>
      <c r="G45" s="112" t="s">
        <v>274</v>
      </c>
      <c r="H45" s="465"/>
      <c r="I45" s="20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4.25" customHeight="1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4.25" customHeight="1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4.25" customHeight="1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4.25" customHeight="1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4.25" customHeight="1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4.25" customHeight="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4.25" customHeight="1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4.25" customHeight="1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4.25" customHeight="1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4.25" customHeight="1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4.25" customHeight="1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4.25" customHeight="1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4.25" customHeight="1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4.25" customHeight="1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4.25" customHeight="1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4.25" customHeight="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4.25" customHeight="1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4.25" customHeight="1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4.25" customHeight="1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4.25" customHeight="1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4.25" customHeight="1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4.25" customHeight="1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4.25" customHeight="1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4.25" customHeight="1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4.25" customHeight="1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4.25" customHeight="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4.25" customHeight="1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4.25" customHeight="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4.25" customHeight="1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4.25" customHeight="1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4.25" customHeight="1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4.25" customHeight="1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4.25" customHeight="1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4.25" customHeight="1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4.25" customHeight="1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4.25" customHeight="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4.25" customHeight="1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4.25" customHeight="1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4.25" customHeight="1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4.25" customHeight="1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4.25" customHeight="1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4.25" customHeight="1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4.25" customHeight="1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4.25" customHeight="1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4.2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4.25" customHeight="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4.25" customHeight="1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4.25" customHeight="1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4.25" customHeight="1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4.25" customHeight="1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4.25" customHeight="1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4.25" customHeight="1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4.25" customHeight="1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4.25" customHeight="1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4.25" customHeight="1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4.25" customHeight="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4.25" customHeight="1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4.25" customHeight="1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4.25" customHeight="1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4.25" customHeight="1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4.25" customHeight="1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4.25" customHeight="1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4.25" customHeight="1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4.25" customHeight="1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4.25" customHeight="1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4.25" customHeight="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4.25" customHeight="1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4.25" customHeight="1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4.25" customHeight="1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4.25" customHeight="1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4.25" customHeight="1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4.25" customHeight="1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4.25" customHeight="1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4.25" customHeight="1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4.25" customHeight="1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4.25" customHeight="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4.25" customHeight="1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4.25" customHeight="1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4.25" customHeight="1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4.2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4.25" customHeight="1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4.25" customHeight="1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4.25" customHeight="1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4.25" customHeight="1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4.25" customHeight="1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4.25" customHeight="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4.25" customHeight="1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4.25" customHeight="1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4.25" customHeight="1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4.25" customHeight="1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4.25" customHeight="1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4.25" customHeight="1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4.25" customHeight="1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4.25" customHeight="1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4.25" customHeight="1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4.25" customHeight="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4.25" customHeight="1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4.25" customHeight="1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4.25" customHeight="1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4.25" customHeight="1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4.25" customHeight="1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4.25" customHeight="1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4.25" customHeight="1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4.25" customHeight="1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4.25" customHeight="1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4.25" customHeight="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4.25" customHeight="1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4.25" customHeight="1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4.25" customHeight="1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4.25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4.25" customHeight="1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4.25" customHeight="1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4.25" customHeight="1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4.25" customHeight="1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4.25" customHeight="1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4.25" customHeight="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4.25" customHeight="1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4.25" customHeight="1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4.25" customHeight="1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4.25" customHeight="1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4.25" customHeight="1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4.25" customHeight="1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4.25" customHeight="1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4.25" customHeight="1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4.25" customHeight="1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4.25" customHeight="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4.25" customHeight="1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4.25" customHeight="1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4.25" customHeight="1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4.25" customHeight="1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4.25" customHeight="1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4.25" customHeight="1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4.25" customHeight="1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4.25" customHeight="1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4.25" customHeight="1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4.25" customHeight="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4.25" customHeight="1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4.25" customHeight="1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4.25" customHeight="1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4.25" customHeight="1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4.25" customHeight="1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4.25" customHeight="1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4.25" customHeight="1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4.25" customHeight="1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4.25" customHeight="1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4.25" customHeight="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4.25" customHeight="1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4.25" customHeight="1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4.25" customHeight="1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4.25" customHeight="1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4.25" customHeight="1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4.25" customHeight="1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4.25" customHeight="1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4.25" customHeight="1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4.25" customHeight="1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4.25" customHeight="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4.25" customHeight="1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4.25" customHeight="1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4.25" customHeight="1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4.25" customHeight="1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4.25" customHeight="1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4.25" customHeight="1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4.25" customHeight="1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4.25" customHeight="1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4.25" customHeight="1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4.25" customHeight="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4.2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4.2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4.2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4.2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4.2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4.25" customHeight="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4.25" customHeight="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4.2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4.2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4.25" customHeight="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4.25" customHeight="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4.25" customHeight="1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4.25" customHeight="1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4.25" customHeight="1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4.25" customHeight="1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4.25" customHeight="1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4.25" customHeight="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4.25" customHeight="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4.25" customHeight="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4.25" customHeight="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4.25" customHeight="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4.2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4.2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4.2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4.2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4.2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4.2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4.2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4.2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4.2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4.2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4.2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4.2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4.2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4.2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4.2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4.2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4.2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4.2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4.2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4.2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4.2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4.2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4.2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4.2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4.2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4.2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4.2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4.2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4.2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4.2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4.2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4.2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4.2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4.2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4.2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4.2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4.2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4.2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4.2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4.2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4.2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4.2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4.2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4.2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4.2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4.2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4.2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4.2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4.2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4.2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4.2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4.2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4.2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4.2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4.2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4.2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4.2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4.2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4.2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4.2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4.2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4.2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4.2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4.2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4.2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4.2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4.2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4.2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4.2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4.2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4.2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4.2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4.2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4.2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4.2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4.2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4.2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4.2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4.2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4.2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4.2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4.2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4.2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4.2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4.2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4.2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4.2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4.2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4.2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4.2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4.2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4.2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4.2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4.2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4.2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4.2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4.2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4.2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4.2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4.2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4.2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4.2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4.2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4.2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4.2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4.2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4.2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4.2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4.2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4.2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4.2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4.2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4.2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4.2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4.2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4.2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4.2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4.2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4.2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4.2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4.2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4.2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4.2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4.2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4.2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4.2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4.2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4.2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4.2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4.2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4.2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4.2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4.2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4.2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4.2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4.2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4.2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4.2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4.2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4.2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4.2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4.2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4.2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4.2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4.2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4.2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4.2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4.2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4.2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4.2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4.2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4.2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4.2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4.2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4.2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4.2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4.2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4.2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4.2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4.2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4.2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4.2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4.2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4.2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4.2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4.2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4.2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4.2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4.2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4.2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4.2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4.2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4.2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4.2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4.2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4.2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4.2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4.2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4.2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4.2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4.2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4.2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4.2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4.2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4.2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4.2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4.2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4.2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4.2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4.2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4.2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4.2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4.2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4.2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4.2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4.2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4.2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4.2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4.2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4.2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4.2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4.2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4.2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4.2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4.2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4.2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4.2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4.2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4.2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4.2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4.2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4.2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4.2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4.2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4.2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4.2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4.2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4.2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4.2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4.2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4.2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4.2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4.2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4.2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4.2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4.2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4.2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4.2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4.2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4.2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4.2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4.2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4.2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4.2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4.2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4.2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4.2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4.2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4.2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4.2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4.2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4.2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4.2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4.2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4.2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4.2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4.2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4.2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4.2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4.2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4.2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4.2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4.2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4.2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4.2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4.2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4.2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4.2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4.2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4.2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4.2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4.2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4.2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4.2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4.2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4.2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4.2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4.2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4.2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4.2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4.2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4.2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4.2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4.2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4.2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4.2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4.2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4.2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4.2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4.2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4.2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4.2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4.2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4.2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4.2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4.2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4.2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4.2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4.2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4.2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4.2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4.2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4.2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4.2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4.2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4.2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4.2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4.2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4.2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4.2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4.2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4.2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4.2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4.2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4.2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4.2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4.2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4.2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4.2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4.2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4.2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4.2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4.2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4.2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4.2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4.2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4.2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4.2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4.2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4.2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4.2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4.2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4.2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4.2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4.2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4.2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4.2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4.2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4.2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4.2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4.2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4.2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4.2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4.2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4.2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4.2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4.2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4.2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4.2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4.2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4.2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4.2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4.2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4.2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4.2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4.2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4.2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4.2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4.2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4.2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4.2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4.2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4.2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4.2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4.2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4.2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4.2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4.2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4.2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4.2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4.2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4.2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4.2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4.2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4.2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4.2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4.2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4.2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4.2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4.2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4.2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4.2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4.2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4.2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4.2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4.2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4.2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4.2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4.2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4.2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4.2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4.2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4.2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4.2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4.2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4.2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4.2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4.2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4.2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4.2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4.2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4.2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4.2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4.2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4.2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4.2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4.2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4.2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4.2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4.2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4.2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4.2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4.2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4.2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4.2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4.2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4.2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4.2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4.2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4.2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4.2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4.2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4.2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4.2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4.2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4.2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4.2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4.2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4.2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4.2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4.2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4.2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4.2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4.2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4.2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4.2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4.2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4.2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4.2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4.2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4.2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4.2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4.2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4.2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4.2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4.2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4.2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4.2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4.2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4.2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4.2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4.2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4.2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4.2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4.2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4.2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4.2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4.2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4.2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4.2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4.2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4.2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4.2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4.2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4.2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4.2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4.2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4.2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4.2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4.2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4.2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4.2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4.2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4.2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4.2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4.2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4.2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4.2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4.2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4.2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4.2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4.2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4.2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4.2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4.2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4.2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4.2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4.2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4.2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4.2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4.2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4.2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4.2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4.2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4.2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4.2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4.2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4.2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4.2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4.2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4.2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4.2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4.2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4.2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4.2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4.2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4.2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4.2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4.2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4.2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4.2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4.2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4.2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4.2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4.2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4.2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4.2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4.2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4.2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4.2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4.2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4.2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4.2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4.2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4.2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4.2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4.2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4.2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4.2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4.2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4.2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4.2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4.2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4.2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4.2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4.2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4.2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4.2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4.2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4.2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4.2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4.2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4.2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4.2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4.2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4.2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4.2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4.2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4.2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4.2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4.2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4.2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4.2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4.2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4.2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4.2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4.2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4.2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4.2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4.2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4.2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4.2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4.2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4.2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4.2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4.2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4.2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4.2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4.2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4.2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4.2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4.2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4.2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4.2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4.2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4.2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4.2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4.2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4.2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4.2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4.2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4.2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4.2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4.2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4.2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4.2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4.2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4.2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4.2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4.2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4.2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4.2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4.2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4.2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4.2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4.2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4.2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4.2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4.2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4.2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4.2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4.2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4.2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4.2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4.2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4.2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4.2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4.2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4.2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4.2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4.2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4.2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4.2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4.2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4.2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4.2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4.2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4.2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4.2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4.2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4.2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4.2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4.2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4.2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4.2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4.2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4.2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4.2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4.2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4.2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4.2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4.2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4.2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4.2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4.2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4.2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4.2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4.2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4.2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4.2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4.2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4.2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4.2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4.2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4.2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4.2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4.2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4.2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4.2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4.2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4.2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4.2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4.2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4.2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4.2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4.2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4.2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4.2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4.2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4.2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4.2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4.2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4.2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4.2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4.2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4.2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4.2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4.2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4.2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4.2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4.2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4.2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4.2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4.2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4.2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4.2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4.2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4.2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4.2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4.2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4.2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4.2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4.2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4.2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4.2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4.2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4.2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4.2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4.2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4.2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4.2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4.2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4.2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4.2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4.2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4.2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4.2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4.2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4.2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4.2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4.2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4.2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4.2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4.2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4.2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4.2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4.2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4.2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4.2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4.2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4.2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4.2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4.2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4.2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4.2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4.2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4.2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4.2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4.2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4.2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4.2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4.2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4.2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4.2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4.2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4.2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4.2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4.2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4.2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4.2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4.2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4.2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4.2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4.2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4.2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4.2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4.2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4.2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4.2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4.2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4.2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4.2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4.2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4.2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4.2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4.2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4.2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4.2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4.2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4.2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4.2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</sheetData>
  <mergeCells count="67">
    <mergeCell ref="B16:F16"/>
    <mergeCell ref="B17:I17"/>
    <mergeCell ref="B18:F18"/>
    <mergeCell ref="H18:I18"/>
    <mergeCell ref="H19:I19"/>
    <mergeCell ref="H16:I16"/>
    <mergeCell ref="B19:F19"/>
    <mergeCell ref="H20:I20"/>
    <mergeCell ref="A21:A25"/>
    <mergeCell ref="H23:I23"/>
    <mergeCell ref="B24:F25"/>
    <mergeCell ref="G24:G25"/>
    <mergeCell ref="H24:I24"/>
    <mergeCell ref="H25:I25"/>
    <mergeCell ref="B21:F23"/>
    <mergeCell ref="H21:I21"/>
    <mergeCell ref="H22:I22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B27:F27"/>
    <mergeCell ref="B28:F28"/>
    <mergeCell ref="H28:I28"/>
    <mergeCell ref="B29:F29"/>
    <mergeCell ref="H29:I29"/>
    <mergeCell ref="B30:I30"/>
    <mergeCell ref="H31:I31"/>
    <mergeCell ref="A34:A38"/>
    <mergeCell ref="H34:I34"/>
    <mergeCell ref="H35:I35"/>
    <mergeCell ref="G37:G38"/>
    <mergeCell ref="B42:F42"/>
    <mergeCell ref="H38:I38"/>
    <mergeCell ref="B39:I39"/>
    <mergeCell ref="B40:F40"/>
    <mergeCell ref="H40:I40"/>
    <mergeCell ref="B41:F41"/>
    <mergeCell ref="H41:I41"/>
    <mergeCell ref="H42:I42"/>
    <mergeCell ref="B43:I43"/>
    <mergeCell ref="B44:F44"/>
    <mergeCell ref="H44:I44"/>
    <mergeCell ref="B45:F45"/>
    <mergeCell ref="H45:I4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</mergeCells>
  <pageMargins left="0.7" right="0.7" top="0.75" bottom="0.75" header="0" footer="0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>
      <c r="A1" s="110"/>
      <c r="B1" s="466"/>
      <c r="C1" s="288"/>
      <c r="D1" s="466" t="s">
        <v>0</v>
      </c>
      <c r="E1" s="208"/>
      <c r="F1" s="208"/>
      <c r="G1" s="208"/>
      <c r="H1" s="208"/>
      <c r="I1" s="208"/>
      <c r="J1" s="288"/>
      <c r="K1" s="106" t="s">
        <v>1</v>
      </c>
      <c r="L1" s="467" t="s">
        <v>353</v>
      </c>
      <c r="M1" s="202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spans="1:26" ht="19.5" customHeight="1">
      <c r="A2" s="110"/>
      <c r="B2" s="289"/>
      <c r="C2" s="251"/>
      <c r="D2" s="289"/>
      <c r="E2" s="213"/>
      <c r="F2" s="213"/>
      <c r="G2" s="213"/>
      <c r="H2" s="213"/>
      <c r="I2" s="213"/>
      <c r="J2" s="251"/>
      <c r="K2" s="106" t="s">
        <v>3</v>
      </c>
      <c r="L2" s="469">
        <v>1</v>
      </c>
      <c r="M2" s="202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 spans="1:26" ht="18" customHeight="1">
      <c r="A3" s="110"/>
      <c r="B3" s="289"/>
      <c r="C3" s="251"/>
      <c r="D3" s="290"/>
      <c r="E3" s="230"/>
      <c r="F3" s="230"/>
      <c r="G3" s="230"/>
      <c r="H3" s="230"/>
      <c r="I3" s="230"/>
      <c r="J3" s="291"/>
      <c r="K3" s="106" t="s">
        <v>5</v>
      </c>
      <c r="L3" s="467" t="s">
        <v>6</v>
      </c>
      <c r="M3" s="202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 spans="1:26" ht="24.75" customHeight="1">
      <c r="A4" s="110"/>
      <c r="B4" s="289"/>
      <c r="C4" s="251"/>
      <c r="D4" s="466" t="s">
        <v>354</v>
      </c>
      <c r="E4" s="208"/>
      <c r="F4" s="208"/>
      <c r="G4" s="208"/>
      <c r="H4" s="208"/>
      <c r="I4" s="208"/>
      <c r="J4" s="288"/>
      <c r="K4" s="470" t="s">
        <v>7</v>
      </c>
      <c r="L4" s="467" t="s">
        <v>227</v>
      </c>
      <c r="M4" s="202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 spans="1:26" ht="24.75" customHeight="1">
      <c r="A5" s="110"/>
      <c r="B5" s="290"/>
      <c r="C5" s="291"/>
      <c r="D5" s="290"/>
      <c r="E5" s="230"/>
      <c r="F5" s="230"/>
      <c r="G5" s="230"/>
      <c r="H5" s="230"/>
      <c r="I5" s="230"/>
      <c r="J5" s="291"/>
      <c r="K5" s="395"/>
      <c r="L5" s="471" t="s">
        <v>228</v>
      </c>
      <c r="M5" s="202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 spans="1:26" ht="30.75" customHeight="1">
      <c r="A6" s="110"/>
      <c r="B6" s="464" t="s">
        <v>355</v>
      </c>
      <c r="C6" s="204"/>
      <c r="D6" s="254" t="str">
        <f>'ORDEN ENVASADO'!F6</f>
        <v>CONTORNO DE OJOS RETINALDEHIDO 0.05%</v>
      </c>
      <c r="E6" s="201"/>
      <c r="F6" s="201"/>
      <c r="G6" s="201"/>
      <c r="H6" s="201"/>
      <c r="I6" s="202"/>
      <c r="J6" s="464" t="s">
        <v>356</v>
      </c>
      <c r="K6" s="204"/>
      <c r="L6" s="484"/>
      <c r="M6" s="202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spans="1:26" ht="38.25" customHeight="1">
      <c r="A7" s="110"/>
      <c r="B7" s="481" t="s">
        <v>357</v>
      </c>
      <c r="C7" s="204"/>
      <c r="D7" s="485" t="str">
        <f>ACONDICIONAMIENTO!F8</f>
        <v>252581</v>
      </c>
      <c r="E7" s="204"/>
      <c r="F7" s="467" t="s">
        <v>358</v>
      </c>
      <c r="G7" s="204"/>
      <c r="H7" s="488" t="str">
        <f>ACONDICIONAMIENTO!J8</f>
        <v>OP-SS-126</v>
      </c>
      <c r="I7" s="204"/>
      <c r="J7" s="464" t="s">
        <v>236</v>
      </c>
      <c r="K7" s="204"/>
      <c r="L7" s="486"/>
      <c r="M7" s="202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 spans="1:26" ht="30" customHeight="1">
      <c r="A8" s="110"/>
      <c r="B8" s="481" t="s">
        <v>24</v>
      </c>
      <c r="C8" s="204"/>
      <c r="D8" s="487" t="str">
        <f>OP!G11</f>
        <v>EMULSION</v>
      </c>
      <c r="E8" s="201"/>
      <c r="F8" s="201"/>
      <c r="G8" s="201"/>
      <c r="H8" s="201"/>
      <c r="I8" s="204"/>
      <c r="J8" s="464" t="s">
        <v>359</v>
      </c>
      <c r="K8" s="204"/>
      <c r="L8" s="487"/>
      <c r="M8" s="202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spans="1:26" ht="24.75" customHeight="1">
      <c r="A9" s="110"/>
      <c r="B9" s="482" t="s">
        <v>360</v>
      </c>
      <c r="C9" s="213"/>
      <c r="D9" s="213"/>
      <c r="E9" s="483"/>
      <c r="F9" s="230"/>
      <c r="G9" s="115"/>
      <c r="H9" s="115" t="s">
        <v>361</v>
      </c>
      <c r="I9" s="115"/>
      <c r="J9" s="115"/>
      <c r="K9" s="115"/>
      <c r="L9" s="115"/>
      <c r="M9" s="115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spans="1:26" ht="16.5" customHeight="1">
      <c r="A10" s="110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1:26" ht="36" customHeight="1">
      <c r="A11" s="110"/>
      <c r="B11" s="464" t="s">
        <v>362</v>
      </c>
      <c r="C11" s="204"/>
      <c r="D11" s="464" t="s">
        <v>239</v>
      </c>
      <c r="E11" s="201"/>
      <c r="F11" s="204"/>
      <c r="G11" s="464" t="s">
        <v>363</v>
      </c>
      <c r="H11" s="204"/>
      <c r="I11" s="464" t="s">
        <v>240</v>
      </c>
      <c r="J11" s="204"/>
      <c r="K11" s="112" t="s">
        <v>364</v>
      </c>
      <c r="L11" s="464" t="s">
        <v>365</v>
      </c>
      <c r="M11" s="202"/>
      <c r="N11" s="116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spans="1:26" ht="31.5" customHeight="1">
      <c r="A12" s="110"/>
      <c r="B12" s="480" t="s">
        <v>366</v>
      </c>
      <c r="C12" s="117" t="s">
        <v>367</v>
      </c>
      <c r="D12" s="498" t="s">
        <v>368</v>
      </c>
      <c r="E12" s="230"/>
      <c r="F12" s="291"/>
      <c r="G12" s="493" t="s">
        <v>369</v>
      </c>
      <c r="H12" s="291"/>
      <c r="I12" s="499"/>
      <c r="J12" s="291"/>
      <c r="K12" s="119"/>
      <c r="L12" s="464"/>
      <c r="M12" s="202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spans="1:26" ht="31.5" customHeight="1">
      <c r="A13" s="110"/>
      <c r="B13" s="264"/>
      <c r="C13" s="106" t="s">
        <v>370</v>
      </c>
      <c r="D13" s="500" t="s">
        <v>371</v>
      </c>
      <c r="E13" s="230"/>
      <c r="F13" s="291"/>
      <c r="G13" s="490" t="s">
        <v>369</v>
      </c>
      <c r="H13" s="204"/>
      <c r="I13" s="464"/>
      <c r="J13" s="204"/>
      <c r="K13" s="112"/>
      <c r="L13" s="464"/>
      <c r="M13" s="202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spans="1:26" ht="52.5" customHeight="1">
      <c r="A14" s="110"/>
      <c r="B14" s="307"/>
      <c r="C14" s="111" t="s">
        <v>372</v>
      </c>
      <c r="D14" s="497" t="str">
        <f>'COC GRANEL'!D13</f>
        <v>Cremoso, ligeramente  uniforme, sin separación de fases.</v>
      </c>
      <c r="E14" s="201"/>
      <c r="F14" s="204"/>
      <c r="G14" s="490" t="s">
        <v>369</v>
      </c>
      <c r="H14" s="204"/>
      <c r="I14" s="464"/>
      <c r="J14" s="204"/>
      <c r="K14" s="112"/>
      <c r="L14" s="464"/>
      <c r="M14" s="202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ht="31.5" customHeight="1">
      <c r="A15" s="110"/>
      <c r="B15" s="491" t="s">
        <v>373</v>
      </c>
      <c r="C15" s="118" t="s">
        <v>248</v>
      </c>
      <c r="D15" s="496" t="str">
        <f>'COC GRANEL'!D16</f>
        <v>5.5 - 6.0</v>
      </c>
      <c r="E15" s="230"/>
      <c r="F15" s="291"/>
      <c r="G15" s="490" t="s">
        <v>374</v>
      </c>
      <c r="H15" s="204"/>
      <c r="I15" s="464"/>
      <c r="J15" s="204"/>
      <c r="K15" s="112"/>
      <c r="L15" s="464"/>
      <c r="M15" s="202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 spans="1:26" ht="31.5" customHeight="1">
      <c r="A16" s="110"/>
      <c r="B16" s="492"/>
      <c r="C16" s="113" t="s">
        <v>246</v>
      </c>
      <c r="D16" s="497" t="str">
        <f>'COC GRANEL'!D15</f>
        <v>0.950 - 1.100 g/cm³</v>
      </c>
      <c r="E16" s="201"/>
      <c r="F16" s="204"/>
      <c r="G16" s="490" t="s">
        <v>374</v>
      </c>
      <c r="H16" s="204"/>
      <c r="I16" s="464"/>
      <c r="J16" s="204"/>
      <c r="K16" s="112"/>
      <c r="L16" s="464"/>
      <c r="M16" s="202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 spans="1:26" ht="31.5" customHeight="1">
      <c r="A17" s="110"/>
      <c r="B17" s="492"/>
      <c r="C17" s="120" t="s">
        <v>244</v>
      </c>
      <c r="D17" s="488" t="s">
        <v>375</v>
      </c>
      <c r="E17" s="201"/>
      <c r="F17" s="204"/>
      <c r="G17" s="490" t="s">
        <v>374</v>
      </c>
      <c r="H17" s="204"/>
      <c r="I17" s="464"/>
      <c r="J17" s="204"/>
      <c r="K17" s="112"/>
      <c r="L17" s="464"/>
      <c r="M17" s="202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 spans="1:26" ht="31.5" customHeight="1">
      <c r="A18" s="110"/>
      <c r="B18" s="491" t="s">
        <v>376</v>
      </c>
      <c r="C18" s="121" t="s">
        <v>377</v>
      </c>
      <c r="D18" s="493" t="s">
        <v>378</v>
      </c>
      <c r="E18" s="230"/>
      <c r="F18" s="291"/>
      <c r="G18" s="488" t="s">
        <v>379</v>
      </c>
      <c r="H18" s="204"/>
      <c r="I18" s="464"/>
      <c r="J18" s="204"/>
      <c r="K18" s="112"/>
      <c r="L18" s="464"/>
      <c r="M18" s="202"/>
      <c r="N18" s="122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 spans="1:26" ht="31.5" customHeight="1">
      <c r="A19" s="110"/>
      <c r="B19" s="492"/>
      <c r="C19" s="121" t="s">
        <v>380</v>
      </c>
      <c r="D19" s="490" t="s">
        <v>381</v>
      </c>
      <c r="E19" s="201"/>
      <c r="F19" s="204"/>
      <c r="G19" s="488" t="s">
        <v>379</v>
      </c>
      <c r="H19" s="204"/>
      <c r="I19" s="464"/>
      <c r="J19" s="204"/>
      <c r="K19" s="112"/>
      <c r="L19" s="464"/>
      <c r="M19" s="202"/>
      <c r="N19" s="122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spans="1:26" ht="31.5" customHeight="1">
      <c r="A20" s="110"/>
      <c r="B20" s="492"/>
      <c r="C20" s="121" t="s">
        <v>382</v>
      </c>
      <c r="D20" s="490" t="s">
        <v>381</v>
      </c>
      <c r="E20" s="201"/>
      <c r="F20" s="204"/>
      <c r="G20" s="488" t="s">
        <v>379</v>
      </c>
      <c r="H20" s="204"/>
      <c r="I20" s="113"/>
      <c r="J20" s="123"/>
      <c r="K20" s="112"/>
      <c r="L20" s="464"/>
      <c r="M20" s="202"/>
      <c r="N20" s="122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spans="1:26" ht="31.5" customHeight="1">
      <c r="A21" s="110"/>
      <c r="B21" s="492"/>
      <c r="C21" s="124" t="s">
        <v>383</v>
      </c>
      <c r="D21" s="494" t="s">
        <v>381</v>
      </c>
      <c r="E21" s="208"/>
      <c r="F21" s="288"/>
      <c r="G21" s="495" t="s">
        <v>379</v>
      </c>
      <c r="H21" s="288"/>
      <c r="I21" s="468"/>
      <c r="J21" s="288"/>
      <c r="K21" s="125"/>
      <c r="L21" s="464"/>
      <c r="M21" s="202"/>
      <c r="N21" s="122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spans="1:26" ht="30" customHeight="1">
      <c r="A22" s="110"/>
      <c r="B22" s="489" t="s">
        <v>384</v>
      </c>
      <c r="C22" s="204"/>
      <c r="D22" s="484"/>
      <c r="E22" s="201"/>
      <c r="F22" s="204"/>
      <c r="G22" s="464" t="s">
        <v>385</v>
      </c>
      <c r="H22" s="204"/>
      <c r="I22" s="487"/>
      <c r="J22" s="201"/>
      <c r="K22" s="201"/>
      <c r="L22" s="201"/>
      <c r="M22" s="202"/>
      <c r="N22" s="122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spans="1:26" ht="30" customHeight="1">
      <c r="A23" s="110"/>
      <c r="B23" s="468" t="s">
        <v>197</v>
      </c>
      <c r="C23" s="288"/>
      <c r="D23" s="478"/>
      <c r="E23" s="208"/>
      <c r="F23" s="208"/>
      <c r="G23" s="208"/>
      <c r="H23" s="208"/>
      <c r="I23" s="208"/>
      <c r="J23" s="208"/>
      <c r="K23" s="208"/>
      <c r="L23" s="208"/>
      <c r="M23" s="217"/>
      <c r="N23" s="122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spans="1:26" ht="19.5" customHeight="1">
      <c r="A24" s="110"/>
      <c r="B24" s="289"/>
      <c r="C24" s="251"/>
      <c r="D24" s="289"/>
      <c r="E24" s="213"/>
      <c r="F24" s="213"/>
      <c r="G24" s="213"/>
      <c r="H24" s="213"/>
      <c r="I24" s="213"/>
      <c r="J24" s="213"/>
      <c r="K24" s="213"/>
      <c r="L24" s="213"/>
      <c r="M24" s="258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spans="1:26" ht="30" customHeight="1">
      <c r="A25" s="110"/>
      <c r="B25" s="290"/>
      <c r="C25" s="291"/>
      <c r="D25" s="290"/>
      <c r="E25" s="230"/>
      <c r="F25" s="230"/>
      <c r="G25" s="230"/>
      <c r="H25" s="230"/>
      <c r="I25" s="230"/>
      <c r="J25" s="230"/>
      <c r="K25" s="230"/>
      <c r="L25" s="230"/>
      <c r="M25" s="375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spans="1:26" ht="30" customHeight="1">
      <c r="A26" s="110"/>
      <c r="B26" s="464" t="s">
        <v>386</v>
      </c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2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spans="1:26" ht="30" customHeight="1">
      <c r="A27" s="110"/>
      <c r="B27" s="464" t="s">
        <v>387</v>
      </c>
      <c r="C27" s="204"/>
      <c r="D27" s="477"/>
      <c r="E27" s="201"/>
      <c r="F27" s="201"/>
      <c r="G27" s="204"/>
      <c r="H27" s="464" t="s">
        <v>388</v>
      </c>
      <c r="I27" s="204"/>
      <c r="J27" s="479"/>
      <c r="K27" s="201"/>
      <c r="L27" s="201"/>
      <c r="M27" s="202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spans="1:26" ht="30" customHeight="1">
      <c r="A28" s="110"/>
      <c r="B28" s="464" t="s">
        <v>200</v>
      </c>
      <c r="C28" s="204"/>
      <c r="D28" s="477"/>
      <c r="E28" s="201"/>
      <c r="F28" s="201"/>
      <c r="G28" s="204"/>
      <c r="H28" s="464" t="s">
        <v>200</v>
      </c>
      <c r="I28" s="204"/>
      <c r="J28" s="479"/>
      <c r="K28" s="201"/>
      <c r="L28" s="201"/>
      <c r="M28" s="202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spans="1:26" ht="30" customHeight="1">
      <c r="A29" s="110"/>
      <c r="B29" s="473" t="s">
        <v>201</v>
      </c>
      <c r="C29" s="234"/>
      <c r="D29" s="474"/>
      <c r="E29" s="233"/>
      <c r="F29" s="233"/>
      <c r="G29" s="234"/>
      <c r="H29" s="473" t="s">
        <v>201</v>
      </c>
      <c r="I29" s="234"/>
      <c r="J29" s="475"/>
      <c r="K29" s="233"/>
      <c r="L29" s="233"/>
      <c r="M29" s="236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spans="1:26" ht="30" customHeight="1">
      <c r="A30" s="110"/>
      <c r="B30" s="476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spans="1:26" ht="30" customHeight="1">
      <c r="A31" s="110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spans="1:26" ht="15.75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spans="1:26" ht="15.75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spans="1:26" ht="15.75" customHeight="1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spans="1:26" ht="15.75" customHeight="1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spans="1:26" ht="15.75" customHeight="1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spans="1:26" ht="15.75" customHeight="1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spans="1:26" ht="15.75" customHeight="1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spans="1:26" ht="15.75" customHeight="1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spans="1:26" ht="15.75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spans="1:26" ht="15.75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spans="1:26" ht="15.75" customHeigh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spans="1:26" ht="15.75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spans="1:26" ht="15.75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spans="1:26" ht="15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spans="1:26" ht="15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spans="1:26" ht="15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spans="1:26" ht="15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spans="1:26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spans="1:26" ht="15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spans="1:26" ht="15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spans="1:26" ht="15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spans="1:26" ht="15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spans="1:26" ht="15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spans="1:26" ht="15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spans="1:26" ht="15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spans="1:26" ht="15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spans="1:26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spans="1:26" ht="15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spans="1:26" ht="15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spans="1:26" ht="15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spans="1:26" ht="15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spans="1:26" ht="15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spans="1:26" ht="15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spans="1:26" ht="15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spans="1:26" ht="15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spans="1:26" ht="15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spans="1:26" ht="15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spans="1:26" ht="15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spans="1:26" ht="15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spans="1:26" ht="15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spans="1:26" ht="15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spans="1:26" ht="15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spans="1:26" ht="15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spans="1:26" ht="15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spans="1:26" ht="15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spans="1:26" ht="15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spans="1:26" ht="15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spans="1:26" ht="15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spans="1:26" ht="15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spans="1:26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spans="1:26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spans="1:26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spans="1:26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spans="1:26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spans="1:2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spans="1:26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spans="1:26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spans="1:26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spans="1:26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spans="1:26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spans="1:26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spans="1:26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spans="1:26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spans="1:26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spans="1:2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spans="1:26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spans="1:26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spans="1:26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spans="1:26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spans="1:26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spans="1:26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spans="1:26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spans="1:26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spans="1:26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spans="1:2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spans="1:26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spans="1:26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spans="1:26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spans="1:26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spans="1:26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spans="1:26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spans="1:26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spans="1:26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spans="1:26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spans="1:2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spans="1:26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spans="1:26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spans="1:26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spans="1:26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spans="1:26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spans="1:26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spans="1:26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spans="1:26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spans="1:26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spans="1: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spans="1:26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spans="1:26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spans="1:26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spans="1:26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spans="1:26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spans="1:26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spans="1:26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spans="1:26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spans="1:26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spans="1:2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spans="1:26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spans="1:26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spans="1:26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spans="1:26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spans="1:26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spans="1:26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spans="1:26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spans="1:26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spans="1:26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spans="1:2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spans="1:26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spans="1:26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spans="1:26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spans="1:26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spans="1:26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spans="1:26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spans="1:26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spans="1:26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spans="1:26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spans="1:2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spans="1:26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spans="1:26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spans="1:26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spans="1:26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spans="1:26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spans="1:26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spans="1:26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spans="1:26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spans="1:26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spans="1:2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spans="1:26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spans="1:26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spans="1:26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spans="1:26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spans="1:26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spans="1:26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spans="1:26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spans="1:26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spans="1:26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spans="1:2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spans="1:26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spans="1:26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spans="1:26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spans="1:26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spans="1:26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spans="1:26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spans="1:26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spans="1:26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spans="1:26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spans="1:2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spans="1:26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spans="1:26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spans="1:26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spans="1:26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spans="1:26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spans="1:26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spans="1:26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spans="1:26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spans="1:26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spans="1:2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spans="1:26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spans="1:26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spans="1:26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spans="1:26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spans="1:26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spans="1:26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spans="1:26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spans="1:26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spans="1:26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spans="1:2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spans="1:26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spans="1:26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spans="1:26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spans="1:26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spans="1:26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spans="1:26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spans="1:26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spans="1:26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spans="1:26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spans="1:2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spans="1:26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spans="1:26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spans="1:26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spans="1:26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spans="1:26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spans="1:26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spans="1:26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spans="1:26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spans="1:26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spans="1: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spans="1:26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spans="1:26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spans="1:26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spans="1:26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spans="1:26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spans="1:26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spans="1:26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spans="1:26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spans="1:26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spans="1:2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spans="1:26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spans="1:26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spans="1:26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spans="1:26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spans="1:26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spans="1:26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spans="1:26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spans="1:26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spans="1:26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spans="1:2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spans="1:26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spans="1:26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spans="1:26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spans="1:26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spans="1:26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spans="1:26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spans="1:26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spans="1:26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spans="1:26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spans="1:2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spans="1:26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spans="1:26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spans="1:26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spans="1:26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spans="1:26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spans="1:26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spans="1:26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spans="1:26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spans="1:26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spans="1:2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spans="1:26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spans="1:26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spans="1:26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spans="1:26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spans="1:26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spans="1:26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spans="1:26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spans="1:26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spans="1:26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spans="1:2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spans="1:26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spans="1:26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spans="1:26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spans="1:26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spans="1:26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spans="1:26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spans="1:26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spans="1:26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spans="1:26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spans="1:2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spans="1:26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spans="1:26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spans="1:26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spans="1:26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spans="1:26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spans="1:26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spans="1:26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spans="1:26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spans="1:26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spans="1:2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spans="1:26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spans="1:26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spans="1:26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spans="1:26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spans="1:26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spans="1:26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spans="1:26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spans="1:26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spans="1:26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spans="1:2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spans="1:26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spans="1:26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spans="1:26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spans="1:26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spans="1:26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spans="1:26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spans="1:26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spans="1:26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spans="1:26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spans="1:2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spans="1:26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spans="1:26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spans="1:26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spans="1:26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spans="1:26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spans="1:26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spans="1:26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spans="1:26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spans="1:26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spans="1: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spans="1:26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spans="1:26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spans="1:26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spans="1:26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spans="1:26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spans="1:26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spans="1:26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spans="1:26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spans="1:26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spans="1:2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spans="1:26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spans="1:26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spans="1:26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spans="1:26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spans="1:26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spans="1:26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spans="1:26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spans="1:26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spans="1:26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spans="1:2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spans="1:26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spans="1:26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spans="1:26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spans="1:26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spans="1:26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spans="1:26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spans="1:26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spans="1:26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spans="1:26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spans="1:2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spans="1:26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spans="1:26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spans="1:26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spans="1:26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spans="1:26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spans="1:26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spans="1:26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spans="1:26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spans="1:26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spans="1:2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spans="1:26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spans="1:26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spans="1:26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spans="1:26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spans="1:26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spans="1:26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spans="1:26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spans="1:26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spans="1:26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spans="1:2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spans="1:26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spans="1:26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spans="1:26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spans="1:26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spans="1:26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spans="1:26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spans="1:26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spans="1:26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spans="1:26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spans="1:2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spans="1:26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spans="1:26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spans="1:26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spans="1:26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spans="1:26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spans="1:26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spans="1:26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spans="1:26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spans="1:26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spans="1:2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spans="1:26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spans="1:26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spans="1:26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spans="1:26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spans="1:26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spans="1:26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spans="1:26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spans="1:26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spans="1:26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spans="1:2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spans="1:26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spans="1:26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spans="1:26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spans="1:26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spans="1:26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spans="1:26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spans="1:26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spans="1:26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spans="1:26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spans="1:2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spans="1:26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spans="1:26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spans="1:26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spans="1:26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spans="1:26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spans="1:26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spans="1:26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spans="1:26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spans="1:26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spans="1: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spans="1:26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spans="1:26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spans="1:26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spans="1:26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spans="1:26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spans="1:26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spans="1:26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spans="1:26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spans="1:26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spans="1:2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spans="1:26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spans="1:26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spans="1:26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spans="1:26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spans="1:26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spans="1:26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spans="1:26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spans="1:26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spans="1:26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spans="1:2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spans="1:26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spans="1:26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spans="1:26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spans="1:26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spans="1:26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spans="1:26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spans="1:26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spans="1:26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spans="1:26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spans="1:2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spans="1:26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spans="1:26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spans="1:26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spans="1:26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spans="1:26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spans="1:26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spans="1:26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spans="1:26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spans="1:26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spans="1:2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spans="1:26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spans="1:26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spans="1:26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spans="1:26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spans="1:26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spans="1:26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spans="1:26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spans="1:26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spans="1:26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spans="1:2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spans="1:26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spans="1:26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spans="1:26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spans="1:26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spans="1:26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spans="1:26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spans="1:26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spans="1:26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spans="1:26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spans="1:2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spans="1:26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spans="1:26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spans="1:26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spans="1:26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spans="1:26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spans="1:26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spans="1:26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spans="1:26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spans="1:26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spans="1:2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spans="1:26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spans="1:26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spans="1:26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spans="1:26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spans="1:26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spans="1:26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spans="1:26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spans="1:26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spans="1:26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spans="1:2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spans="1:26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spans="1:26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spans="1:26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spans="1:26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spans="1:26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spans="1:26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spans="1:26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spans="1:26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spans="1:26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spans="1:2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spans="1:26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spans="1:26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spans="1:26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spans="1:26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spans="1:26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spans="1:26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spans="1:26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spans="1:26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spans="1:26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spans="1: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spans="1:26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spans="1:26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spans="1:26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spans="1:26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spans="1:26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spans="1:26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spans="1:26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spans="1:26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spans="1:26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spans="1:2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spans="1:26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spans="1:26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spans="1:26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spans="1:26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spans="1:26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spans="1:26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spans="1:26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spans="1:26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spans="1:26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spans="1:2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spans="1:26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spans="1:26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spans="1:26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spans="1:26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spans="1:26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spans="1:26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spans="1:26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spans="1:26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spans="1:26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spans="1:2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spans="1:26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spans="1:26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spans="1:26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spans="1:26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spans="1:26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spans="1:26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spans="1:26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spans="1:26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spans="1:26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spans="1:2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spans="1:26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spans="1:26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spans="1:26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spans="1:26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spans="1:26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spans="1:26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spans="1:26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spans="1:26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spans="1:26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spans="1:2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spans="1:26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spans="1:26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spans="1:26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spans="1:26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spans="1:26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spans="1:26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spans="1:26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spans="1:26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spans="1:26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spans="1:2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spans="1:26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spans="1:26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spans="1:26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spans="1:26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spans="1:26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spans="1:26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spans="1:26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spans="1:26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spans="1:26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spans="1:2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spans="1:26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spans="1:26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spans="1:26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spans="1:26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spans="1:26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spans="1:26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spans="1:26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spans="1:26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spans="1:26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spans="1:2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spans="1:26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spans="1:26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spans="1:26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spans="1:26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spans="1:26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spans="1:26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spans="1:26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spans="1:26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spans="1:26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spans="1:2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spans="1:26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spans="1:26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spans="1:26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spans="1:26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spans="1:26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spans="1:26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spans="1:26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spans="1:26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spans="1:26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spans="1: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spans="1:26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spans="1:26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spans="1:26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spans="1:26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spans="1:26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spans="1:26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spans="1:26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spans="1:26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spans="1:26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spans="1:2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spans="1:26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spans="1:26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spans="1:26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spans="1:26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spans="1:26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spans="1:26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spans="1:26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spans="1:26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spans="1:26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spans="1:2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spans="1:26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spans="1:26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spans="1:26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spans="1:26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spans="1:26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spans="1:26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spans="1:26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spans="1:26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spans="1:26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spans="1:2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spans="1:26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spans="1:26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spans="1:26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spans="1:26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spans="1:26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spans="1:26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spans="1:26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spans="1:26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spans="1:26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spans="1:2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spans="1:26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spans="1:26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spans="1:26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spans="1:26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spans="1:26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spans="1:26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spans="1:26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spans="1:26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spans="1:26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spans="1:2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spans="1:26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spans="1:26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spans="1:26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spans="1:26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spans="1:26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spans="1:26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spans="1:26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spans="1:26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spans="1:26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spans="1:2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spans="1:26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spans="1:26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spans="1:26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spans="1:26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spans="1:26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spans="1:26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spans="1:26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spans="1:26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spans="1:26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spans="1:2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spans="1:26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spans="1:26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spans="1:26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spans="1:26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spans="1:26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spans="1:26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spans="1:26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spans="1:26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spans="1:26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spans="1:2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spans="1:26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spans="1:26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spans="1:26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spans="1:26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spans="1:26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spans="1:26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spans="1:26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spans="1:26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spans="1:26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spans="1:2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spans="1:26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spans="1:26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spans="1:26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spans="1:26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spans="1:26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spans="1:26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spans="1:26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spans="1:26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spans="1:26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spans="1: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spans="1:26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spans="1:26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spans="1:26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spans="1:26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spans="1:26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spans="1:26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spans="1:26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spans="1:26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spans="1:26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spans="1:2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spans="1:26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spans="1:26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spans="1:26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spans="1:26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spans="1:26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spans="1:26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spans="1:26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spans="1:26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spans="1:26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spans="1:2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spans="1:26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spans="1:26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spans="1:26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spans="1:26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spans="1:26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spans="1:26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spans="1:26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spans="1:26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spans="1:26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spans="1:2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spans="1:26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spans="1:26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spans="1:26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spans="1:26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spans="1:26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spans="1:26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spans="1:26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spans="1:26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spans="1:26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spans="1:2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spans="1:26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spans="1:26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spans="1:26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spans="1:26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spans="1:26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spans="1:26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spans="1:26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spans="1:26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spans="1:26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spans="1:2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spans="1:26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spans="1:26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spans="1:26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spans="1:26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spans="1:26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spans="1:26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spans="1:26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spans="1:26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spans="1:26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spans="1:2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spans="1:26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spans="1:26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spans="1:26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spans="1:26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spans="1:26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spans="1:26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spans="1:26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spans="1:26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spans="1:26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spans="1:2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spans="1:26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spans="1:26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spans="1:26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spans="1:26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spans="1:26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spans="1:26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spans="1:26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spans="1:26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spans="1:26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spans="1:2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spans="1:26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spans="1:26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spans="1:26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spans="1:26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spans="1:26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spans="1:26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spans="1:26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spans="1:26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spans="1:26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spans="1:2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spans="1:26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spans="1:26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spans="1:26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spans="1:26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spans="1:26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spans="1:26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spans="1:26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spans="1:26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spans="1:26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spans="1: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spans="1:26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spans="1:26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spans="1:26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spans="1:26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spans="1:26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spans="1:26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spans="1:26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spans="1:26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spans="1:26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spans="1:2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spans="1:26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spans="1:26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spans="1:26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spans="1:26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spans="1:26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spans="1:26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spans="1:26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spans="1:26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spans="1:26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spans="1:2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spans="1:26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spans="1:26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spans="1:26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spans="1:26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spans="1:26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spans="1:26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spans="1:26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spans="1:26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spans="1:26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spans="1:2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spans="1:26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spans="1:26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spans="1:26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spans="1:26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spans="1:26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spans="1:26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spans="1:26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spans="1:26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spans="1:26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spans="1:2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spans="1:26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spans="1:26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spans="1:26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spans="1:26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spans="1:26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spans="1:26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spans="1:26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spans="1:26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spans="1:26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spans="1:2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spans="1:26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spans="1:26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spans="1:26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spans="1:26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spans="1:26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spans="1:26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spans="1:26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spans="1:26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spans="1:26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spans="1:2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spans="1:26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spans="1:26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spans="1:26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spans="1:26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spans="1:26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spans="1:26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spans="1:26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spans="1:26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spans="1:26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spans="1:2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spans="1:26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spans="1:26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spans="1:26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spans="1:26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spans="1:26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spans="1:26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spans="1:26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spans="1:26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spans="1:26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spans="1:2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spans="1:26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spans="1:26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spans="1:26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spans="1:26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spans="1:26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spans="1:26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spans="1:26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spans="1:26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spans="1:26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spans="1:2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spans="1:26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spans="1:26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spans="1:26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spans="1:26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spans="1:26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spans="1:26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spans="1:26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spans="1:26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spans="1:26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spans="1: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spans="1:26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spans="1:26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spans="1:26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spans="1:26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spans="1:26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spans="1:26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spans="1:26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spans="1:26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spans="1:26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spans="1:2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spans="1:26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spans="1:26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spans="1:26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spans="1:26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spans="1:26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spans="1:26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spans="1:26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spans="1:26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spans="1:26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spans="1:2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spans="1:26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spans="1:26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spans="1:26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spans="1:26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spans="1:26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spans="1:26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spans="1:26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spans="1:26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spans="1:26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spans="1:2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spans="1:26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spans="1:26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spans="1:26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spans="1:26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spans="1:26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spans="1:26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spans="1:26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spans="1:26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spans="1:26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spans="1:2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spans="1:26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spans="1:26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spans="1:26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spans="1:26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spans="1:26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spans="1:26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spans="1:26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spans="1:26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spans="1:26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spans="1:2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spans="1:26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spans="1:26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spans="1:26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spans="1:26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spans="1:26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spans="1:26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spans="1:26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spans="1:26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spans="1:26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spans="1:2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spans="1:26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spans="1:26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spans="1:26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spans="1:26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spans="1:26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spans="1:26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spans="1:26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spans="1:26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spans="1:26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spans="1:2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spans="1:26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spans="1:26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spans="1:26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spans="1:26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I21:J21"/>
    <mergeCell ref="B15:B17"/>
    <mergeCell ref="D15:F15"/>
    <mergeCell ref="G15:H15"/>
    <mergeCell ref="I15:J15"/>
    <mergeCell ref="D16:F16"/>
    <mergeCell ref="I17:J17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L15:M15"/>
    <mergeCell ref="L16:M16"/>
    <mergeCell ref="L17:M17"/>
    <mergeCell ref="L18:M18"/>
    <mergeCell ref="L4:M4"/>
    <mergeCell ref="L5:M5"/>
    <mergeCell ref="L11:M11"/>
    <mergeCell ref="L12:M12"/>
    <mergeCell ref="L13:M13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L14:M14"/>
    <mergeCell ref="J6:K6"/>
    <mergeCell ref="L6:M6"/>
    <mergeCell ref="D7:E7"/>
    <mergeCell ref="F7:G7"/>
    <mergeCell ref="L7:M7"/>
    <mergeCell ref="B7:C7"/>
    <mergeCell ref="B8:C8"/>
    <mergeCell ref="B9:D9"/>
    <mergeCell ref="B6:C6"/>
    <mergeCell ref="D6:I6"/>
    <mergeCell ref="E9:F9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L19:M19"/>
    <mergeCell ref="B29:C29"/>
    <mergeCell ref="D29:G29"/>
    <mergeCell ref="H29:I29"/>
    <mergeCell ref="J29:M29"/>
    <mergeCell ref="B30:M30"/>
  </mergeCells>
  <pageMargins left="0.25" right="0.25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>
      <c r="A1" s="85"/>
      <c r="B1" s="466"/>
      <c r="C1" s="288"/>
      <c r="D1" s="466" t="s">
        <v>0</v>
      </c>
      <c r="E1" s="208"/>
      <c r="F1" s="208"/>
      <c r="G1" s="208"/>
      <c r="H1" s="208"/>
      <c r="I1" s="288"/>
      <c r="J1" s="106" t="s">
        <v>1</v>
      </c>
      <c r="K1" s="106" t="s">
        <v>389</v>
      </c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4"/>
      <c r="Y1" s="84"/>
      <c r="Z1" s="84"/>
    </row>
    <row r="2" spans="1:26" ht="24.75" customHeight="1">
      <c r="A2" s="85"/>
      <c r="B2" s="289"/>
      <c r="C2" s="251"/>
      <c r="D2" s="289"/>
      <c r="E2" s="213"/>
      <c r="F2" s="213"/>
      <c r="G2" s="213"/>
      <c r="H2" s="213"/>
      <c r="I2" s="251"/>
      <c r="J2" s="106" t="s">
        <v>3</v>
      </c>
      <c r="K2" s="107">
        <v>1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4"/>
      <c r="Y2" s="84"/>
      <c r="Z2" s="84"/>
    </row>
    <row r="3" spans="1:26" ht="24.75" customHeight="1">
      <c r="A3" s="85"/>
      <c r="B3" s="289"/>
      <c r="C3" s="251"/>
      <c r="D3" s="290"/>
      <c r="E3" s="230"/>
      <c r="F3" s="230"/>
      <c r="G3" s="230"/>
      <c r="H3" s="230"/>
      <c r="I3" s="291"/>
      <c r="J3" s="106" t="s">
        <v>5</v>
      </c>
      <c r="K3" s="106" t="s">
        <v>6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4"/>
      <c r="Y3" s="84"/>
      <c r="Z3" s="84"/>
    </row>
    <row r="4" spans="1:26" ht="21" customHeight="1">
      <c r="A4" s="84"/>
      <c r="B4" s="289"/>
      <c r="C4" s="251"/>
      <c r="D4" s="466" t="s">
        <v>390</v>
      </c>
      <c r="E4" s="208"/>
      <c r="F4" s="208"/>
      <c r="G4" s="208"/>
      <c r="H4" s="208"/>
      <c r="I4" s="288"/>
      <c r="J4" s="470" t="s">
        <v>7</v>
      </c>
      <c r="K4" s="106" t="s">
        <v>227</v>
      </c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18" customHeight="1">
      <c r="A5" s="84"/>
      <c r="B5" s="290"/>
      <c r="C5" s="291"/>
      <c r="D5" s="290"/>
      <c r="E5" s="230"/>
      <c r="F5" s="230"/>
      <c r="G5" s="230"/>
      <c r="H5" s="230"/>
      <c r="I5" s="291"/>
      <c r="J5" s="395"/>
      <c r="K5" s="108" t="s">
        <v>228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24.75" customHeight="1">
      <c r="A6" s="84"/>
      <c r="B6" s="9"/>
      <c r="C6" s="9"/>
      <c r="D6" s="9"/>
      <c r="E6" s="9"/>
      <c r="F6" s="9"/>
      <c r="G6" s="9"/>
      <c r="H6" s="9"/>
      <c r="I6" s="9"/>
      <c r="J6" s="9"/>
      <c r="K6" s="126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24.75" customHeight="1">
      <c r="A7" s="84"/>
      <c r="B7" s="13"/>
      <c r="C7" s="13"/>
      <c r="D7" s="13"/>
      <c r="E7" s="13"/>
      <c r="F7" s="13"/>
      <c r="G7" s="13"/>
      <c r="H7" s="13"/>
      <c r="I7" s="13"/>
      <c r="J7" s="13"/>
      <c r="K7" s="13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57" customHeight="1">
      <c r="A8" s="84"/>
      <c r="B8" s="127" t="s">
        <v>10</v>
      </c>
      <c r="C8" s="254" t="str">
        <f>'COA PT'!D6</f>
        <v>CONTORNO DE OJOS RETINALDEHIDO 0.05%</v>
      </c>
      <c r="D8" s="201"/>
      <c r="E8" s="201"/>
      <c r="F8" s="202"/>
      <c r="G8" s="127" t="s">
        <v>21</v>
      </c>
      <c r="H8" s="507" t="str">
        <f>OP!G10</f>
        <v>NSOC37029-25CO</v>
      </c>
      <c r="I8" s="201"/>
      <c r="J8" s="201"/>
      <c r="K8" s="20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42.75" customHeight="1">
      <c r="A9" s="84"/>
      <c r="B9" s="127" t="s">
        <v>259</v>
      </c>
      <c r="C9" s="488" t="str">
        <f>'COA PT'!H7</f>
        <v>OP-SS-126</v>
      </c>
      <c r="D9" s="201"/>
      <c r="E9" s="201"/>
      <c r="F9" s="204"/>
      <c r="G9" s="127" t="s">
        <v>59</v>
      </c>
      <c r="H9" s="508">
        <f>OP!P10</f>
        <v>0</v>
      </c>
      <c r="I9" s="201"/>
      <c r="J9" s="201"/>
      <c r="K9" s="20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54.75" customHeight="1">
      <c r="A10" s="84"/>
      <c r="B10" s="127" t="s">
        <v>357</v>
      </c>
      <c r="C10" s="509" t="str">
        <f>'COA PT'!D7</f>
        <v>252581</v>
      </c>
      <c r="D10" s="201"/>
      <c r="E10" s="201"/>
      <c r="F10" s="204"/>
      <c r="G10" s="127" t="s">
        <v>16</v>
      </c>
      <c r="H10" s="507" t="str">
        <f>ACONDICIONAMIENTO!O8</f>
        <v>15 mL</v>
      </c>
      <c r="I10" s="201"/>
      <c r="J10" s="201"/>
      <c r="K10" s="20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33.75" customHeight="1">
      <c r="A11" s="84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37.5" customHeight="1">
      <c r="A12" s="84"/>
      <c r="B12" s="506" t="s">
        <v>391</v>
      </c>
      <c r="C12" s="201"/>
      <c r="D12" s="201"/>
      <c r="E12" s="201"/>
      <c r="F12" s="201"/>
      <c r="G12" s="201"/>
      <c r="H12" s="201"/>
      <c r="I12" s="201"/>
      <c r="J12" s="201"/>
      <c r="K12" s="20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42" customHeight="1">
      <c r="A13" s="84"/>
      <c r="B13" s="127" t="s">
        <v>28</v>
      </c>
      <c r="C13" s="506" t="s">
        <v>29</v>
      </c>
      <c r="D13" s="201"/>
      <c r="E13" s="201"/>
      <c r="F13" s="201"/>
      <c r="G13" s="204"/>
      <c r="H13" s="506" t="s">
        <v>30</v>
      </c>
      <c r="I13" s="204"/>
      <c r="J13" s="506" t="s">
        <v>31</v>
      </c>
      <c r="K13" s="20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36" customHeight="1">
      <c r="A14" s="84"/>
      <c r="B14" s="112">
        <v>1</v>
      </c>
      <c r="C14" s="501" t="s">
        <v>392</v>
      </c>
      <c r="D14" s="201"/>
      <c r="E14" s="201"/>
      <c r="F14" s="201"/>
      <c r="G14" s="204"/>
      <c r="H14" s="464"/>
      <c r="I14" s="204"/>
      <c r="J14" s="502"/>
      <c r="K14" s="20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42" customHeight="1">
      <c r="A15" s="84"/>
      <c r="B15" s="121">
        <v>2</v>
      </c>
      <c r="C15" s="501" t="s">
        <v>393</v>
      </c>
      <c r="D15" s="201"/>
      <c r="E15" s="201"/>
      <c r="F15" s="201"/>
      <c r="G15" s="204"/>
      <c r="H15" s="464"/>
      <c r="I15" s="204"/>
      <c r="J15" s="502"/>
      <c r="K15" s="20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39.75" customHeight="1">
      <c r="A16" s="84"/>
      <c r="B16" s="130">
        <v>3</v>
      </c>
      <c r="C16" s="501" t="s">
        <v>394</v>
      </c>
      <c r="D16" s="201"/>
      <c r="E16" s="201"/>
      <c r="F16" s="201"/>
      <c r="G16" s="204"/>
      <c r="H16" s="113"/>
      <c r="I16" s="131"/>
      <c r="J16" s="502"/>
      <c r="K16" s="20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35.25" customHeight="1">
      <c r="A17" s="84"/>
      <c r="B17" s="130">
        <v>4</v>
      </c>
      <c r="C17" s="501" t="s">
        <v>395</v>
      </c>
      <c r="D17" s="201"/>
      <c r="E17" s="201"/>
      <c r="F17" s="201"/>
      <c r="G17" s="204"/>
      <c r="H17" s="113"/>
      <c r="I17" s="131"/>
      <c r="J17" s="502"/>
      <c r="K17" s="20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35.25" customHeight="1">
      <c r="A18" s="84"/>
      <c r="B18" s="130">
        <v>5</v>
      </c>
      <c r="C18" s="501" t="s">
        <v>396</v>
      </c>
      <c r="D18" s="201"/>
      <c r="E18" s="201"/>
      <c r="F18" s="201"/>
      <c r="G18" s="204"/>
      <c r="H18" s="113"/>
      <c r="I18" s="131"/>
      <c r="J18" s="129"/>
      <c r="K18" s="132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33.75" customHeight="1">
      <c r="A19" s="84"/>
      <c r="B19" s="130">
        <v>6</v>
      </c>
      <c r="C19" s="501" t="s">
        <v>397</v>
      </c>
      <c r="D19" s="201"/>
      <c r="E19" s="201"/>
      <c r="F19" s="201"/>
      <c r="G19" s="204"/>
      <c r="H19" s="113"/>
      <c r="I19" s="131"/>
      <c r="J19" s="502"/>
      <c r="K19" s="20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36" customHeight="1">
      <c r="A20" s="84"/>
      <c r="B20" s="130">
        <v>7</v>
      </c>
      <c r="C20" s="501" t="s">
        <v>398</v>
      </c>
      <c r="D20" s="201"/>
      <c r="E20" s="201"/>
      <c r="F20" s="201"/>
      <c r="G20" s="204"/>
      <c r="H20" s="113"/>
      <c r="I20" s="131"/>
      <c r="J20" s="502"/>
      <c r="K20" s="20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36" customHeight="1">
      <c r="A21" s="84"/>
      <c r="B21" s="130">
        <v>8</v>
      </c>
      <c r="C21" s="501" t="s">
        <v>399</v>
      </c>
      <c r="D21" s="201"/>
      <c r="E21" s="201"/>
      <c r="F21" s="201"/>
      <c r="G21" s="204"/>
      <c r="H21" s="113"/>
      <c r="I21" s="131"/>
      <c r="J21" s="502"/>
      <c r="K21" s="20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39" customHeight="1">
      <c r="A22" s="84"/>
      <c r="B22" s="130">
        <v>9</v>
      </c>
      <c r="C22" s="501" t="s">
        <v>400</v>
      </c>
      <c r="D22" s="201"/>
      <c r="E22" s="201"/>
      <c r="F22" s="201"/>
      <c r="G22" s="204"/>
      <c r="H22" s="113"/>
      <c r="I22" s="131"/>
      <c r="J22" s="502"/>
      <c r="K22" s="20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39" customHeight="1">
      <c r="A23" s="84"/>
      <c r="B23" s="130">
        <v>10</v>
      </c>
      <c r="C23" s="501" t="s">
        <v>401</v>
      </c>
      <c r="D23" s="201"/>
      <c r="E23" s="201"/>
      <c r="F23" s="201"/>
      <c r="G23" s="204"/>
      <c r="H23" s="113"/>
      <c r="I23" s="131"/>
      <c r="J23" s="129"/>
      <c r="K23" s="132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39" customHeight="1">
      <c r="A24" s="84"/>
      <c r="B24" s="130">
        <v>11</v>
      </c>
      <c r="C24" s="501" t="s">
        <v>402</v>
      </c>
      <c r="D24" s="201"/>
      <c r="E24" s="201"/>
      <c r="F24" s="201"/>
      <c r="G24" s="204"/>
      <c r="H24" s="113"/>
      <c r="I24" s="131"/>
      <c r="J24" s="129"/>
      <c r="K24" s="132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39" customHeight="1">
      <c r="A25" s="84"/>
      <c r="B25" s="130">
        <v>12</v>
      </c>
      <c r="C25" s="501" t="s">
        <v>403</v>
      </c>
      <c r="D25" s="201"/>
      <c r="E25" s="201"/>
      <c r="F25" s="201"/>
      <c r="G25" s="204"/>
      <c r="H25" s="113"/>
      <c r="I25" s="131"/>
      <c r="J25" s="129"/>
      <c r="K25" s="132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22.5" customHeight="1">
      <c r="A26" s="84"/>
      <c r="B26" s="114"/>
      <c r="C26" s="114"/>
      <c r="D26" s="114"/>
      <c r="E26" s="133"/>
      <c r="F26" s="133"/>
      <c r="G26" s="133"/>
      <c r="H26" s="134"/>
      <c r="I26" s="134"/>
      <c r="J26" s="134"/>
      <c r="K26" s="13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26.25" customHeight="1">
      <c r="A27" s="84"/>
      <c r="B27" s="505" t="s">
        <v>45</v>
      </c>
      <c r="C27" s="503"/>
      <c r="D27" s="208"/>
      <c r="E27" s="208"/>
      <c r="F27" s="208"/>
      <c r="G27" s="208"/>
      <c r="H27" s="208"/>
      <c r="I27" s="208"/>
      <c r="J27" s="208"/>
      <c r="K27" s="288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28.5" customHeight="1">
      <c r="A28" s="84"/>
      <c r="B28" s="395"/>
      <c r="C28" s="290"/>
      <c r="D28" s="230"/>
      <c r="E28" s="230"/>
      <c r="F28" s="230"/>
      <c r="G28" s="230"/>
      <c r="H28" s="230"/>
      <c r="I28" s="230"/>
      <c r="J28" s="230"/>
      <c r="K28" s="291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22.5" customHeight="1">
      <c r="A29" s="84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273" customHeight="1">
      <c r="A30" s="84"/>
      <c r="B30" s="505" t="s">
        <v>404</v>
      </c>
      <c r="C30" s="503"/>
      <c r="D30" s="208"/>
      <c r="E30" s="208"/>
      <c r="F30" s="208"/>
      <c r="G30" s="208"/>
      <c r="H30" s="208"/>
      <c r="I30" s="208"/>
      <c r="J30" s="208"/>
      <c r="K30" s="288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277.5" customHeight="1">
      <c r="A31" s="84"/>
      <c r="B31" s="395"/>
      <c r="C31" s="290"/>
      <c r="D31" s="230"/>
      <c r="E31" s="230"/>
      <c r="F31" s="230"/>
      <c r="G31" s="230"/>
      <c r="H31" s="230"/>
      <c r="I31" s="230"/>
      <c r="J31" s="230"/>
      <c r="K31" s="291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34.5" customHeight="1">
      <c r="A32" s="84"/>
      <c r="B32" s="504" t="s">
        <v>405</v>
      </c>
      <c r="C32" s="201"/>
      <c r="D32" s="201"/>
      <c r="E32" s="201"/>
      <c r="F32" s="204"/>
      <c r="G32" s="135"/>
      <c r="H32" s="135"/>
      <c r="I32" s="135"/>
      <c r="J32" s="135"/>
      <c r="K32" s="136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34.5" customHeight="1">
      <c r="A33" s="84"/>
      <c r="B33" s="504" t="s">
        <v>406</v>
      </c>
      <c r="C33" s="201"/>
      <c r="D33" s="201"/>
      <c r="E33" s="201"/>
      <c r="F33" s="204"/>
      <c r="G33" s="464"/>
      <c r="H33" s="201"/>
      <c r="I33" s="201"/>
      <c r="J33" s="112" t="s">
        <v>67</v>
      </c>
      <c r="K33" s="131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37.5" customHeight="1">
      <c r="A34" s="84"/>
      <c r="B34" s="504" t="s">
        <v>342</v>
      </c>
      <c r="C34" s="201"/>
      <c r="D34" s="201"/>
      <c r="E34" s="201"/>
      <c r="F34" s="204"/>
      <c r="G34" s="464"/>
      <c r="H34" s="201"/>
      <c r="I34" s="201"/>
      <c r="J34" s="201"/>
      <c r="K34" s="20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5.75" customHeight="1">
      <c r="A35" s="84"/>
      <c r="B35" s="271" t="s">
        <v>52</v>
      </c>
      <c r="C35" s="213"/>
      <c r="D35" s="213"/>
      <c r="E35" s="213"/>
      <c r="F35" s="213"/>
      <c r="G35" s="213"/>
      <c r="H35" s="213"/>
      <c r="I35" s="213"/>
      <c r="J35" s="213"/>
      <c r="K35" s="213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5.75" customHeight="1">
      <c r="A36" s="8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5.75" customHeight="1">
      <c r="A37" s="8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5.75" customHeight="1">
      <c r="A38" s="8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>
      <c r="A39" s="8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>
      <c r="A40" s="8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>
      <c r="A41" s="8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>
      <c r="A42" s="8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>
      <c r="A43" s="8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.75" customHeight="1">
      <c r="A44" s="8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customHeight="1">
      <c r="A45" s="8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>
      <c r="A46" s="8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 customHeight="1">
      <c r="A47" s="8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customHeight="1">
      <c r="A48" s="8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>
      <c r="A49" s="8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>
      <c r="A50" s="8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.75" customHeight="1">
      <c r="A51" s="8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>
      <c r="A52" s="8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 customHeight="1">
      <c r="A53" s="8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 customHeight="1">
      <c r="A54" s="8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>
      <c r="A55" s="8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>
      <c r="A56" s="8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>
      <c r="A57" s="8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>
      <c r="A58" s="8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>
      <c r="A59" s="8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>
      <c r="A60" s="8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.75" customHeight="1">
      <c r="A61" s="8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.75" customHeight="1">
      <c r="A62" s="8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5.75" customHeight="1">
      <c r="A63" s="8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customHeight="1">
      <c r="A64" s="8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>
      <c r="A65" s="8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.75" customHeight="1">
      <c r="A66" s="8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>
      <c r="A67" s="8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>
      <c r="A68" s="8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>
      <c r="A69" s="8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.75" customHeight="1">
      <c r="A70" s="8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>
      <c r="A71" s="8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>
      <c r="A72" s="8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>
      <c r="A73" s="8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>
      <c r="A74" s="8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>
      <c r="A75" s="8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>
      <c r="A76" s="8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>
      <c r="A77" s="8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>
      <c r="A78" s="8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>
      <c r="A79" s="8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>
      <c r="A80" s="8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>
      <c r="A81" s="8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>
      <c r="A82" s="8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>
      <c r="A83" s="8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>
      <c r="A84" s="8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>
      <c r="A85" s="8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>
      <c r="A86" s="8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>
      <c r="A87" s="8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>
      <c r="A88" s="8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>
      <c r="A89" s="8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>
      <c r="A90" s="8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>
      <c r="A91" s="8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>
      <c r="A92" s="8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>
      <c r="A93" s="8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>
      <c r="A94" s="8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>
      <c r="A95" s="8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>
      <c r="A96" s="8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>
      <c r="A97" s="8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>
      <c r="A98" s="8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>
      <c r="A99" s="8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>
      <c r="A100" s="8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>
      <c r="A101" s="8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>
      <c r="A102" s="8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>
      <c r="A103" s="8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>
      <c r="A104" s="8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>
      <c r="A105" s="8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>
      <c r="A106" s="8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>
      <c r="A107" s="8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>
      <c r="A108" s="8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>
      <c r="A109" s="8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>
      <c r="A110" s="8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>
      <c r="A111" s="8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>
      <c r="A112" s="8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>
      <c r="A113" s="8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>
      <c r="A114" s="8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>
      <c r="A115" s="8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>
      <c r="A116" s="8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>
      <c r="A117" s="8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>
      <c r="A118" s="8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>
      <c r="A119" s="8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>
      <c r="A120" s="8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>
      <c r="A121" s="8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>
      <c r="A122" s="8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>
      <c r="A123" s="8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>
      <c r="A124" s="8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>
      <c r="A125" s="8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>
      <c r="A126" s="8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>
      <c r="A127" s="8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>
      <c r="A128" s="8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>
      <c r="A129" s="8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>
      <c r="A130" s="8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>
      <c r="A131" s="8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>
      <c r="A132" s="8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>
      <c r="A133" s="8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>
      <c r="A134" s="8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>
      <c r="A135" s="8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>
      <c r="A136" s="8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>
      <c r="A137" s="8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>
      <c r="A138" s="8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>
      <c r="A139" s="8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>
      <c r="A140" s="8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>
      <c r="A141" s="8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>
      <c r="A142" s="8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>
      <c r="A143" s="8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>
      <c r="A144" s="8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>
      <c r="A145" s="8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>
      <c r="A146" s="8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>
      <c r="A147" s="8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>
      <c r="A148" s="8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>
      <c r="A149" s="8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>
      <c r="A150" s="8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>
      <c r="A151" s="8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>
      <c r="A152" s="8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>
      <c r="A153" s="8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>
      <c r="A154" s="8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>
      <c r="A155" s="8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>
      <c r="A156" s="8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>
      <c r="A157" s="8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>
      <c r="A158" s="8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>
      <c r="A159" s="8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>
      <c r="A160" s="8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>
      <c r="A161" s="8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>
      <c r="A162" s="8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>
      <c r="A163" s="8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>
      <c r="A164" s="8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>
      <c r="A165" s="8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>
      <c r="A166" s="8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>
      <c r="A167" s="8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>
      <c r="A168" s="8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>
      <c r="A169" s="8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>
      <c r="A170" s="8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>
      <c r="A171" s="8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>
      <c r="A172" s="8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>
      <c r="A173" s="8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>
      <c r="A174" s="8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>
      <c r="A175" s="8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>
      <c r="A176" s="8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>
      <c r="A177" s="8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>
      <c r="A178" s="8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>
      <c r="A179" s="8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>
      <c r="A180" s="8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>
      <c r="A181" s="8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>
      <c r="A182" s="8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>
      <c r="A183" s="8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>
      <c r="A184" s="8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>
      <c r="A185" s="8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>
      <c r="A186" s="8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>
      <c r="A187" s="8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>
      <c r="A188" s="8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>
      <c r="A189" s="8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>
      <c r="A190" s="8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>
      <c r="A191" s="8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>
      <c r="A192" s="8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>
      <c r="A193" s="8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>
      <c r="A194" s="8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>
      <c r="A195" s="8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>
      <c r="A196" s="8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>
      <c r="A197" s="8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>
      <c r="A198" s="8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>
      <c r="A199" s="8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>
      <c r="A200" s="8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>
      <c r="A201" s="8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>
      <c r="A202" s="8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>
      <c r="A203" s="8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>
      <c r="A204" s="8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>
      <c r="A205" s="8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>
      <c r="A206" s="8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>
      <c r="A207" s="8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>
      <c r="A208" s="8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>
      <c r="A209" s="8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>
      <c r="A210" s="8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>
      <c r="A211" s="8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>
      <c r="A212" s="8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>
      <c r="A213" s="8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>
      <c r="A214" s="8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>
      <c r="A215" s="8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>
      <c r="A216" s="8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>
      <c r="A217" s="8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>
      <c r="A218" s="8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>
      <c r="A219" s="8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>
      <c r="A220" s="8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>
      <c r="A221" s="8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>
      <c r="A222" s="8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>
      <c r="A223" s="8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>
      <c r="A224" s="8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>
      <c r="A225" s="8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>
      <c r="A226" s="8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>
      <c r="A227" s="8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>
      <c r="A228" s="8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>
      <c r="A229" s="84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>
      <c r="A230" s="84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>
      <c r="A231" s="8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>
      <c r="A232" s="84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>
      <c r="A233" s="8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>
      <c r="A234" s="8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>
      <c r="A235" s="84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46"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</mergeCells>
  <pageMargins left="0.7" right="0.7" top="0.75" bottom="0.75" header="0" footer="0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646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>
      <c r="A1" s="84"/>
      <c r="B1" s="518"/>
      <c r="C1" s="520" t="s">
        <v>0</v>
      </c>
      <c r="D1" s="219"/>
      <c r="E1" s="219"/>
      <c r="F1" s="306"/>
      <c r="G1" s="137" t="s">
        <v>1</v>
      </c>
      <c r="H1" s="292" t="s">
        <v>407</v>
      </c>
      <c r="I1" s="224"/>
      <c r="J1" s="9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12.75" customHeight="1">
      <c r="A2" s="84"/>
      <c r="B2" s="492"/>
      <c r="C2" s="289"/>
      <c r="D2" s="213"/>
      <c r="E2" s="213"/>
      <c r="F2" s="251"/>
      <c r="G2" s="10" t="s">
        <v>3</v>
      </c>
      <c r="H2" s="309">
        <v>1</v>
      </c>
      <c r="I2" s="202"/>
      <c r="J2" s="27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3.5" customHeight="1">
      <c r="A3" s="84"/>
      <c r="B3" s="492"/>
      <c r="C3" s="290"/>
      <c r="D3" s="230"/>
      <c r="E3" s="230"/>
      <c r="F3" s="291"/>
      <c r="G3" s="10" t="s">
        <v>5</v>
      </c>
      <c r="H3" s="273" t="s">
        <v>6</v>
      </c>
      <c r="I3" s="202"/>
      <c r="J3" s="9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9.5" customHeight="1">
      <c r="A4" s="84"/>
      <c r="B4" s="492"/>
      <c r="C4" s="268" t="s">
        <v>408</v>
      </c>
      <c r="D4" s="213"/>
      <c r="E4" s="213"/>
      <c r="F4" s="251"/>
      <c r="G4" s="398" t="s">
        <v>7</v>
      </c>
      <c r="H4" s="273" t="s">
        <v>8</v>
      </c>
      <c r="I4" s="202"/>
      <c r="J4" s="9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15" customHeight="1">
      <c r="A5" s="84"/>
      <c r="B5" s="519"/>
      <c r="C5" s="210"/>
      <c r="D5" s="210"/>
      <c r="E5" s="210"/>
      <c r="F5" s="280"/>
      <c r="G5" s="516"/>
      <c r="H5" s="517" t="s">
        <v>9</v>
      </c>
      <c r="I5" s="236"/>
      <c r="J5" s="126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15.75" customHeight="1">
      <c r="A6" s="84"/>
      <c r="B6" s="138" t="s">
        <v>409</v>
      </c>
      <c r="C6" s="512" t="str">
        <f>OP!$M$11</f>
        <v>OP-SS-126</v>
      </c>
      <c r="D6" s="230"/>
      <c r="E6" s="230"/>
      <c r="F6" s="291"/>
      <c r="G6" s="139" t="s">
        <v>201</v>
      </c>
      <c r="H6" s="510"/>
      <c r="I6" s="291"/>
      <c r="J6" s="140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5.75" customHeight="1">
      <c r="A7" s="84"/>
      <c r="B7" s="141" t="s">
        <v>410</v>
      </c>
      <c r="C7" s="512" t="str">
        <f>OP!$G$9</f>
        <v>CONTORNO DE OJOS RETINALDEHIDO 0.05%</v>
      </c>
      <c r="D7" s="230"/>
      <c r="E7" s="230"/>
      <c r="F7" s="291"/>
      <c r="G7" s="142" t="s">
        <v>411</v>
      </c>
      <c r="H7" s="511" t="str">
        <f>OP!$M$10</f>
        <v>252581</v>
      </c>
      <c r="I7" s="291"/>
      <c r="J7" s="140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5.75" customHeight="1">
      <c r="A8" s="84"/>
      <c r="B8" s="141" t="s">
        <v>412</v>
      </c>
      <c r="C8" s="525" t="str">
        <f>OP!B15</f>
        <v>AGUA DESIONIZADA</v>
      </c>
      <c r="D8" s="201"/>
      <c r="E8" s="201"/>
      <c r="F8" s="204"/>
      <c r="G8" s="143" t="s">
        <v>413</v>
      </c>
      <c r="H8" s="512" t="str">
        <f>OP!J15</f>
        <v>AD-252551</v>
      </c>
      <c r="I8" s="291"/>
      <c r="J8" s="140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15.75" customHeight="1">
      <c r="A9" s="84"/>
      <c r="B9" s="144" t="s">
        <v>414</v>
      </c>
      <c r="C9" s="514">
        <f>OP!N15</f>
        <v>10027.5</v>
      </c>
      <c r="D9" s="230"/>
      <c r="E9" s="230"/>
      <c r="F9" s="230"/>
      <c r="G9" s="145"/>
      <c r="H9" s="140"/>
      <c r="I9" s="146"/>
      <c r="J9" s="140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5.75" customHeight="1">
      <c r="A10" s="84"/>
      <c r="B10" s="144" t="s">
        <v>415</v>
      </c>
      <c r="C10" s="515"/>
      <c r="D10" s="230"/>
      <c r="E10" s="230"/>
      <c r="F10" s="230"/>
      <c r="G10" s="140"/>
      <c r="H10" s="140"/>
      <c r="I10" s="146"/>
      <c r="J10" s="140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5.75" customHeight="1">
      <c r="A11" s="84"/>
      <c r="B11" s="144" t="s">
        <v>416</v>
      </c>
      <c r="C11" s="515"/>
      <c r="D11" s="230"/>
      <c r="E11" s="230"/>
      <c r="F11" s="230"/>
      <c r="G11" s="145" t="s">
        <v>417</v>
      </c>
      <c r="H11" s="147"/>
      <c r="I11" s="148"/>
      <c r="J11" s="140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5.75" customHeight="1">
      <c r="A12" s="84"/>
      <c r="B12" s="144" t="s">
        <v>418</v>
      </c>
      <c r="C12" s="515"/>
      <c r="D12" s="230"/>
      <c r="E12" s="230"/>
      <c r="F12" s="230"/>
      <c r="G12" s="145" t="s">
        <v>199</v>
      </c>
      <c r="H12" s="147"/>
      <c r="I12" s="148"/>
      <c r="J12" s="140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15.75" customHeight="1">
      <c r="A13" s="84"/>
      <c r="B13" s="149" t="s">
        <v>419</v>
      </c>
      <c r="C13" s="150"/>
      <c r="D13" s="150"/>
      <c r="E13" s="150"/>
      <c r="F13" s="151"/>
      <c r="G13" s="150"/>
      <c r="H13" s="150"/>
      <c r="I13" s="152"/>
      <c r="J13" s="140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15.75" customHeight="1">
      <c r="A14" s="84"/>
      <c r="B14" s="13"/>
      <c r="C14" s="13"/>
      <c r="D14" s="13"/>
      <c r="E14" s="13"/>
      <c r="F14" s="13"/>
      <c r="G14" s="13"/>
      <c r="H14" s="13"/>
      <c r="I14" s="13"/>
      <c r="J14" s="13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15.75" customHeight="1">
      <c r="A15" s="84"/>
      <c r="B15" s="13"/>
      <c r="C15" s="13"/>
      <c r="D15" s="153"/>
      <c r="E15" s="13"/>
      <c r="F15" s="13"/>
      <c r="G15" s="13"/>
      <c r="H15" s="13"/>
      <c r="I15" s="13"/>
      <c r="J15" s="13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15.75" customHeight="1">
      <c r="A16" s="84"/>
      <c r="B16" s="518"/>
      <c r="C16" s="520" t="s">
        <v>0</v>
      </c>
      <c r="D16" s="219"/>
      <c r="E16" s="219"/>
      <c r="F16" s="306"/>
      <c r="G16" s="137" t="s">
        <v>1</v>
      </c>
      <c r="H16" s="292" t="s">
        <v>407</v>
      </c>
      <c r="I16" s="224"/>
      <c r="J16" s="13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5.75" customHeight="1">
      <c r="A17" s="84"/>
      <c r="B17" s="492"/>
      <c r="C17" s="289"/>
      <c r="D17" s="213"/>
      <c r="E17" s="213"/>
      <c r="F17" s="251"/>
      <c r="G17" s="10" t="s">
        <v>3</v>
      </c>
      <c r="H17" s="309">
        <v>1</v>
      </c>
      <c r="I17" s="202"/>
      <c r="J17" s="13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5.75" customHeight="1">
      <c r="A18" s="84"/>
      <c r="B18" s="492"/>
      <c r="C18" s="290"/>
      <c r="D18" s="230"/>
      <c r="E18" s="230"/>
      <c r="F18" s="291"/>
      <c r="G18" s="10" t="s">
        <v>5</v>
      </c>
      <c r="H18" s="273" t="s">
        <v>6</v>
      </c>
      <c r="I18" s="202"/>
      <c r="J18" s="13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.75" customHeight="1">
      <c r="A19" s="84"/>
      <c r="B19" s="492"/>
      <c r="C19" s="524" t="s">
        <v>408</v>
      </c>
      <c r="D19" s="213"/>
      <c r="E19" s="213"/>
      <c r="F19" s="251"/>
      <c r="G19" s="398" t="s">
        <v>7</v>
      </c>
      <c r="H19" s="273" t="s">
        <v>8</v>
      </c>
      <c r="I19" s="202"/>
      <c r="J19" s="13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5.75" customHeight="1">
      <c r="A20" s="84"/>
      <c r="B20" s="519"/>
      <c r="C20" s="210"/>
      <c r="D20" s="210"/>
      <c r="E20" s="210"/>
      <c r="F20" s="280"/>
      <c r="G20" s="516"/>
      <c r="H20" s="517" t="s">
        <v>9</v>
      </c>
      <c r="I20" s="236"/>
      <c r="J20" s="13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15.75" customHeight="1">
      <c r="A21" s="84"/>
      <c r="B21" s="138" t="s">
        <v>409</v>
      </c>
      <c r="C21" s="512" t="str">
        <f>OP!$M$11</f>
        <v>OP-SS-126</v>
      </c>
      <c r="D21" s="230"/>
      <c r="E21" s="230"/>
      <c r="F21" s="291"/>
      <c r="G21" s="139" t="s">
        <v>201</v>
      </c>
      <c r="H21" s="510"/>
      <c r="I21" s="291"/>
      <c r="J21" s="13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15.75" customHeight="1">
      <c r="A22" s="84"/>
      <c r="B22" s="141" t="s">
        <v>410</v>
      </c>
      <c r="C22" s="512" t="str">
        <f>OP!$G$9</f>
        <v>CONTORNO DE OJOS RETINALDEHIDO 0.05%</v>
      </c>
      <c r="D22" s="230"/>
      <c r="E22" s="230"/>
      <c r="F22" s="291"/>
      <c r="G22" s="142" t="s">
        <v>411</v>
      </c>
      <c r="H22" s="511" t="str">
        <f>OP!$M$10</f>
        <v>252581</v>
      </c>
      <c r="I22" s="291"/>
      <c r="J22" s="13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>
      <c r="A23" s="84"/>
      <c r="B23" s="141" t="s">
        <v>412</v>
      </c>
      <c r="C23" s="525" t="str">
        <f>OP!B16</f>
        <v>ACIDO TRANEXAMICO</v>
      </c>
      <c r="D23" s="201"/>
      <c r="E23" s="201"/>
      <c r="F23" s="204"/>
      <c r="G23" s="143" t="s">
        <v>413</v>
      </c>
      <c r="H23" s="512" t="str">
        <f>OP!J16</f>
        <v>LYPH250618</v>
      </c>
      <c r="I23" s="291"/>
      <c r="J23" s="13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5.75" customHeight="1">
      <c r="A24" s="84"/>
      <c r="B24" s="144" t="s">
        <v>414</v>
      </c>
      <c r="C24" s="514">
        <f>OP!N16</f>
        <v>700</v>
      </c>
      <c r="D24" s="230"/>
      <c r="E24" s="230"/>
      <c r="F24" s="230"/>
      <c r="G24" s="145"/>
      <c r="H24" s="140"/>
      <c r="I24" s="146"/>
      <c r="J24" s="13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>
      <c r="A25" s="84"/>
      <c r="B25" s="144" t="s">
        <v>415</v>
      </c>
      <c r="C25" s="522"/>
      <c r="D25" s="230"/>
      <c r="E25" s="230"/>
      <c r="F25" s="230"/>
      <c r="G25" s="140"/>
      <c r="H25" s="140"/>
      <c r="I25" s="146"/>
      <c r="J25" s="13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5.75" customHeight="1">
      <c r="A26" s="84"/>
      <c r="B26" s="144" t="s">
        <v>416</v>
      </c>
      <c r="C26" s="522"/>
      <c r="D26" s="230"/>
      <c r="E26" s="230"/>
      <c r="F26" s="230"/>
      <c r="G26" s="145" t="s">
        <v>417</v>
      </c>
      <c r="H26" s="147"/>
      <c r="I26" s="148"/>
      <c r="J26" s="13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5.75" customHeight="1">
      <c r="A27" s="84"/>
      <c r="B27" s="144" t="s">
        <v>418</v>
      </c>
      <c r="C27" s="522"/>
      <c r="D27" s="230"/>
      <c r="E27" s="230"/>
      <c r="F27" s="230"/>
      <c r="G27" s="145" t="s">
        <v>199</v>
      </c>
      <c r="H27" s="147"/>
      <c r="I27" s="148"/>
      <c r="J27" s="13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5.75" customHeight="1">
      <c r="A28" s="84"/>
      <c r="B28" s="149" t="s">
        <v>419</v>
      </c>
      <c r="C28" s="154"/>
      <c r="D28" s="154"/>
      <c r="E28" s="154"/>
      <c r="F28" s="155"/>
      <c r="G28" s="150"/>
      <c r="H28" s="150"/>
      <c r="I28" s="152"/>
      <c r="J28" s="13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5.75" customHeight="1">
      <c r="A29" s="84"/>
      <c r="B29" s="13"/>
      <c r="C29" s="71"/>
      <c r="D29" s="71"/>
      <c r="E29" s="71"/>
      <c r="F29" s="71"/>
      <c r="G29" s="13"/>
      <c r="H29" s="13"/>
      <c r="I29" s="13"/>
      <c r="J29" s="13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5.75" customHeight="1">
      <c r="A30" s="84"/>
      <c r="B30" s="13"/>
      <c r="C30" s="71"/>
      <c r="D30" s="71"/>
      <c r="E30" s="71"/>
      <c r="F30" s="71"/>
      <c r="G30" s="13"/>
      <c r="H30" s="13"/>
      <c r="I30" s="13"/>
      <c r="J30" s="13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15.75" customHeight="1">
      <c r="A31" s="84"/>
      <c r="B31" s="527"/>
      <c r="C31" s="530" t="s">
        <v>0</v>
      </c>
      <c r="D31" s="219"/>
      <c r="E31" s="219"/>
      <c r="F31" s="220"/>
      <c r="G31" s="157" t="s">
        <v>1</v>
      </c>
      <c r="H31" s="265" t="s">
        <v>407</v>
      </c>
      <c r="I31" s="260"/>
      <c r="J31" s="13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5.75" customHeight="1">
      <c r="A32" s="84"/>
      <c r="B32" s="528"/>
      <c r="C32" s="264"/>
      <c r="D32" s="213"/>
      <c r="E32" s="213"/>
      <c r="F32" s="258"/>
      <c r="G32" s="157" t="s">
        <v>3</v>
      </c>
      <c r="H32" s="531">
        <v>1</v>
      </c>
      <c r="I32" s="260"/>
      <c r="J32" s="13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5.75" customHeight="1">
      <c r="A33" s="84"/>
      <c r="B33" s="528"/>
      <c r="C33" s="221"/>
      <c r="D33" s="210"/>
      <c r="E33" s="210"/>
      <c r="F33" s="211"/>
      <c r="G33" s="157" t="s">
        <v>5</v>
      </c>
      <c r="H33" s="265" t="s">
        <v>6</v>
      </c>
      <c r="I33" s="260"/>
      <c r="J33" s="13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customHeight="1">
      <c r="A34" s="84"/>
      <c r="B34" s="528"/>
      <c r="C34" s="530" t="s">
        <v>408</v>
      </c>
      <c r="D34" s="219"/>
      <c r="E34" s="219"/>
      <c r="F34" s="220"/>
      <c r="G34" s="532" t="s">
        <v>7</v>
      </c>
      <c r="H34" s="265" t="s">
        <v>8</v>
      </c>
      <c r="I34" s="260"/>
      <c r="J34" s="13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5.75" customHeight="1">
      <c r="A35" s="84"/>
      <c r="B35" s="529"/>
      <c r="C35" s="221"/>
      <c r="D35" s="210"/>
      <c r="E35" s="210"/>
      <c r="F35" s="211"/>
      <c r="G35" s="529"/>
      <c r="H35" s="526" t="s">
        <v>9</v>
      </c>
      <c r="I35" s="260"/>
      <c r="J35" s="13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5.75" customHeight="1">
      <c r="A36" s="84"/>
      <c r="B36" s="138" t="s">
        <v>409</v>
      </c>
      <c r="C36" s="512" t="str">
        <f>OP!$M$11</f>
        <v>OP-SS-126</v>
      </c>
      <c r="D36" s="230"/>
      <c r="E36" s="230"/>
      <c r="F36" s="291"/>
      <c r="G36" s="139" t="s">
        <v>201</v>
      </c>
      <c r="H36" s="510"/>
      <c r="I36" s="291"/>
      <c r="J36" s="13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5.75" customHeight="1">
      <c r="A37" s="84"/>
      <c r="B37" s="141" t="s">
        <v>410</v>
      </c>
      <c r="C37" s="512" t="str">
        <f>OP!$G$9</f>
        <v>CONTORNO DE OJOS RETINALDEHIDO 0.05%</v>
      </c>
      <c r="D37" s="230"/>
      <c r="E37" s="230"/>
      <c r="F37" s="291"/>
      <c r="G37" s="142" t="s">
        <v>411</v>
      </c>
      <c r="H37" s="511" t="str">
        <f>OP!$M$10</f>
        <v>252581</v>
      </c>
      <c r="I37" s="291"/>
      <c r="J37" s="13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5.75" customHeight="1">
      <c r="A38" s="84"/>
      <c r="B38" s="141" t="s">
        <v>412</v>
      </c>
      <c r="C38" s="525" t="str">
        <f>OP!B17</f>
        <v>GLICERINA</v>
      </c>
      <c r="D38" s="201"/>
      <c r="E38" s="201"/>
      <c r="F38" s="204"/>
      <c r="G38" s="143" t="s">
        <v>413</v>
      </c>
      <c r="H38" s="512" t="str">
        <f>OP!J17</f>
        <v>M429751120241</v>
      </c>
      <c r="I38" s="291"/>
      <c r="J38" s="13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>
      <c r="A39" s="84"/>
      <c r="B39" s="144" t="s">
        <v>414</v>
      </c>
      <c r="C39" s="514">
        <f>OP!N17</f>
        <v>700</v>
      </c>
      <c r="D39" s="230"/>
      <c r="E39" s="230"/>
      <c r="F39" s="230"/>
      <c r="G39" s="145"/>
      <c r="H39" s="140"/>
      <c r="I39" s="146"/>
      <c r="J39" s="13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>
      <c r="A40" s="84"/>
      <c r="B40" s="144" t="s">
        <v>415</v>
      </c>
      <c r="C40" s="522"/>
      <c r="D40" s="230"/>
      <c r="E40" s="230"/>
      <c r="F40" s="230"/>
      <c r="G40" s="140"/>
      <c r="H40" s="140"/>
      <c r="I40" s="146"/>
      <c r="J40" s="13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>
      <c r="A41" s="84"/>
      <c r="B41" s="144" t="s">
        <v>416</v>
      </c>
      <c r="C41" s="522"/>
      <c r="D41" s="230"/>
      <c r="E41" s="230"/>
      <c r="F41" s="230"/>
      <c r="G41" s="145" t="s">
        <v>417</v>
      </c>
      <c r="H41" s="147"/>
      <c r="I41" s="148"/>
      <c r="J41" s="13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>
      <c r="A42" s="84"/>
      <c r="B42" s="144" t="s">
        <v>418</v>
      </c>
      <c r="C42" s="522"/>
      <c r="D42" s="230"/>
      <c r="E42" s="230"/>
      <c r="F42" s="230"/>
      <c r="G42" s="145" t="s">
        <v>199</v>
      </c>
      <c r="H42" s="147"/>
      <c r="I42" s="148"/>
      <c r="J42" s="13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>
      <c r="A43" s="84"/>
      <c r="B43" s="149" t="s">
        <v>419</v>
      </c>
      <c r="C43" s="154"/>
      <c r="D43" s="154"/>
      <c r="E43" s="154"/>
      <c r="F43" s="155"/>
      <c r="G43" s="150"/>
      <c r="H43" s="150"/>
      <c r="I43" s="152"/>
      <c r="J43" s="13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.75" customHeight="1">
      <c r="A44" s="84"/>
      <c r="B44" s="13"/>
      <c r="C44" s="71"/>
      <c r="D44" s="71"/>
      <c r="E44" s="71"/>
      <c r="F44" s="71"/>
      <c r="G44" s="13"/>
      <c r="H44" s="13"/>
      <c r="I44" s="13"/>
      <c r="J44" s="13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customHeight="1">
      <c r="A45" s="84"/>
      <c r="B45" s="518"/>
      <c r="C45" s="523" t="s">
        <v>0</v>
      </c>
      <c r="D45" s="219"/>
      <c r="E45" s="219"/>
      <c r="F45" s="306"/>
      <c r="G45" s="137" t="s">
        <v>1</v>
      </c>
      <c r="H45" s="292" t="s">
        <v>407</v>
      </c>
      <c r="I45" s="224"/>
      <c r="J45" s="13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>
      <c r="A46" s="84"/>
      <c r="B46" s="492"/>
      <c r="C46" s="289"/>
      <c r="D46" s="213"/>
      <c r="E46" s="213"/>
      <c r="F46" s="251"/>
      <c r="G46" s="10" t="s">
        <v>3</v>
      </c>
      <c r="H46" s="309">
        <v>1</v>
      </c>
      <c r="I46" s="202"/>
      <c r="J46" s="13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 customHeight="1">
      <c r="A47" s="84"/>
      <c r="B47" s="492"/>
      <c r="C47" s="290"/>
      <c r="D47" s="230"/>
      <c r="E47" s="230"/>
      <c r="F47" s="291"/>
      <c r="G47" s="10" t="s">
        <v>5</v>
      </c>
      <c r="H47" s="273" t="s">
        <v>6</v>
      </c>
      <c r="I47" s="202"/>
      <c r="J47" s="13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customHeight="1">
      <c r="A48" s="84"/>
      <c r="B48" s="492"/>
      <c r="C48" s="524" t="s">
        <v>408</v>
      </c>
      <c r="D48" s="213"/>
      <c r="E48" s="213"/>
      <c r="F48" s="251"/>
      <c r="G48" s="398" t="s">
        <v>7</v>
      </c>
      <c r="H48" s="273" t="s">
        <v>8</v>
      </c>
      <c r="I48" s="202"/>
      <c r="J48" s="13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>
      <c r="A49" s="84"/>
      <c r="B49" s="519"/>
      <c r="C49" s="210"/>
      <c r="D49" s="210"/>
      <c r="E49" s="210"/>
      <c r="F49" s="280"/>
      <c r="G49" s="516"/>
      <c r="H49" s="517" t="s">
        <v>9</v>
      </c>
      <c r="I49" s="236"/>
      <c r="J49" s="13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>
      <c r="A50" s="84"/>
      <c r="B50" s="138" t="s">
        <v>409</v>
      </c>
      <c r="C50" s="512" t="str">
        <f>OP!$M$11</f>
        <v>OP-SS-126</v>
      </c>
      <c r="D50" s="230"/>
      <c r="E50" s="230"/>
      <c r="F50" s="291"/>
      <c r="G50" s="139" t="s">
        <v>201</v>
      </c>
      <c r="H50" s="510"/>
      <c r="I50" s="291"/>
      <c r="J50" s="13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.75" customHeight="1">
      <c r="A51" s="84"/>
      <c r="B51" s="141" t="s">
        <v>410</v>
      </c>
      <c r="C51" s="512" t="str">
        <f>OP!$G$9</f>
        <v>CONTORNO DE OJOS RETINALDEHIDO 0.05%</v>
      </c>
      <c r="D51" s="230"/>
      <c r="E51" s="230"/>
      <c r="F51" s="291"/>
      <c r="G51" s="142" t="s">
        <v>411</v>
      </c>
      <c r="H51" s="511" t="str">
        <f>OP!$M$10</f>
        <v>252581</v>
      </c>
      <c r="I51" s="291"/>
      <c r="J51" s="13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>
      <c r="A52" s="84"/>
      <c r="B52" s="141" t="s">
        <v>412</v>
      </c>
      <c r="C52" s="513" t="str">
        <f>OP!B18</f>
        <v>PROPILENGLICOL</v>
      </c>
      <c r="D52" s="201"/>
      <c r="E52" s="201"/>
      <c r="F52" s="204"/>
      <c r="G52" s="143" t="s">
        <v>413</v>
      </c>
      <c r="H52" s="512" t="str">
        <f>OP!J18</f>
        <v>D357P4J1B3</v>
      </c>
      <c r="I52" s="291"/>
      <c r="J52" s="13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 customHeight="1">
      <c r="A53" s="84"/>
      <c r="B53" s="144" t="s">
        <v>414</v>
      </c>
      <c r="C53" s="514">
        <f>OP!N18</f>
        <v>700</v>
      </c>
      <c r="D53" s="230"/>
      <c r="E53" s="230"/>
      <c r="F53" s="230"/>
      <c r="G53" s="145"/>
      <c r="H53" s="140"/>
      <c r="I53" s="146"/>
      <c r="J53" s="13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 customHeight="1">
      <c r="A54" s="84"/>
      <c r="B54" s="144" t="s">
        <v>415</v>
      </c>
      <c r="C54" s="522"/>
      <c r="D54" s="230"/>
      <c r="E54" s="230"/>
      <c r="F54" s="230"/>
      <c r="G54" s="140"/>
      <c r="H54" s="140"/>
      <c r="I54" s="146"/>
      <c r="J54" s="13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>
      <c r="A55" s="84"/>
      <c r="B55" s="144" t="s">
        <v>416</v>
      </c>
      <c r="C55" s="522"/>
      <c r="D55" s="230"/>
      <c r="E55" s="230"/>
      <c r="F55" s="230"/>
      <c r="G55" s="145" t="s">
        <v>417</v>
      </c>
      <c r="H55" s="147"/>
      <c r="I55" s="148"/>
      <c r="J55" s="13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>
      <c r="A56" s="84"/>
      <c r="B56" s="144" t="s">
        <v>418</v>
      </c>
      <c r="C56" s="522"/>
      <c r="D56" s="230"/>
      <c r="E56" s="230"/>
      <c r="F56" s="230"/>
      <c r="G56" s="145" t="s">
        <v>199</v>
      </c>
      <c r="H56" s="147"/>
      <c r="I56" s="148"/>
      <c r="J56" s="13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>
      <c r="A57" s="84"/>
      <c r="B57" s="149" t="s">
        <v>419</v>
      </c>
      <c r="C57" s="154"/>
      <c r="D57" s="154"/>
      <c r="E57" s="154"/>
      <c r="F57" s="155"/>
      <c r="G57" s="150"/>
      <c r="H57" s="150"/>
      <c r="I57" s="152"/>
      <c r="J57" s="13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>
      <c r="A58" s="84"/>
      <c r="B58" s="13"/>
      <c r="C58" s="71"/>
      <c r="D58" s="71"/>
      <c r="E58" s="71"/>
      <c r="F58" s="71"/>
      <c r="G58" s="13"/>
      <c r="H58" s="13"/>
      <c r="I58" s="13"/>
      <c r="J58" s="13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>
      <c r="A59" s="84"/>
      <c r="B59" s="518"/>
      <c r="C59" s="523" t="s">
        <v>0</v>
      </c>
      <c r="D59" s="219"/>
      <c r="E59" s="219"/>
      <c r="F59" s="306"/>
      <c r="G59" s="137" t="s">
        <v>1</v>
      </c>
      <c r="H59" s="292" t="s">
        <v>407</v>
      </c>
      <c r="I59" s="224"/>
      <c r="J59" s="13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>
      <c r="A60" s="84"/>
      <c r="B60" s="492"/>
      <c r="C60" s="289"/>
      <c r="D60" s="213"/>
      <c r="E60" s="213"/>
      <c r="F60" s="251"/>
      <c r="G60" s="10" t="s">
        <v>3</v>
      </c>
      <c r="H60" s="309">
        <v>1</v>
      </c>
      <c r="I60" s="202"/>
      <c r="J60" s="13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.75" customHeight="1">
      <c r="A61" s="84"/>
      <c r="B61" s="492"/>
      <c r="C61" s="290"/>
      <c r="D61" s="230"/>
      <c r="E61" s="230"/>
      <c r="F61" s="291"/>
      <c r="G61" s="10" t="s">
        <v>5</v>
      </c>
      <c r="H61" s="273" t="s">
        <v>6</v>
      </c>
      <c r="I61" s="202"/>
      <c r="J61" s="13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.75" customHeight="1">
      <c r="A62" s="84"/>
      <c r="B62" s="492"/>
      <c r="C62" s="524" t="s">
        <v>408</v>
      </c>
      <c r="D62" s="213"/>
      <c r="E62" s="213"/>
      <c r="F62" s="251"/>
      <c r="G62" s="398" t="s">
        <v>7</v>
      </c>
      <c r="H62" s="273" t="s">
        <v>8</v>
      </c>
      <c r="I62" s="202"/>
      <c r="J62" s="13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5.75" customHeight="1">
      <c r="A63" s="84"/>
      <c r="B63" s="519"/>
      <c r="C63" s="210"/>
      <c r="D63" s="210"/>
      <c r="E63" s="210"/>
      <c r="F63" s="280"/>
      <c r="G63" s="516"/>
      <c r="H63" s="517" t="s">
        <v>9</v>
      </c>
      <c r="I63" s="236"/>
      <c r="J63" s="13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customHeight="1">
      <c r="A64" s="84"/>
      <c r="B64" s="138" t="s">
        <v>409</v>
      </c>
      <c r="C64" s="512" t="str">
        <f>OP!$M$11</f>
        <v>OP-SS-126</v>
      </c>
      <c r="D64" s="230"/>
      <c r="E64" s="230"/>
      <c r="F64" s="291"/>
      <c r="G64" s="139" t="s">
        <v>201</v>
      </c>
      <c r="H64" s="510"/>
      <c r="I64" s="291"/>
      <c r="J64" s="13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>
      <c r="A65" s="84"/>
      <c r="B65" s="141" t="s">
        <v>410</v>
      </c>
      <c r="C65" s="512" t="str">
        <f>OP!$G$9</f>
        <v>CONTORNO DE OJOS RETINALDEHIDO 0.05%</v>
      </c>
      <c r="D65" s="230"/>
      <c r="E65" s="230"/>
      <c r="F65" s="291"/>
      <c r="G65" s="142" t="s">
        <v>411</v>
      </c>
      <c r="H65" s="511" t="str">
        <f>OP!$M$10</f>
        <v>252581</v>
      </c>
      <c r="I65" s="291"/>
      <c r="J65" s="13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.75" customHeight="1">
      <c r="A66" s="84"/>
      <c r="B66" s="141" t="s">
        <v>412</v>
      </c>
      <c r="C66" s="513" t="str">
        <f>OP!B19</f>
        <v>NIACINAMIDA</v>
      </c>
      <c r="D66" s="201"/>
      <c r="E66" s="201"/>
      <c r="F66" s="204"/>
      <c r="G66" s="143" t="s">
        <v>413</v>
      </c>
      <c r="H66" s="512">
        <f>OP!J19</f>
        <v>0</v>
      </c>
      <c r="I66" s="291"/>
      <c r="J66" s="13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>
      <c r="A67" s="84"/>
      <c r="B67" s="144" t="s">
        <v>414</v>
      </c>
      <c r="C67" s="514">
        <f>OP!N19</f>
        <v>420</v>
      </c>
      <c r="D67" s="230"/>
      <c r="E67" s="230"/>
      <c r="F67" s="230"/>
      <c r="G67" s="145"/>
      <c r="H67" s="140"/>
      <c r="I67" s="146"/>
      <c r="J67" s="13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>
      <c r="A68" s="84"/>
      <c r="B68" s="144" t="s">
        <v>415</v>
      </c>
      <c r="C68" s="522"/>
      <c r="D68" s="230"/>
      <c r="E68" s="230"/>
      <c r="F68" s="230"/>
      <c r="G68" s="140"/>
      <c r="H68" s="140"/>
      <c r="I68" s="146"/>
      <c r="J68" s="13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>
      <c r="A69" s="84"/>
      <c r="B69" s="144" t="s">
        <v>416</v>
      </c>
      <c r="C69" s="522"/>
      <c r="D69" s="230"/>
      <c r="E69" s="230"/>
      <c r="F69" s="230"/>
      <c r="G69" s="145" t="s">
        <v>417</v>
      </c>
      <c r="H69" s="147"/>
      <c r="I69" s="148"/>
      <c r="J69" s="13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.75" customHeight="1">
      <c r="A70" s="84"/>
      <c r="B70" s="144" t="s">
        <v>418</v>
      </c>
      <c r="C70" s="522"/>
      <c r="D70" s="230"/>
      <c r="E70" s="230"/>
      <c r="F70" s="230"/>
      <c r="G70" s="145" t="s">
        <v>199</v>
      </c>
      <c r="H70" s="147"/>
      <c r="I70" s="148"/>
      <c r="J70" s="13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>
      <c r="A71" s="84"/>
      <c r="B71" s="149" t="s">
        <v>419</v>
      </c>
      <c r="C71" s="154"/>
      <c r="D71" s="154"/>
      <c r="E71" s="154"/>
      <c r="F71" s="155"/>
      <c r="G71" s="150"/>
      <c r="H71" s="150"/>
      <c r="I71" s="152"/>
      <c r="J71" s="13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>
      <c r="A72" s="84"/>
      <c r="B72" s="13"/>
      <c r="C72" s="71"/>
      <c r="D72" s="71"/>
      <c r="E72" s="71"/>
      <c r="F72" s="71"/>
      <c r="G72" s="13"/>
      <c r="H72" s="13"/>
      <c r="I72" s="13"/>
      <c r="J72" s="13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>
      <c r="A73" s="84"/>
      <c r="B73" s="13"/>
      <c r="C73" s="71"/>
      <c r="D73" s="71"/>
      <c r="E73" s="71"/>
      <c r="F73" s="71"/>
      <c r="G73" s="13"/>
      <c r="H73" s="13"/>
      <c r="I73" s="13"/>
      <c r="J73" s="13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>
      <c r="A74" s="84"/>
      <c r="B74" s="13"/>
      <c r="C74" s="13"/>
      <c r="D74" s="13"/>
      <c r="E74" s="13"/>
      <c r="F74" s="13"/>
      <c r="G74" s="13"/>
      <c r="H74" s="13"/>
      <c r="I74" s="13"/>
      <c r="J74" s="13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>
      <c r="A75" s="84"/>
      <c r="B75" s="518"/>
      <c r="C75" s="520" t="s">
        <v>0</v>
      </c>
      <c r="D75" s="219"/>
      <c r="E75" s="219"/>
      <c r="F75" s="306"/>
      <c r="G75" s="137" t="s">
        <v>1</v>
      </c>
      <c r="H75" s="292" t="s">
        <v>407</v>
      </c>
      <c r="I75" s="224"/>
      <c r="J75" s="13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>
      <c r="A76" s="84"/>
      <c r="B76" s="492"/>
      <c r="C76" s="289"/>
      <c r="D76" s="213"/>
      <c r="E76" s="213"/>
      <c r="F76" s="251"/>
      <c r="G76" s="10" t="s">
        <v>3</v>
      </c>
      <c r="H76" s="309">
        <v>1</v>
      </c>
      <c r="I76" s="202"/>
      <c r="J76" s="13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>
      <c r="A77" s="84"/>
      <c r="B77" s="492"/>
      <c r="C77" s="290"/>
      <c r="D77" s="230"/>
      <c r="E77" s="230"/>
      <c r="F77" s="291"/>
      <c r="G77" s="10" t="s">
        <v>5</v>
      </c>
      <c r="H77" s="273" t="s">
        <v>6</v>
      </c>
      <c r="I77" s="202"/>
      <c r="J77" s="13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>
      <c r="A78" s="84"/>
      <c r="B78" s="492"/>
      <c r="C78" s="268" t="s">
        <v>408</v>
      </c>
      <c r="D78" s="213"/>
      <c r="E78" s="213"/>
      <c r="F78" s="251"/>
      <c r="G78" s="398" t="s">
        <v>7</v>
      </c>
      <c r="H78" s="273" t="s">
        <v>8</v>
      </c>
      <c r="I78" s="202"/>
      <c r="J78" s="13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>
      <c r="A79" s="84"/>
      <c r="B79" s="519"/>
      <c r="C79" s="210"/>
      <c r="D79" s="210"/>
      <c r="E79" s="210"/>
      <c r="F79" s="280"/>
      <c r="G79" s="516"/>
      <c r="H79" s="517" t="s">
        <v>9</v>
      </c>
      <c r="I79" s="236"/>
      <c r="J79" s="13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>
      <c r="A80" s="84"/>
      <c r="B80" s="138" t="s">
        <v>409</v>
      </c>
      <c r="C80" s="512" t="str">
        <f>OP!$M$11</f>
        <v>OP-SS-126</v>
      </c>
      <c r="D80" s="230"/>
      <c r="E80" s="230"/>
      <c r="F80" s="291"/>
      <c r="G80" s="139" t="s">
        <v>201</v>
      </c>
      <c r="H80" s="510"/>
      <c r="I80" s="291"/>
      <c r="J80" s="13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>
      <c r="A81" s="84"/>
      <c r="B81" s="141" t="s">
        <v>410</v>
      </c>
      <c r="C81" s="512" t="str">
        <f>OP!$G$9</f>
        <v>CONTORNO DE OJOS RETINALDEHIDO 0.05%</v>
      </c>
      <c r="D81" s="230"/>
      <c r="E81" s="230"/>
      <c r="F81" s="291"/>
      <c r="G81" s="142" t="s">
        <v>411</v>
      </c>
      <c r="H81" s="511" t="str">
        <f>OP!$M$10</f>
        <v>252581</v>
      </c>
      <c r="I81" s="291"/>
      <c r="J81" s="13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>
      <c r="A82" s="84"/>
      <c r="B82" s="141" t="s">
        <v>412</v>
      </c>
      <c r="C82" s="513" t="str">
        <f>OP!B20</f>
        <v>SILICONA LIQUIDA</v>
      </c>
      <c r="D82" s="201"/>
      <c r="E82" s="201"/>
      <c r="F82" s="204"/>
      <c r="G82" s="143" t="s">
        <v>413</v>
      </c>
      <c r="H82" s="512">
        <f>OP!J20</f>
        <v>10005316</v>
      </c>
      <c r="I82" s="291"/>
      <c r="J82" s="13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>
      <c r="A83" s="84"/>
      <c r="B83" s="144" t="s">
        <v>414</v>
      </c>
      <c r="C83" s="514">
        <f>OP!N20</f>
        <v>280</v>
      </c>
      <c r="D83" s="230"/>
      <c r="E83" s="230"/>
      <c r="F83" s="230"/>
      <c r="G83" s="145"/>
      <c r="H83" s="140"/>
      <c r="I83" s="146"/>
      <c r="J83" s="13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>
      <c r="A84" s="84"/>
      <c r="B84" s="144" t="s">
        <v>415</v>
      </c>
      <c r="C84" s="515"/>
      <c r="D84" s="230"/>
      <c r="E84" s="230"/>
      <c r="F84" s="230"/>
      <c r="G84" s="140"/>
      <c r="H84" s="140"/>
      <c r="I84" s="146"/>
      <c r="J84" s="13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>
      <c r="A85" s="84"/>
      <c r="B85" s="144" t="s">
        <v>416</v>
      </c>
      <c r="C85" s="515"/>
      <c r="D85" s="230"/>
      <c r="E85" s="230"/>
      <c r="F85" s="230"/>
      <c r="G85" s="145" t="s">
        <v>417</v>
      </c>
      <c r="H85" s="147"/>
      <c r="I85" s="148"/>
      <c r="J85" s="13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>
      <c r="A86" s="84"/>
      <c r="B86" s="144" t="s">
        <v>418</v>
      </c>
      <c r="C86" s="515"/>
      <c r="D86" s="230"/>
      <c r="E86" s="230"/>
      <c r="F86" s="230"/>
      <c r="G86" s="145" t="s">
        <v>199</v>
      </c>
      <c r="H86" s="147"/>
      <c r="I86" s="148"/>
      <c r="J86" s="13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>
      <c r="A87" s="84"/>
      <c r="B87" s="149" t="s">
        <v>419</v>
      </c>
      <c r="C87" s="150"/>
      <c r="D87" s="150"/>
      <c r="E87" s="150"/>
      <c r="F87" s="151"/>
      <c r="G87" s="150"/>
      <c r="H87" s="150"/>
      <c r="I87" s="152"/>
      <c r="J87" s="13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>
      <c r="A88" s="84"/>
      <c r="B88" s="13"/>
      <c r="C88" s="13"/>
      <c r="D88" s="13"/>
      <c r="E88" s="13"/>
      <c r="F88" s="13"/>
      <c r="G88" s="13"/>
      <c r="H88" s="13"/>
      <c r="I88" s="13"/>
      <c r="J88" s="13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>
      <c r="A89" s="84"/>
      <c r="B89" s="518"/>
      <c r="C89" s="520" t="s">
        <v>0</v>
      </c>
      <c r="D89" s="219"/>
      <c r="E89" s="219"/>
      <c r="F89" s="306"/>
      <c r="G89" s="137" t="s">
        <v>1</v>
      </c>
      <c r="H89" s="292" t="s">
        <v>407</v>
      </c>
      <c r="I89" s="224"/>
      <c r="J89" s="13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>
      <c r="A90" s="84"/>
      <c r="B90" s="492"/>
      <c r="C90" s="289"/>
      <c r="D90" s="213"/>
      <c r="E90" s="213"/>
      <c r="F90" s="251"/>
      <c r="G90" s="10" t="s">
        <v>3</v>
      </c>
      <c r="H90" s="309">
        <v>1</v>
      </c>
      <c r="I90" s="202"/>
      <c r="J90" s="13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>
      <c r="A91" s="84"/>
      <c r="B91" s="492"/>
      <c r="C91" s="290"/>
      <c r="D91" s="230"/>
      <c r="E91" s="230"/>
      <c r="F91" s="291"/>
      <c r="G91" s="10" t="s">
        <v>5</v>
      </c>
      <c r="H91" s="273" t="s">
        <v>6</v>
      </c>
      <c r="I91" s="202"/>
      <c r="J91" s="13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>
      <c r="A92" s="84"/>
      <c r="B92" s="492"/>
      <c r="C92" s="268" t="s">
        <v>408</v>
      </c>
      <c r="D92" s="213"/>
      <c r="E92" s="213"/>
      <c r="F92" s="251"/>
      <c r="G92" s="398" t="s">
        <v>7</v>
      </c>
      <c r="H92" s="273" t="s">
        <v>8</v>
      </c>
      <c r="I92" s="202"/>
      <c r="J92" s="13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>
      <c r="A93" s="84"/>
      <c r="B93" s="519"/>
      <c r="C93" s="210"/>
      <c r="D93" s="210"/>
      <c r="E93" s="210"/>
      <c r="F93" s="280"/>
      <c r="G93" s="516"/>
      <c r="H93" s="517" t="s">
        <v>9</v>
      </c>
      <c r="I93" s="236"/>
      <c r="J93" s="13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>
      <c r="A94" s="84"/>
      <c r="B94" s="138" t="s">
        <v>409</v>
      </c>
      <c r="C94" s="512" t="str">
        <f>OP!$M$11</f>
        <v>OP-SS-126</v>
      </c>
      <c r="D94" s="230"/>
      <c r="E94" s="230"/>
      <c r="F94" s="291"/>
      <c r="G94" s="139" t="s">
        <v>201</v>
      </c>
      <c r="H94" s="510"/>
      <c r="I94" s="291"/>
      <c r="J94" s="13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>
      <c r="A95" s="84"/>
      <c r="B95" s="141" t="s">
        <v>410</v>
      </c>
      <c r="C95" s="512" t="str">
        <f>OP!$G$9</f>
        <v>CONTORNO DE OJOS RETINALDEHIDO 0.05%</v>
      </c>
      <c r="D95" s="230"/>
      <c r="E95" s="230"/>
      <c r="F95" s="291"/>
      <c r="G95" s="142" t="s">
        <v>411</v>
      </c>
      <c r="H95" s="511" t="str">
        <f>OP!$M$10</f>
        <v>252581</v>
      </c>
      <c r="I95" s="291"/>
      <c r="J95" s="13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>
      <c r="A96" s="84"/>
      <c r="B96" s="141" t="s">
        <v>412</v>
      </c>
      <c r="C96" s="513" t="str">
        <f>OP!B21</f>
        <v>ALCOHOL CETILICO</v>
      </c>
      <c r="D96" s="201"/>
      <c r="E96" s="201"/>
      <c r="F96" s="204"/>
      <c r="G96" s="143" t="s">
        <v>413</v>
      </c>
      <c r="H96" s="512" t="str">
        <f>OP!J21</f>
        <v>P4-006-HB</v>
      </c>
      <c r="I96" s="291"/>
      <c r="J96" s="13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>
      <c r="A97" s="84"/>
      <c r="B97" s="144" t="s">
        <v>414</v>
      </c>
      <c r="C97" s="514">
        <f>OP!N21</f>
        <v>210</v>
      </c>
      <c r="D97" s="230"/>
      <c r="E97" s="230"/>
      <c r="F97" s="230"/>
      <c r="G97" s="145"/>
      <c r="H97" s="140"/>
      <c r="I97" s="146"/>
      <c r="J97" s="13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>
      <c r="A98" s="84"/>
      <c r="B98" s="144" t="s">
        <v>415</v>
      </c>
      <c r="C98" s="515"/>
      <c r="D98" s="230"/>
      <c r="E98" s="230"/>
      <c r="F98" s="230"/>
      <c r="G98" s="140"/>
      <c r="H98" s="140"/>
      <c r="I98" s="146"/>
      <c r="J98" s="13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>
      <c r="A99" s="84"/>
      <c r="B99" s="144" t="s">
        <v>416</v>
      </c>
      <c r="C99" s="515"/>
      <c r="D99" s="230"/>
      <c r="E99" s="230"/>
      <c r="F99" s="230"/>
      <c r="G99" s="145" t="s">
        <v>417</v>
      </c>
      <c r="H99" s="147"/>
      <c r="I99" s="148"/>
      <c r="J99" s="13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>
      <c r="A100" s="84"/>
      <c r="B100" s="144" t="s">
        <v>418</v>
      </c>
      <c r="C100" s="515"/>
      <c r="D100" s="230"/>
      <c r="E100" s="230"/>
      <c r="F100" s="230"/>
      <c r="G100" s="145" t="s">
        <v>199</v>
      </c>
      <c r="H100" s="147"/>
      <c r="I100" s="148"/>
      <c r="J100" s="13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>
      <c r="A101" s="84"/>
      <c r="B101" s="149" t="s">
        <v>419</v>
      </c>
      <c r="C101" s="150"/>
      <c r="D101" s="150"/>
      <c r="E101" s="150"/>
      <c r="F101" s="151"/>
      <c r="G101" s="150"/>
      <c r="H101" s="150"/>
      <c r="I101" s="152"/>
      <c r="J101" s="13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>
      <c r="A102" s="84"/>
      <c r="B102" s="13"/>
      <c r="C102" s="13"/>
      <c r="D102" s="13"/>
      <c r="E102" s="13"/>
      <c r="F102" s="13"/>
      <c r="G102" s="13"/>
      <c r="H102" s="13"/>
      <c r="I102" s="13"/>
      <c r="J102" s="13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>
      <c r="A103" s="84"/>
      <c r="B103" s="518"/>
      <c r="C103" s="520" t="s">
        <v>0</v>
      </c>
      <c r="D103" s="219"/>
      <c r="E103" s="219"/>
      <c r="F103" s="306"/>
      <c r="G103" s="137" t="s">
        <v>1</v>
      </c>
      <c r="H103" s="292" t="s">
        <v>407</v>
      </c>
      <c r="I103" s="22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>
      <c r="A104" s="84"/>
      <c r="B104" s="492"/>
      <c r="C104" s="289"/>
      <c r="D104" s="213"/>
      <c r="E104" s="213"/>
      <c r="F104" s="251"/>
      <c r="G104" s="10" t="s">
        <v>3</v>
      </c>
      <c r="H104" s="309">
        <v>1</v>
      </c>
      <c r="I104" s="202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>
      <c r="A105" s="84"/>
      <c r="B105" s="492"/>
      <c r="C105" s="290"/>
      <c r="D105" s="230"/>
      <c r="E105" s="230"/>
      <c r="F105" s="291"/>
      <c r="G105" s="10" t="s">
        <v>5</v>
      </c>
      <c r="H105" s="273" t="s">
        <v>6</v>
      </c>
      <c r="I105" s="202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>
      <c r="A106" s="84"/>
      <c r="B106" s="492"/>
      <c r="C106" s="268" t="s">
        <v>408</v>
      </c>
      <c r="D106" s="213"/>
      <c r="E106" s="213"/>
      <c r="F106" s="251"/>
      <c r="G106" s="398" t="s">
        <v>7</v>
      </c>
      <c r="H106" s="273" t="s">
        <v>8</v>
      </c>
      <c r="I106" s="202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>
      <c r="A107" s="84"/>
      <c r="B107" s="519"/>
      <c r="C107" s="210"/>
      <c r="D107" s="210"/>
      <c r="E107" s="210"/>
      <c r="F107" s="280"/>
      <c r="G107" s="516"/>
      <c r="H107" s="517" t="s">
        <v>9</v>
      </c>
      <c r="I107" s="236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>
      <c r="A108" s="84"/>
      <c r="B108" s="138" t="s">
        <v>409</v>
      </c>
      <c r="C108" s="512" t="str">
        <f>OP!$M$11</f>
        <v>OP-SS-126</v>
      </c>
      <c r="D108" s="230"/>
      <c r="E108" s="230"/>
      <c r="F108" s="291"/>
      <c r="G108" s="139" t="s">
        <v>201</v>
      </c>
      <c r="H108" s="510"/>
      <c r="I108" s="291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>
      <c r="A109" s="84"/>
      <c r="B109" s="141" t="s">
        <v>410</v>
      </c>
      <c r="C109" s="512" t="str">
        <f>OP!$G$9</f>
        <v>CONTORNO DE OJOS RETINALDEHIDO 0.05%</v>
      </c>
      <c r="D109" s="230"/>
      <c r="E109" s="230"/>
      <c r="F109" s="291"/>
      <c r="G109" s="142" t="s">
        <v>411</v>
      </c>
      <c r="H109" s="511" t="str">
        <f>OP!$M$10</f>
        <v>252581</v>
      </c>
      <c r="I109" s="291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>
      <c r="A110" s="84"/>
      <c r="B110" s="141" t="s">
        <v>412</v>
      </c>
      <c r="C110" s="513" t="str">
        <f>OP!B22</f>
        <v>ESCUALENO</v>
      </c>
      <c r="D110" s="201"/>
      <c r="E110" s="201"/>
      <c r="F110" s="204"/>
      <c r="G110" s="143" t="s">
        <v>413</v>
      </c>
      <c r="H110" s="512" t="str">
        <f>OP!J22</f>
        <v>YT-SQ20250515</v>
      </c>
      <c r="I110" s="291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>
      <c r="A111" s="84"/>
      <c r="B111" s="144" t="s">
        <v>414</v>
      </c>
      <c r="C111" s="514">
        <f>OP!N22</f>
        <v>210</v>
      </c>
      <c r="D111" s="230"/>
      <c r="E111" s="230"/>
      <c r="F111" s="230"/>
      <c r="G111" s="145"/>
      <c r="H111" s="140"/>
      <c r="I111" s="146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>
      <c r="A112" s="84"/>
      <c r="B112" s="144" t="s">
        <v>415</v>
      </c>
      <c r="C112" s="515"/>
      <c r="D112" s="230"/>
      <c r="E112" s="230"/>
      <c r="F112" s="230"/>
      <c r="G112" s="140"/>
      <c r="H112" s="140"/>
      <c r="I112" s="146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>
      <c r="A113" s="84"/>
      <c r="B113" s="144" t="s">
        <v>416</v>
      </c>
      <c r="C113" s="515"/>
      <c r="D113" s="230"/>
      <c r="E113" s="230"/>
      <c r="F113" s="230"/>
      <c r="G113" s="145" t="s">
        <v>417</v>
      </c>
      <c r="H113" s="147"/>
      <c r="I113" s="148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>
      <c r="A114" s="84"/>
      <c r="B114" s="144" t="s">
        <v>418</v>
      </c>
      <c r="C114" s="515"/>
      <c r="D114" s="230"/>
      <c r="E114" s="230"/>
      <c r="F114" s="230"/>
      <c r="G114" s="145" t="s">
        <v>199</v>
      </c>
      <c r="H114" s="147"/>
      <c r="I114" s="148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>
      <c r="A115" s="84"/>
      <c r="B115" s="149" t="s">
        <v>419</v>
      </c>
      <c r="C115" s="150"/>
      <c r="D115" s="150"/>
      <c r="E115" s="150"/>
      <c r="F115" s="151"/>
      <c r="G115" s="150"/>
      <c r="H115" s="150"/>
      <c r="I115" s="152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>
      <c r="A117" s="84"/>
      <c r="B117" s="518"/>
      <c r="C117" s="520" t="s">
        <v>0</v>
      </c>
      <c r="D117" s="219"/>
      <c r="E117" s="219"/>
      <c r="F117" s="306"/>
      <c r="G117" s="137" t="s">
        <v>1</v>
      </c>
      <c r="H117" s="292" t="s">
        <v>407</v>
      </c>
      <c r="I117" s="22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>
      <c r="A118" s="84"/>
      <c r="B118" s="492"/>
      <c r="C118" s="289"/>
      <c r="D118" s="213"/>
      <c r="E118" s="213"/>
      <c r="F118" s="251"/>
      <c r="G118" s="10" t="s">
        <v>3</v>
      </c>
      <c r="H118" s="309">
        <v>1</v>
      </c>
      <c r="I118" s="202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>
      <c r="A119" s="84"/>
      <c r="B119" s="492"/>
      <c r="C119" s="290"/>
      <c r="D119" s="230"/>
      <c r="E119" s="230"/>
      <c r="F119" s="291"/>
      <c r="G119" s="10" t="s">
        <v>5</v>
      </c>
      <c r="H119" s="273" t="s">
        <v>6</v>
      </c>
      <c r="I119" s="202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>
      <c r="A120" s="84"/>
      <c r="B120" s="492"/>
      <c r="C120" s="268" t="s">
        <v>408</v>
      </c>
      <c r="D120" s="213"/>
      <c r="E120" s="213"/>
      <c r="F120" s="251"/>
      <c r="G120" s="398" t="s">
        <v>7</v>
      </c>
      <c r="H120" s="273" t="s">
        <v>8</v>
      </c>
      <c r="I120" s="202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>
      <c r="A121" s="84"/>
      <c r="B121" s="519"/>
      <c r="C121" s="210"/>
      <c r="D121" s="210"/>
      <c r="E121" s="210"/>
      <c r="F121" s="280"/>
      <c r="G121" s="516"/>
      <c r="H121" s="517" t="s">
        <v>9</v>
      </c>
      <c r="I121" s="236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>
      <c r="A122" s="84"/>
      <c r="B122" s="138" t="s">
        <v>409</v>
      </c>
      <c r="C122" s="512" t="str">
        <f>OP!$M$11</f>
        <v>OP-SS-126</v>
      </c>
      <c r="D122" s="230"/>
      <c r="E122" s="230"/>
      <c r="F122" s="291"/>
      <c r="G122" s="139" t="s">
        <v>201</v>
      </c>
      <c r="H122" s="510"/>
      <c r="I122" s="291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>
      <c r="A123" s="84"/>
      <c r="B123" s="141" t="s">
        <v>410</v>
      </c>
      <c r="C123" s="512" t="str">
        <f>OP!$G$9</f>
        <v>CONTORNO DE OJOS RETINALDEHIDO 0.05%</v>
      </c>
      <c r="D123" s="230"/>
      <c r="E123" s="230"/>
      <c r="F123" s="291"/>
      <c r="G123" s="142" t="s">
        <v>411</v>
      </c>
      <c r="H123" s="511" t="str">
        <f>OP!$M$10</f>
        <v>252581</v>
      </c>
      <c r="I123" s="291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>
      <c r="A124" s="84"/>
      <c r="B124" s="141" t="s">
        <v>412</v>
      </c>
      <c r="C124" s="513" t="str">
        <f>OP!B23</f>
        <v>N-ACETILGLUCOSAMINA</v>
      </c>
      <c r="D124" s="201"/>
      <c r="E124" s="201"/>
      <c r="F124" s="204"/>
      <c r="G124" s="143" t="s">
        <v>413</v>
      </c>
      <c r="H124" s="512" t="str">
        <f>OP!J23</f>
        <v>YT20241213</v>
      </c>
      <c r="I124" s="291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>
      <c r="A125" s="84"/>
      <c r="B125" s="144" t="s">
        <v>414</v>
      </c>
      <c r="C125" s="514">
        <f>OP!N23</f>
        <v>210</v>
      </c>
      <c r="D125" s="230"/>
      <c r="E125" s="230"/>
      <c r="F125" s="230"/>
      <c r="G125" s="145"/>
      <c r="H125" s="140"/>
      <c r="I125" s="146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>
      <c r="A126" s="84"/>
      <c r="B126" s="144" t="s">
        <v>415</v>
      </c>
      <c r="C126" s="515"/>
      <c r="D126" s="230"/>
      <c r="E126" s="230"/>
      <c r="F126" s="230"/>
      <c r="G126" s="140"/>
      <c r="H126" s="140"/>
      <c r="I126" s="146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>
      <c r="A127" s="84"/>
      <c r="B127" s="144" t="s">
        <v>416</v>
      </c>
      <c r="C127" s="515"/>
      <c r="D127" s="230"/>
      <c r="E127" s="230"/>
      <c r="F127" s="230"/>
      <c r="G127" s="145" t="s">
        <v>417</v>
      </c>
      <c r="H127" s="147"/>
      <c r="I127" s="148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>
      <c r="A128" s="84"/>
      <c r="B128" s="144" t="s">
        <v>418</v>
      </c>
      <c r="C128" s="515"/>
      <c r="D128" s="230"/>
      <c r="E128" s="230"/>
      <c r="F128" s="230"/>
      <c r="G128" s="145" t="s">
        <v>199</v>
      </c>
      <c r="H128" s="147"/>
      <c r="I128" s="148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>
      <c r="A129" s="84"/>
      <c r="B129" s="149" t="s">
        <v>419</v>
      </c>
      <c r="C129" s="150"/>
      <c r="D129" s="150"/>
      <c r="E129" s="150"/>
      <c r="F129" s="151"/>
      <c r="G129" s="150"/>
      <c r="H129" s="150"/>
      <c r="I129" s="152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>
      <c r="A131" s="84"/>
      <c r="B131" s="518"/>
      <c r="C131" s="520" t="s">
        <v>0</v>
      </c>
      <c r="D131" s="219"/>
      <c r="E131" s="219"/>
      <c r="F131" s="306"/>
      <c r="G131" s="137" t="s">
        <v>1</v>
      </c>
      <c r="H131" s="292" t="s">
        <v>407</v>
      </c>
      <c r="I131" s="22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>
      <c r="A132" s="84"/>
      <c r="B132" s="492"/>
      <c r="C132" s="289"/>
      <c r="D132" s="213"/>
      <c r="E132" s="213"/>
      <c r="F132" s="251"/>
      <c r="G132" s="10" t="s">
        <v>3</v>
      </c>
      <c r="H132" s="309">
        <v>1</v>
      </c>
      <c r="I132" s="202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>
      <c r="A133" s="84"/>
      <c r="B133" s="492"/>
      <c r="C133" s="290"/>
      <c r="D133" s="230"/>
      <c r="E133" s="230"/>
      <c r="F133" s="291"/>
      <c r="G133" s="10" t="s">
        <v>5</v>
      </c>
      <c r="H133" s="273" t="s">
        <v>6</v>
      </c>
      <c r="I133" s="202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>
      <c r="A134" s="84"/>
      <c r="B134" s="492"/>
      <c r="C134" s="268" t="s">
        <v>408</v>
      </c>
      <c r="D134" s="213"/>
      <c r="E134" s="213"/>
      <c r="F134" s="251"/>
      <c r="G134" s="398" t="s">
        <v>7</v>
      </c>
      <c r="H134" s="273" t="s">
        <v>8</v>
      </c>
      <c r="I134" s="202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>
      <c r="A135" s="84"/>
      <c r="B135" s="519"/>
      <c r="C135" s="210"/>
      <c r="D135" s="210"/>
      <c r="E135" s="210"/>
      <c r="F135" s="280"/>
      <c r="G135" s="516"/>
      <c r="H135" s="517" t="s">
        <v>9</v>
      </c>
      <c r="I135" s="236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>
      <c r="A136" s="84"/>
      <c r="B136" s="138" t="s">
        <v>409</v>
      </c>
      <c r="C136" s="512" t="str">
        <f>OP!$M$11</f>
        <v>OP-SS-126</v>
      </c>
      <c r="D136" s="230"/>
      <c r="E136" s="230"/>
      <c r="F136" s="291"/>
      <c r="G136" s="139" t="s">
        <v>201</v>
      </c>
      <c r="H136" s="510"/>
      <c r="I136" s="291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>
      <c r="A137" s="84"/>
      <c r="B137" s="141" t="s">
        <v>410</v>
      </c>
      <c r="C137" s="512" t="str">
        <f>OP!$G$9</f>
        <v>CONTORNO DE OJOS RETINALDEHIDO 0.05%</v>
      </c>
      <c r="D137" s="230"/>
      <c r="E137" s="230"/>
      <c r="F137" s="291"/>
      <c r="G137" s="142" t="s">
        <v>411</v>
      </c>
      <c r="H137" s="511" t="str">
        <f>OP!$M$10</f>
        <v>252581</v>
      </c>
      <c r="I137" s="291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>
      <c r="A138" s="84"/>
      <c r="B138" s="141" t="s">
        <v>412</v>
      </c>
      <c r="C138" s="513" t="str">
        <f>OP!B24</f>
        <v>BETAINA</v>
      </c>
      <c r="D138" s="201"/>
      <c r="E138" s="201"/>
      <c r="F138" s="204"/>
      <c r="G138" s="143" t="s">
        <v>413</v>
      </c>
      <c r="H138" s="512" t="str">
        <f>OP!J24</f>
        <v>YT-20240405</v>
      </c>
      <c r="I138" s="291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>
      <c r="A139" s="84"/>
      <c r="B139" s="144" t="s">
        <v>414</v>
      </c>
      <c r="C139" s="514">
        <f>OP!N24</f>
        <v>140</v>
      </c>
      <c r="D139" s="230"/>
      <c r="E139" s="230"/>
      <c r="F139" s="230"/>
      <c r="G139" s="145"/>
      <c r="H139" s="140"/>
      <c r="I139" s="146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>
      <c r="A140" s="84"/>
      <c r="B140" s="144" t="s">
        <v>415</v>
      </c>
      <c r="C140" s="515"/>
      <c r="D140" s="230"/>
      <c r="E140" s="230"/>
      <c r="F140" s="230"/>
      <c r="G140" s="140"/>
      <c r="H140" s="140"/>
      <c r="I140" s="146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>
      <c r="A141" s="84"/>
      <c r="B141" s="144" t="s">
        <v>416</v>
      </c>
      <c r="C141" s="515"/>
      <c r="D141" s="230"/>
      <c r="E141" s="230"/>
      <c r="F141" s="230"/>
      <c r="G141" s="145" t="s">
        <v>417</v>
      </c>
      <c r="H141" s="147"/>
      <c r="I141" s="148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>
      <c r="A142" s="84"/>
      <c r="B142" s="144" t="s">
        <v>418</v>
      </c>
      <c r="C142" s="515"/>
      <c r="D142" s="230"/>
      <c r="E142" s="230"/>
      <c r="F142" s="230"/>
      <c r="G142" s="145" t="s">
        <v>199</v>
      </c>
      <c r="H142" s="147"/>
      <c r="I142" s="148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>
      <c r="A143" s="84"/>
      <c r="B143" s="149" t="s">
        <v>419</v>
      </c>
      <c r="C143" s="150"/>
      <c r="D143" s="150"/>
      <c r="E143" s="150"/>
      <c r="F143" s="151"/>
      <c r="G143" s="150"/>
      <c r="H143" s="150"/>
      <c r="I143" s="152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>
      <c r="A145" s="84"/>
      <c r="B145" s="518"/>
      <c r="C145" s="520" t="s">
        <v>0</v>
      </c>
      <c r="D145" s="219"/>
      <c r="E145" s="219"/>
      <c r="F145" s="306"/>
      <c r="G145" s="137" t="s">
        <v>1</v>
      </c>
      <c r="H145" s="292" t="s">
        <v>407</v>
      </c>
      <c r="I145" s="22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>
      <c r="A146" s="84"/>
      <c r="B146" s="492"/>
      <c r="C146" s="289"/>
      <c r="D146" s="213"/>
      <c r="E146" s="213"/>
      <c r="F146" s="251"/>
      <c r="G146" s="10" t="s">
        <v>3</v>
      </c>
      <c r="H146" s="309">
        <v>1</v>
      </c>
      <c r="I146" s="202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>
      <c r="A147" s="84"/>
      <c r="B147" s="492"/>
      <c r="C147" s="290"/>
      <c r="D147" s="230"/>
      <c r="E147" s="230"/>
      <c r="F147" s="291"/>
      <c r="G147" s="10" t="s">
        <v>5</v>
      </c>
      <c r="H147" s="273" t="s">
        <v>6</v>
      </c>
      <c r="I147" s="202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>
      <c r="A148" s="84"/>
      <c r="B148" s="492"/>
      <c r="C148" s="268" t="s">
        <v>408</v>
      </c>
      <c r="D148" s="213"/>
      <c r="E148" s="213"/>
      <c r="F148" s="251"/>
      <c r="G148" s="398" t="s">
        <v>7</v>
      </c>
      <c r="H148" s="273" t="s">
        <v>8</v>
      </c>
      <c r="I148" s="202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>
      <c r="A149" s="84"/>
      <c r="B149" s="519"/>
      <c r="C149" s="210"/>
      <c r="D149" s="210"/>
      <c r="E149" s="210"/>
      <c r="F149" s="280"/>
      <c r="G149" s="516"/>
      <c r="H149" s="517" t="s">
        <v>9</v>
      </c>
      <c r="I149" s="236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>
      <c r="A150" s="84"/>
      <c r="B150" s="138" t="s">
        <v>409</v>
      </c>
      <c r="C150" s="512" t="str">
        <f>OP!$M$11</f>
        <v>OP-SS-126</v>
      </c>
      <c r="D150" s="230"/>
      <c r="E150" s="230"/>
      <c r="F150" s="291"/>
      <c r="G150" s="139" t="s">
        <v>201</v>
      </c>
      <c r="H150" s="510"/>
      <c r="I150" s="291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>
      <c r="A151" s="84"/>
      <c r="B151" s="141" t="s">
        <v>410</v>
      </c>
      <c r="C151" s="512" t="str">
        <f>OP!$G$9</f>
        <v>CONTORNO DE OJOS RETINALDEHIDO 0.05%</v>
      </c>
      <c r="D151" s="230"/>
      <c r="E151" s="230"/>
      <c r="F151" s="291"/>
      <c r="G151" s="142" t="s">
        <v>411</v>
      </c>
      <c r="H151" s="511" t="str">
        <f>OP!$M$10</f>
        <v>252581</v>
      </c>
      <c r="I151" s="291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>
      <c r="A152" s="84"/>
      <c r="B152" s="141" t="s">
        <v>412</v>
      </c>
      <c r="C152" s="513" t="str">
        <f>OP!B25</f>
        <v>GLUCONOLACTONA</v>
      </c>
      <c r="D152" s="201"/>
      <c r="E152" s="201"/>
      <c r="F152" s="204"/>
      <c r="G152" s="143" t="s">
        <v>413</v>
      </c>
      <c r="H152" s="512" t="str">
        <f>OP!J25</f>
        <v>YT-GL20241109</v>
      </c>
      <c r="I152" s="291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>
      <c r="A153" s="84"/>
      <c r="B153" s="144" t="s">
        <v>414</v>
      </c>
      <c r="C153" s="514">
        <f>OP!N25</f>
        <v>70</v>
      </c>
      <c r="D153" s="230"/>
      <c r="E153" s="230"/>
      <c r="F153" s="230"/>
      <c r="G153" s="145"/>
      <c r="H153" s="140"/>
      <c r="I153" s="146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>
      <c r="A154" s="84"/>
      <c r="B154" s="144" t="s">
        <v>415</v>
      </c>
      <c r="C154" s="515"/>
      <c r="D154" s="230"/>
      <c r="E154" s="230"/>
      <c r="F154" s="230"/>
      <c r="G154" s="140"/>
      <c r="H154" s="140"/>
      <c r="I154" s="146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>
      <c r="A155" s="84"/>
      <c r="B155" s="144" t="s">
        <v>416</v>
      </c>
      <c r="C155" s="515"/>
      <c r="D155" s="230"/>
      <c r="E155" s="230"/>
      <c r="F155" s="230"/>
      <c r="G155" s="145" t="s">
        <v>417</v>
      </c>
      <c r="H155" s="147"/>
      <c r="I155" s="148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>
      <c r="A156" s="84"/>
      <c r="B156" s="144" t="s">
        <v>418</v>
      </c>
      <c r="C156" s="515"/>
      <c r="D156" s="230"/>
      <c r="E156" s="230"/>
      <c r="F156" s="230"/>
      <c r="G156" s="145" t="s">
        <v>199</v>
      </c>
      <c r="H156" s="147"/>
      <c r="I156" s="148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>
      <c r="A157" s="84"/>
      <c r="B157" s="149" t="s">
        <v>419</v>
      </c>
      <c r="C157" s="150"/>
      <c r="D157" s="150"/>
      <c r="E157" s="150"/>
      <c r="F157" s="151"/>
      <c r="G157" s="150"/>
      <c r="H157" s="150"/>
      <c r="I157" s="152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>
      <c r="A159" s="84"/>
      <c r="B159" s="518"/>
      <c r="C159" s="520" t="s">
        <v>0</v>
      </c>
      <c r="D159" s="219"/>
      <c r="E159" s="219"/>
      <c r="F159" s="306"/>
      <c r="G159" s="137" t="s">
        <v>1</v>
      </c>
      <c r="H159" s="292" t="s">
        <v>407</v>
      </c>
      <c r="I159" s="22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>
      <c r="A160" s="84"/>
      <c r="B160" s="492"/>
      <c r="C160" s="289"/>
      <c r="D160" s="213"/>
      <c r="E160" s="213"/>
      <c r="F160" s="251"/>
      <c r="G160" s="10" t="s">
        <v>3</v>
      </c>
      <c r="H160" s="309">
        <v>1</v>
      </c>
      <c r="I160" s="202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>
      <c r="A161" s="84"/>
      <c r="B161" s="492"/>
      <c r="C161" s="290"/>
      <c r="D161" s="230"/>
      <c r="E161" s="230"/>
      <c r="F161" s="291"/>
      <c r="G161" s="10" t="s">
        <v>5</v>
      </c>
      <c r="H161" s="273" t="s">
        <v>6</v>
      </c>
      <c r="I161" s="202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>
      <c r="A162" s="84"/>
      <c r="B162" s="492"/>
      <c r="C162" s="268" t="s">
        <v>408</v>
      </c>
      <c r="D162" s="213"/>
      <c r="E162" s="213"/>
      <c r="F162" s="251"/>
      <c r="G162" s="398" t="s">
        <v>7</v>
      </c>
      <c r="H162" s="273" t="s">
        <v>8</v>
      </c>
      <c r="I162" s="202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>
      <c r="A163" s="84"/>
      <c r="B163" s="519"/>
      <c r="C163" s="210"/>
      <c r="D163" s="210"/>
      <c r="E163" s="210"/>
      <c r="F163" s="280"/>
      <c r="G163" s="516"/>
      <c r="H163" s="517" t="s">
        <v>9</v>
      </c>
      <c r="I163" s="236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>
      <c r="A164" s="84"/>
      <c r="B164" s="138" t="s">
        <v>409</v>
      </c>
      <c r="C164" s="512" t="str">
        <f>OP!$M$11</f>
        <v>OP-SS-126</v>
      </c>
      <c r="D164" s="230"/>
      <c r="E164" s="230"/>
      <c r="F164" s="291"/>
      <c r="G164" s="139" t="s">
        <v>201</v>
      </c>
      <c r="H164" s="510"/>
      <c r="I164" s="291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>
      <c r="A165" s="84"/>
      <c r="B165" s="141" t="s">
        <v>410</v>
      </c>
      <c r="C165" s="512" t="str">
        <f>OP!$G$9</f>
        <v>CONTORNO DE OJOS RETINALDEHIDO 0.05%</v>
      </c>
      <c r="D165" s="230"/>
      <c r="E165" s="230"/>
      <c r="F165" s="291"/>
      <c r="G165" s="142" t="s">
        <v>411</v>
      </c>
      <c r="H165" s="511" t="str">
        <f>OP!$M$10</f>
        <v>252581</v>
      </c>
      <c r="I165" s="291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>
      <c r="A166" s="84"/>
      <c r="B166" s="141" t="s">
        <v>412</v>
      </c>
      <c r="C166" s="513" t="str">
        <f>OP!B26</f>
        <v>ACIDO HILAURONICO 50 KD</v>
      </c>
      <c r="D166" s="201"/>
      <c r="E166" s="201"/>
      <c r="F166" s="204"/>
      <c r="G166" s="143" t="s">
        <v>413</v>
      </c>
      <c r="H166" s="512" t="str">
        <f>OP!J26</f>
        <v>YT-HA20250622</v>
      </c>
      <c r="I166" s="291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>
      <c r="A167" s="84"/>
      <c r="B167" s="144" t="s">
        <v>414</v>
      </c>
      <c r="C167" s="514">
        <f>OP!N26</f>
        <v>70</v>
      </c>
      <c r="D167" s="230"/>
      <c r="E167" s="230"/>
      <c r="F167" s="230"/>
      <c r="G167" s="145"/>
      <c r="H167" s="140"/>
      <c r="I167" s="146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>
      <c r="A168" s="84"/>
      <c r="B168" s="144" t="s">
        <v>415</v>
      </c>
      <c r="C168" s="515"/>
      <c r="D168" s="230"/>
      <c r="E168" s="230"/>
      <c r="F168" s="230"/>
      <c r="G168" s="140"/>
      <c r="H168" s="140"/>
      <c r="I168" s="146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>
      <c r="A169" s="84"/>
      <c r="B169" s="144" t="s">
        <v>416</v>
      </c>
      <c r="C169" s="515"/>
      <c r="D169" s="230"/>
      <c r="E169" s="230"/>
      <c r="F169" s="230"/>
      <c r="G169" s="145" t="s">
        <v>417</v>
      </c>
      <c r="H169" s="147"/>
      <c r="I169" s="148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>
      <c r="A170" s="84"/>
      <c r="B170" s="144" t="s">
        <v>418</v>
      </c>
      <c r="C170" s="515"/>
      <c r="D170" s="230"/>
      <c r="E170" s="230"/>
      <c r="F170" s="230"/>
      <c r="G170" s="145" t="s">
        <v>199</v>
      </c>
      <c r="H170" s="147"/>
      <c r="I170" s="148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>
      <c r="A171" s="84"/>
      <c r="B171" s="149" t="s">
        <v>419</v>
      </c>
      <c r="C171" s="150"/>
      <c r="D171" s="150"/>
      <c r="E171" s="150"/>
      <c r="F171" s="151"/>
      <c r="G171" s="150"/>
      <c r="H171" s="150"/>
      <c r="I171" s="152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>
      <c r="A173" s="84"/>
      <c r="B173" s="518"/>
      <c r="C173" s="520" t="s">
        <v>0</v>
      </c>
      <c r="D173" s="219"/>
      <c r="E173" s="219"/>
      <c r="F173" s="306"/>
      <c r="G173" s="137" t="s">
        <v>1</v>
      </c>
      <c r="H173" s="292" t="s">
        <v>407</v>
      </c>
      <c r="I173" s="22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>
      <c r="A174" s="84"/>
      <c r="B174" s="492"/>
      <c r="C174" s="289"/>
      <c r="D174" s="213"/>
      <c r="E174" s="213"/>
      <c r="F174" s="251"/>
      <c r="G174" s="10" t="s">
        <v>3</v>
      </c>
      <c r="H174" s="309">
        <v>1</v>
      </c>
      <c r="I174" s="202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>
      <c r="A175" s="84"/>
      <c r="B175" s="492"/>
      <c r="C175" s="290"/>
      <c r="D175" s="230"/>
      <c r="E175" s="230"/>
      <c r="F175" s="291"/>
      <c r="G175" s="10" t="s">
        <v>5</v>
      </c>
      <c r="H175" s="273" t="s">
        <v>6</v>
      </c>
      <c r="I175" s="202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>
      <c r="A176" s="84"/>
      <c r="B176" s="492"/>
      <c r="C176" s="268" t="s">
        <v>408</v>
      </c>
      <c r="D176" s="213"/>
      <c r="E176" s="213"/>
      <c r="F176" s="251"/>
      <c r="G176" s="398" t="s">
        <v>7</v>
      </c>
      <c r="H176" s="273" t="s">
        <v>8</v>
      </c>
      <c r="I176" s="202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>
      <c r="A177" s="84"/>
      <c r="B177" s="519"/>
      <c r="C177" s="210"/>
      <c r="D177" s="210"/>
      <c r="E177" s="210"/>
      <c r="F177" s="280"/>
      <c r="G177" s="516"/>
      <c r="H177" s="517" t="s">
        <v>9</v>
      </c>
      <c r="I177" s="236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>
      <c r="A178" s="84"/>
      <c r="B178" s="138" t="s">
        <v>409</v>
      </c>
      <c r="C178" s="512" t="str">
        <f>OP!$M$11</f>
        <v>OP-SS-126</v>
      </c>
      <c r="D178" s="230"/>
      <c r="E178" s="230"/>
      <c r="F178" s="291"/>
      <c r="G178" s="139" t="s">
        <v>201</v>
      </c>
      <c r="H178" s="510"/>
      <c r="I178" s="291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>
      <c r="A179" s="84"/>
      <c r="B179" s="141" t="s">
        <v>410</v>
      </c>
      <c r="C179" s="512" t="str">
        <f>OP!$G$9</f>
        <v>CONTORNO DE OJOS RETINALDEHIDO 0.05%</v>
      </c>
      <c r="D179" s="230"/>
      <c r="E179" s="230"/>
      <c r="F179" s="291"/>
      <c r="G179" s="142" t="s">
        <v>411</v>
      </c>
      <c r="H179" s="511" t="str">
        <f>OP!$M$10</f>
        <v>252581</v>
      </c>
      <c r="I179" s="291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>
      <c r="A180" s="84"/>
      <c r="B180" s="141" t="s">
        <v>412</v>
      </c>
      <c r="C180" s="513" t="str">
        <f>OP!B27</f>
        <v>ALANTOINA</v>
      </c>
      <c r="D180" s="201"/>
      <c r="E180" s="201"/>
      <c r="F180" s="204"/>
      <c r="G180" s="143" t="s">
        <v>413</v>
      </c>
      <c r="H180" s="512">
        <f>OP!J27</f>
        <v>20241202</v>
      </c>
      <c r="I180" s="291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>
      <c r="A181" s="84"/>
      <c r="B181" s="144" t="s">
        <v>414</v>
      </c>
      <c r="C181" s="514">
        <f>OP!N27</f>
        <v>70</v>
      </c>
      <c r="D181" s="230"/>
      <c r="E181" s="230"/>
      <c r="F181" s="230"/>
      <c r="G181" s="145"/>
      <c r="H181" s="140"/>
      <c r="I181" s="146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>
      <c r="A182" s="84"/>
      <c r="B182" s="144" t="s">
        <v>415</v>
      </c>
      <c r="C182" s="515"/>
      <c r="D182" s="230"/>
      <c r="E182" s="230"/>
      <c r="F182" s="230"/>
      <c r="G182" s="140"/>
      <c r="H182" s="140"/>
      <c r="I182" s="146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>
      <c r="A183" s="84"/>
      <c r="B183" s="144" t="s">
        <v>416</v>
      </c>
      <c r="C183" s="515"/>
      <c r="D183" s="230"/>
      <c r="E183" s="230"/>
      <c r="F183" s="230"/>
      <c r="G183" s="145" t="s">
        <v>417</v>
      </c>
      <c r="H183" s="147"/>
      <c r="I183" s="148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>
      <c r="A184" s="84"/>
      <c r="B184" s="144" t="s">
        <v>418</v>
      </c>
      <c r="C184" s="515"/>
      <c r="D184" s="230"/>
      <c r="E184" s="230"/>
      <c r="F184" s="230"/>
      <c r="G184" s="145" t="s">
        <v>199</v>
      </c>
      <c r="H184" s="147"/>
      <c r="I184" s="148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>
      <c r="A185" s="84"/>
      <c r="B185" s="149" t="s">
        <v>419</v>
      </c>
      <c r="C185" s="150"/>
      <c r="D185" s="150"/>
      <c r="E185" s="150"/>
      <c r="F185" s="151"/>
      <c r="G185" s="150"/>
      <c r="H185" s="150"/>
      <c r="I185" s="152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>
      <c r="A187" s="84"/>
      <c r="B187" s="518"/>
      <c r="C187" s="520" t="s">
        <v>0</v>
      </c>
      <c r="D187" s="219"/>
      <c r="E187" s="219"/>
      <c r="F187" s="306"/>
      <c r="G187" s="137" t="s">
        <v>1</v>
      </c>
      <c r="H187" s="292" t="s">
        <v>407</v>
      </c>
      <c r="I187" s="22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>
      <c r="A188" s="84"/>
      <c r="B188" s="492"/>
      <c r="C188" s="289"/>
      <c r="D188" s="213"/>
      <c r="E188" s="213"/>
      <c r="F188" s="251"/>
      <c r="G188" s="10" t="s">
        <v>3</v>
      </c>
      <c r="H188" s="309">
        <v>1</v>
      </c>
      <c r="I188" s="202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>
      <c r="A189" s="84"/>
      <c r="B189" s="492"/>
      <c r="C189" s="290"/>
      <c r="D189" s="230"/>
      <c r="E189" s="230"/>
      <c r="F189" s="291"/>
      <c r="G189" s="10" t="s">
        <v>5</v>
      </c>
      <c r="H189" s="273" t="s">
        <v>6</v>
      </c>
      <c r="I189" s="202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>
      <c r="A190" s="84"/>
      <c r="B190" s="492"/>
      <c r="C190" s="268" t="s">
        <v>408</v>
      </c>
      <c r="D190" s="213"/>
      <c r="E190" s="213"/>
      <c r="F190" s="251"/>
      <c r="G190" s="398" t="s">
        <v>7</v>
      </c>
      <c r="H190" s="273" t="s">
        <v>8</v>
      </c>
      <c r="I190" s="202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>
      <c r="A191" s="84"/>
      <c r="B191" s="519"/>
      <c r="C191" s="210"/>
      <c r="D191" s="210"/>
      <c r="E191" s="210"/>
      <c r="F191" s="280"/>
      <c r="G191" s="516"/>
      <c r="H191" s="517" t="s">
        <v>9</v>
      </c>
      <c r="I191" s="236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>
      <c r="A192" s="84"/>
      <c r="B192" s="138" t="s">
        <v>409</v>
      </c>
      <c r="C192" s="512" t="str">
        <f>OP!$M$11</f>
        <v>OP-SS-126</v>
      </c>
      <c r="D192" s="230"/>
      <c r="E192" s="230"/>
      <c r="F192" s="291"/>
      <c r="G192" s="139" t="s">
        <v>201</v>
      </c>
      <c r="H192" s="510"/>
      <c r="I192" s="291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>
      <c r="A193" s="84"/>
      <c r="B193" s="141" t="s">
        <v>410</v>
      </c>
      <c r="C193" s="512" t="str">
        <f>OP!$G$9</f>
        <v>CONTORNO DE OJOS RETINALDEHIDO 0.05%</v>
      </c>
      <c r="D193" s="230"/>
      <c r="E193" s="230"/>
      <c r="F193" s="291"/>
      <c r="G193" s="142" t="s">
        <v>411</v>
      </c>
      <c r="H193" s="511" t="str">
        <f>OP!$M$10</f>
        <v>252581</v>
      </c>
      <c r="I193" s="291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>
      <c r="A194" s="84"/>
      <c r="B194" s="141" t="s">
        <v>412</v>
      </c>
      <c r="C194" s="513" t="str">
        <f>OP!B28</f>
        <v>VITAMINA E POLVO</v>
      </c>
      <c r="D194" s="201"/>
      <c r="E194" s="201"/>
      <c r="F194" s="204"/>
      <c r="G194" s="143" t="s">
        <v>413</v>
      </c>
      <c r="H194" s="512" t="str">
        <f>OP!J28</f>
        <v>022411A014</v>
      </c>
      <c r="I194" s="291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>
      <c r="A195" s="84"/>
      <c r="B195" s="144" t="s">
        <v>414</v>
      </c>
      <c r="C195" s="514">
        <f>OP!N28</f>
        <v>70</v>
      </c>
      <c r="D195" s="230"/>
      <c r="E195" s="230"/>
      <c r="F195" s="230"/>
      <c r="G195" s="145"/>
      <c r="H195" s="140"/>
      <c r="I195" s="146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>
      <c r="A196" s="84"/>
      <c r="B196" s="144" t="s">
        <v>415</v>
      </c>
      <c r="C196" s="515"/>
      <c r="D196" s="230"/>
      <c r="E196" s="230"/>
      <c r="F196" s="230"/>
      <c r="G196" s="140"/>
      <c r="H196" s="140"/>
      <c r="I196" s="146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>
      <c r="A197" s="84"/>
      <c r="B197" s="144" t="s">
        <v>416</v>
      </c>
      <c r="C197" s="515"/>
      <c r="D197" s="230"/>
      <c r="E197" s="230"/>
      <c r="F197" s="230"/>
      <c r="G197" s="145" t="s">
        <v>417</v>
      </c>
      <c r="H197" s="147"/>
      <c r="I197" s="148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>
      <c r="A198" s="84"/>
      <c r="B198" s="144" t="s">
        <v>418</v>
      </c>
      <c r="C198" s="515"/>
      <c r="D198" s="230"/>
      <c r="E198" s="230"/>
      <c r="F198" s="230"/>
      <c r="G198" s="145" t="s">
        <v>199</v>
      </c>
      <c r="H198" s="147"/>
      <c r="I198" s="148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>
      <c r="A199" s="84"/>
      <c r="B199" s="149" t="s">
        <v>419</v>
      </c>
      <c r="C199" s="150"/>
      <c r="D199" s="150"/>
      <c r="E199" s="150"/>
      <c r="F199" s="151"/>
      <c r="G199" s="150"/>
      <c r="H199" s="150"/>
      <c r="I199" s="152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>
      <c r="A201" s="84"/>
      <c r="B201" s="518"/>
      <c r="C201" s="520" t="s">
        <v>0</v>
      </c>
      <c r="D201" s="219"/>
      <c r="E201" s="219"/>
      <c r="F201" s="306"/>
      <c r="G201" s="137" t="s">
        <v>1</v>
      </c>
      <c r="H201" s="292" t="s">
        <v>407</v>
      </c>
      <c r="I201" s="22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>
      <c r="A202" s="84"/>
      <c r="B202" s="492"/>
      <c r="C202" s="289"/>
      <c r="D202" s="213"/>
      <c r="E202" s="213"/>
      <c r="F202" s="251"/>
      <c r="G202" s="10" t="s">
        <v>3</v>
      </c>
      <c r="H202" s="309">
        <v>1</v>
      </c>
      <c r="I202" s="202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>
      <c r="A203" s="84"/>
      <c r="B203" s="492"/>
      <c r="C203" s="290"/>
      <c r="D203" s="230"/>
      <c r="E203" s="230"/>
      <c r="F203" s="291"/>
      <c r="G203" s="10" t="s">
        <v>5</v>
      </c>
      <c r="H203" s="273" t="s">
        <v>6</v>
      </c>
      <c r="I203" s="202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>
      <c r="A204" s="84"/>
      <c r="B204" s="492"/>
      <c r="C204" s="268" t="s">
        <v>408</v>
      </c>
      <c r="D204" s="213"/>
      <c r="E204" s="213"/>
      <c r="F204" s="251"/>
      <c r="G204" s="398" t="s">
        <v>7</v>
      </c>
      <c r="H204" s="273" t="s">
        <v>8</v>
      </c>
      <c r="I204" s="202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>
      <c r="A205" s="84"/>
      <c r="B205" s="519"/>
      <c r="C205" s="210"/>
      <c r="D205" s="210"/>
      <c r="E205" s="210"/>
      <c r="F205" s="280"/>
      <c r="G205" s="516"/>
      <c r="H205" s="517" t="s">
        <v>9</v>
      </c>
      <c r="I205" s="236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>
      <c r="A206" s="84"/>
      <c r="B206" s="138" t="s">
        <v>409</v>
      </c>
      <c r="C206" s="512" t="str">
        <f>OP!$M$11</f>
        <v>OP-SS-126</v>
      </c>
      <c r="D206" s="230"/>
      <c r="E206" s="230"/>
      <c r="F206" s="291"/>
      <c r="G206" s="139" t="s">
        <v>201</v>
      </c>
      <c r="H206" s="510"/>
      <c r="I206" s="291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>
      <c r="A207" s="84"/>
      <c r="B207" s="141" t="s">
        <v>410</v>
      </c>
      <c r="C207" s="512" t="str">
        <f>OP!$G$9</f>
        <v>CONTORNO DE OJOS RETINALDEHIDO 0.05%</v>
      </c>
      <c r="D207" s="230"/>
      <c r="E207" s="230"/>
      <c r="F207" s="291"/>
      <c r="G207" s="142" t="s">
        <v>411</v>
      </c>
      <c r="H207" s="511" t="str">
        <f>OP!$M$10</f>
        <v>252581</v>
      </c>
      <c r="I207" s="291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>
      <c r="A208" s="84"/>
      <c r="B208" s="141" t="s">
        <v>412</v>
      </c>
      <c r="C208" s="513" t="str">
        <f>OP!B29</f>
        <v>EZ-4U</v>
      </c>
      <c r="D208" s="201"/>
      <c r="E208" s="201"/>
      <c r="F208" s="204"/>
      <c r="G208" s="143" t="s">
        <v>413</v>
      </c>
      <c r="H208" s="512">
        <f>OP!J29</f>
        <v>0</v>
      </c>
      <c r="I208" s="291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>
      <c r="A209" s="84"/>
      <c r="B209" s="144" t="s">
        <v>414</v>
      </c>
      <c r="C209" s="514">
        <f>OP!N29</f>
        <v>56.000000000000007</v>
      </c>
      <c r="D209" s="230"/>
      <c r="E209" s="230"/>
      <c r="F209" s="230"/>
      <c r="G209" s="145"/>
      <c r="H209" s="140"/>
      <c r="I209" s="146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>
      <c r="A210" s="84"/>
      <c r="B210" s="144" t="s">
        <v>415</v>
      </c>
      <c r="C210" s="515"/>
      <c r="D210" s="230"/>
      <c r="E210" s="230"/>
      <c r="F210" s="230"/>
      <c r="G210" s="140"/>
      <c r="H210" s="140"/>
      <c r="I210" s="146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>
      <c r="A211" s="84"/>
      <c r="B211" s="144" t="s">
        <v>416</v>
      </c>
      <c r="C211" s="515"/>
      <c r="D211" s="230"/>
      <c r="E211" s="230"/>
      <c r="F211" s="230"/>
      <c r="G211" s="145" t="s">
        <v>417</v>
      </c>
      <c r="H211" s="147"/>
      <c r="I211" s="148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>
      <c r="A212" s="84"/>
      <c r="B212" s="144" t="s">
        <v>418</v>
      </c>
      <c r="C212" s="515"/>
      <c r="D212" s="230"/>
      <c r="E212" s="230"/>
      <c r="F212" s="230"/>
      <c r="G212" s="145" t="s">
        <v>199</v>
      </c>
      <c r="H212" s="147"/>
      <c r="I212" s="148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>
      <c r="A213" s="84"/>
      <c r="B213" s="149" t="s">
        <v>419</v>
      </c>
      <c r="C213" s="150"/>
      <c r="D213" s="150"/>
      <c r="E213" s="150"/>
      <c r="F213" s="151"/>
      <c r="G213" s="150"/>
      <c r="H213" s="150"/>
      <c r="I213" s="152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>
      <c r="A215" s="84"/>
      <c r="B215" s="518"/>
      <c r="C215" s="520" t="s">
        <v>0</v>
      </c>
      <c r="D215" s="219"/>
      <c r="E215" s="219"/>
      <c r="F215" s="306"/>
      <c r="G215" s="137" t="s">
        <v>1</v>
      </c>
      <c r="H215" s="292" t="s">
        <v>407</v>
      </c>
      <c r="I215" s="22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>
      <c r="A216" s="84"/>
      <c r="B216" s="492"/>
      <c r="C216" s="289"/>
      <c r="D216" s="213"/>
      <c r="E216" s="213"/>
      <c r="F216" s="251"/>
      <c r="G216" s="10" t="s">
        <v>3</v>
      </c>
      <c r="H216" s="309">
        <v>1</v>
      </c>
      <c r="I216" s="202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>
      <c r="A217" s="84"/>
      <c r="B217" s="492"/>
      <c r="C217" s="290"/>
      <c r="D217" s="230"/>
      <c r="E217" s="230"/>
      <c r="F217" s="291"/>
      <c r="G217" s="10" t="s">
        <v>5</v>
      </c>
      <c r="H217" s="273" t="s">
        <v>6</v>
      </c>
      <c r="I217" s="202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>
      <c r="A218" s="84"/>
      <c r="B218" s="492"/>
      <c r="C218" s="268" t="s">
        <v>408</v>
      </c>
      <c r="D218" s="213"/>
      <c r="E218" s="213"/>
      <c r="F218" s="251"/>
      <c r="G218" s="398" t="s">
        <v>7</v>
      </c>
      <c r="H218" s="273" t="s">
        <v>8</v>
      </c>
      <c r="I218" s="202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>
      <c r="A219" s="84"/>
      <c r="B219" s="519"/>
      <c r="C219" s="210"/>
      <c r="D219" s="210"/>
      <c r="E219" s="210"/>
      <c r="F219" s="280"/>
      <c r="G219" s="516"/>
      <c r="H219" s="517" t="s">
        <v>9</v>
      </c>
      <c r="I219" s="236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>
      <c r="A220" s="84"/>
      <c r="B220" s="138" t="s">
        <v>409</v>
      </c>
      <c r="C220" s="512" t="str">
        <f>OP!$M$11</f>
        <v>OP-SS-126</v>
      </c>
      <c r="D220" s="230"/>
      <c r="E220" s="230"/>
      <c r="F220" s="291"/>
      <c r="G220" s="139" t="s">
        <v>201</v>
      </c>
      <c r="H220" s="510"/>
      <c r="I220" s="291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>
      <c r="A221" s="84"/>
      <c r="B221" s="141" t="s">
        <v>410</v>
      </c>
      <c r="C221" s="512" t="str">
        <f>OP!$G$9</f>
        <v>CONTORNO DE OJOS RETINALDEHIDO 0.05%</v>
      </c>
      <c r="D221" s="230"/>
      <c r="E221" s="230"/>
      <c r="F221" s="291"/>
      <c r="G221" s="142" t="s">
        <v>411</v>
      </c>
      <c r="H221" s="511" t="str">
        <f>OP!$M$10</f>
        <v>252581</v>
      </c>
      <c r="I221" s="291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>
      <c r="A222" s="84"/>
      <c r="B222" s="141" t="s">
        <v>412</v>
      </c>
      <c r="C222" s="513" t="str">
        <f>OP!B30</f>
        <v>L-TEANINA</v>
      </c>
      <c r="D222" s="201"/>
      <c r="E222" s="201"/>
      <c r="F222" s="204"/>
      <c r="G222" s="143" t="s">
        <v>413</v>
      </c>
      <c r="H222" s="512">
        <f>OP!J30</f>
        <v>20220526</v>
      </c>
      <c r="I222" s="291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>
      <c r="A223" s="84"/>
      <c r="B223" s="144" t="s">
        <v>414</v>
      </c>
      <c r="C223" s="514">
        <f>OP!N30</f>
        <v>14.000000000000002</v>
      </c>
      <c r="D223" s="230"/>
      <c r="E223" s="230"/>
      <c r="F223" s="230"/>
      <c r="G223" s="145"/>
      <c r="H223" s="140"/>
      <c r="I223" s="146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>
      <c r="A224" s="84"/>
      <c r="B224" s="144" t="s">
        <v>415</v>
      </c>
      <c r="C224" s="515"/>
      <c r="D224" s="230"/>
      <c r="E224" s="230"/>
      <c r="F224" s="230"/>
      <c r="G224" s="140"/>
      <c r="H224" s="140"/>
      <c r="I224" s="146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>
      <c r="A225" s="84"/>
      <c r="B225" s="144" t="s">
        <v>416</v>
      </c>
      <c r="C225" s="515"/>
      <c r="D225" s="230"/>
      <c r="E225" s="230"/>
      <c r="F225" s="230"/>
      <c r="G225" s="145" t="s">
        <v>417</v>
      </c>
      <c r="H225" s="147"/>
      <c r="I225" s="148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>
      <c r="A226" s="84"/>
      <c r="B226" s="144" t="s">
        <v>418</v>
      </c>
      <c r="C226" s="515"/>
      <c r="D226" s="230"/>
      <c r="E226" s="230"/>
      <c r="F226" s="230"/>
      <c r="G226" s="145" t="s">
        <v>199</v>
      </c>
      <c r="H226" s="147"/>
      <c r="I226" s="148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>
      <c r="A227" s="84"/>
      <c r="B227" s="149" t="s">
        <v>419</v>
      </c>
      <c r="C227" s="150"/>
      <c r="D227" s="150"/>
      <c r="E227" s="150"/>
      <c r="F227" s="151"/>
      <c r="G227" s="150"/>
      <c r="H227" s="150"/>
      <c r="I227" s="152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>
      <c r="A229" s="84"/>
      <c r="B229" s="518"/>
      <c r="C229" s="520" t="s">
        <v>0</v>
      </c>
      <c r="D229" s="219"/>
      <c r="E229" s="219"/>
      <c r="F229" s="306"/>
      <c r="G229" s="137" t="s">
        <v>1</v>
      </c>
      <c r="H229" s="292" t="s">
        <v>407</v>
      </c>
      <c r="I229" s="22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>
      <c r="A230" s="84"/>
      <c r="B230" s="492"/>
      <c r="C230" s="289"/>
      <c r="D230" s="213"/>
      <c r="E230" s="213"/>
      <c r="F230" s="251"/>
      <c r="G230" s="10" t="s">
        <v>3</v>
      </c>
      <c r="H230" s="309">
        <v>1</v>
      </c>
      <c r="I230" s="202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>
      <c r="A231" s="84"/>
      <c r="B231" s="492"/>
      <c r="C231" s="290"/>
      <c r="D231" s="230"/>
      <c r="E231" s="230"/>
      <c r="F231" s="291"/>
      <c r="G231" s="10" t="s">
        <v>5</v>
      </c>
      <c r="H231" s="273" t="s">
        <v>6</v>
      </c>
      <c r="I231" s="202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>
      <c r="A232" s="84"/>
      <c r="B232" s="492"/>
      <c r="C232" s="268" t="s">
        <v>408</v>
      </c>
      <c r="D232" s="213"/>
      <c r="E232" s="213"/>
      <c r="F232" s="251"/>
      <c r="G232" s="398" t="s">
        <v>7</v>
      </c>
      <c r="H232" s="273" t="s">
        <v>8</v>
      </c>
      <c r="I232" s="202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>
      <c r="A233" s="84"/>
      <c r="B233" s="519"/>
      <c r="C233" s="210"/>
      <c r="D233" s="210"/>
      <c r="E233" s="210"/>
      <c r="F233" s="280"/>
      <c r="G233" s="516"/>
      <c r="H233" s="517" t="s">
        <v>9</v>
      </c>
      <c r="I233" s="236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>
      <c r="A234" s="84"/>
      <c r="B234" s="138" t="s">
        <v>409</v>
      </c>
      <c r="C234" s="512" t="str">
        <f>OP!$M$11</f>
        <v>OP-SS-126</v>
      </c>
      <c r="D234" s="230"/>
      <c r="E234" s="230"/>
      <c r="F234" s="291"/>
      <c r="G234" s="139" t="s">
        <v>201</v>
      </c>
      <c r="H234" s="510"/>
      <c r="I234" s="291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>
      <c r="A235" s="84"/>
      <c r="B235" s="141" t="s">
        <v>410</v>
      </c>
      <c r="C235" s="512" t="str">
        <f>OP!$G$9</f>
        <v>CONTORNO DE OJOS RETINALDEHIDO 0.05%</v>
      </c>
      <c r="D235" s="230"/>
      <c r="E235" s="230"/>
      <c r="F235" s="291"/>
      <c r="G235" s="142" t="s">
        <v>411</v>
      </c>
      <c r="H235" s="511" t="str">
        <f>OP!$M$10</f>
        <v>252581</v>
      </c>
      <c r="I235" s="291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>
      <c r="A236" s="84"/>
      <c r="B236" s="141" t="s">
        <v>412</v>
      </c>
      <c r="C236" s="513" t="str">
        <f>OP!B31</f>
        <v>BETAGLUCAM</v>
      </c>
      <c r="D236" s="201"/>
      <c r="E236" s="201"/>
      <c r="F236" s="204"/>
      <c r="G236" s="143" t="s">
        <v>413</v>
      </c>
      <c r="H236" s="512" t="str">
        <f>OP!J31</f>
        <v>YT-20240219</v>
      </c>
      <c r="I236" s="291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>
      <c r="A237" s="84"/>
      <c r="B237" s="144" t="s">
        <v>414</v>
      </c>
      <c r="C237" s="514">
        <f>OP!N31</f>
        <v>7.0000000000000009</v>
      </c>
      <c r="D237" s="230"/>
      <c r="E237" s="230"/>
      <c r="F237" s="230"/>
      <c r="G237" s="145"/>
      <c r="H237" s="140"/>
      <c r="I237" s="146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>
      <c r="A238" s="84"/>
      <c r="B238" s="144" t="s">
        <v>415</v>
      </c>
      <c r="C238" s="515"/>
      <c r="D238" s="230"/>
      <c r="E238" s="230"/>
      <c r="F238" s="230"/>
      <c r="G238" s="140"/>
      <c r="H238" s="140"/>
      <c r="I238" s="146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>
      <c r="A239" s="84"/>
      <c r="B239" s="144" t="s">
        <v>416</v>
      </c>
      <c r="C239" s="515"/>
      <c r="D239" s="230"/>
      <c r="E239" s="230"/>
      <c r="F239" s="230"/>
      <c r="G239" s="145" t="s">
        <v>417</v>
      </c>
      <c r="H239" s="147"/>
      <c r="I239" s="148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>
      <c r="A240" s="84"/>
      <c r="B240" s="144" t="s">
        <v>418</v>
      </c>
      <c r="C240" s="515"/>
      <c r="D240" s="230"/>
      <c r="E240" s="230"/>
      <c r="F240" s="230"/>
      <c r="G240" s="145" t="s">
        <v>199</v>
      </c>
      <c r="H240" s="147"/>
      <c r="I240" s="148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>
      <c r="A241" s="84"/>
      <c r="B241" s="149" t="s">
        <v>419</v>
      </c>
      <c r="C241" s="150"/>
      <c r="D241" s="150"/>
      <c r="E241" s="150"/>
      <c r="F241" s="151"/>
      <c r="G241" s="150"/>
      <c r="H241" s="150"/>
      <c r="I241" s="152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>
      <c r="A243" s="84"/>
      <c r="B243" s="518"/>
      <c r="C243" s="520" t="s">
        <v>0</v>
      </c>
      <c r="D243" s="219"/>
      <c r="E243" s="219"/>
      <c r="F243" s="306"/>
      <c r="G243" s="137" t="s">
        <v>1</v>
      </c>
      <c r="H243" s="292" t="s">
        <v>407</v>
      </c>
      <c r="I243" s="22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>
      <c r="A244" s="84"/>
      <c r="B244" s="492"/>
      <c r="C244" s="289"/>
      <c r="D244" s="213"/>
      <c r="E244" s="213"/>
      <c r="F244" s="251"/>
      <c r="G244" s="10" t="s">
        <v>3</v>
      </c>
      <c r="H244" s="309">
        <v>1</v>
      </c>
      <c r="I244" s="202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>
      <c r="A245" s="84"/>
      <c r="B245" s="492"/>
      <c r="C245" s="290"/>
      <c r="D245" s="230"/>
      <c r="E245" s="230"/>
      <c r="F245" s="291"/>
      <c r="G245" s="10" t="s">
        <v>5</v>
      </c>
      <c r="H245" s="273" t="s">
        <v>6</v>
      </c>
      <c r="I245" s="202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>
      <c r="A246" s="84"/>
      <c r="B246" s="492"/>
      <c r="C246" s="268" t="s">
        <v>408</v>
      </c>
      <c r="D246" s="213"/>
      <c r="E246" s="213"/>
      <c r="F246" s="251"/>
      <c r="G246" s="398" t="s">
        <v>7</v>
      </c>
      <c r="H246" s="273" t="s">
        <v>8</v>
      </c>
      <c r="I246" s="202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>
      <c r="A247" s="84"/>
      <c r="B247" s="519"/>
      <c r="C247" s="210"/>
      <c r="D247" s="210"/>
      <c r="E247" s="210"/>
      <c r="F247" s="280"/>
      <c r="G247" s="516"/>
      <c r="H247" s="517" t="s">
        <v>9</v>
      </c>
      <c r="I247" s="236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>
      <c r="A248" s="84"/>
      <c r="B248" s="138" t="s">
        <v>409</v>
      </c>
      <c r="C248" s="512" t="str">
        <f>OP!$M$11</f>
        <v>OP-SS-126</v>
      </c>
      <c r="D248" s="230"/>
      <c r="E248" s="230"/>
      <c r="F248" s="291"/>
      <c r="G248" s="139" t="s">
        <v>201</v>
      </c>
      <c r="H248" s="510"/>
      <c r="I248" s="291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>
      <c r="A249" s="84"/>
      <c r="B249" s="141" t="s">
        <v>410</v>
      </c>
      <c r="C249" s="512" t="str">
        <f>OP!$G$9</f>
        <v>CONTORNO DE OJOS RETINALDEHIDO 0.05%</v>
      </c>
      <c r="D249" s="230"/>
      <c r="E249" s="230"/>
      <c r="F249" s="291"/>
      <c r="G249" s="142" t="s">
        <v>411</v>
      </c>
      <c r="H249" s="511" t="str">
        <f>OP!$M$10</f>
        <v>252581</v>
      </c>
      <c r="I249" s="291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>
      <c r="A250" s="84"/>
      <c r="B250" s="141" t="s">
        <v>412</v>
      </c>
      <c r="C250" s="513" t="str">
        <f>OP!B32</f>
        <v>PEPTIDOS DE COLAGENO POLVO</v>
      </c>
      <c r="D250" s="201"/>
      <c r="E250" s="201"/>
      <c r="F250" s="204"/>
      <c r="G250" s="143" t="s">
        <v>413</v>
      </c>
      <c r="H250" s="512" t="str">
        <f>OP!J32</f>
        <v>YT-20240725</v>
      </c>
      <c r="I250" s="291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>
      <c r="A251" s="84"/>
      <c r="B251" s="144" t="s">
        <v>414</v>
      </c>
      <c r="C251" s="514">
        <f>OP!N32</f>
        <v>7.0000000000000009</v>
      </c>
      <c r="D251" s="230"/>
      <c r="E251" s="230"/>
      <c r="F251" s="230"/>
      <c r="G251" s="145"/>
      <c r="H251" s="140"/>
      <c r="I251" s="146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>
      <c r="A252" s="84"/>
      <c r="B252" s="144" t="s">
        <v>415</v>
      </c>
      <c r="C252" s="515"/>
      <c r="D252" s="230"/>
      <c r="E252" s="230"/>
      <c r="F252" s="230"/>
      <c r="G252" s="140"/>
      <c r="H252" s="140"/>
      <c r="I252" s="146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>
      <c r="A253" s="84"/>
      <c r="B253" s="144" t="s">
        <v>416</v>
      </c>
      <c r="C253" s="515"/>
      <c r="D253" s="230"/>
      <c r="E253" s="230"/>
      <c r="F253" s="230"/>
      <c r="G253" s="145" t="s">
        <v>417</v>
      </c>
      <c r="H253" s="147"/>
      <c r="I253" s="148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>
      <c r="A254" s="84"/>
      <c r="B254" s="144" t="s">
        <v>418</v>
      </c>
      <c r="C254" s="515"/>
      <c r="D254" s="230"/>
      <c r="E254" s="230"/>
      <c r="F254" s="230"/>
      <c r="G254" s="145" t="s">
        <v>199</v>
      </c>
      <c r="H254" s="147"/>
      <c r="I254" s="148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>
      <c r="A255" s="84"/>
      <c r="B255" s="149" t="s">
        <v>419</v>
      </c>
      <c r="C255" s="150"/>
      <c r="D255" s="150"/>
      <c r="E255" s="150"/>
      <c r="F255" s="151"/>
      <c r="G255" s="150"/>
      <c r="H255" s="150"/>
      <c r="I255" s="152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>
      <c r="A257" s="84"/>
      <c r="B257" s="518"/>
      <c r="C257" s="520" t="s">
        <v>0</v>
      </c>
      <c r="D257" s="219"/>
      <c r="E257" s="219"/>
      <c r="F257" s="306"/>
      <c r="G257" s="137" t="s">
        <v>1</v>
      </c>
      <c r="H257" s="292" t="s">
        <v>407</v>
      </c>
      <c r="I257" s="22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>
      <c r="A258" s="84"/>
      <c r="B258" s="492"/>
      <c r="C258" s="289"/>
      <c r="D258" s="213"/>
      <c r="E258" s="213"/>
      <c r="F258" s="251"/>
      <c r="G258" s="10" t="s">
        <v>3</v>
      </c>
      <c r="H258" s="309">
        <v>1</v>
      </c>
      <c r="I258" s="202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>
      <c r="A259" s="84"/>
      <c r="B259" s="492"/>
      <c r="C259" s="290"/>
      <c r="D259" s="230"/>
      <c r="E259" s="230"/>
      <c r="F259" s="291"/>
      <c r="G259" s="10" t="s">
        <v>5</v>
      </c>
      <c r="H259" s="273" t="s">
        <v>6</v>
      </c>
      <c r="I259" s="202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>
      <c r="A260" s="84"/>
      <c r="B260" s="492"/>
      <c r="C260" s="268" t="s">
        <v>408</v>
      </c>
      <c r="D260" s="213"/>
      <c r="E260" s="213"/>
      <c r="F260" s="251"/>
      <c r="G260" s="398" t="s">
        <v>7</v>
      </c>
      <c r="H260" s="273" t="s">
        <v>8</v>
      </c>
      <c r="I260" s="202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>
      <c r="A261" s="84"/>
      <c r="B261" s="519"/>
      <c r="C261" s="210"/>
      <c r="D261" s="210"/>
      <c r="E261" s="210"/>
      <c r="F261" s="280"/>
      <c r="G261" s="516"/>
      <c r="H261" s="517" t="s">
        <v>9</v>
      </c>
      <c r="I261" s="236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>
      <c r="A262" s="84"/>
      <c r="B262" s="138" t="s">
        <v>409</v>
      </c>
      <c r="C262" s="512" t="str">
        <f>OP!$M$11</f>
        <v>OP-SS-126</v>
      </c>
      <c r="D262" s="230"/>
      <c r="E262" s="230"/>
      <c r="F262" s="291"/>
      <c r="G262" s="139" t="s">
        <v>201</v>
      </c>
      <c r="H262" s="510"/>
      <c r="I262" s="291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>
      <c r="A263" s="84"/>
      <c r="B263" s="141" t="s">
        <v>410</v>
      </c>
      <c r="C263" s="512" t="str">
        <f>OP!$G$9</f>
        <v>CONTORNO DE OJOS RETINALDEHIDO 0.05%</v>
      </c>
      <c r="D263" s="230"/>
      <c r="E263" s="230"/>
      <c r="F263" s="291"/>
      <c r="G263" s="142" t="s">
        <v>411</v>
      </c>
      <c r="H263" s="511" t="str">
        <f>OP!$M$10</f>
        <v>252581</v>
      </c>
      <c r="I263" s="291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>
      <c r="A264" s="84"/>
      <c r="B264" s="141" t="s">
        <v>412</v>
      </c>
      <c r="C264" s="513" t="str">
        <f>OP!B33</f>
        <v>TINOGARD TT</v>
      </c>
      <c r="D264" s="201"/>
      <c r="E264" s="201"/>
      <c r="F264" s="204"/>
      <c r="G264" s="143" t="s">
        <v>413</v>
      </c>
      <c r="H264" s="512">
        <f>OP!J33</f>
        <v>26515086</v>
      </c>
      <c r="I264" s="291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>
      <c r="A265" s="84"/>
      <c r="B265" s="144" t="s">
        <v>414</v>
      </c>
      <c r="C265" s="514">
        <f>OP!N33</f>
        <v>4.2</v>
      </c>
      <c r="D265" s="230"/>
      <c r="E265" s="230"/>
      <c r="F265" s="230"/>
      <c r="G265" s="145"/>
      <c r="H265" s="140"/>
      <c r="I265" s="146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>
      <c r="A266" s="84"/>
      <c r="B266" s="144" t="s">
        <v>415</v>
      </c>
      <c r="C266" s="515"/>
      <c r="D266" s="230"/>
      <c r="E266" s="230"/>
      <c r="F266" s="230"/>
      <c r="G266" s="140"/>
      <c r="H266" s="140"/>
      <c r="I266" s="146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>
      <c r="A267" s="84"/>
      <c r="B267" s="144" t="s">
        <v>416</v>
      </c>
      <c r="C267" s="515"/>
      <c r="D267" s="230"/>
      <c r="E267" s="230"/>
      <c r="F267" s="230"/>
      <c r="G267" s="145" t="s">
        <v>417</v>
      </c>
      <c r="H267" s="147"/>
      <c r="I267" s="148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>
      <c r="A268" s="84"/>
      <c r="B268" s="144" t="s">
        <v>418</v>
      </c>
      <c r="C268" s="515"/>
      <c r="D268" s="230"/>
      <c r="E268" s="230"/>
      <c r="F268" s="230"/>
      <c r="G268" s="145" t="s">
        <v>199</v>
      </c>
      <c r="H268" s="147"/>
      <c r="I268" s="148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>
      <c r="A269" s="84"/>
      <c r="B269" s="149" t="s">
        <v>419</v>
      </c>
      <c r="C269" s="150"/>
      <c r="D269" s="150"/>
      <c r="E269" s="150"/>
      <c r="F269" s="151"/>
      <c r="G269" s="150"/>
      <c r="H269" s="150"/>
      <c r="I269" s="152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>
      <c r="A271" s="84"/>
      <c r="B271" s="518"/>
      <c r="C271" s="520" t="s">
        <v>0</v>
      </c>
      <c r="D271" s="219"/>
      <c r="E271" s="219"/>
      <c r="F271" s="306"/>
      <c r="G271" s="137" t="s">
        <v>1</v>
      </c>
      <c r="H271" s="292" t="s">
        <v>407</v>
      </c>
      <c r="I271" s="22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>
      <c r="A272" s="84"/>
      <c r="B272" s="492"/>
      <c r="C272" s="289"/>
      <c r="D272" s="213"/>
      <c r="E272" s="213"/>
      <c r="F272" s="251"/>
      <c r="G272" s="10" t="s">
        <v>3</v>
      </c>
      <c r="H272" s="309">
        <v>1</v>
      </c>
      <c r="I272" s="202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>
      <c r="A273" s="84"/>
      <c r="B273" s="492"/>
      <c r="C273" s="290"/>
      <c r="D273" s="230"/>
      <c r="E273" s="230"/>
      <c r="F273" s="291"/>
      <c r="G273" s="10" t="s">
        <v>5</v>
      </c>
      <c r="H273" s="273" t="s">
        <v>6</v>
      </c>
      <c r="I273" s="202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>
      <c r="A274" s="84"/>
      <c r="B274" s="492"/>
      <c r="C274" s="268" t="s">
        <v>408</v>
      </c>
      <c r="D274" s="213"/>
      <c r="E274" s="213"/>
      <c r="F274" s="251"/>
      <c r="G274" s="398" t="s">
        <v>7</v>
      </c>
      <c r="H274" s="273" t="s">
        <v>8</v>
      </c>
      <c r="I274" s="202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>
      <c r="A275" s="84"/>
      <c r="B275" s="519"/>
      <c r="C275" s="210"/>
      <c r="D275" s="210"/>
      <c r="E275" s="210"/>
      <c r="F275" s="280"/>
      <c r="G275" s="516"/>
      <c r="H275" s="517" t="s">
        <v>9</v>
      </c>
      <c r="I275" s="236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>
      <c r="A276" s="84"/>
      <c r="B276" s="138" t="s">
        <v>409</v>
      </c>
      <c r="C276" s="512" t="str">
        <f>OP!$M$11</f>
        <v>OP-SS-126</v>
      </c>
      <c r="D276" s="230"/>
      <c r="E276" s="230"/>
      <c r="F276" s="291"/>
      <c r="G276" s="139" t="s">
        <v>201</v>
      </c>
      <c r="H276" s="510"/>
      <c r="I276" s="291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>
      <c r="A277" s="84"/>
      <c r="B277" s="141" t="s">
        <v>410</v>
      </c>
      <c r="C277" s="512" t="str">
        <f>OP!$G$9</f>
        <v>CONTORNO DE OJOS RETINALDEHIDO 0.05%</v>
      </c>
      <c r="D277" s="230"/>
      <c r="E277" s="230"/>
      <c r="F277" s="291"/>
      <c r="G277" s="142" t="s">
        <v>411</v>
      </c>
      <c r="H277" s="511" t="str">
        <f>OP!$M$10</f>
        <v>252581</v>
      </c>
      <c r="I277" s="291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>
      <c r="A278" s="84"/>
      <c r="B278" s="141" t="s">
        <v>412</v>
      </c>
      <c r="C278" s="513" t="str">
        <f>OP!B34</f>
        <v>RETINALDEHIDO</v>
      </c>
      <c r="D278" s="201"/>
      <c r="E278" s="201"/>
      <c r="F278" s="204"/>
      <c r="G278" s="143" t="s">
        <v>413</v>
      </c>
      <c r="H278" s="512" t="str">
        <f>OP!J34</f>
        <v>YT-RT20250314</v>
      </c>
      <c r="I278" s="291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>
      <c r="A279" s="84"/>
      <c r="B279" s="144" t="s">
        <v>414</v>
      </c>
      <c r="C279" s="514">
        <f>OP!N34</f>
        <v>3.5000000000000004</v>
      </c>
      <c r="D279" s="230"/>
      <c r="E279" s="230"/>
      <c r="F279" s="230"/>
      <c r="G279" s="145"/>
      <c r="H279" s="140"/>
      <c r="I279" s="146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>
      <c r="A280" s="84"/>
      <c r="B280" s="144" t="s">
        <v>415</v>
      </c>
      <c r="C280" s="515"/>
      <c r="D280" s="230"/>
      <c r="E280" s="230"/>
      <c r="F280" s="230"/>
      <c r="G280" s="140"/>
      <c r="H280" s="140"/>
      <c r="I280" s="146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>
      <c r="A281" s="84"/>
      <c r="B281" s="144" t="s">
        <v>416</v>
      </c>
      <c r="C281" s="515"/>
      <c r="D281" s="230"/>
      <c r="E281" s="230"/>
      <c r="F281" s="230"/>
      <c r="G281" s="145" t="s">
        <v>417</v>
      </c>
      <c r="H281" s="147"/>
      <c r="I281" s="148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>
      <c r="A282" s="84"/>
      <c r="B282" s="144" t="s">
        <v>418</v>
      </c>
      <c r="C282" s="515"/>
      <c r="D282" s="230"/>
      <c r="E282" s="230"/>
      <c r="F282" s="230"/>
      <c r="G282" s="145" t="s">
        <v>199</v>
      </c>
      <c r="H282" s="147"/>
      <c r="I282" s="148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>
      <c r="A283" s="84"/>
      <c r="B283" s="149" t="s">
        <v>419</v>
      </c>
      <c r="C283" s="150"/>
      <c r="D283" s="150"/>
      <c r="E283" s="150"/>
      <c r="F283" s="151"/>
      <c r="G283" s="150"/>
      <c r="H283" s="150"/>
      <c r="I283" s="152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>
      <c r="A285" s="84"/>
      <c r="B285" s="518"/>
      <c r="C285" s="520" t="s">
        <v>0</v>
      </c>
      <c r="D285" s="219"/>
      <c r="E285" s="219"/>
      <c r="F285" s="306"/>
      <c r="G285" s="137" t="s">
        <v>1</v>
      </c>
      <c r="H285" s="292" t="s">
        <v>407</v>
      </c>
      <c r="I285" s="22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>
      <c r="A286" s="84"/>
      <c r="B286" s="492"/>
      <c r="C286" s="289"/>
      <c r="D286" s="213"/>
      <c r="E286" s="213"/>
      <c r="F286" s="251"/>
      <c r="G286" s="10" t="s">
        <v>3</v>
      </c>
      <c r="H286" s="309">
        <v>1</v>
      </c>
      <c r="I286" s="202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>
      <c r="A287" s="84"/>
      <c r="B287" s="492"/>
      <c r="C287" s="290"/>
      <c r="D287" s="230"/>
      <c r="E287" s="230"/>
      <c r="F287" s="291"/>
      <c r="G287" s="10" t="s">
        <v>5</v>
      </c>
      <c r="H287" s="273" t="s">
        <v>6</v>
      </c>
      <c r="I287" s="202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>
      <c r="A288" s="84"/>
      <c r="B288" s="492"/>
      <c r="C288" s="268" t="s">
        <v>408</v>
      </c>
      <c r="D288" s="213"/>
      <c r="E288" s="213"/>
      <c r="F288" s="251"/>
      <c r="G288" s="398" t="s">
        <v>7</v>
      </c>
      <c r="H288" s="273" t="s">
        <v>8</v>
      </c>
      <c r="I288" s="202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>
      <c r="A289" s="84"/>
      <c r="B289" s="519"/>
      <c r="C289" s="210"/>
      <c r="D289" s="210"/>
      <c r="E289" s="210"/>
      <c r="F289" s="280"/>
      <c r="G289" s="516"/>
      <c r="H289" s="517" t="s">
        <v>9</v>
      </c>
      <c r="I289" s="236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>
      <c r="A290" s="84"/>
      <c r="B290" s="138" t="s">
        <v>409</v>
      </c>
      <c r="C290" s="512" t="str">
        <f>OP!$M$11</f>
        <v>OP-SS-126</v>
      </c>
      <c r="D290" s="230"/>
      <c r="E290" s="230"/>
      <c r="F290" s="291"/>
      <c r="G290" s="139" t="s">
        <v>201</v>
      </c>
      <c r="H290" s="510"/>
      <c r="I290" s="291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>
      <c r="A291" s="84"/>
      <c r="B291" s="141" t="s">
        <v>410</v>
      </c>
      <c r="C291" s="512" t="str">
        <f>OP!$G$9</f>
        <v>CONTORNO DE OJOS RETINALDEHIDO 0.05%</v>
      </c>
      <c r="D291" s="230"/>
      <c r="E291" s="230"/>
      <c r="F291" s="291"/>
      <c r="G291" s="142" t="s">
        <v>411</v>
      </c>
      <c r="H291" s="511" t="str">
        <f>OP!$M$10</f>
        <v>252581</v>
      </c>
      <c r="I291" s="291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>
      <c r="A292" s="84"/>
      <c r="B292" s="141" t="s">
        <v>412</v>
      </c>
      <c r="C292" s="513" t="str">
        <f>OP!B35</f>
        <v>PALMITOYL TRIPEPTIDE-1</v>
      </c>
      <c r="D292" s="201"/>
      <c r="E292" s="201"/>
      <c r="F292" s="204"/>
      <c r="G292" s="143" t="s">
        <v>413</v>
      </c>
      <c r="H292" s="512">
        <f>OP!J35</f>
        <v>0</v>
      </c>
      <c r="I292" s="291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>
      <c r="A293" s="84"/>
      <c r="B293" s="144" t="s">
        <v>414</v>
      </c>
      <c r="C293" s="514">
        <f>OP!N35</f>
        <v>1.4000000000000001</v>
      </c>
      <c r="D293" s="230"/>
      <c r="E293" s="230"/>
      <c r="F293" s="230"/>
      <c r="G293" s="145"/>
      <c r="H293" s="140"/>
      <c r="I293" s="146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>
      <c r="A294" s="84"/>
      <c r="B294" s="144" t="s">
        <v>415</v>
      </c>
      <c r="C294" s="515"/>
      <c r="D294" s="230"/>
      <c r="E294" s="230"/>
      <c r="F294" s="230"/>
      <c r="G294" s="140"/>
      <c r="H294" s="140"/>
      <c r="I294" s="146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>
      <c r="A295" s="84"/>
      <c r="B295" s="144" t="s">
        <v>416</v>
      </c>
      <c r="C295" s="515"/>
      <c r="D295" s="230"/>
      <c r="E295" s="230"/>
      <c r="F295" s="230"/>
      <c r="G295" s="145" t="s">
        <v>417</v>
      </c>
      <c r="H295" s="147"/>
      <c r="I295" s="148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>
      <c r="A296" s="84"/>
      <c r="B296" s="144" t="s">
        <v>418</v>
      </c>
      <c r="C296" s="515"/>
      <c r="D296" s="230"/>
      <c r="E296" s="230"/>
      <c r="F296" s="230"/>
      <c r="G296" s="145" t="s">
        <v>199</v>
      </c>
      <c r="H296" s="147"/>
      <c r="I296" s="148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>
      <c r="A297" s="84"/>
      <c r="B297" s="149" t="s">
        <v>419</v>
      </c>
      <c r="C297" s="150"/>
      <c r="D297" s="150"/>
      <c r="E297" s="150"/>
      <c r="F297" s="151"/>
      <c r="G297" s="150"/>
      <c r="H297" s="150"/>
      <c r="I297" s="152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>
      <c r="A299" s="84"/>
      <c r="B299" s="518"/>
      <c r="C299" s="520" t="s">
        <v>0</v>
      </c>
      <c r="D299" s="219"/>
      <c r="E299" s="219"/>
      <c r="F299" s="306"/>
      <c r="G299" s="137" t="s">
        <v>1</v>
      </c>
      <c r="H299" s="292" t="s">
        <v>407</v>
      </c>
      <c r="I299" s="22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>
      <c r="A300" s="84"/>
      <c r="B300" s="492"/>
      <c r="C300" s="289"/>
      <c r="D300" s="213"/>
      <c r="E300" s="213"/>
      <c r="F300" s="251"/>
      <c r="G300" s="10" t="s">
        <v>3</v>
      </c>
      <c r="H300" s="309">
        <v>1</v>
      </c>
      <c r="I300" s="202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>
      <c r="A301" s="84"/>
      <c r="B301" s="492"/>
      <c r="C301" s="290"/>
      <c r="D301" s="230"/>
      <c r="E301" s="230"/>
      <c r="F301" s="291"/>
      <c r="G301" s="10" t="s">
        <v>5</v>
      </c>
      <c r="H301" s="273" t="s">
        <v>6</v>
      </c>
      <c r="I301" s="202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>
      <c r="A302" s="84"/>
      <c r="B302" s="492"/>
      <c r="C302" s="268" t="s">
        <v>408</v>
      </c>
      <c r="D302" s="213"/>
      <c r="E302" s="213"/>
      <c r="F302" s="251"/>
      <c r="G302" s="398" t="s">
        <v>7</v>
      </c>
      <c r="H302" s="273" t="s">
        <v>8</v>
      </c>
      <c r="I302" s="202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>
      <c r="A303" s="84"/>
      <c r="B303" s="519"/>
      <c r="C303" s="210"/>
      <c r="D303" s="210"/>
      <c r="E303" s="210"/>
      <c r="F303" s="280"/>
      <c r="G303" s="516"/>
      <c r="H303" s="517" t="s">
        <v>9</v>
      </c>
      <c r="I303" s="236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>
      <c r="A304" s="84"/>
      <c r="B304" s="138" t="s">
        <v>409</v>
      </c>
      <c r="C304" s="512" t="str">
        <f>OP!$M$11</f>
        <v>OP-SS-126</v>
      </c>
      <c r="D304" s="230"/>
      <c r="E304" s="230"/>
      <c r="F304" s="291"/>
      <c r="G304" s="139" t="s">
        <v>201</v>
      </c>
      <c r="H304" s="510"/>
      <c r="I304" s="291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>
      <c r="A305" s="84"/>
      <c r="B305" s="141" t="s">
        <v>410</v>
      </c>
      <c r="C305" s="512" t="str">
        <f>OP!$G$9</f>
        <v>CONTORNO DE OJOS RETINALDEHIDO 0.05%</v>
      </c>
      <c r="D305" s="230"/>
      <c r="E305" s="230"/>
      <c r="F305" s="291"/>
      <c r="G305" s="142" t="s">
        <v>411</v>
      </c>
      <c r="H305" s="511" t="str">
        <f>OP!$M$10</f>
        <v>252581</v>
      </c>
      <c r="I305" s="291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>
      <c r="A306" s="84"/>
      <c r="B306" s="141" t="s">
        <v>412</v>
      </c>
      <c r="C306" s="513" t="str">
        <f>OP!B36</f>
        <v>PALMITOYL TETRAPEPTIDE-7</v>
      </c>
      <c r="D306" s="201"/>
      <c r="E306" s="201"/>
      <c r="F306" s="204"/>
      <c r="G306" s="143" t="s">
        <v>413</v>
      </c>
      <c r="H306" s="512">
        <f>OP!J36</f>
        <v>0</v>
      </c>
      <c r="I306" s="291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>
      <c r="A307" s="84"/>
      <c r="B307" s="144" t="s">
        <v>414</v>
      </c>
      <c r="C307" s="514">
        <f>OP!N36</f>
        <v>1.4000000000000001</v>
      </c>
      <c r="D307" s="230"/>
      <c r="E307" s="230"/>
      <c r="F307" s="230"/>
      <c r="G307" s="145"/>
      <c r="H307" s="140"/>
      <c r="I307" s="146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>
      <c r="A308" s="84"/>
      <c r="B308" s="144" t="s">
        <v>415</v>
      </c>
      <c r="C308" s="515"/>
      <c r="D308" s="230"/>
      <c r="E308" s="230"/>
      <c r="F308" s="230"/>
      <c r="G308" s="140"/>
      <c r="H308" s="140"/>
      <c r="I308" s="146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>
      <c r="A309" s="84"/>
      <c r="B309" s="144" t="s">
        <v>416</v>
      </c>
      <c r="C309" s="515"/>
      <c r="D309" s="230"/>
      <c r="E309" s="230"/>
      <c r="F309" s="230"/>
      <c r="G309" s="145" t="s">
        <v>417</v>
      </c>
      <c r="H309" s="147"/>
      <c r="I309" s="148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>
      <c r="A310" s="84"/>
      <c r="B310" s="144" t="s">
        <v>418</v>
      </c>
      <c r="C310" s="515"/>
      <c r="D310" s="230"/>
      <c r="E310" s="230"/>
      <c r="F310" s="230"/>
      <c r="G310" s="145" t="s">
        <v>199</v>
      </c>
      <c r="H310" s="147"/>
      <c r="I310" s="148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>
      <c r="A311" s="84"/>
      <c r="B311" s="149" t="s">
        <v>419</v>
      </c>
      <c r="C311" s="150"/>
      <c r="D311" s="150"/>
      <c r="E311" s="150"/>
      <c r="F311" s="151"/>
      <c r="G311" s="150"/>
      <c r="H311" s="150"/>
      <c r="I311" s="152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>
      <c r="A313" s="84"/>
      <c r="B313" s="518"/>
      <c r="C313" s="520" t="s">
        <v>0</v>
      </c>
      <c r="D313" s="219"/>
      <c r="E313" s="219"/>
      <c r="F313" s="306"/>
      <c r="G313" s="137" t="s">
        <v>1</v>
      </c>
      <c r="H313" s="292" t="s">
        <v>407</v>
      </c>
      <c r="I313" s="22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>
      <c r="A314" s="84"/>
      <c r="B314" s="492"/>
      <c r="C314" s="289"/>
      <c r="D314" s="213"/>
      <c r="E314" s="213"/>
      <c r="F314" s="251"/>
      <c r="G314" s="10" t="s">
        <v>3</v>
      </c>
      <c r="H314" s="309">
        <v>1</v>
      </c>
      <c r="I314" s="202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>
      <c r="A315" s="84"/>
      <c r="B315" s="492"/>
      <c r="C315" s="290"/>
      <c r="D315" s="230"/>
      <c r="E315" s="230"/>
      <c r="F315" s="291"/>
      <c r="G315" s="10" t="s">
        <v>5</v>
      </c>
      <c r="H315" s="273" t="s">
        <v>6</v>
      </c>
      <c r="I315" s="202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>
      <c r="A316" s="84"/>
      <c r="B316" s="492"/>
      <c r="C316" s="268" t="s">
        <v>408</v>
      </c>
      <c r="D316" s="213"/>
      <c r="E316" s="213"/>
      <c r="F316" s="251"/>
      <c r="G316" s="398" t="s">
        <v>7</v>
      </c>
      <c r="H316" s="273" t="s">
        <v>8</v>
      </c>
      <c r="I316" s="202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>
      <c r="A317" s="84"/>
      <c r="B317" s="519"/>
      <c r="C317" s="210"/>
      <c r="D317" s="210"/>
      <c r="E317" s="210"/>
      <c r="F317" s="280"/>
      <c r="G317" s="516"/>
      <c r="H317" s="517" t="s">
        <v>9</v>
      </c>
      <c r="I317" s="236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>
      <c r="A318" s="84"/>
      <c r="B318" s="138" t="s">
        <v>409</v>
      </c>
      <c r="C318" s="512" t="str">
        <f>OP!$M$11</f>
        <v>OP-SS-126</v>
      </c>
      <c r="D318" s="230"/>
      <c r="E318" s="230"/>
      <c r="F318" s="291"/>
      <c r="G318" s="139" t="s">
        <v>201</v>
      </c>
      <c r="H318" s="510"/>
      <c r="I318" s="291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>
      <c r="A319" s="84"/>
      <c r="B319" s="141" t="s">
        <v>410</v>
      </c>
      <c r="C319" s="512" t="str">
        <f>OP!$G$9</f>
        <v>CONTORNO DE OJOS RETINALDEHIDO 0.05%</v>
      </c>
      <c r="D319" s="230"/>
      <c r="E319" s="230"/>
      <c r="F319" s="291"/>
      <c r="G319" s="142" t="s">
        <v>411</v>
      </c>
      <c r="H319" s="511" t="str">
        <f>OP!$M$10</f>
        <v>252581</v>
      </c>
      <c r="I319" s="291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>
      <c r="A320" s="84"/>
      <c r="B320" s="141" t="s">
        <v>412</v>
      </c>
      <c r="C320" s="513" t="str">
        <f>OP!B37</f>
        <v>ACETYL HEXAPEPTIDE-8</v>
      </c>
      <c r="D320" s="201"/>
      <c r="E320" s="201"/>
      <c r="F320" s="204"/>
      <c r="G320" s="143" t="s">
        <v>413</v>
      </c>
      <c r="H320" s="512">
        <f>OP!J37</f>
        <v>0</v>
      </c>
      <c r="I320" s="291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>
      <c r="A321" s="84"/>
      <c r="B321" s="144" t="s">
        <v>414</v>
      </c>
      <c r="C321" s="514">
        <f>OP!N37</f>
        <v>1.4000000000000001</v>
      </c>
      <c r="D321" s="230"/>
      <c r="E321" s="230"/>
      <c r="F321" s="230"/>
      <c r="G321" s="145"/>
      <c r="H321" s="140"/>
      <c r="I321" s="146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>
      <c r="A322" s="84"/>
      <c r="B322" s="144" t="s">
        <v>415</v>
      </c>
      <c r="C322" s="515"/>
      <c r="D322" s="230"/>
      <c r="E322" s="230"/>
      <c r="F322" s="230"/>
      <c r="G322" s="140"/>
      <c r="H322" s="140"/>
      <c r="I322" s="146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>
      <c r="A323" s="84"/>
      <c r="B323" s="144" t="s">
        <v>416</v>
      </c>
      <c r="C323" s="515"/>
      <c r="D323" s="230"/>
      <c r="E323" s="230"/>
      <c r="F323" s="230"/>
      <c r="G323" s="145" t="s">
        <v>417</v>
      </c>
      <c r="H323" s="147"/>
      <c r="I323" s="148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>
      <c r="A324" s="84"/>
      <c r="B324" s="144" t="s">
        <v>418</v>
      </c>
      <c r="C324" s="515"/>
      <c r="D324" s="230"/>
      <c r="E324" s="230"/>
      <c r="F324" s="230"/>
      <c r="G324" s="145" t="s">
        <v>199</v>
      </c>
      <c r="H324" s="147"/>
      <c r="I324" s="148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>
      <c r="A325" s="84"/>
      <c r="B325" s="149" t="s">
        <v>419</v>
      </c>
      <c r="C325" s="150"/>
      <c r="D325" s="150"/>
      <c r="E325" s="150"/>
      <c r="F325" s="151"/>
      <c r="G325" s="150"/>
      <c r="H325" s="150"/>
      <c r="I325" s="152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>
      <c r="A327" s="84"/>
      <c r="B327" s="518"/>
      <c r="C327" s="520" t="s">
        <v>0</v>
      </c>
      <c r="D327" s="219"/>
      <c r="E327" s="219"/>
      <c r="F327" s="306"/>
      <c r="G327" s="137" t="s">
        <v>1</v>
      </c>
      <c r="H327" s="292" t="s">
        <v>407</v>
      </c>
      <c r="I327" s="22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>
      <c r="A328" s="84"/>
      <c r="B328" s="492"/>
      <c r="C328" s="289"/>
      <c r="D328" s="213"/>
      <c r="E328" s="213"/>
      <c r="F328" s="251"/>
      <c r="G328" s="10" t="s">
        <v>3</v>
      </c>
      <c r="H328" s="309">
        <v>1</v>
      </c>
      <c r="I328" s="202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>
      <c r="A329" s="84"/>
      <c r="B329" s="492"/>
      <c r="C329" s="290"/>
      <c r="D329" s="230"/>
      <c r="E329" s="230"/>
      <c r="F329" s="291"/>
      <c r="G329" s="10" t="s">
        <v>5</v>
      </c>
      <c r="H329" s="273" t="s">
        <v>6</v>
      </c>
      <c r="I329" s="202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>
      <c r="A330" s="84"/>
      <c r="B330" s="492"/>
      <c r="C330" s="268" t="s">
        <v>408</v>
      </c>
      <c r="D330" s="213"/>
      <c r="E330" s="213"/>
      <c r="F330" s="251"/>
      <c r="G330" s="398" t="s">
        <v>7</v>
      </c>
      <c r="H330" s="273" t="s">
        <v>8</v>
      </c>
      <c r="I330" s="202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>
      <c r="A331" s="84"/>
      <c r="B331" s="519"/>
      <c r="C331" s="210"/>
      <c r="D331" s="210"/>
      <c r="E331" s="210"/>
      <c r="F331" s="280"/>
      <c r="G331" s="516"/>
      <c r="H331" s="517" t="s">
        <v>9</v>
      </c>
      <c r="I331" s="236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>
      <c r="A332" s="84"/>
      <c r="B332" s="138" t="s">
        <v>409</v>
      </c>
      <c r="C332" s="512" t="str">
        <f>OP!$M$11</f>
        <v>OP-SS-126</v>
      </c>
      <c r="D332" s="230"/>
      <c r="E332" s="230"/>
      <c r="F332" s="291"/>
      <c r="G332" s="139" t="s">
        <v>201</v>
      </c>
      <c r="H332" s="510"/>
      <c r="I332" s="291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>
      <c r="A333" s="84"/>
      <c r="B333" s="141" t="s">
        <v>410</v>
      </c>
      <c r="C333" s="512" t="str">
        <f>OP!$G$9</f>
        <v>CONTORNO DE OJOS RETINALDEHIDO 0.05%</v>
      </c>
      <c r="D333" s="230"/>
      <c r="E333" s="230"/>
      <c r="F333" s="291"/>
      <c r="G333" s="142" t="s">
        <v>411</v>
      </c>
      <c r="H333" s="511" t="str">
        <f>OP!$M$10</f>
        <v>252581</v>
      </c>
      <c r="I333" s="291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>
      <c r="A334" s="84"/>
      <c r="B334" s="141" t="s">
        <v>412</v>
      </c>
      <c r="C334" s="513" t="str">
        <f>OP!B38</f>
        <v>SILIMARINA</v>
      </c>
      <c r="D334" s="201"/>
      <c r="E334" s="201"/>
      <c r="F334" s="204"/>
      <c r="G334" s="143" t="s">
        <v>413</v>
      </c>
      <c r="H334" s="512" t="str">
        <f>OP!J38</f>
        <v>YT-MT20241103</v>
      </c>
      <c r="I334" s="291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>
      <c r="A335" s="84"/>
      <c r="B335" s="144" t="s">
        <v>414</v>
      </c>
      <c r="C335" s="514">
        <f>OP!N38</f>
        <v>1.4000000000000001</v>
      </c>
      <c r="D335" s="230"/>
      <c r="E335" s="230"/>
      <c r="F335" s="230"/>
      <c r="G335" s="145"/>
      <c r="H335" s="140"/>
      <c r="I335" s="146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>
      <c r="A336" s="84"/>
      <c r="B336" s="144" t="s">
        <v>415</v>
      </c>
      <c r="C336" s="515"/>
      <c r="D336" s="230"/>
      <c r="E336" s="230"/>
      <c r="F336" s="230"/>
      <c r="G336" s="140"/>
      <c r="H336" s="140"/>
      <c r="I336" s="146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>
      <c r="A337" s="84"/>
      <c r="B337" s="144" t="s">
        <v>416</v>
      </c>
      <c r="C337" s="515"/>
      <c r="D337" s="230"/>
      <c r="E337" s="230"/>
      <c r="F337" s="230"/>
      <c r="G337" s="145" t="s">
        <v>417</v>
      </c>
      <c r="H337" s="147"/>
      <c r="I337" s="148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>
      <c r="A338" s="84"/>
      <c r="B338" s="144" t="s">
        <v>418</v>
      </c>
      <c r="C338" s="515"/>
      <c r="D338" s="230"/>
      <c r="E338" s="230"/>
      <c r="F338" s="230"/>
      <c r="G338" s="145" t="s">
        <v>199</v>
      </c>
      <c r="H338" s="147"/>
      <c r="I338" s="148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>
      <c r="A339" s="84"/>
      <c r="B339" s="149" t="s">
        <v>419</v>
      </c>
      <c r="C339" s="150"/>
      <c r="D339" s="150"/>
      <c r="E339" s="150"/>
      <c r="F339" s="151"/>
      <c r="G339" s="150"/>
      <c r="H339" s="150"/>
      <c r="I339" s="152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>
      <c r="A341" s="84"/>
      <c r="B341" s="518"/>
      <c r="C341" s="520" t="s">
        <v>0</v>
      </c>
      <c r="D341" s="219"/>
      <c r="E341" s="219"/>
      <c r="F341" s="306"/>
      <c r="G341" s="137" t="s">
        <v>1</v>
      </c>
      <c r="H341" s="292" t="s">
        <v>407</v>
      </c>
      <c r="I341" s="22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>
      <c r="A342" s="84"/>
      <c r="B342" s="492"/>
      <c r="C342" s="289"/>
      <c r="D342" s="213"/>
      <c r="E342" s="213"/>
      <c r="F342" s="251"/>
      <c r="G342" s="10" t="s">
        <v>3</v>
      </c>
      <c r="H342" s="309">
        <v>1</v>
      </c>
      <c r="I342" s="202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>
      <c r="A343" s="84"/>
      <c r="B343" s="492"/>
      <c r="C343" s="290"/>
      <c r="D343" s="230"/>
      <c r="E343" s="230"/>
      <c r="F343" s="291"/>
      <c r="G343" s="10" t="s">
        <v>5</v>
      </c>
      <c r="H343" s="273" t="s">
        <v>6</v>
      </c>
      <c r="I343" s="202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>
      <c r="A344" s="84"/>
      <c r="B344" s="492"/>
      <c r="C344" s="268" t="s">
        <v>408</v>
      </c>
      <c r="D344" s="213"/>
      <c r="E344" s="213"/>
      <c r="F344" s="251"/>
      <c r="G344" s="398" t="s">
        <v>7</v>
      </c>
      <c r="H344" s="273" t="s">
        <v>8</v>
      </c>
      <c r="I344" s="202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>
      <c r="A345" s="84"/>
      <c r="B345" s="519"/>
      <c r="C345" s="210"/>
      <c r="D345" s="210"/>
      <c r="E345" s="210"/>
      <c r="F345" s="280"/>
      <c r="G345" s="516"/>
      <c r="H345" s="517" t="s">
        <v>9</v>
      </c>
      <c r="I345" s="236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>
      <c r="A346" s="84"/>
      <c r="B346" s="138" t="s">
        <v>409</v>
      </c>
      <c r="C346" s="512" t="str">
        <f>OP!$M$11</f>
        <v>OP-SS-126</v>
      </c>
      <c r="D346" s="230"/>
      <c r="E346" s="230"/>
      <c r="F346" s="291"/>
      <c r="G346" s="139" t="s">
        <v>201</v>
      </c>
      <c r="H346" s="510"/>
      <c r="I346" s="291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>
      <c r="A347" s="84"/>
      <c r="B347" s="141" t="s">
        <v>410</v>
      </c>
      <c r="C347" s="512" t="str">
        <f>OP!$G$9</f>
        <v>CONTORNO DE OJOS RETINALDEHIDO 0.05%</v>
      </c>
      <c r="D347" s="230"/>
      <c r="E347" s="230"/>
      <c r="F347" s="291"/>
      <c r="G347" s="142" t="s">
        <v>411</v>
      </c>
      <c r="H347" s="511" t="str">
        <f>OP!$M$10</f>
        <v>252581</v>
      </c>
      <c r="I347" s="291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>
      <c r="A348" s="84"/>
      <c r="B348" s="141" t="s">
        <v>412</v>
      </c>
      <c r="C348" s="513" t="str">
        <f>OP!B39</f>
        <v>BAKUCHIOL</v>
      </c>
      <c r="D348" s="201"/>
      <c r="E348" s="201"/>
      <c r="F348" s="204"/>
      <c r="G348" s="143" t="s">
        <v>413</v>
      </c>
      <c r="H348" s="512" t="str">
        <f>OP!J39</f>
        <v>YT-BA20250512</v>
      </c>
      <c r="I348" s="291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>
      <c r="A349" s="84"/>
      <c r="B349" s="144" t="s">
        <v>414</v>
      </c>
      <c r="C349" s="514">
        <f>OP!N39</f>
        <v>21</v>
      </c>
      <c r="D349" s="230"/>
      <c r="E349" s="230"/>
      <c r="F349" s="230"/>
      <c r="G349" s="145"/>
      <c r="H349" s="140"/>
      <c r="I349" s="146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>
      <c r="A350" s="84"/>
      <c r="B350" s="144" t="s">
        <v>415</v>
      </c>
      <c r="C350" s="515"/>
      <c r="D350" s="230"/>
      <c r="E350" s="230"/>
      <c r="F350" s="230"/>
      <c r="G350" s="140"/>
      <c r="H350" s="140"/>
      <c r="I350" s="146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>
      <c r="A351" s="84"/>
      <c r="B351" s="144" t="s">
        <v>416</v>
      </c>
      <c r="C351" s="515"/>
      <c r="D351" s="230"/>
      <c r="E351" s="230"/>
      <c r="F351" s="230"/>
      <c r="G351" s="145" t="s">
        <v>417</v>
      </c>
      <c r="H351" s="147"/>
      <c r="I351" s="148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>
      <c r="A352" s="84"/>
      <c r="B352" s="144" t="s">
        <v>418</v>
      </c>
      <c r="C352" s="515"/>
      <c r="D352" s="230"/>
      <c r="E352" s="230"/>
      <c r="F352" s="230"/>
      <c r="G352" s="145" t="s">
        <v>199</v>
      </c>
      <c r="H352" s="147"/>
      <c r="I352" s="148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>
      <c r="A353" s="84"/>
      <c r="B353" s="149" t="s">
        <v>419</v>
      </c>
      <c r="C353" s="150"/>
      <c r="D353" s="150"/>
      <c r="E353" s="150"/>
      <c r="F353" s="151"/>
      <c r="G353" s="150"/>
      <c r="H353" s="150"/>
      <c r="I353" s="152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>
      <c r="A355" s="84"/>
      <c r="B355" s="518"/>
      <c r="C355" s="520" t="s">
        <v>0</v>
      </c>
      <c r="D355" s="219"/>
      <c r="E355" s="219"/>
      <c r="F355" s="306"/>
      <c r="G355" s="137" t="s">
        <v>1</v>
      </c>
      <c r="H355" s="292" t="s">
        <v>407</v>
      </c>
      <c r="I355" s="22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>
      <c r="A356" s="84"/>
      <c r="B356" s="492"/>
      <c r="C356" s="289"/>
      <c r="D356" s="213"/>
      <c r="E356" s="213"/>
      <c r="F356" s="251"/>
      <c r="G356" s="10" t="s">
        <v>3</v>
      </c>
      <c r="H356" s="309">
        <v>1</v>
      </c>
      <c r="I356" s="202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>
      <c r="A357" s="84"/>
      <c r="B357" s="492"/>
      <c r="C357" s="290"/>
      <c r="D357" s="230"/>
      <c r="E357" s="230"/>
      <c r="F357" s="291"/>
      <c r="G357" s="10" t="s">
        <v>5</v>
      </c>
      <c r="H357" s="273" t="s">
        <v>6</v>
      </c>
      <c r="I357" s="202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>
      <c r="A358" s="84"/>
      <c r="B358" s="492"/>
      <c r="C358" s="268" t="s">
        <v>408</v>
      </c>
      <c r="D358" s="213"/>
      <c r="E358" s="213"/>
      <c r="F358" s="251"/>
      <c r="G358" s="398" t="s">
        <v>7</v>
      </c>
      <c r="H358" s="273" t="s">
        <v>8</v>
      </c>
      <c r="I358" s="202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>
      <c r="A359" s="84"/>
      <c r="B359" s="519"/>
      <c r="C359" s="210"/>
      <c r="D359" s="210"/>
      <c r="E359" s="210"/>
      <c r="F359" s="280"/>
      <c r="G359" s="516"/>
      <c r="H359" s="517" t="s">
        <v>9</v>
      </c>
      <c r="I359" s="236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>
      <c r="A360" s="84"/>
      <c r="B360" s="138" t="s">
        <v>409</v>
      </c>
      <c r="C360" s="512" t="str">
        <f>OP!$M$11</f>
        <v>OP-SS-126</v>
      </c>
      <c r="D360" s="230"/>
      <c r="E360" s="230"/>
      <c r="F360" s="291"/>
      <c r="G360" s="139" t="s">
        <v>201</v>
      </c>
      <c r="H360" s="510"/>
      <c r="I360" s="291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>
      <c r="A361" s="84"/>
      <c r="B361" s="141" t="s">
        <v>410</v>
      </c>
      <c r="C361" s="512" t="str">
        <f>OP!$G$9</f>
        <v>CONTORNO DE OJOS RETINALDEHIDO 0.05%</v>
      </c>
      <c r="D361" s="230"/>
      <c r="E361" s="230"/>
      <c r="F361" s="291"/>
      <c r="G361" s="142" t="s">
        <v>411</v>
      </c>
      <c r="H361" s="511" t="str">
        <f>OP!$M$10</f>
        <v>252581</v>
      </c>
      <c r="I361" s="291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>
      <c r="A362" s="84"/>
      <c r="B362" s="141" t="s">
        <v>412</v>
      </c>
      <c r="C362" s="513" t="str">
        <f>OP!B40</f>
        <v>ADENOSINA</v>
      </c>
      <c r="D362" s="201"/>
      <c r="E362" s="201"/>
      <c r="F362" s="204"/>
      <c r="G362" s="143" t="s">
        <v>413</v>
      </c>
      <c r="H362" s="512">
        <f>OP!J40</f>
        <v>0</v>
      </c>
      <c r="I362" s="291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>
      <c r="A363" s="84"/>
      <c r="B363" s="144" t="s">
        <v>414</v>
      </c>
      <c r="C363" s="514">
        <f>OP!N40</f>
        <v>4.2</v>
      </c>
      <c r="D363" s="230"/>
      <c r="E363" s="230"/>
      <c r="F363" s="230"/>
      <c r="G363" s="145"/>
      <c r="H363" s="140"/>
      <c r="I363" s="146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>
      <c r="A364" s="84"/>
      <c r="B364" s="144" t="s">
        <v>415</v>
      </c>
      <c r="C364" s="515"/>
      <c r="D364" s="230"/>
      <c r="E364" s="230"/>
      <c r="F364" s="230"/>
      <c r="G364" s="140"/>
      <c r="H364" s="140"/>
      <c r="I364" s="146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>
      <c r="A365" s="84"/>
      <c r="B365" s="144" t="s">
        <v>416</v>
      </c>
      <c r="C365" s="515"/>
      <c r="D365" s="230"/>
      <c r="E365" s="230"/>
      <c r="F365" s="230"/>
      <c r="G365" s="145" t="s">
        <v>417</v>
      </c>
      <c r="H365" s="147"/>
      <c r="I365" s="148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>
      <c r="A366" s="84"/>
      <c r="B366" s="144" t="s">
        <v>418</v>
      </c>
      <c r="C366" s="515"/>
      <c r="D366" s="230"/>
      <c r="E366" s="230"/>
      <c r="F366" s="230"/>
      <c r="G366" s="145" t="s">
        <v>199</v>
      </c>
      <c r="H366" s="147"/>
      <c r="I366" s="148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>
      <c r="A367" s="84"/>
      <c r="B367" s="149" t="s">
        <v>419</v>
      </c>
      <c r="C367" s="150"/>
      <c r="D367" s="150"/>
      <c r="E367" s="150"/>
      <c r="F367" s="151"/>
      <c r="G367" s="150"/>
      <c r="H367" s="150"/>
      <c r="I367" s="152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>
      <c r="A369" s="84"/>
      <c r="B369" s="518"/>
      <c r="C369" s="520" t="s">
        <v>0</v>
      </c>
      <c r="D369" s="219"/>
      <c r="E369" s="219"/>
      <c r="F369" s="306"/>
      <c r="G369" s="137" t="s">
        <v>1</v>
      </c>
      <c r="H369" s="292" t="s">
        <v>407</v>
      </c>
      <c r="I369" s="22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>
      <c r="A370" s="84"/>
      <c r="B370" s="492"/>
      <c r="C370" s="289"/>
      <c r="D370" s="213"/>
      <c r="E370" s="213"/>
      <c r="F370" s="251"/>
      <c r="G370" s="10" t="s">
        <v>3</v>
      </c>
      <c r="H370" s="309">
        <v>1</v>
      </c>
      <c r="I370" s="202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>
      <c r="A371" s="84"/>
      <c r="B371" s="492"/>
      <c r="C371" s="290"/>
      <c r="D371" s="230"/>
      <c r="E371" s="230"/>
      <c r="F371" s="291"/>
      <c r="G371" s="10" t="s">
        <v>5</v>
      </c>
      <c r="H371" s="273" t="s">
        <v>6</v>
      </c>
      <c r="I371" s="202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>
      <c r="A372" s="84"/>
      <c r="B372" s="492"/>
      <c r="C372" s="268" t="s">
        <v>408</v>
      </c>
      <c r="D372" s="213"/>
      <c r="E372" s="213"/>
      <c r="F372" s="251"/>
      <c r="G372" s="398" t="s">
        <v>7</v>
      </c>
      <c r="H372" s="273" t="s">
        <v>8</v>
      </c>
      <c r="I372" s="202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>
      <c r="A373" s="84"/>
      <c r="B373" s="519"/>
      <c r="C373" s="210"/>
      <c r="D373" s="210"/>
      <c r="E373" s="210"/>
      <c r="F373" s="280"/>
      <c r="G373" s="516"/>
      <c r="H373" s="517" t="s">
        <v>9</v>
      </c>
      <c r="I373" s="236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>
      <c r="A374" s="84"/>
      <c r="B374" s="138" t="s">
        <v>409</v>
      </c>
      <c r="C374" s="512" t="str">
        <f>OP!$M$11</f>
        <v>OP-SS-126</v>
      </c>
      <c r="D374" s="230"/>
      <c r="E374" s="230"/>
      <c r="F374" s="291"/>
      <c r="G374" s="139" t="s">
        <v>201</v>
      </c>
      <c r="H374" s="510"/>
      <c r="I374" s="291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>
      <c r="A375" s="84"/>
      <c r="B375" s="141" t="s">
        <v>410</v>
      </c>
      <c r="C375" s="512" t="str">
        <f>OP!$G$9</f>
        <v>CONTORNO DE OJOS RETINALDEHIDO 0.05%</v>
      </c>
      <c r="D375" s="230"/>
      <c r="E375" s="230"/>
      <c r="F375" s="291"/>
      <c r="G375" s="142" t="s">
        <v>411</v>
      </c>
      <c r="H375" s="511" t="str">
        <f>OP!$M$10</f>
        <v>252581</v>
      </c>
      <c r="I375" s="291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>
      <c r="A376" s="84"/>
      <c r="B376" s="141" t="s">
        <v>412</v>
      </c>
      <c r="C376" s="521">
        <f>OP!B158</f>
        <v>0</v>
      </c>
      <c r="D376" s="201"/>
      <c r="E376" s="201"/>
      <c r="F376" s="204"/>
      <c r="G376" s="143" t="s">
        <v>413</v>
      </c>
      <c r="H376" s="512">
        <f>OP!J158</f>
        <v>0</v>
      </c>
      <c r="I376" s="291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>
      <c r="A377" s="84"/>
      <c r="B377" s="144" t="s">
        <v>414</v>
      </c>
      <c r="C377" s="514">
        <f>OP!N158</f>
        <v>0</v>
      </c>
      <c r="D377" s="230"/>
      <c r="E377" s="230"/>
      <c r="F377" s="230"/>
      <c r="G377" s="145"/>
      <c r="H377" s="140"/>
      <c r="I377" s="146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>
      <c r="A378" s="84"/>
      <c r="B378" s="144" t="s">
        <v>415</v>
      </c>
      <c r="C378" s="515"/>
      <c r="D378" s="230"/>
      <c r="E378" s="230"/>
      <c r="F378" s="230"/>
      <c r="G378" s="140"/>
      <c r="H378" s="140"/>
      <c r="I378" s="146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>
      <c r="A379" s="84"/>
      <c r="B379" s="144" t="s">
        <v>416</v>
      </c>
      <c r="C379" s="515"/>
      <c r="D379" s="230"/>
      <c r="E379" s="230"/>
      <c r="F379" s="230"/>
      <c r="G379" s="145" t="s">
        <v>417</v>
      </c>
      <c r="H379" s="147"/>
      <c r="I379" s="148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>
      <c r="A380" s="84"/>
      <c r="B380" s="144" t="s">
        <v>418</v>
      </c>
      <c r="C380" s="515"/>
      <c r="D380" s="230"/>
      <c r="E380" s="230"/>
      <c r="F380" s="230"/>
      <c r="G380" s="145" t="s">
        <v>199</v>
      </c>
      <c r="H380" s="147"/>
      <c r="I380" s="148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>
      <c r="A381" s="84"/>
      <c r="B381" s="149" t="s">
        <v>419</v>
      </c>
      <c r="C381" s="150"/>
      <c r="D381" s="150"/>
      <c r="E381" s="150"/>
      <c r="F381" s="151"/>
      <c r="G381" s="150"/>
      <c r="H381" s="150"/>
      <c r="I381" s="152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>
      <c r="A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>
      <c r="A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>
      <c r="A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>
      <c r="A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>
      <c r="A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>
      <c r="A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>
      <c r="A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>
      <c r="A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>
      <c r="A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>
      <c r="A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>
      <c r="A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>
      <c r="A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>
      <c r="A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>
      <c r="A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>
      <c r="A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>
      <c r="A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</sheetData>
  <mergeCells count="513">
    <mergeCell ref="B31:B35"/>
    <mergeCell ref="C31:F33"/>
    <mergeCell ref="H31:I31"/>
    <mergeCell ref="H32:I32"/>
    <mergeCell ref="H33:I33"/>
    <mergeCell ref="C34:F35"/>
    <mergeCell ref="G34:G35"/>
    <mergeCell ref="B16:B20"/>
    <mergeCell ref="C16:F18"/>
    <mergeCell ref="C19:F20"/>
    <mergeCell ref="G19:G20"/>
    <mergeCell ref="H16:I16"/>
    <mergeCell ref="H17:I17"/>
    <mergeCell ref="H18:I18"/>
    <mergeCell ref="H19:I19"/>
    <mergeCell ref="H20:I20"/>
    <mergeCell ref="C22:F22"/>
    <mergeCell ref="C23:F23"/>
    <mergeCell ref="C24:F24"/>
    <mergeCell ref="C25:F25"/>
    <mergeCell ref="C26:F26"/>
    <mergeCell ref="C27:F27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H4:I4"/>
    <mergeCell ref="H5:I5"/>
    <mergeCell ref="C7:F7"/>
    <mergeCell ref="H7:I7"/>
    <mergeCell ref="C8:F8"/>
    <mergeCell ref="H8:I8"/>
    <mergeCell ref="C9:F9"/>
    <mergeCell ref="C10:F10"/>
    <mergeCell ref="C11:F11"/>
    <mergeCell ref="C12:F12"/>
    <mergeCell ref="C21:F21"/>
    <mergeCell ref="C36:F36"/>
    <mergeCell ref="H36:I36"/>
    <mergeCell ref="H21:I21"/>
    <mergeCell ref="H22:I22"/>
    <mergeCell ref="H23:I23"/>
    <mergeCell ref="H34:I34"/>
    <mergeCell ref="H35:I35"/>
    <mergeCell ref="C37:F37"/>
    <mergeCell ref="H37:I37"/>
    <mergeCell ref="C38:F38"/>
    <mergeCell ref="H38:I38"/>
    <mergeCell ref="C39:F39"/>
    <mergeCell ref="C75:F77"/>
    <mergeCell ref="C78:F79"/>
    <mergeCell ref="G78:G79"/>
    <mergeCell ref="C65:F65"/>
    <mergeCell ref="C66:F66"/>
    <mergeCell ref="C67:F67"/>
    <mergeCell ref="C68:F68"/>
    <mergeCell ref="C69:F69"/>
    <mergeCell ref="C70:F70"/>
    <mergeCell ref="H52:I52"/>
    <mergeCell ref="H59:I59"/>
    <mergeCell ref="H60:I60"/>
    <mergeCell ref="C55:F55"/>
    <mergeCell ref="C56:F56"/>
    <mergeCell ref="B75:B79"/>
    <mergeCell ref="H61:I61"/>
    <mergeCell ref="H62:I62"/>
    <mergeCell ref="H63:I63"/>
    <mergeCell ref="H64:I64"/>
    <mergeCell ref="H65:I65"/>
    <mergeCell ref="H66:I66"/>
    <mergeCell ref="H75:I75"/>
    <mergeCell ref="H76:I76"/>
    <mergeCell ref="H77:I77"/>
    <mergeCell ref="H78:I78"/>
    <mergeCell ref="H79:I79"/>
    <mergeCell ref="B59:B63"/>
    <mergeCell ref="C59:F61"/>
    <mergeCell ref="C62:F63"/>
    <mergeCell ref="G62:G63"/>
    <mergeCell ref="C64:F64"/>
    <mergeCell ref="H80:I80"/>
    <mergeCell ref="H81:I81"/>
    <mergeCell ref="H82:I82"/>
    <mergeCell ref="H96:I96"/>
    <mergeCell ref="H103:I103"/>
    <mergeCell ref="H89:I89"/>
    <mergeCell ref="H90:I90"/>
    <mergeCell ref="H91:I91"/>
    <mergeCell ref="H92:I92"/>
    <mergeCell ref="H93:I93"/>
    <mergeCell ref="H94:I94"/>
    <mergeCell ref="H95:I95"/>
    <mergeCell ref="B131:B135"/>
    <mergeCell ref="H146:I146"/>
    <mergeCell ref="H147:I147"/>
    <mergeCell ref="H133:I133"/>
    <mergeCell ref="H134:I134"/>
    <mergeCell ref="H135:I135"/>
    <mergeCell ref="H136:I136"/>
    <mergeCell ref="H137:I137"/>
    <mergeCell ref="H138:I138"/>
    <mergeCell ref="H145:I145"/>
    <mergeCell ref="C141:F141"/>
    <mergeCell ref="C142:F142"/>
    <mergeCell ref="C131:F133"/>
    <mergeCell ref="C134:F135"/>
    <mergeCell ref="G134:G135"/>
    <mergeCell ref="C218:F219"/>
    <mergeCell ref="G218:G219"/>
    <mergeCell ref="C211:F211"/>
    <mergeCell ref="C212:F212"/>
    <mergeCell ref="B215:B219"/>
    <mergeCell ref="C215:F217"/>
    <mergeCell ref="H215:I215"/>
    <mergeCell ref="H216:I216"/>
    <mergeCell ref="H217:I217"/>
    <mergeCell ref="H218:I218"/>
    <mergeCell ref="H219:I219"/>
    <mergeCell ref="C166:F166"/>
    <mergeCell ref="C167:F167"/>
    <mergeCell ref="C168:F168"/>
    <mergeCell ref="C169:F169"/>
    <mergeCell ref="C170:F170"/>
    <mergeCell ref="B173:B177"/>
    <mergeCell ref="C173:F175"/>
    <mergeCell ref="H173:I173"/>
    <mergeCell ref="H174:I174"/>
    <mergeCell ref="H175:I175"/>
    <mergeCell ref="G176:G177"/>
    <mergeCell ref="H176:I176"/>
    <mergeCell ref="H177:I177"/>
    <mergeCell ref="H178:I178"/>
    <mergeCell ref="C176:F177"/>
    <mergeCell ref="C178:F178"/>
    <mergeCell ref="C179:F179"/>
    <mergeCell ref="C180:F180"/>
    <mergeCell ref="C181:F181"/>
    <mergeCell ref="C182:F182"/>
    <mergeCell ref="C183:F183"/>
    <mergeCell ref="H179:I179"/>
    <mergeCell ref="H180:I180"/>
    <mergeCell ref="H187:I187"/>
    <mergeCell ref="H188:I188"/>
    <mergeCell ref="H189:I189"/>
    <mergeCell ref="H190:I190"/>
    <mergeCell ref="H191:I191"/>
    <mergeCell ref="C184:F184"/>
    <mergeCell ref="B187:B191"/>
    <mergeCell ref="C187:F189"/>
    <mergeCell ref="C190:F191"/>
    <mergeCell ref="G190:G191"/>
    <mergeCell ref="C192:F192"/>
    <mergeCell ref="C193:F193"/>
    <mergeCell ref="C194:F194"/>
    <mergeCell ref="C195:F195"/>
    <mergeCell ref="C196:F196"/>
    <mergeCell ref="C197:F197"/>
    <mergeCell ref="C198:F198"/>
    <mergeCell ref="B201:B205"/>
    <mergeCell ref="C201:F203"/>
    <mergeCell ref="C220:F220"/>
    <mergeCell ref="H220:I220"/>
    <mergeCell ref="C221:F221"/>
    <mergeCell ref="H221:I221"/>
    <mergeCell ref="H222:I222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C80:F80"/>
    <mergeCell ref="C81:F81"/>
    <mergeCell ref="C82:F82"/>
    <mergeCell ref="C83:F83"/>
    <mergeCell ref="C84:F84"/>
    <mergeCell ref="C85:F85"/>
    <mergeCell ref="C86:F86"/>
    <mergeCell ref="B89:B93"/>
    <mergeCell ref="C89:F91"/>
    <mergeCell ref="C92:F93"/>
    <mergeCell ref="G92:G93"/>
    <mergeCell ref="C94:F94"/>
    <mergeCell ref="C95:F95"/>
    <mergeCell ref="C96:F96"/>
    <mergeCell ref="H105:I105"/>
    <mergeCell ref="H106:I106"/>
    <mergeCell ref="B145:B149"/>
    <mergeCell ref="C145:F147"/>
    <mergeCell ref="C148:F149"/>
    <mergeCell ref="G148:G149"/>
    <mergeCell ref="H148:I148"/>
    <mergeCell ref="H149:I149"/>
    <mergeCell ref="H118:I118"/>
    <mergeCell ref="H119:I119"/>
    <mergeCell ref="C113:F113"/>
    <mergeCell ref="C114:F114"/>
    <mergeCell ref="B117:B121"/>
    <mergeCell ref="C117:F119"/>
    <mergeCell ref="C120:F121"/>
    <mergeCell ref="G120:G121"/>
    <mergeCell ref="C122:F122"/>
    <mergeCell ref="H120:I120"/>
    <mergeCell ref="H121:I121"/>
    <mergeCell ref="H122:I122"/>
    <mergeCell ref="H150:I150"/>
    <mergeCell ref="C150:F150"/>
    <mergeCell ref="C151:F151"/>
    <mergeCell ref="H151:I151"/>
    <mergeCell ref="C152:F152"/>
    <mergeCell ref="H152:I152"/>
    <mergeCell ref="C153:F153"/>
    <mergeCell ref="C154:F154"/>
    <mergeCell ref="C162:F163"/>
    <mergeCell ref="G162:G163"/>
    <mergeCell ref="C155:F155"/>
    <mergeCell ref="C156:F156"/>
    <mergeCell ref="H162:I162"/>
    <mergeCell ref="H163:I163"/>
    <mergeCell ref="B159:B163"/>
    <mergeCell ref="C159:F161"/>
    <mergeCell ref="H159:I159"/>
    <mergeCell ref="H160:I160"/>
    <mergeCell ref="H161:I161"/>
    <mergeCell ref="C97:F97"/>
    <mergeCell ref="C98:F98"/>
    <mergeCell ref="C99:F99"/>
    <mergeCell ref="C100:F100"/>
    <mergeCell ref="B103:B107"/>
    <mergeCell ref="H104:I104"/>
    <mergeCell ref="G106:G107"/>
    <mergeCell ref="C103:F105"/>
    <mergeCell ref="C106:F107"/>
    <mergeCell ref="C108:F108"/>
    <mergeCell ref="C109:F109"/>
    <mergeCell ref="C110:F110"/>
    <mergeCell ref="C111:F111"/>
    <mergeCell ref="C112:F112"/>
    <mergeCell ref="H107:I107"/>
    <mergeCell ref="H108:I108"/>
    <mergeCell ref="H109:I109"/>
    <mergeCell ref="H110:I110"/>
    <mergeCell ref="H117:I117"/>
    <mergeCell ref="H123:I123"/>
    <mergeCell ref="H124:I124"/>
    <mergeCell ref="H131:I131"/>
    <mergeCell ref="H132:I132"/>
    <mergeCell ref="C136:F136"/>
    <mergeCell ref="C137:F137"/>
    <mergeCell ref="C138:F138"/>
    <mergeCell ref="C139:F139"/>
    <mergeCell ref="C140:F140"/>
    <mergeCell ref="C123:F123"/>
    <mergeCell ref="C124:F124"/>
    <mergeCell ref="C125:F125"/>
    <mergeCell ref="C126:F126"/>
    <mergeCell ref="C127:F127"/>
    <mergeCell ref="C128:F128"/>
    <mergeCell ref="H235:I235"/>
    <mergeCell ref="H236:I236"/>
    <mergeCell ref="H243:I243"/>
    <mergeCell ref="H244:I244"/>
    <mergeCell ref="H245:I245"/>
    <mergeCell ref="H246:I246"/>
    <mergeCell ref="H247:I247"/>
    <mergeCell ref="C164:F164"/>
    <mergeCell ref="H164:I164"/>
    <mergeCell ref="C165:F165"/>
    <mergeCell ref="H165:I165"/>
    <mergeCell ref="H166:I166"/>
    <mergeCell ref="H205:I205"/>
    <mergeCell ref="H206:I206"/>
    <mergeCell ref="H192:I192"/>
    <mergeCell ref="H193:I193"/>
    <mergeCell ref="H194:I194"/>
    <mergeCell ref="H201:I201"/>
    <mergeCell ref="H202:I202"/>
    <mergeCell ref="H203:I203"/>
    <mergeCell ref="H204:I204"/>
    <mergeCell ref="C204:F205"/>
    <mergeCell ref="G204:G205"/>
    <mergeCell ref="C206:F206"/>
    <mergeCell ref="H360:I360"/>
    <mergeCell ref="H361:I361"/>
    <mergeCell ref="H362:I362"/>
    <mergeCell ref="H369:I369"/>
    <mergeCell ref="H370:I370"/>
    <mergeCell ref="H371:I371"/>
    <mergeCell ref="H372:I372"/>
    <mergeCell ref="C207:F207"/>
    <mergeCell ref="H207:I207"/>
    <mergeCell ref="C208:F208"/>
    <mergeCell ref="H208:I208"/>
    <mergeCell ref="C209:F209"/>
    <mergeCell ref="C210:F210"/>
    <mergeCell ref="H261:I261"/>
    <mergeCell ref="H262:I262"/>
    <mergeCell ref="H248:I248"/>
    <mergeCell ref="H249:I249"/>
    <mergeCell ref="H250:I250"/>
    <mergeCell ref="H257:I257"/>
    <mergeCell ref="H258:I258"/>
    <mergeCell ref="H259:I259"/>
    <mergeCell ref="H260:I260"/>
    <mergeCell ref="C238:F238"/>
    <mergeCell ref="C239:F239"/>
    <mergeCell ref="G372:G373"/>
    <mergeCell ref="C374:F374"/>
    <mergeCell ref="C375:F375"/>
    <mergeCell ref="H375:I375"/>
    <mergeCell ref="C376:F376"/>
    <mergeCell ref="H376:I376"/>
    <mergeCell ref="C377:F377"/>
    <mergeCell ref="C378:F378"/>
    <mergeCell ref="H373:I373"/>
    <mergeCell ref="H374:I374"/>
    <mergeCell ref="C335:F335"/>
    <mergeCell ref="C336:F336"/>
    <mergeCell ref="C337:F337"/>
    <mergeCell ref="C338:F338"/>
    <mergeCell ref="B341:B345"/>
    <mergeCell ref="C341:F343"/>
    <mergeCell ref="H341:I341"/>
    <mergeCell ref="H342:I342"/>
    <mergeCell ref="H343:I343"/>
    <mergeCell ref="G344:G345"/>
    <mergeCell ref="H344:I344"/>
    <mergeCell ref="H345:I345"/>
    <mergeCell ref="H346:I346"/>
    <mergeCell ref="C344:F345"/>
    <mergeCell ref="C346:F346"/>
    <mergeCell ref="C347:F347"/>
    <mergeCell ref="C348:F348"/>
    <mergeCell ref="C349:F349"/>
    <mergeCell ref="C350:F350"/>
    <mergeCell ref="C351:F351"/>
    <mergeCell ref="H347:I347"/>
    <mergeCell ref="H348:I348"/>
    <mergeCell ref="H355:I355"/>
    <mergeCell ref="H356:I356"/>
    <mergeCell ref="H357:I357"/>
    <mergeCell ref="H358:I358"/>
    <mergeCell ref="H359:I359"/>
    <mergeCell ref="C352:F352"/>
    <mergeCell ref="B355:B359"/>
    <mergeCell ref="C355:F357"/>
    <mergeCell ref="C358:F359"/>
    <mergeCell ref="G358:G359"/>
    <mergeCell ref="C360:F360"/>
    <mergeCell ref="C361:F361"/>
    <mergeCell ref="C362:F362"/>
    <mergeCell ref="C363:F363"/>
    <mergeCell ref="C364:F364"/>
    <mergeCell ref="C365:F365"/>
    <mergeCell ref="C366:F366"/>
    <mergeCell ref="B369:B373"/>
    <mergeCell ref="C369:F371"/>
    <mergeCell ref="C372:F373"/>
    <mergeCell ref="H234:I234"/>
    <mergeCell ref="C232:F233"/>
    <mergeCell ref="C234:F234"/>
    <mergeCell ref="C235:F235"/>
    <mergeCell ref="C236:F236"/>
    <mergeCell ref="C237:F237"/>
    <mergeCell ref="C379:F379"/>
    <mergeCell ref="C380:F380"/>
    <mergeCell ref="C260:F261"/>
    <mergeCell ref="G260:G261"/>
    <mergeCell ref="C262:F262"/>
    <mergeCell ref="C263:F263"/>
    <mergeCell ref="H263:I263"/>
    <mergeCell ref="C264:F264"/>
    <mergeCell ref="H264:I264"/>
    <mergeCell ref="C265:F265"/>
    <mergeCell ref="C266:F266"/>
    <mergeCell ref="C274:F275"/>
    <mergeCell ref="G274:G275"/>
    <mergeCell ref="C267:F267"/>
    <mergeCell ref="C268:F268"/>
    <mergeCell ref="C277:F277"/>
    <mergeCell ref="H277:I277"/>
    <mergeCell ref="H278:I278"/>
    <mergeCell ref="C222:F222"/>
    <mergeCell ref="C223:F223"/>
    <mergeCell ref="C224:F224"/>
    <mergeCell ref="C225:F225"/>
    <mergeCell ref="C226:F226"/>
    <mergeCell ref="B229:B233"/>
    <mergeCell ref="C229:F231"/>
    <mergeCell ref="H229:I229"/>
    <mergeCell ref="H230:I230"/>
    <mergeCell ref="H231:I231"/>
    <mergeCell ref="G232:G233"/>
    <mergeCell ref="H232:I232"/>
    <mergeCell ref="H233:I233"/>
    <mergeCell ref="C240:F240"/>
    <mergeCell ref="B243:B247"/>
    <mergeCell ref="C243:F245"/>
    <mergeCell ref="C246:F247"/>
    <mergeCell ref="G246:G247"/>
    <mergeCell ref="C248:F248"/>
    <mergeCell ref="C249:F249"/>
    <mergeCell ref="C250:F250"/>
    <mergeCell ref="C251:F251"/>
    <mergeCell ref="C252:F252"/>
    <mergeCell ref="C253:F253"/>
    <mergeCell ref="C254:F254"/>
    <mergeCell ref="B257:B261"/>
    <mergeCell ref="C257:F259"/>
    <mergeCell ref="H274:I274"/>
    <mergeCell ref="H275:I275"/>
    <mergeCell ref="C276:F276"/>
    <mergeCell ref="H276:I276"/>
    <mergeCell ref="B271:B275"/>
    <mergeCell ref="C271:F273"/>
    <mergeCell ref="H271:I271"/>
    <mergeCell ref="H272:I272"/>
    <mergeCell ref="H273:I273"/>
    <mergeCell ref="B327:B331"/>
    <mergeCell ref="C327:F329"/>
    <mergeCell ref="H327:I327"/>
    <mergeCell ref="H328:I328"/>
    <mergeCell ref="H329:I329"/>
    <mergeCell ref="H330:I330"/>
    <mergeCell ref="H331:I331"/>
    <mergeCell ref="H314:I314"/>
    <mergeCell ref="H315:I315"/>
    <mergeCell ref="H316:I316"/>
    <mergeCell ref="C316:F317"/>
    <mergeCell ref="G316:G317"/>
    <mergeCell ref="C318:F318"/>
    <mergeCell ref="C319:F319"/>
    <mergeCell ref="H319:I319"/>
    <mergeCell ref="C320:F320"/>
    <mergeCell ref="H320:I320"/>
    <mergeCell ref="H317:I317"/>
    <mergeCell ref="H318:I318"/>
    <mergeCell ref="B313:B317"/>
    <mergeCell ref="C313:F315"/>
    <mergeCell ref="C278:F278"/>
    <mergeCell ref="C279:F279"/>
    <mergeCell ref="C280:F280"/>
    <mergeCell ref="C281:F281"/>
    <mergeCell ref="C282:F282"/>
    <mergeCell ref="B285:B289"/>
    <mergeCell ref="C285:F287"/>
    <mergeCell ref="H285:I285"/>
    <mergeCell ref="H286:I286"/>
    <mergeCell ref="H287:I287"/>
    <mergeCell ref="G288:G289"/>
    <mergeCell ref="H288:I288"/>
    <mergeCell ref="H289:I289"/>
    <mergeCell ref="H290:I290"/>
    <mergeCell ref="C288:F289"/>
    <mergeCell ref="C290:F290"/>
    <mergeCell ref="C291:F291"/>
    <mergeCell ref="C292:F292"/>
    <mergeCell ref="C293:F293"/>
    <mergeCell ref="C294:F294"/>
    <mergeCell ref="C295:F295"/>
    <mergeCell ref="H291:I291"/>
    <mergeCell ref="H292:I292"/>
    <mergeCell ref="H299:I299"/>
    <mergeCell ref="H300:I300"/>
    <mergeCell ref="H301:I301"/>
    <mergeCell ref="H302:I302"/>
    <mergeCell ref="H303:I303"/>
    <mergeCell ref="C296:F296"/>
    <mergeCell ref="B299:B303"/>
    <mergeCell ref="C299:F301"/>
    <mergeCell ref="C302:F303"/>
    <mergeCell ref="G302:G303"/>
    <mergeCell ref="H304:I304"/>
    <mergeCell ref="H305:I305"/>
    <mergeCell ref="H306:I306"/>
    <mergeCell ref="H313:I313"/>
    <mergeCell ref="C332:F332"/>
    <mergeCell ref="H332:I332"/>
    <mergeCell ref="C333:F333"/>
    <mergeCell ref="H333:I333"/>
    <mergeCell ref="H334:I334"/>
    <mergeCell ref="C304:F304"/>
    <mergeCell ref="C305:F305"/>
    <mergeCell ref="C306:F306"/>
    <mergeCell ref="C307:F307"/>
    <mergeCell ref="C308:F308"/>
    <mergeCell ref="C309:F309"/>
    <mergeCell ref="C310:F310"/>
    <mergeCell ref="C321:F321"/>
    <mergeCell ref="C322:F322"/>
    <mergeCell ref="C330:F331"/>
    <mergeCell ref="G330:G331"/>
    <mergeCell ref="C323:F323"/>
    <mergeCell ref="C324:F324"/>
    <mergeCell ref="C334:F334"/>
  </mergeCells>
  <pageMargins left="0.7" right="0.7" top="0.75" bottom="0.75" header="0" footer="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>
      <c r="A1" s="159"/>
      <c r="B1" s="539"/>
      <c r="C1" s="540" t="s">
        <v>0</v>
      </c>
      <c r="D1" s="219"/>
      <c r="E1" s="219"/>
      <c r="F1" s="219"/>
      <c r="G1" s="219"/>
      <c r="H1" s="220"/>
      <c r="I1" s="160" t="s">
        <v>1</v>
      </c>
      <c r="J1" s="161" t="s">
        <v>420</v>
      </c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4"/>
      <c r="X1" s="84"/>
      <c r="Y1" s="84"/>
      <c r="Z1" s="84"/>
    </row>
    <row r="2" spans="1:26" ht="24.75" customHeight="1">
      <c r="A2" s="159"/>
      <c r="B2" s="213"/>
      <c r="C2" s="264"/>
      <c r="D2" s="213"/>
      <c r="E2" s="213"/>
      <c r="F2" s="213"/>
      <c r="G2" s="213"/>
      <c r="H2" s="258"/>
      <c r="I2" s="109" t="s">
        <v>3</v>
      </c>
      <c r="J2" s="162">
        <v>1</v>
      </c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4"/>
      <c r="X2" s="84"/>
      <c r="Y2" s="84"/>
      <c r="Z2" s="84"/>
    </row>
    <row r="3" spans="1:26" ht="24.75" customHeight="1">
      <c r="A3" s="159"/>
      <c r="B3" s="213"/>
      <c r="C3" s="307"/>
      <c r="D3" s="230"/>
      <c r="E3" s="230"/>
      <c r="F3" s="230"/>
      <c r="G3" s="230"/>
      <c r="H3" s="375"/>
      <c r="I3" s="163" t="s">
        <v>5</v>
      </c>
      <c r="J3" s="163" t="s">
        <v>6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4"/>
      <c r="X3" s="84"/>
      <c r="Y3" s="84"/>
      <c r="Z3" s="84"/>
    </row>
    <row r="4" spans="1:26" ht="24.75" customHeight="1">
      <c r="A4" s="164"/>
      <c r="B4" s="213"/>
      <c r="C4" s="540" t="s">
        <v>421</v>
      </c>
      <c r="D4" s="219"/>
      <c r="E4" s="219"/>
      <c r="F4" s="219"/>
      <c r="G4" s="219"/>
      <c r="H4" s="220"/>
      <c r="I4" s="542" t="s">
        <v>7</v>
      </c>
      <c r="J4" s="165" t="s">
        <v>8</v>
      </c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24.75" customHeight="1">
      <c r="A5" s="164"/>
      <c r="B5" s="210"/>
      <c r="C5" s="221"/>
      <c r="D5" s="210"/>
      <c r="E5" s="210"/>
      <c r="F5" s="210"/>
      <c r="G5" s="210"/>
      <c r="H5" s="211"/>
      <c r="I5" s="529"/>
      <c r="J5" s="166" t="s">
        <v>9</v>
      </c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24.75" customHeight="1">
      <c r="A6" s="84"/>
      <c r="B6" s="9"/>
      <c r="C6" s="9"/>
      <c r="D6" s="9"/>
      <c r="E6" s="9"/>
      <c r="F6" s="9"/>
      <c r="G6" s="9"/>
      <c r="H6" s="9"/>
      <c r="I6" s="9"/>
      <c r="J6" s="126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5.75" customHeight="1">
      <c r="A7" s="84"/>
      <c r="B7" s="13"/>
      <c r="C7" s="13"/>
      <c r="D7" s="13"/>
      <c r="E7" s="13"/>
      <c r="F7" s="13"/>
      <c r="G7" s="13"/>
      <c r="H7" s="13"/>
      <c r="I7" s="13"/>
      <c r="J7" s="13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8.75" customHeight="1">
      <c r="A8" s="84"/>
      <c r="B8" s="536"/>
      <c r="C8" s="527" t="s">
        <v>0</v>
      </c>
      <c r="D8" s="157" t="s">
        <v>1</v>
      </c>
      <c r="E8" s="157" t="s">
        <v>420</v>
      </c>
      <c r="F8" s="13"/>
      <c r="G8" s="536"/>
      <c r="H8" s="527" t="s">
        <v>0</v>
      </c>
      <c r="I8" s="157" t="s">
        <v>1</v>
      </c>
      <c r="J8" s="157" t="s">
        <v>420</v>
      </c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20.25" customHeight="1">
      <c r="A9" s="84"/>
      <c r="B9" s="264"/>
      <c r="C9" s="528"/>
      <c r="D9" s="158" t="s">
        <v>3</v>
      </c>
      <c r="E9" s="167">
        <v>1</v>
      </c>
      <c r="F9" s="13"/>
      <c r="G9" s="264"/>
      <c r="H9" s="528"/>
      <c r="I9" s="158" t="s">
        <v>3</v>
      </c>
      <c r="J9" s="167">
        <v>1</v>
      </c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8" customHeight="1">
      <c r="A10" s="84"/>
      <c r="B10" s="264"/>
      <c r="C10" s="529"/>
      <c r="D10" s="157" t="s">
        <v>5</v>
      </c>
      <c r="E10" s="157" t="s">
        <v>6</v>
      </c>
      <c r="F10" s="13"/>
      <c r="G10" s="264"/>
      <c r="H10" s="529"/>
      <c r="I10" s="157" t="s">
        <v>5</v>
      </c>
      <c r="J10" s="157" t="s">
        <v>6</v>
      </c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8.75" customHeight="1">
      <c r="A11" s="84"/>
      <c r="B11" s="264"/>
      <c r="C11" s="527" t="s">
        <v>421</v>
      </c>
      <c r="D11" s="537" t="s">
        <v>7</v>
      </c>
      <c r="E11" s="168" t="s">
        <v>8</v>
      </c>
      <c r="F11" s="13"/>
      <c r="G11" s="264"/>
      <c r="H11" s="527" t="s">
        <v>421</v>
      </c>
      <c r="I11" s="537" t="s">
        <v>7</v>
      </c>
      <c r="J11" s="168" t="s">
        <v>8</v>
      </c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5" customHeight="1">
      <c r="A12" s="164"/>
      <c r="B12" s="264"/>
      <c r="C12" s="529"/>
      <c r="D12" s="375"/>
      <c r="E12" s="169" t="s">
        <v>9</v>
      </c>
      <c r="F12" s="13"/>
      <c r="G12" s="264"/>
      <c r="H12" s="529"/>
      <c r="I12" s="375"/>
      <c r="J12" s="169" t="s">
        <v>9</v>
      </c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36" customHeight="1">
      <c r="A13" s="84"/>
      <c r="B13" s="170" t="s">
        <v>422</v>
      </c>
      <c r="C13" s="252" t="str">
        <f>'INSPECCIÓN ETIQUETAS'!C8</f>
        <v>CONTORNO DE OJOS RETINALDEHIDO 0.05%</v>
      </c>
      <c r="D13" s="219"/>
      <c r="E13" s="220"/>
      <c r="F13" s="171"/>
      <c r="G13" s="170" t="s">
        <v>422</v>
      </c>
      <c r="H13" s="252" t="str">
        <f t="shared" ref="H13:H16" si="0">C13</f>
        <v>CONTORNO DE OJOS RETINALDEHIDO 0.05%</v>
      </c>
      <c r="I13" s="219"/>
      <c r="J13" s="220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35.25" customHeight="1">
      <c r="A14" s="84"/>
      <c r="B14" s="172" t="s">
        <v>350</v>
      </c>
      <c r="C14" s="173" t="str">
        <f>'INSPECCIÓN ETIQUETAS'!C10</f>
        <v>252581</v>
      </c>
      <c r="D14" s="172" t="s">
        <v>201</v>
      </c>
      <c r="E14" s="174"/>
      <c r="F14" s="171"/>
      <c r="G14" s="172" t="s">
        <v>350</v>
      </c>
      <c r="H14" s="173" t="str">
        <f t="shared" si="0"/>
        <v>252581</v>
      </c>
      <c r="I14" s="172" t="s">
        <v>201</v>
      </c>
      <c r="J14" s="17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33" customHeight="1">
      <c r="A15" s="84"/>
      <c r="B15" s="170" t="s">
        <v>423</v>
      </c>
      <c r="C15" s="543" t="str">
        <f>'INSPECCIÓN ETIQUETAS'!C9</f>
        <v>OP-SS-126</v>
      </c>
      <c r="D15" s="246"/>
      <c r="E15" s="260"/>
      <c r="F15" s="171"/>
      <c r="G15" s="170" t="s">
        <v>423</v>
      </c>
      <c r="H15" s="543" t="str">
        <f t="shared" si="0"/>
        <v>OP-SS-126</v>
      </c>
      <c r="I15" s="246"/>
      <c r="J15" s="260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32.25" customHeight="1">
      <c r="A16" s="84"/>
      <c r="B16" s="170" t="s">
        <v>424</v>
      </c>
      <c r="C16" s="544">
        <f>OP!P12</f>
        <v>14</v>
      </c>
      <c r="D16" s="246"/>
      <c r="E16" s="260"/>
      <c r="F16" s="175"/>
      <c r="G16" s="170" t="s">
        <v>424</v>
      </c>
      <c r="H16" s="544">
        <f t="shared" si="0"/>
        <v>14</v>
      </c>
      <c r="I16" s="246"/>
      <c r="J16" s="260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5.75" customHeight="1">
      <c r="A17" s="84"/>
      <c r="B17" s="533" t="s">
        <v>31</v>
      </c>
      <c r="C17" s="534"/>
      <c r="D17" s="219"/>
      <c r="E17" s="220"/>
      <c r="F17" s="175"/>
      <c r="G17" s="533" t="s">
        <v>31</v>
      </c>
      <c r="H17" s="534"/>
      <c r="I17" s="219"/>
      <c r="J17" s="220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5" customHeight="1">
      <c r="A18" s="84"/>
      <c r="B18" s="528"/>
      <c r="C18" s="264"/>
      <c r="D18" s="213"/>
      <c r="E18" s="258"/>
      <c r="F18" s="171"/>
      <c r="G18" s="528"/>
      <c r="H18" s="264"/>
      <c r="I18" s="213"/>
      <c r="J18" s="258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.75" customHeight="1">
      <c r="A19" s="84"/>
      <c r="B19" s="528"/>
      <c r="C19" s="264"/>
      <c r="D19" s="213"/>
      <c r="E19" s="258"/>
      <c r="F19" s="171"/>
      <c r="G19" s="528"/>
      <c r="H19" s="264"/>
      <c r="I19" s="213"/>
      <c r="J19" s="258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5.75" customHeight="1">
      <c r="A20" s="84"/>
      <c r="B20" s="529"/>
      <c r="C20" s="221"/>
      <c r="D20" s="210"/>
      <c r="E20" s="211"/>
      <c r="F20" s="171"/>
      <c r="G20" s="529"/>
      <c r="H20" s="221"/>
      <c r="I20" s="210"/>
      <c r="J20" s="211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21" customHeight="1">
      <c r="A21" s="84"/>
      <c r="B21" s="176" t="s">
        <v>86</v>
      </c>
      <c r="C21" s="535"/>
      <c r="D21" s="246"/>
      <c r="E21" s="260"/>
      <c r="F21" s="13"/>
      <c r="G21" s="176" t="s">
        <v>86</v>
      </c>
      <c r="H21" s="535"/>
      <c r="I21" s="246"/>
      <c r="J21" s="260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15.75" customHeight="1">
      <c r="A22" s="84"/>
      <c r="B22" s="13"/>
      <c r="C22" s="13"/>
      <c r="D22" s="13"/>
      <c r="E22" s="13"/>
      <c r="F22" s="13"/>
      <c r="G22" s="13"/>
      <c r="H22" s="13"/>
      <c r="I22" s="13"/>
      <c r="J22" s="13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>
      <c r="A23" s="84"/>
      <c r="B23" s="536"/>
      <c r="C23" s="527" t="s">
        <v>0</v>
      </c>
      <c r="D23" s="157" t="s">
        <v>1</v>
      </c>
      <c r="E23" s="157" t="s">
        <v>420</v>
      </c>
      <c r="F23" s="13"/>
      <c r="G23" s="536"/>
      <c r="H23" s="527" t="s">
        <v>0</v>
      </c>
      <c r="I23" s="157" t="s">
        <v>1</v>
      </c>
      <c r="J23" s="157" t="s">
        <v>420</v>
      </c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5.75" customHeight="1">
      <c r="A24" s="84"/>
      <c r="B24" s="264"/>
      <c r="C24" s="528"/>
      <c r="D24" s="158" t="s">
        <v>3</v>
      </c>
      <c r="E24" s="167">
        <v>1</v>
      </c>
      <c r="F24" s="13"/>
      <c r="G24" s="264"/>
      <c r="H24" s="528"/>
      <c r="I24" s="158" t="s">
        <v>3</v>
      </c>
      <c r="J24" s="167">
        <v>1</v>
      </c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>
      <c r="A25" s="84"/>
      <c r="B25" s="264"/>
      <c r="C25" s="529"/>
      <c r="D25" s="157" t="s">
        <v>5</v>
      </c>
      <c r="E25" s="157" t="s">
        <v>6</v>
      </c>
      <c r="F25" s="13"/>
      <c r="G25" s="264"/>
      <c r="H25" s="529"/>
      <c r="I25" s="157" t="s">
        <v>5</v>
      </c>
      <c r="J25" s="157" t="s">
        <v>6</v>
      </c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5.75" customHeight="1">
      <c r="A26" s="84"/>
      <c r="B26" s="264"/>
      <c r="C26" s="527" t="s">
        <v>421</v>
      </c>
      <c r="D26" s="537" t="s">
        <v>7</v>
      </c>
      <c r="E26" s="168" t="s">
        <v>8</v>
      </c>
      <c r="F26" s="13"/>
      <c r="G26" s="264"/>
      <c r="H26" s="527" t="s">
        <v>421</v>
      </c>
      <c r="I26" s="537" t="s">
        <v>7</v>
      </c>
      <c r="J26" s="168" t="s">
        <v>8</v>
      </c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5.75" customHeight="1">
      <c r="A27" s="84"/>
      <c r="B27" s="264"/>
      <c r="C27" s="529"/>
      <c r="D27" s="375"/>
      <c r="E27" s="169" t="s">
        <v>9</v>
      </c>
      <c r="F27" s="13"/>
      <c r="G27" s="264"/>
      <c r="H27" s="529"/>
      <c r="I27" s="375"/>
      <c r="J27" s="169" t="s">
        <v>9</v>
      </c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34.5" customHeight="1">
      <c r="A28" s="84"/>
      <c r="B28" s="170" t="s">
        <v>422</v>
      </c>
      <c r="C28" s="538"/>
      <c r="D28" s="219"/>
      <c r="E28" s="220"/>
      <c r="F28" s="171"/>
      <c r="G28" s="170" t="s">
        <v>422</v>
      </c>
      <c r="H28" s="538"/>
      <c r="I28" s="219"/>
      <c r="J28" s="220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35.25" customHeight="1">
      <c r="A29" s="84"/>
      <c r="B29" s="172" t="s">
        <v>350</v>
      </c>
      <c r="C29" s="177"/>
      <c r="D29" s="172" t="s">
        <v>201</v>
      </c>
      <c r="E29" s="174"/>
      <c r="F29" s="171"/>
      <c r="G29" s="172" t="s">
        <v>350</v>
      </c>
      <c r="H29" s="177"/>
      <c r="I29" s="172" t="s">
        <v>201</v>
      </c>
      <c r="J29" s="17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36" customHeight="1">
      <c r="A30" s="84"/>
      <c r="B30" s="170" t="s">
        <v>423</v>
      </c>
      <c r="C30" s="541"/>
      <c r="D30" s="246"/>
      <c r="E30" s="260"/>
      <c r="F30" s="171"/>
      <c r="G30" s="170" t="s">
        <v>423</v>
      </c>
      <c r="H30" s="541"/>
      <c r="I30" s="246"/>
      <c r="J30" s="260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42.75" customHeight="1">
      <c r="A31" s="84"/>
      <c r="B31" s="170" t="s">
        <v>424</v>
      </c>
      <c r="C31" s="541"/>
      <c r="D31" s="246"/>
      <c r="E31" s="260"/>
      <c r="F31" s="175"/>
      <c r="G31" s="170" t="s">
        <v>424</v>
      </c>
      <c r="H31" s="541"/>
      <c r="I31" s="246"/>
      <c r="J31" s="260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5.75" customHeight="1">
      <c r="A32" s="84"/>
      <c r="B32" s="533" t="s">
        <v>31</v>
      </c>
      <c r="C32" s="534"/>
      <c r="D32" s="219"/>
      <c r="E32" s="220"/>
      <c r="F32" s="175"/>
      <c r="G32" s="533" t="s">
        <v>31</v>
      </c>
      <c r="H32" s="534"/>
      <c r="I32" s="219"/>
      <c r="J32" s="220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5.75" customHeight="1">
      <c r="A33" s="84"/>
      <c r="B33" s="528"/>
      <c r="C33" s="264"/>
      <c r="D33" s="213"/>
      <c r="E33" s="258"/>
      <c r="F33" s="171"/>
      <c r="G33" s="528"/>
      <c r="H33" s="264"/>
      <c r="I33" s="213"/>
      <c r="J33" s="258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customHeight="1">
      <c r="A34" s="84"/>
      <c r="B34" s="528"/>
      <c r="C34" s="264"/>
      <c r="D34" s="213"/>
      <c r="E34" s="258"/>
      <c r="F34" s="171"/>
      <c r="G34" s="528"/>
      <c r="H34" s="264"/>
      <c r="I34" s="213"/>
      <c r="J34" s="258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5.75" customHeight="1">
      <c r="A35" s="84"/>
      <c r="B35" s="529"/>
      <c r="C35" s="221"/>
      <c r="D35" s="210"/>
      <c r="E35" s="211"/>
      <c r="F35" s="171"/>
      <c r="G35" s="529"/>
      <c r="H35" s="221"/>
      <c r="I35" s="210"/>
      <c r="J35" s="211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8.75" customHeight="1">
      <c r="A36" s="84"/>
      <c r="B36" s="176" t="s">
        <v>86</v>
      </c>
      <c r="C36" s="535"/>
      <c r="D36" s="246"/>
      <c r="E36" s="260"/>
      <c r="F36" s="13"/>
      <c r="G36" s="176" t="s">
        <v>86</v>
      </c>
      <c r="H36" s="535"/>
      <c r="I36" s="246"/>
      <c r="J36" s="260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5.75" customHeight="1">
      <c r="A37" s="84"/>
      <c r="B37" s="13"/>
      <c r="C37" s="13"/>
      <c r="D37" s="13"/>
      <c r="E37" s="13"/>
      <c r="F37" s="13"/>
      <c r="G37" s="13"/>
      <c r="H37" s="13"/>
      <c r="I37" s="13"/>
      <c r="J37" s="13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5.75" customHeight="1">
      <c r="A38" s="84"/>
      <c r="B38" s="536"/>
      <c r="C38" s="527" t="s">
        <v>0</v>
      </c>
      <c r="D38" s="157" t="s">
        <v>1</v>
      </c>
      <c r="E38" s="157" t="s">
        <v>420</v>
      </c>
      <c r="F38" s="13"/>
      <c r="G38" s="536"/>
      <c r="H38" s="527" t="s">
        <v>0</v>
      </c>
      <c r="I38" s="157" t="s">
        <v>1</v>
      </c>
      <c r="J38" s="157" t="s">
        <v>420</v>
      </c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>
      <c r="A39" s="84"/>
      <c r="B39" s="264"/>
      <c r="C39" s="528"/>
      <c r="D39" s="158" t="s">
        <v>3</v>
      </c>
      <c r="E39" s="167">
        <v>1</v>
      </c>
      <c r="F39" s="13"/>
      <c r="G39" s="264"/>
      <c r="H39" s="528"/>
      <c r="I39" s="158" t="s">
        <v>3</v>
      </c>
      <c r="J39" s="167">
        <v>1</v>
      </c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>
      <c r="A40" s="84"/>
      <c r="B40" s="264"/>
      <c r="C40" s="529"/>
      <c r="D40" s="157" t="s">
        <v>5</v>
      </c>
      <c r="E40" s="157" t="s">
        <v>6</v>
      </c>
      <c r="F40" s="13"/>
      <c r="G40" s="264"/>
      <c r="H40" s="529"/>
      <c r="I40" s="157" t="s">
        <v>5</v>
      </c>
      <c r="J40" s="157" t="s">
        <v>6</v>
      </c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>
      <c r="A41" s="84"/>
      <c r="B41" s="264"/>
      <c r="C41" s="527" t="s">
        <v>421</v>
      </c>
      <c r="D41" s="537" t="s">
        <v>7</v>
      </c>
      <c r="E41" s="168" t="s">
        <v>8</v>
      </c>
      <c r="F41" s="13"/>
      <c r="G41" s="264"/>
      <c r="H41" s="527" t="s">
        <v>421</v>
      </c>
      <c r="I41" s="537" t="s">
        <v>7</v>
      </c>
      <c r="J41" s="168" t="s">
        <v>8</v>
      </c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>
      <c r="A42" s="84"/>
      <c r="B42" s="264"/>
      <c r="C42" s="529"/>
      <c r="D42" s="375"/>
      <c r="E42" s="169" t="s">
        <v>9</v>
      </c>
      <c r="F42" s="13"/>
      <c r="G42" s="264"/>
      <c r="H42" s="529"/>
      <c r="I42" s="375"/>
      <c r="J42" s="169" t="s">
        <v>9</v>
      </c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24.75" customHeight="1">
      <c r="A43" s="84"/>
      <c r="B43" s="170" t="s">
        <v>422</v>
      </c>
      <c r="C43" s="538"/>
      <c r="D43" s="219"/>
      <c r="E43" s="220"/>
      <c r="F43" s="171"/>
      <c r="G43" s="170" t="s">
        <v>422</v>
      </c>
      <c r="H43" s="538"/>
      <c r="I43" s="219"/>
      <c r="J43" s="220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45.75" customHeight="1">
      <c r="A44" s="84"/>
      <c r="B44" s="172" t="s">
        <v>350</v>
      </c>
      <c r="C44" s="177"/>
      <c r="D44" s="172" t="s">
        <v>201</v>
      </c>
      <c r="E44" s="174"/>
      <c r="F44" s="171"/>
      <c r="G44" s="172" t="s">
        <v>350</v>
      </c>
      <c r="H44" s="541"/>
      <c r="I44" s="246"/>
      <c r="J44" s="260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34.5" customHeight="1">
      <c r="A45" s="84"/>
      <c r="B45" s="170" t="s">
        <v>423</v>
      </c>
      <c r="C45" s="541"/>
      <c r="D45" s="246"/>
      <c r="E45" s="260"/>
      <c r="F45" s="171"/>
      <c r="G45" s="170" t="s">
        <v>423</v>
      </c>
      <c r="H45" s="541"/>
      <c r="I45" s="246"/>
      <c r="J45" s="260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38.25" customHeight="1">
      <c r="A46" s="84"/>
      <c r="B46" s="170" t="s">
        <v>424</v>
      </c>
      <c r="C46" s="541"/>
      <c r="D46" s="246"/>
      <c r="E46" s="260"/>
      <c r="F46" s="175"/>
      <c r="G46" s="170" t="s">
        <v>424</v>
      </c>
      <c r="H46" s="541"/>
      <c r="I46" s="246"/>
      <c r="J46" s="260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 customHeight="1">
      <c r="A47" s="84"/>
      <c r="B47" s="533" t="s">
        <v>31</v>
      </c>
      <c r="C47" s="534"/>
      <c r="D47" s="219"/>
      <c r="E47" s="220"/>
      <c r="F47" s="175"/>
      <c r="G47" s="533" t="s">
        <v>31</v>
      </c>
      <c r="H47" s="534"/>
      <c r="I47" s="219"/>
      <c r="J47" s="220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customHeight="1">
      <c r="A48" s="84"/>
      <c r="B48" s="528"/>
      <c r="C48" s="264"/>
      <c r="D48" s="213"/>
      <c r="E48" s="258"/>
      <c r="F48" s="171"/>
      <c r="G48" s="528"/>
      <c r="H48" s="264"/>
      <c r="I48" s="213"/>
      <c r="J48" s="258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>
      <c r="A49" s="84"/>
      <c r="B49" s="528"/>
      <c r="C49" s="264"/>
      <c r="D49" s="213"/>
      <c r="E49" s="258"/>
      <c r="F49" s="171"/>
      <c r="G49" s="528"/>
      <c r="H49" s="264"/>
      <c r="I49" s="213"/>
      <c r="J49" s="258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>
      <c r="A50" s="84"/>
      <c r="B50" s="529"/>
      <c r="C50" s="221"/>
      <c r="D50" s="210"/>
      <c r="E50" s="211"/>
      <c r="F50" s="171"/>
      <c r="G50" s="529"/>
      <c r="H50" s="221"/>
      <c r="I50" s="210"/>
      <c r="J50" s="211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8.75" customHeight="1">
      <c r="A51" s="84"/>
      <c r="B51" s="176" t="s">
        <v>86</v>
      </c>
      <c r="C51" s="535"/>
      <c r="D51" s="246"/>
      <c r="E51" s="260"/>
      <c r="F51" s="13"/>
      <c r="G51" s="176" t="s">
        <v>86</v>
      </c>
      <c r="H51" s="535"/>
      <c r="I51" s="246"/>
      <c r="J51" s="260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>
      <c r="A52" s="84"/>
      <c r="B52" s="13"/>
      <c r="C52" s="13"/>
      <c r="D52" s="13"/>
      <c r="E52" s="13"/>
      <c r="F52" s="13"/>
      <c r="G52" s="13"/>
      <c r="H52" s="13"/>
      <c r="I52" s="13"/>
      <c r="J52" s="13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 customHeight="1">
      <c r="A53" s="84"/>
      <c r="B53" s="536"/>
      <c r="C53" s="527" t="s">
        <v>0</v>
      </c>
      <c r="D53" s="157" t="s">
        <v>1</v>
      </c>
      <c r="E53" s="157" t="s">
        <v>420</v>
      </c>
      <c r="F53" s="13"/>
      <c r="G53" s="536"/>
      <c r="H53" s="527" t="s">
        <v>0</v>
      </c>
      <c r="I53" s="157" t="s">
        <v>1</v>
      </c>
      <c r="J53" s="157" t="s">
        <v>420</v>
      </c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 customHeight="1">
      <c r="A54" s="84"/>
      <c r="B54" s="264"/>
      <c r="C54" s="528"/>
      <c r="D54" s="158" t="s">
        <v>3</v>
      </c>
      <c r="E54" s="167">
        <v>1</v>
      </c>
      <c r="F54" s="13"/>
      <c r="G54" s="264"/>
      <c r="H54" s="528"/>
      <c r="I54" s="158" t="s">
        <v>3</v>
      </c>
      <c r="J54" s="167">
        <v>1</v>
      </c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>
      <c r="A55" s="84"/>
      <c r="B55" s="264"/>
      <c r="C55" s="529"/>
      <c r="D55" s="157" t="s">
        <v>5</v>
      </c>
      <c r="E55" s="157" t="s">
        <v>6</v>
      </c>
      <c r="F55" s="13"/>
      <c r="G55" s="264"/>
      <c r="H55" s="529"/>
      <c r="I55" s="157" t="s">
        <v>5</v>
      </c>
      <c r="J55" s="157" t="s">
        <v>6</v>
      </c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>
      <c r="A56" s="84"/>
      <c r="B56" s="264"/>
      <c r="C56" s="527" t="s">
        <v>421</v>
      </c>
      <c r="D56" s="537" t="s">
        <v>7</v>
      </c>
      <c r="E56" s="168" t="s">
        <v>8</v>
      </c>
      <c r="F56" s="13"/>
      <c r="G56" s="264"/>
      <c r="H56" s="527" t="s">
        <v>421</v>
      </c>
      <c r="I56" s="537" t="s">
        <v>7</v>
      </c>
      <c r="J56" s="168" t="s">
        <v>8</v>
      </c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>
      <c r="A57" s="84"/>
      <c r="B57" s="264"/>
      <c r="C57" s="529"/>
      <c r="D57" s="375"/>
      <c r="E57" s="169" t="s">
        <v>9</v>
      </c>
      <c r="F57" s="13"/>
      <c r="G57" s="264"/>
      <c r="H57" s="529"/>
      <c r="I57" s="375"/>
      <c r="J57" s="169" t="s">
        <v>9</v>
      </c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33" customHeight="1">
      <c r="A58" s="84"/>
      <c r="B58" s="170" t="s">
        <v>422</v>
      </c>
      <c r="C58" s="538"/>
      <c r="D58" s="219"/>
      <c r="E58" s="220"/>
      <c r="F58" s="171"/>
      <c r="G58" s="170" t="s">
        <v>422</v>
      </c>
      <c r="H58" s="538"/>
      <c r="I58" s="219"/>
      <c r="J58" s="220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33" customHeight="1">
      <c r="A59" s="84"/>
      <c r="B59" s="172" t="s">
        <v>350</v>
      </c>
      <c r="C59" s="177"/>
      <c r="D59" s="172" t="s">
        <v>201</v>
      </c>
      <c r="E59" s="174"/>
      <c r="F59" s="171"/>
      <c r="G59" s="172" t="s">
        <v>350</v>
      </c>
      <c r="H59" s="177"/>
      <c r="I59" s="172" t="s">
        <v>201</v>
      </c>
      <c r="J59" s="17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45" customHeight="1">
      <c r="A60" s="84"/>
      <c r="B60" s="170" t="s">
        <v>423</v>
      </c>
      <c r="C60" s="541"/>
      <c r="D60" s="246"/>
      <c r="E60" s="260"/>
      <c r="F60" s="171"/>
      <c r="G60" s="170" t="s">
        <v>423</v>
      </c>
      <c r="H60" s="541"/>
      <c r="I60" s="246"/>
      <c r="J60" s="260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36" customHeight="1">
      <c r="A61" s="84"/>
      <c r="B61" s="170" t="s">
        <v>424</v>
      </c>
      <c r="C61" s="541"/>
      <c r="D61" s="246"/>
      <c r="E61" s="260"/>
      <c r="F61" s="175"/>
      <c r="G61" s="170" t="s">
        <v>424</v>
      </c>
      <c r="H61" s="541"/>
      <c r="I61" s="246"/>
      <c r="J61" s="260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.75" customHeight="1">
      <c r="A62" s="84"/>
      <c r="B62" s="533" t="s">
        <v>31</v>
      </c>
      <c r="C62" s="534"/>
      <c r="D62" s="219"/>
      <c r="E62" s="220"/>
      <c r="F62" s="175"/>
      <c r="G62" s="533" t="s">
        <v>31</v>
      </c>
      <c r="H62" s="534"/>
      <c r="I62" s="219"/>
      <c r="J62" s="220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5.75" customHeight="1">
      <c r="A63" s="84"/>
      <c r="B63" s="528"/>
      <c r="C63" s="264"/>
      <c r="D63" s="213"/>
      <c r="E63" s="258"/>
      <c r="F63" s="171"/>
      <c r="G63" s="528"/>
      <c r="H63" s="264"/>
      <c r="I63" s="213"/>
      <c r="J63" s="258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customHeight="1">
      <c r="A64" s="84"/>
      <c r="B64" s="528"/>
      <c r="C64" s="264"/>
      <c r="D64" s="213"/>
      <c r="E64" s="258"/>
      <c r="F64" s="171"/>
      <c r="G64" s="528"/>
      <c r="H64" s="264"/>
      <c r="I64" s="213"/>
      <c r="J64" s="258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>
      <c r="A65" s="84"/>
      <c r="B65" s="529"/>
      <c r="C65" s="221"/>
      <c r="D65" s="210"/>
      <c r="E65" s="211"/>
      <c r="F65" s="171"/>
      <c r="G65" s="529"/>
      <c r="H65" s="221"/>
      <c r="I65" s="210"/>
      <c r="J65" s="211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21" customHeight="1">
      <c r="A66" s="84"/>
      <c r="B66" s="176" t="s">
        <v>86</v>
      </c>
      <c r="C66" s="535"/>
      <c r="D66" s="246"/>
      <c r="E66" s="260"/>
      <c r="F66" s="13"/>
      <c r="G66" s="176" t="s">
        <v>86</v>
      </c>
      <c r="H66" s="535"/>
      <c r="I66" s="246"/>
      <c r="J66" s="260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>
      <c r="A67" s="84"/>
      <c r="B67" s="13"/>
      <c r="C67" s="13"/>
      <c r="D67" s="13"/>
      <c r="E67" s="13"/>
      <c r="F67" s="13"/>
      <c r="G67" s="13"/>
      <c r="H67" s="13"/>
      <c r="I67" s="13"/>
      <c r="J67" s="13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>
      <c r="A68" s="84"/>
      <c r="B68" s="13"/>
      <c r="C68" s="13"/>
      <c r="D68" s="13"/>
      <c r="E68" s="13"/>
      <c r="F68" s="13"/>
      <c r="G68" s="13"/>
      <c r="H68" s="13"/>
      <c r="I68" s="13"/>
      <c r="J68" s="13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>
      <c r="A69" s="84"/>
      <c r="B69" s="13"/>
      <c r="C69" s="13"/>
      <c r="D69" s="13"/>
      <c r="E69" s="13"/>
      <c r="F69" s="13"/>
      <c r="G69" s="13"/>
      <c r="H69" s="13"/>
      <c r="I69" s="13"/>
      <c r="J69" s="13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.75" customHeight="1">
      <c r="A70" s="84"/>
      <c r="B70" s="13"/>
      <c r="C70" s="13"/>
      <c r="D70" s="13"/>
      <c r="E70" s="13"/>
      <c r="F70" s="13"/>
      <c r="G70" s="13"/>
      <c r="H70" s="13"/>
      <c r="I70" s="13"/>
      <c r="J70" s="13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>
      <c r="A71" s="84"/>
      <c r="B71" s="13"/>
      <c r="C71" s="13"/>
      <c r="D71" s="13"/>
      <c r="E71" s="13"/>
      <c r="F71" s="13"/>
      <c r="G71" s="13"/>
      <c r="H71" s="13"/>
      <c r="I71" s="13"/>
      <c r="J71" s="13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>
      <c r="A72" s="84"/>
      <c r="B72" s="13"/>
      <c r="C72" s="13"/>
      <c r="D72" s="13"/>
      <c r="E72" s="13"/>
      <c r="F72" s="13"/>
      <c r="G72" s="13"/>
      <c r="H72" s="13"/>
      <c r="I72" s="13"/>
      <c r="J72" s="13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>
      <c r="A73" s="84"/>
      <c r="B73" s="13"/>
      <c r="C73" s="13"/>
      <c r="D73" s="13"/>
      <c r="E73" s="13"/>
      <c r="F73" s="13"/>
      <c r="G73" s="13"/>
      <c r="H73" s="13"/>
      <c r="I73" s="13"/>
      <c r="J73" s="13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>
      <c r="A74" s="84"/>
      <c r="B74" s="13"/>
      <c r="C74" s="13"/>
      <c r="D74" s="13"/>
      <c r="E74" s="13"/>
      <c r="F74" s="13"/>
      <c r="G74" s="13"/>
      <c r="H74" s="13"/>
      <c r="I74" s="13"/>
      <c r="J74" s="13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>
      <c r="A75" s="84"/>
      <c r="B75" s="13"/>
      <c r="C75" s="13"/>
      <c r="D75" s="13"/>
      <c r="E75" s="13"/>
      <c r="F75" s="13"/>
      <c r="G75" s="13"/>
      <c r="H75" s="13"/>
      <c r="I75" s="13"/>
      <c r="J75" s="13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>
      <c r="A76" s="84"/>
      <c r="B76" s="13"/>
      <c r="C76" s="13"/>
      <c r="D76" s="13"/>
      <c r="E76" s="13"/>
      <c r="F76" s="13"/>
      <c r="G76" s="13"/>
      <c r="H76" s="13"/>
      <c r="I76" s="13"/>
      <c r="J76" s="13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>
      <c r="A77" s="84"/>
      <c r="B77" s="13"/>
      <c r="C77" s="13"/>
      <c r="D77" s="13"/>
      <c r="E77" s="13"/>
      <c r="F77" s="13"/>
      <c r="G77" s="13"/>
      <c r="H77" s="13"/>
      <c r="I77" s="13"/>
      <c r="J77" s="13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>
      <c r="A78" s="84"/>
      <c r="B78" s="13"/>
      <c r="C78" s="13"/>
      <c r="D78" s="13"/>
      <c r="E78" s="13"/>
      <c r="F78" s="13"/>
      <c r="G78" s="13"/>
      <c r="H78" s="13"/>
      <c r="I78" s="13"/>
      <c r="J78" s="13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>
      <c r="A79" s="84"/>
      <c r="B79" s="13"/>
      <c r="C79" s="13"/>
      <c r="D79" s="13"/>
      <c r="E79" s="13"/>
      <c r="F79" s="13"/>
      <c r="G79" s="13"/>
      <c r="H79" s="13"/>
      <c r="I79" s="13"/>
      <c r="J79" s="13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>
      <c r="A80" s="84"/>
      <c r="B80" s="13"/>
      <c r="C80" s="13"/>
      <c r="D80" s="13"/>
      <c r="E80" s="13"/>
      <c r="F80" s="13"/>
      <c r="G80" s="13"/>
      <c r="H80" s="13"/>
      <c r="I80" s="13"/>
      <c r="J80" s="13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>
      <c r="A81" s="84"/>
      <c r="B81" s="13"/>
      <c r="C81" s="13"/>
      <c r="D81" s="13"/>
      <c r="E81" s="13"/>
      <c r="F81" s="13"/>
      <c r="G81" s="13"/>
      <c r="H81" s="13"/>
      <c r="I81" s="13"/>
      <c r="J81" s="13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>
      <c r="A82" s="84"/>
      <c r="B82" s="13"/>
      <c r="C82" s="13"/>
      <c r="D82" s="13"/>
      <c r="E82" s="13"/>
      <c r="F82" s="13"/>
      <c r="G82" s="13"/>
      <c r="H82" s="13"/>
      <c r="I82" s="13"/>
      <c r="J82" s="13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>
      <c r="A83" s="84"/>
      <c r="B83" s="13"/>
      <c r="C83" s="13"/>
      <c r="D83" s="13"/>
      <c r="E83" s="13"/>
      <c r="F83" s="13"/>
      <c r="G83" s="13"/>
      <c r="H83" s="13"/>
      <c r="I83" s="13"/>
      <c r="J83" s="13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>
      <c r="A84" s="84"/>
      <c r="B84" s="13"/>
      <c r="C84" s="13"/>
      <c r="D84" s="13"/>
      <c r="E84" s="13"/>
      <c r="F84" s="13"/>
      <c r="G84" s="13"/>
      <c r="H84" s="13"/>
      <c r="I84" s="13"/>
      <c r="J84" s="13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>
      <c r="A85" s="84"/>
      <c r="B85" s="13"/>
      <c r="C85" s="13"/>
      <c r="D85" s="13"/>
      <c r="E85" s="13"/>
      <c r="F85" s="13"/>
      <c r="G85" s="13"/>
      <c r="H85" s="13"/>
      <c r="I85" s="13"/>
      <c r="J85" s="13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>
      <c r="A86" s="84"/>
      <c r="B86" s="13"/>
      <c r="C86" s="13"/>
      <c r="D86" s="13"/>
      <c r="E86" s="13"/>
      <c r="F86" s="13"/>
      <c r="G86" s="13"/>
      <c r="H86" s="13"/>
      <c r="I86" s="13"/>
      <c r="J86" s="13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>
      <c r="A87" s="84"/>
      <c r="B87" s="13"/>
      <c r="C87" s="13"/>
      <c r="D87" s="13"/>
      <c r="E87" s="13"/>
      <c r="F87" s="13"/>
      <c r="G87" s="13"/>
      <c r="H87" s="13"/>
      <c r="I87" s="13"/>
      <c r="J87" s="13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>
      <c r="A88" s="84"/>
      <c r="B88" s="13"/>
      <c r="C88" s="13"/>
      <c r="D88" s="13"/>
      <c r="E88" s="13"/>
      <c r="F88" s="13"/>
      <c r="G88" s="13"/>
      <c r="H88" s="13"/>
      <c r="I88" s="13"/>
      <c r="J88" s="13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>
      <c r="A89" s="84"/>
      <c r="B89" s="13"/>
      <c r="C89" s="13"/>
      <c r="D89" s="13"/>
      <c r="E89" s="13"/>
      <c r="F89" s="13"/>
      <c r="G89" s="13"/>
      <c r="H89" s="13"/>
      <c r="I89" s="13"/>
      <c r="J89" s="13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>
      <c r="A90" s="84"/>
      <c r="B90" s="13"/>
      <c r="C90" s="13"/>
      <c r="D90" s="13"/>
      <c r="E90" s="13"/>
      <c r="F90" s="13"/>
      <c r="G90" s="13"/>
      <c r="H90" s="13"/>
      <c r="I90" s="13"/>
      <c r="J90" s="13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>
      <c r="A91" s="84"/>
      <c r="B91" s="13"/>
      <c r="C91" s="13"/>
      <c r="D91" s="13"/>
      <c r="E91" s="13"/>
      <c r="F91" s="13"/>
      <c r="G91" s="13"/>
      <c r="H91" s="13"/>
      <c r="I91" s="13"/>
      <c r="J91" s="13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>
      <c r="A92" s="84"/>
      <c r="B92" s="13"/>
      <c r="C92" s="13"/>
      <c r="D92" s="13"/>
      <c r="E92" s="13"/>
      <c r="F92" s="13"/>
      <c r="G92" s="13"/>
      <c r="H92" s="13"/>
      <c r="I92" s="13"/>
      <c r="J92" s="13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>
      <c r="A93" s="84"/>
      <c r="B93" s="13"/>
      <c r="C93" s="13"/>
      <c r="D93" s="13"/>
      <c r="E93" s="13"/>
      <c r="F93" s="13"/>
      <c r="G93" s="13"/>
      <c r="H93" s="13"/>
      <c r="I93" s="13"/>
      <c r="J93" s="13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>
      <c r="A94" s="84"/>
      <c r="B94" s="13"/>
      <c r="C94" s="13"/>
      <c r="D94" s="13"/>
      <c r="E94" s="13"/>
      <c r="F94" s="13"/>
      <c r="G94" s="13"/>
      <c r="H94" s="13"/>
      <c r="I94" s="13"/>
      <c r="J94" s="13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>
      <c r="A95" s="84"/>
      <c r="B95" s="13"/>
      <c r="C95" s="13"/>
      <c r="D95" s="13"/>
      <c r="E95" s="13"/>
      <c r="F95" s="13"/>
      <c r="G95" s="13"/>
      <c r="H95" s="13"/>
      <c r="I95" s="13"/>
      <c r="J95" s="13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>
      <c r="A96" s="84"/>
      <c r="B96" s="13"/>
      <c r="C96" s="13"/>
      <c r="D96" s="13"/>
      <c r="E96" s="13"/>
      <c r="F96" s="13"/>
      <c r="G96" s="13"/>
      <c r="H96" s="13"/>
      <c r="I96" s="13"/>
      <c r="J96" s="13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>
      <c r="A97" s="84"/>
      <c r="B97" s="13"/>
      <c r="C97" s="13"/>
      <c r="D97" s="13"/>
      <c r="E97" s="13"/>
      <c r="F97" s="13"/>
      <c r="G97" s="13"/>
      <c r="H97" s="13"/>
      <c r="I97" s="13"/>
      <c r="J97" s="13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>
      <c r="A98" s="84"/>
      <c r="B98" s="13"/>
      <c r="C98" s="13"/>
      <c r="D98" s="13"/>
      <c r="E98" s="13"/>
      <c r="F98" s="13"/>
      <c r="G98" s="13"/>
      <c r="H98" s="13"/>
      <c r="I98" s="13"/>
      <c r="J98" s="13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>
      <c r="A99" s="84"/>
      <c r="B99" s="13"/>
      <c r="C99" s="13"/>
      <c r="D99" s="13"/>
      <c r="E99" s="13"/>
      <c r="F99" s="13"/>
      <c r="G99" s="13"/>
      <c r="H99" s="13"/>
      <c r="I99" s="13"/>
      <c r="J99" s="13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>
      <c r="A100" s="84"/>
      <c r="B100" s="13"/>
      <c r="C100" s="13"/>
      <c r="D100" s="13"/>
      <c r="E100" s="13"/>
      <c r="F100" s="13"/>
      <c r="G100" s="13"/>
      <c r="H100" s="13"/>
      <c r="I100" s="13"/>
      <c r="J100" s="13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>
      <c r="A101" s="84"/>
      <c r="B101" s="13"/>
      <c r="C101" s="13"/>
      <c r="D101" s="13"/>
      <c r="E101" s="13"/>
      <c r="F101" s="13"/>
      <c r="G101" s="13"/>
      <c r="H101" s="13"/>
      <c r="I101" s="13"/>
      <c r="J101" s="13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>
      <c r="A102" s="84"/>
      <c r="B102" s="13"/>
      <c r="C102" s="13"/>
      <c r="D102" s="13"/>
      <c r="E102" s="13"/>
      <c r="F102" s="13"/>
      <c r="G102" s="13"/>
      <c r="H102" s="13"/>
      <c r="I102" s="13"/>
      <c r="J102" s="13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>
      <c r="A103" s="84"/>
      <c r="B103" s="13"/>
      <c r="C103" s="13"/>
      <c r="D103" s="13"/>
      <c r="E103" s="13"/>
      <c r="F103" s="13"/>
      <c r="G103" s="13"/>
      <c r="H103" s="13"/>
      <c r="I103" s="13"/>
      <c r="J103" s="13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>
      <c r="A104" s="84"/>
      <c r="B104" s="13"/>
      <c r="C104" s="13"/>
      <c r="D104" s="13"/>
      <c r="E104" s="13"/>
      <c r="F104" s="13"/>
      <c r="G104" s="13"/>
      <c r="H104" s="13"/>
      <c r="I104" s="13"/>
      <c r="J104" s="13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>
      <c r="A105" s="84"/>
      <c r="B105" s="13"/>
      <c r="C105" s="13"/>
      <c r="D105" s="13"/>
      <c r="E105" s="13"/>
      <c r="F105" s="13"/>
      <c r="G105" s="13"/>
      <c r="H105" s="13"/>
      <c r="I105" s="13"/>
      <c r="J105" s="13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>
      <c r="A106" s="84"/>
      <c r="B106" s="13"/>
      <c r="C106" s="13"/>
      <c r="D106" s="13"/>
      <c r="E106" s="13"/>
      <c r="F106" s="13"/>
      <c r="G106" s="13"/>
      <c r="H106" s="13"/>
      <c r="I106" s="13"/>
      <c r="J106" s="13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>
      <c r="A107" s="84"/>
      <c r="B107" s="13"/>
      <c r="C107" s="13"/>
      <c r="D107" s="13"/>
      <c r="E107" s="13"/>
      <c r="F107" s="13"/>
      <c r="G107" s="13"/>
      <c r="H107" s="13"/>
      <c r="I107" s="13"/>
      <c r="J107" s="13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>
      <c r="A108" s="84"/>
      <c r="B108" s="13"/>
      <c r="C108" s="13"/>
      <c r="D108" s="13"/>
      <c r="E108" s="13"/>
      <c r="F108" s="13"/>
      <c r="G108" s="13"/>
      <c r="H108" s="13"/>
      <c r="I108" s="13"/>
      <c r="J108" s="13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>
      <c r="A109" s="84"/>
      <c r="B109" s="13"/>
      <c r="C109" s="13"/>
      <c r="D109" s="13"/>
      <c r="E109" s="13"/>
      <c r="F109" s="13"/>
      <c r="G109" s="13"/>
      <c r="H109" s="13"/>
      <c r="I109" s="13"/>
      <c r="J109" s="13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>
      <c r="A110" s="84"/>
      <c r="B110" s="13"/>
      <c r="C110" s="13"/>
      <c r="D110" s="13"/>
      <c r="E110" s="13"/>
      <c r="F110" s="13"/>
      <c r="G110" s="13"/>
      <c r="H110" s="13"/>
      <c r="I110" s="13"/>
      <c r="J110" s="13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>
      <c r="A111" s="84"/>
      <c r="B111" s="13"/>
      <c r="C111" s="13"/>
      <c r="D111" s="13"/>
      <c r="E111" s="13"/>
      <c r="F111" s="13"/>
      <c r="G111" s="13"/>
      <c r="H111" s="13"/>
      <c r="I111" s="13"/>
      <c r="J111" s="13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>
      <c r="A112" s="84"/>
      <c r="B112" s="13"/>
      <c r="C112" s="13"/>
      <c r="D112" s="13"/>
      <c r="E112" s="13"/>
      <c r="F112" s="13"/>
      <c r="G112" s="13"/>
      <c r="H112" s="13"/>
      <c r="I112" s="13"/>
      <c r="J112" s="13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>
      <c r="A113" s="84"/>
      <c r="B113" s="13"/>
      <c r="C113" s="13"/>
      <c r="D113" s="13"/>
      <c r="E113" s="13"/>
      <c r="F113" s="13"/>
      <c r="G113" s="13"/>
      <c r="H113" s="13"/>
      <c r="I113" s="13"/>
      <c r="J113" s="13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>
      <c r="A114" s="84"/>
      <c r="B114" s="13"/>
      <c r="C114" s="13"/>
      <c r="D114" s="13"/>
      <c r="E114" s="13"/>
      <c r="F114" s="13"/>
      <c r="G114" s="13"/>
      <c r="H114" s="13"/>
      <c r="I114" s="13"/>
      <c r="J114" s="13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>
      <c r="A115" s="84"/>
      <c r="B115" s="13"/>
      <c r="C115" s="13"/>
      <c r="D115" s="13"/>
      <c r="E115" s="13"/>
      <c r="F115" s="13"/>
      <c r="G115" s="13"/>
      <c r="H115" s="13"/>
      <c r="I115" s="13"/>
      <c r="J115" s="13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>
      <c r="A116" s="84"/>
      <c r="B116" s="13"/>
      <c r="C116" s="13"/>
      <c r="D116" s="13"/>
      <c r="E116" s="13"/>
      <c r="F116" s="13"/>
      <c r="G116" s="13"/>
      <c r="H116" s="13"/>
      <c r="I116" s="13"/>
      <c r="J116" s="13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>
      <c r="A117" s="84"/>
      <c r="B117" s="13"/>
      <c r="C117" s="13"/>
      <c r="D117" s="13"/>
      <c r="E117" s="13"/>
      <c r="F117" s="13"/>
      <c r="G117" s="13"/>
      <c r="H117" s="13"/>
      <c r="I117" s="13"/>
      <c r="J117" s="13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>
      <c r="A118" s="84"/>
      <c r="B118" s="13"/>
      <c r="C118" s="13"/>
      <c r="D118" s="13"/>
      <c r="E118" s="13"/>
      <c r="F118" s="13"/>
      <c r="G118" s="13"/>
      <c r="H118" s="13"/>
      <c r="I118" s="13"/>
      <c r="J118" s="13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>
      <c r="A119" s="84"/>
      <c r="B119" s="13"/>
      <c r="C119" s="13"/>
      <c r="D119" s="13"/>
      <c r="E119" s="13"/>
      <c r="F119" s="13"/>
      <c r="G119" s="13"/>
      <c r="H119" s="13"/>
      <c r="I119" s="13"/>
      <c r="J119" s="13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>
      <c r="A120" s="84"/>
      <c r="B120" s="13"/>
      <c r="C120" s="13"/>
      <c r="D120" s="13"/>
      <c r="E120" s="13"/>
      <c r="F120" s="13"/>
      <c r="G120" s="13"/>
      <c r="H120" s="13"/>
      <c r="I120" s="13"/>
      <c r="J120" s="13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>
      <c r="A121" s="84"/>
      <c r="B121" s="13"/>
      <c r="C121" s="13"/>
      <c r="D121" s="13"/>
      <c r="E121" s="13"/>
      <c r="F121" s="13"/>
      <c r="G121" s="13"/>
      <c r="H121" s="13"/>
      <c r="I121" s="13"/>
      <c r="J121" s="13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>
      <c r="A122" s="84"/>
      <c r="B122" s="13"/>
      <c r="C122" s="13"/>
      <c r="D122" s="13"/>
      <c r="E122" s="13"/>
      <c r="F122" s="13"/>
      <c r="G122" s="13"/>
      <c r="H122" s="13"/>
      <c r="I122" s="13"/>
      <c r="J122" s="13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>
      <c r="A123" s="84"/>
      <c r="B123" s="13"/>
      <c r="C123" s="13"/>
      <c r="D123" s="13"/>
      <c r="E123" s="13"/>
      <c r="F123" s="13"/>
      <c r="G123" s="13"/>
      <c r="H123" s="13"/>
      <c r="I123" s="13"/>
      <c r="J123" s="13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>
      <c r="A124" s="84"/>
      <c r="B124" s="13"/>
      <c r="C124" s="13"/>
      <c r="D124" s="13"/>
      <c r="E124" s="13"/>
      <c r="F124" s="13"/>
      <c r="G124" s="13"/>
      <c r="H124" s="13"/>
      <c r="I124" s="13"/>
      <c r="J124" s="13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>
      <c r="A125" s="84"/>
      <c r="B125" s="13"/>
      <c r="C125" s="13"/>
      <c r="D125" s="13"/>
      <c r="E125" s="13"/>
      <c r="F125" s="13"/>
      <c r="G125" s="13"/>
      <c r="H125" s="13"/>
      <c r="I125" s="13"/>
      <c r="J125" s="13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>
      <c r="A126" s="84"/>
      <c r="B126" s="13"/>
      <c r="C126" s="13"/>
      <c r="D126" s="13"/>
      <c r="E126" s="13"/>
      <c r="F126" s="13"/>
      <c r="G126" s="13"/>
      <c r="H126" s="13"/>
      <c r="I126" s="13"/>
      <c r="J126" s="13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>
      <c r="A127" s="84"/>
      <c r="B127" s="13"/>
      <c r="C127" s="13"/>
      <c r="D127" s="13"/>
      <c r="E127" s="13"/>
      <c r="F127" s="13"/>
      <c r="G127" s="13"/>
      <c r="H127" s="13"/>
      <c r="I127" s="13"/>
      <c r="J127" s="13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>
      <c r="A128" s="84"/>
      <c r="B128" s="13"/>
      <c r="C128" s="13"/>
      <c r="D128" s="13"/>
      <c r="E128" s="13"/>
      <c r="F128" s="13"/>
      <c r="G128" s="13"/>
      <c r="H128" s="13"/>
      <c r="I128" s="13"/>
      <c r="J128" s="13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>
      <c r="A129" s="84"/>
      <c r="B129" s="13"/>
      <c r="C129" s="13"/>
      <c r="D129" s="13"/>
      <c r="E129" s="13"/>
      <c r="F129" s="13"/>
      <c r="G129" s="13"/>
      <c r="H129" s="13"/>
      <c r="I129" s="13"/>
      <c r="J129" s="13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>
      <c r="A130" s="84"/>
      <c r="B130" s="13"/>
      <c r="C130" s="13"/>
      <c r="D130" s="13"/>
      <c r="E130" s="13"/>
      <c r="F130" s="13"/>
      <c r="G130" s="13"/>
      <c r="H130" s="13"/>
      <c r="I130" s="13"/>
      <c r="J130" s="13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>
      <c r="A131" s="84"/>
      <c r="B131" s="13"/>
      <c r="C131" s="13"/>
      <c r="D131" s="13"/>
      <c r="E131" s="13"/>
      <c r="F131" s="13"/>
      <c r="G131" s="13"/>
      <c r="H131" s="13"/>
      <c r="I131" s="13"/>
      <c r="J131" s="13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>
      <c r="A132" s="84"/>
      <c r="B132" s="13"/>
      <c r="C132" s="13"/>
      <c r="D132" s="13"/>
      <c r="E132" s="13"/>
      <c r="F132" s="13"/>
      <c r="G132" s="13"/>
      <c r="H132" s="13"/>
      <c r="I132" s="13"/>
      <c r="J132" s="13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>
      <c r="A133" s="84"/>
      <c r="B133" s="13"/>
      <c r="C133" s="13"/>
      <c r="D133" s="13"/>
      <c r="E133" s="13"/>
      <c r="F133" s="13"/>
      <c r="G133" s="13"/>
      <c r="H133" s="13"/>
      <c r="I133" s="13"/>
      <c r="J133" s="13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>
      <c r="A134" s="84"/>
      <c r="B134" s="13"/>
      <c r="C134" s="13"/>
      <c r="D134" s="13"/>
      <c r="E134" s="13"/>
      <c r="F134" s="13"/>
      <c r="G134" s="13"/>
      <c r="H134" s="13"/>
      <c r="I134" s="13"/>
      <c r="J134" s="13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>
      <c r="A135" s="84"/>
      <c r="B135" s="13"/>
      <c r="C135" s="13"/>
      <c r="D135" s="13"/>
      <c r="E135" s="13"/>
      <c r="F135" s="13"/>
      <c r="G135" s="13"/>
      <c r="H135" s="13"/>
      <c r="I135" s="13"/>
      <c r="J135" s="13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>
      <c r="A136" s="84"/>
      <c r="B136" s="13"/>
      <c r="C136" s="13"/>
      <c r="D136" s="13"/>
      <c r="E136" s="13"/>
      <c r="F136" s="13"/>
      <c r="G136" s="13"/>
      <c r="H136" s="13"/>
      <c r="I136" s="13"/>
      <c r="J136" s="13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>
      <c r="A137" s="84"/>
      <c r="B137" s="13"/>
      <c r="C137" s="13"/>
      <c r="D137" s="13"/>
      <c r="E137" s="13"/>
      <c r="F137" s="13"/>
      <c r="G137" s="13"/>
      <c r="H137" s="13"/>
      <c r="I137" s="13"/>
      <c r="J137" s="13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>
      <c r="A138" s="84"/>
      <c r="B138" s="13"/>
      <c r="C138" s="13"/>
      <c r="D138" s="13"/>
      <c r="E138" s="13"/>
      <c r="F138" s="13"/>
      <c r="G138" s="13"/>
      <c r="H138" s="13"/>
      <c r="I138" s="13"/>
      <c r="J138" s="13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>
      <c r="A139" s="84"/>
      <c r="B139" s="13"/>
      <c r="C139" s="13"/>
      <c r="D139" s="13"/>
      <c r="E139" s="13"/>
      <c r="F139" s="13"/>
      <c r="G139" s="13"/>
      <c r="H139" s="13"/>
      <c r="I139" s="13"/>
      <c r="J139" s="13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>
      <c r="A140" s="84"/>
      <c r="B140" s="13"/>
      <c r="C140" s="13"/>
      <c r="D140" s="13"/>
      <c r="E140" s="13"/>
      <c r="F140" s="13"/>
      <c r="G140" s="13"/>
      <c r="H140" s="13"/>
      <c r="I140" s="13"/>
      <c r="J140" s="13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>
      <c r="A141" s="84"/>
      <c r="B141" s="13"/>
      <c r="C141" s="13"/>
      <c r="D141" s="13"/>
      <c r="E141" s="13"/>
      <c r="F141" s="13"/>
      <c r="G141" s="13"/>
      <c r="H141" s="13"/>
      <c r="I141" s="13"/>
      <c r="J141" s="13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>
      <c r="A142" s="84"/>
      <c r="B142" s="13"/>
      <c r="C142" s="13"/>
      <c r="D142" s="13"/>
      <c r="E142" s="13"/>
      <c r="F142" s="13"/>
      <c r="G142" s="13"/>
      <c r="H142" s="13"/>
      <c r="I142" s="13"/>
      <c r="J142" s="13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>
      <c r="A143" s="84"/>
      <c r="B143" s="13"/>
      <c r="C143" s="13"/>
      <c r="D143" s="13"/>
      <c r="E143" s="13"/>
      <c r="F143" s="13"/>
      <c r="G143" s="13"/>
      <c r="H143" s="13"/>
      <c r="I143" s="13"/>
      <c r="J143" s="13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>
      <c r="A144" s="84"/>
      <c r="B144" s="13"/>
      <c r="C144" s="13"/>
      <c r="D144" s="13"/>
      <c r="E144" s="13"/>
      <c r="F144" s="13"/>
      <c r="G144" s="13"/>
      <c r="H144" s="13"/>
      <c r="I144" s="13"/>
      <c r="J144" s="13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>
      <c r="A145" s="84"/>
      <c r="B145" s="13"/>
      <c r="C145" s="13"/>
      <c r="D145" s="13"/>
      <c r="E145" s="13"/>
      <c r="F145" s="13"/>
      <c r="G145" s="13"/>
      <c r="H145" s="13"/>
      <c r="I145" s="13"/>
      <c r="J145" s="13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>
      <c r="A146" s="84"/>
      <c r="B146" s="13"/>
      <c r="C146" s="13"/>
      <c r="D146" s="13"/>
      <c r="E146" s="13"/>
      <c r="F146" s="13"/>
      <c r="G146" s="13"/>
      <c r="H146" s="13"/>
      <c r="I146" s="13"/>
      <c r="J146" s="13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>
      <c r="A147" s="84"/>
      <c r="B147" s="13"/>
      <c r="C147" s="13"/>
      <c r="D147" s="13"/>
      <c r="E147" s="13"/>
      <c r="F147" s="13"/>
      <c r="G147" s="13"/>
      <c r="H147" s="13"/>
      <c r="I147" s="13"/>
      <c r="J147" s="13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>
      <c r="A148" s="84"/>
      <c r="B148" s="13"/>
      <c r="C148" s="13"/>
      <c r="D148" s="13"/>
      <c r="E148" s="13"/>
      <c r="F148" s="13"/>
      <c r="G148" s="13"/>
      <c r="H148" s="13"/>
      <c r="I148" s="13"/>
      <c r="J148" s="13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>
      <c r="A149" s="84"/>
      <c r="B149" s="13"/>
      <c r="C149" s="13"/>
      <c r="D149" s="13"/>
      <c r="E149" s="13"/>
      <c r="F149" s="13"/>
      <c r="G149" s="13"/>
      <c r="H149" s="13"/>
      <c r="I149" s="13"/>
      <c r="J149" s="13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>
      <c r="A150" s="84"/>
      <c r="B150" s="13"/>
      <c r="C150" s="13"/>
      <c r="D150" s="13"/>
      <c r="E150" s="13"/>
      <c r="F150" s="13"/>
      <c r="G150" s="13"/>
      <c r="H150" s="13"/>
      <c r="I150" s="13"/>
      <c r="J150" s="13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>
      <c r="A151" s="84"/>
      <c r="B151" s="13"/>
      <c r="C151" s="13"/>
      <c r="D151" s="13"/>
      <c r="E151" s="13"/>
      <c r="F151" s="13"/>
      <c r="G151" s="13"/>
      <c r="H151" s="13"/>
      <c r="I151" s="13"/>
      <c r="J151" s="13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>
      <c r="A152" s="84"/>
      <c r="B152" s="13"/>
      <c r="C152" s="13"/>
      <c r="D152" s="13"/>
      <c r="E152" s="13"/>
      <c r="F152" s="13"/>
      <c r="G152" s="13"/>
      <c r="H152" s="13"/>
      <c r="I152" s="13"/>
      <c r="J152" s="13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>
      <c r="A153" s="84"/>
      <c r="B153" s="13"/>
      <c r="C153" s="13"/>
      <c r="D153" s="13"/>
      <c r="E153" s="13"/>
      <c r="F153" s="13"/>
      <c r="G153" s="13"/>
      <c r="H153" s="13"/>
      <c r="I153" s="13"/>
      <c r="J153" s="13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>
      <c r="A154" s="84"/>
      <c r="B154" s="13"/>
      <c r="C154" s="13"/>
      <c r="D154" s="13"/>
      <c r="E154" s="13"/>
      <c r="F154" s="13"/>
      <c r="G154" s="13"/>
      <c r="H154" s="13"/>
      <c r="I154" s="13"/>
      <c r="J154" s="13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>
      <c r="A155" s="84"/>
      <c r="B155" s="13"/>
      <c r="C155" s="13"/>
      <c r="D155" s="13"/>
      <c r="E155" s="13"/>
      <c r="F155" s="13"/>
      <c r="G155" s="13"/>
      <c r="H155" s="13"/>
      <c r="I155" s="13"/>
      <c r="J155" s="13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>
      <c r="A156" s="84"/>
      <c r="B156" s="13"/>
      <c r="C156" s="13"/>
      <c r="D156" s="13"/>
      <c r="E156" s="13"/>
      <c r="F156" s="13"/>
      <c r="G156" s="13"/>
      <c r="H156" s="13"/>
      <c r="I156" s="13"/>
      <c r="J156" s="13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>
      <c r="A157" s="84"/>
      <c r="B157" s="13"/>
      <c r="C157" s="13"/>
      <c r="D157" s="13"/>
      <c r="E157" s="13"/>
      <c r="F157" s="13"/>
      <c r="G157" s="13"/>
      <c r="H157" s="13"/>
      <c r="I157" s="13"/>
      <c r="J157" s="13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>
      <c r="A158" s="84"/>
      <c r="B158" s="13"/>
      <c r="C158" s="13"/>
      <c r="D158" s="13"/>
      <c r="E158" s="13"/>
      <c r="F158" s="13"/>
      <c r="G158" s="13"/>
      <c r="H158" s="13"/>
      <c r="I158" s="13"/>
      <c r="J158" s="13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>
      <c r="A159" s="84"/>
      <c r="B159" s="13"/>
      <c r="C159" s="13"/>
      <c r="D159" s="13"/>
      <c r="E159" s="13"/>
      <c r="F159" s="13"/>
      <c r="G159" s="13"/>
      <c r="H159" s="13"/>
      <c r="I159" s="13"/>
      <c r="J159" s="13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>
      <c r="A160" s="84"/>
      <c r="B160" s="13"/>
      <c r="C160" s="13"/>
      <c r="D160" s="13"/>
      <c r="E160" s="13"/>
      <c r="F160" s="13"/>
      <c r="G160" s="13"/>
      <c r="H160" s="13"/>
      <c r="I160" s="13"/>
      <c r="J160" s="13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>
      <c r="A161" s="84"/>
      <c r="B161" s="13"/>
      <c r="C161" s="13"/>
      <c r="D161" s="13"/>
      <c r="E161" s="13"/>
      <c r="F161" s="13"/>
      <c r="G161" s="13"/>
      <c r="H161" s="13"/>
      <c r="I161" s="13"/>
      <c r="J161" s="13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>
      <c r="A162" s="84"/>
      <c r="B162" s="13"/>
      <c r="C162" s="13"/>
      <c r="D162" s="13"/>
      <c r="E162" s="13"/>
      <c r="F162" s="13"/>
      <c r="G162" s="13"/>
      <c r="H162" s="13"/>
      <c r="I162" s="13"/>
      <c r="J162" s="13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>
      <c r="A163" s="84"/>
      <c r="B163" s="13"/>
      <c r="C163" s="13"/>
      <c r="D163" s="13"/>
      <c r="E163" s="13"/>
      <c r="F163" s="13"/>
      <c r="G163" s="13"/>
      <c r="H163" s="13"/>
      <c r="I163" s="13"/>
      <c r="J163" s="13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>
      <c r="A164" s="84"/>
      <c r="B164" s="13"/>
      <c r="C164" s="13"/>
      <c r="D164" s="13"/>
      <c r="E164" s="13"/>
      <c r="F164" s="13"/>
      <c r="G164" s="13"/>
      <c r="H164" s="13"/>
      <c r="I164" s="13"/>
      <c r="J164" s="13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>
      <c r="A165" s="84"/>
      <c r="B165" s="13"/>
      <c r="C165" s="13"/>
      <c r="D165" s="13"/>
      <c r="E165" s="13"/>
      <c r="F165" s="13"/>
      <c r="G165" s="13"/>
      <c r="H165" s="13"/>
      <c r="I165" s="13"/>
      <c r="J165" s="13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>
      <c r="A166" s="84"/>
      <c r="B166" s="13"/>
      <c r="C166" s="13"/>
      <c r="D166" s="13"/>
      <c r="E166" s="13"/>
      <c r="F166" s="13"/>
      <c r="G166" s="13"/>
      <c r="H166" s="13"/>
      <c r="I166" s="13"/>
      <c r="J166" s="13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>
      <c r="A167" s="84"/>
      <c r="B167" s="13"/>
      <c r="C167" s="13"/>
      <c r="D167" s="13"/>
      <c r="E167" s="13"/>
      <c r="F167" s="13"/>
      <c r="G167" s="13"/>
      <c r="H167" s="13"/>
      <c r="I167" s="13"/>
      <c r="J167" s="13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>
      <c r="A168" s="84"/>
      <c r="B168" s="13"/>
      <c r="C168" s="13"/>
      <c r="D168" s="13"/>
      <c r="E168" s="13"/>
      <c r="F168" s="13"/>
      <c r="G168" s="13"/>
      <c r="H168" s="13"/>
      <c r="I168" s="13"/>
      <c r="J168" s="13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>
      <c r="A169" s="84"/>
      <c r="B169" s="13"/>
      <c r="C169" s="13"/>
      <c r="D169" s="13"/>
      <c r="E169" s="13"/>
      <c r="F169" s="13"/>
      <c r="G169" s="13"/>
      <c r="H169" s="13"/>
      <c r="I169" s="13"/>
      <c r="J169" s="13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>
      <c r="A170" s="84"/>
      <c r="B170" s="13"/>
      <c r="C170" s="13"/>
      <c r="D170" s="13"/>
      <c r="E170" s="13"/>
      <c r="F170" s="13"/>
      <c r="G170" s="13"/>
      <c r="H170" s="13"/>
      <c r="I170" s="13"/>
      <c r="J170" s="13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>
      <c r="A171" s="84"/>
      <c r="B171" s="13"/>
      <c r="C171" s="13"/>
      <c r="D171" s="13"/>
      <c r="E171" s="13"/>
      <c r="F171" s="13"/>
      <c r="G171" s="13"/>
      <c r="H171" s="13"/>
      <c r="I171" s="13"/>
      <c r="J171" s="13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>
      <c r="A172" s="84"/>
      <c r="B172" s="13"/>
      <c r="C172" s="13"/>
      <c r="D172" s="13"/>
      <c r="E172" s="13"/>
      <c r="F172" s="13"/>
      <c r="G172" s="13"/>
      <c r="H172" s="13"/>
      <c r="I172" s="13"/>
      <c r="J172" s="13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>
      <c r="A173" s="84"/>
      <c r="B173" s="13"/>
      <c r="C173" s="13"/>
      <c r="D173" s="13"/>
      <c r="E173" s="13"/>
      <c r="F173" s="13"/>
      <c r="G173" s="13"/>
      <c r="H173" s="13"/>
      <c r="I173" s="13"/>
      <c r="J173" s="13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>
      <c r="A174" s="84"/>
      <c r="B174" s="13"/>
      <c r="C174" s="13"/>
      <c r="D174" s="13"/>
      <c r="E174" s="13"/>
      <c r="F174" s="13"/>
      <c r="G174" s="13"/>
      <c r="H174" s="13"/>
      <c r="I174" s="13"/>
      <c r="J174" s="13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>
      <c r="A175" s="84"/>
      <c r="B175" s="13"/>
      <c r="C175" s="13"/>
      <c r="D175" s="13"/>
      <c r="E175" s="13"/>
      <c r="F175" s="13"/>
      <c r="G175" s="13"/>
      <c r="H175" s="13"/>
      <c r="I175" s="13"/>
      <c r="J175" s="13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>
      <c r="A176" s="84"/>
      <c r="B176" s="13"/>
      <c r="C176" s="13"/>
      <c r="D176" s="13"/>
      <c r="E176" s="13"/>
      <c r="F176" s="13"/>
      <c r="G176" s="13"/>
      <c r="H176" s="13"/>
      <c r="I176" s="13"/>
      <c r="J176" s="13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>
      <c r="A177" s="84"/>
      <c r="B177" s="13"/>
      <c r="C177" s="13"/>
      <c r="D177" s="13"/>
      <c r="E177" s="13"/>
      <c r="F177" s="13"/>
      <c r="G177" s="13"/>
      <c r="H177" s="13"/>
      <c r="I177" s="13"/>
      <c r="J177" s="13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>
      <c r="A178" s="84"/>
      <c r="B178" s="13"/>
      <c r="C178" s="13"/>
      <c r="D178" s="13"/>
      <c r="E178" s="13"/>
      <c r="F178" s="13"/>
      <c r="G178" s="13"/>
      <c r="H178" s="13"/>
      <c r="I178" s="13"/>
      <c r="J178" s="13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>
      <c r="A179" s="84"/>
      <c r="B179" s="13"/>
      <c r="C179" s="13"/>
      <c r="D179" s="13"/>
      <c r="E179" s="13"/>
      <c r="F179" s="13"/>
      <c r="G179" s="13"/>
      <c r="H179" s="13"/>
      <c r="I179" s="13"/>
      <c r="J179" s="13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>
      <c r="A180" s="84"/>
      <c r="B180" s="13"/>
      <c r="C180" s="13"/>
      <c r="D180" s="13"/>
      <c r="E180" s="13"/>
      <c r="F180" s="13"/>
      <c r="G180" s="13"/>
      <c r="H180" s="13"/>
      <c r="I180" s="13"/>
      <c r="J180" s="13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>
      <c r="A181" s="84"/>
      <c r="B181" s="13"/>
      <c r="C181" s="13"/>
      <c r="D181" s="13"/>
      <c r="E181" s="13"/>
      <c r="F181" s="13"/>
      <c r="G181" s="13"/>
      <c r="H181" s="13"/>
      <c r="I181" s="13"/>
      <c r="J181" s="13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>
      <c r="A182" s="84"/>
      <c r="B182" s="13"/>
      <c r="C182" s="13"/>
      <c r="D182" s="13"/>
      <c r="E182" s="13"/>
      <c r="F182" s="13"/>
      <c r="G182" s="13"/>
      <c r="H182" s="13"/>
      <c r="I182" s="13"/>
      <c r="J182" s="13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>
      <c r="A183" s="84"/>
      <c r="B183" s="13"/>
      <c r="C183" s="13"/>
      <c r="D183" s="13"/>
      <c r="E183" s="13"/>
      <c r="F183" s="13"/>
      <c r="G183" s="13"/>
      <c r="H183" s="13"/>
      <c r="I183" s="13"/>
      <c r="J183" s="13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>
      <c r="A184" s="84"/>
      <c r="B184" s="13"/>
      <c r="C184" s="13"/>
      <c r="D184" s="13"/>
      <c r="E184" s="13"/>
      <c r="F184" s="13"/>
      <c r="G184" s="13"/>
      <c r="H184" s="13"/>
      <c r="I184" s="13"/>
      <c r="J184" s="13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>
      <c r="A185" s="84"/>
      <c r="B185" s="13"/>
      <c r="C185" s="13"/>
      <c r="D185" s="13"/>
      <c r="E185" s="13"/>
      <c r="F185" s="13"/>
      <c r="G185" s="13"/>
      <c r="H185" s="13"/>
      <c r="I185" s="13"/>
      <c r="J185" s="13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>
      <c r="A186" s="84"/>
      <c r="B186" s="13"/>
      <c r="C186" s="13"/>
      <c r="D186" s="13"/>
      <c r="E186" s="13"/>
      <c r="F186" s="13"/>
      <c r="G186" s="13"/>
      <c r="H186" s="13"/>
      <c r="I186" s="13"/>
      <c r="J186" s="13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>
      <c r="A187" s="84"/>
      <c r="B187" s="13"/>
      <c r="C187" s="13"/>
      <c r="D187" s="13"/>
      <c r="E187" s="13"/>
      <c r="F187" s="13"/>
      <c r="G187" s="13"/>
      <c r="H187" s="13"/>
      <c r="I187" s="13"/>
      <c r="J187" s="13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>
      <c r="A188" s="84"/>
      <c r="B188" s="13"/>
      <c r="C188" s="13"/>
      <c r="D188" s="13"/>
      <c r="E188" s="13"/>
      <c r="F188" s="13"/>
      <c r="G188" s="13"/>
      <c r="H188" s="13"/>
      <c r="I188" s="13"/>
      <c r="J188" s="13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>
      <c r="A189" s="84"/>
      <c r="B189" s="13"/>
      <c r="C189" s="13"/>
      <c r="D189" s="13"/>
      <c r="E189" s="13"/>
      <c r="F189" s="13"/>
      <c r="G189" s="13"/>
      <c r="H189" s="13"/>
      <c r="I189" s="13"/>
      <c r="J189" s="13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>
      <c r="A190" s="84"/>
      <c r="B190" s="13"/>
      <c r="C190" s="13"/>
      <c r="D190" s="13"/>
      <c r="E190" s="13"/>
      <c r="F190" s="13"/>
      <c r="G190" s="13"/>
      <c r="H190" s="13"/>
      <c r="I190" s="13"/>
      <c r="J190" s="13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>
      <c r="A191" s="84"/>
      <c r="B191" s="13"/>
      <c r="C191" s="13"/>
      <c r="D191" s="13"/>
      <c r="E191" s="13"/>
      <c r="F191" s="13"/>
      <c r="G191" s="13"/>
      <c r="H191" s="13"/>
      <c r="I191" s="13"/>
      <c r="J191" s="13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>
      <c r="A192" s="84"/>
      <c r="B192" s="13"/>
      <c r="C192" s="13"/>
      <c r="D192" s="13"/>
      <c r="E192" s="13"/>
      <c r="F192" s="13"/>
      <c r="G192" s="13"/>
      <c r="H192" s="13"/>
      <c r="I192" s="13"/>
      <c r="J192" s="13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>
      <c r="A193" s="84"/>
      <c r="B193" s="13"/>
      <c r="C193" s="13"/>
      <c r="D193" s="13"/>
      <c r="E193" s="13"/>
      <c r="F193" s="13"/>
      <c r="G193" s="13"/>
      <c r="H193" s="13"/>
      <c r="I193" s="13"/>
      <c r="J193" s="13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>
      <c r="A194" s="84"/>
      <c r="B194" s="13"/>
      <c r="C194" s="13"/>
      <c r="D194" s="13"/>
      <c r="E194" s="13"/>
      <c r="F194" s="13"/>
      <c r="G194" s="13"/>
      <c r="H194" s="13"/>
      <c r="I194" s="13"/>
      <c r="J194" s="13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>
      <c r="A195" s="84"/>
      <c r="B195" s="13"/>
      <c r="C195" s="13"/>
      <c r="D195" s="13"/>
      <c r="E195" s="13"/>
      <c r="F195" s="13"/>
      <c r="G195" s="13"/>
      <c r="H195" s="13"/>
      <c r="I195" s="13"/>
      <c r="J195" s="13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>
      <c r="A196" s="84"/>
      <c r="B196" s="13"/>
      <c r="C196" s="13"/>
      <c r="D196" s="13"/>
      <c r="E196" s="13"/>
      <c r="F196" s="13"/>
      <c r="G196" s="13"/>
      <c r="H196" s="13"/>
      <c r="I196" s="13"/>
      <c r="J196" s="13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>
      <c r="A197" s="84"/>
      <c r="B197" s="13"/>
      <c r="C197" s="13"/>
      <c r="D197" s="13"/>
      <c r="E197" s="13"/>
      <c r="F197" s="13"/>
      <c r="G197" s="13"/>
      <c r="H197" s="13"/>
      <c r="I197" s="13"/>
      <c r="J197" s="13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>
      <c r="A198" s="84"/>
      <c r="B198" s="13"/>
      <c r="C198" s="13"/>
      <c r="D198" s="13"/>
      <c r="E198" s="13"/>
      <c r="F198" s="13"/>
      <c r="G198" s="13"/>
      <c r="H198" s="13"/>
      <c r="I198" s="13"/>
      <c r="J198" s="13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>
      <c r="A199" s="84"/>
      <c r="B199" s="13"/>
      <c r="C199" s="13"/>
      <c r="D199" s="13"/>
      <c r="E199" s="13"/>
      <c r="F199" s="13"/>
      <c r="G199" s="13"/>
      <c r="H199" s="13"/>
      <c r="I199" s="13"/>
      <c r="J199" s="13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>
      <c r="A200" s="84"/>
      <c r="B200" s="13"/>
      <c r="C200" s="13"/>
      <c r="D200" s="13"/>
      <c r="E200" s="13"/>
      <c r="F200" s="13"/>
      <c r="G200" s="13"/>
      <c r="H200" s="13"/>
      <c r="I200" s="13"/>
      <c r="J200" s="13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>
      <c r="A201" s="84"/>
      <c r="B201" s="13"/>
      <c r="C201" s="13"/>
      <c r="D201" s="13"/>
      <c r="E201" s="13"/>
      <c r="F201" s="13"/>
      <c r="G201" s="13"/>
      <c r="H201" s="13"/>
      <c r="I201" s="13"/>
      <c r="J201" s="13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>
      <c r="A202" s="84"/>
      <c r="B202" s="13"/>
      <c r="C202" s="13"/>
      <c r="D202" s="13"/>
      <c r="E202" s="13"/>
      <c r="F202" s="13"/>
      <c r="G202" s="13"/>
      <c r="H202" s="13"/>
      <c r="I202" s="13"/>
      <c r="J202" s="13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>
      <c r="A203" s="84"/>
      <c r="B203" s="13"/>
      <c r="C203" s="13"/>
      <c r="D203" s="13"/>
      <c r="E203" s="13"/>
      <c r="F203" s="13"/>
      <c r="G203" s="13"/>
      <c r="H203" s="13"/>
      <c r="I203" s="13"/>
      <c r="J203" s="13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>
      <c r="A204" s="84"/>
      <c r="B204" s="13"/>
      <c r="C204" s="13"/>
      <c r="D204" s="13"/>
      <c r="E204" s="13"/>
      <c r="F204" s="13"/>
      <c r="G204" s="13"/>
      <c r="H204" s="13"/>
      <c r="I204" s="13"/>
      <c r="J204" s="13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>
      <c r="A205" s="84"/>
      <c r="B205" s="13"/>
      <c r="C205" s="13"/>
      <c r="D205" s="13"/>
      <c r="E205" s="13"/>
      <c r="F205" s="13"/>
      <c r="G205" s="13"/>
      <c r="H205" s="13"/>
      <c r="I205" s="13"/>
      <c r="J205" s="13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>
      <c r="A206" s="84"/>
      <c r="B206" s="13"/>
      <c r="C206" s="13"/>
      <c r="D206" s="13"/>
      <c r="E206" s="13"/>
      <c r="F206" s="13"/>
      <c r="G206" s="13"/>
      <c r="H206" s="13"/>
      <c r="I206" s="13"/>
      <c r="J206" s="13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>
      <c r="A207" s="84"/>
      <c r="B207" s="13"/>
      <c r="C207" s="13"/>
      <c r="D207" s="13"/>
      <c r="E207" s="13"/>
      <c r="F207" s="13"/>
      <c r="G207" s="13"/>
      <c r="H207" s="13"/>
      <c r="I207" s="13"/>
      <c r="J207" s="13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>
      <c r="A208" s="84"/>
      <c r="B208" s="13"/>
      <c r="C208" s="13"/>
      <c r="D208" s="13"/>
      <c r="E208" s="13"/>
      <c r="F208" s="13"/>
      <c r="G208" s="13"/>
      <c r="H208" s="13"/>
      <c r="I208" s="13"/>
      <c r="J208" s="13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>
      <c r="A209" s="84"/>
      <c r="B209" s="13"/>
      <c r="C209" s="13"/>
      <c r="D209" s="13"/>
      <c r="E209" s="13"/>
      <c r="F209" s="13"/>
      <c r="G209" s="13"/>
      <c r="H209" s="13"/>
      <c r="I209" s="13"/>
      <c r="J209" s="13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>
      <c r="A210" s="84"/>
      <c r="B210" s="13"/>
      <c r="C210" s="13"/>
      <c r="D210" s="13"/>
      <c r="E210" s="13"/>
      <c r="F210" s="13"/>
      <c r="G210" s="13"/>
      <c r="H210" s="13"/>
      <c r="I210" s="13"/>
      <c r="J210" s="13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>
      <c r="A211" s="84"/>
      <c r="B211" s="13"/>
      <c r="C211" s="13"/>
      <c r="D211" s="13"/>
      <c r="E211" s="13"/>
      <c r="F211" s="13"/>
      <c r="G211" s="13"/>
      <c r="H211" s="13"/>
      <c r="I211" s="13"/>
      <c r="J211" s="13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>
      <c r="A212" s="84"/>
      <c r="B212" s="13"/>
      <c r="C212" s="13"/>
      <c r="D212" s="13"/>
      <c r="E212" s="13"/>
      <c r="F212" s="13"/>
      <c r="G212" s="13"/>
      <c r="H212" s="13"/>
      <c r="I212" s="13"/>
      <c r="J212" s="13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>
      <c r="A213" s="84"/>
      <c r="B213" s="13"/>
      <c r="C213" s="13"/>
      <c r="D213" s="13"/>
      <c r="E213" s="13"/>
      <c r="F213" s="13"/>
      <c r="G213" s="13"/>
      <c r="H213" s="13"/>
      <c r="I213" s="13"/>
      <c r="J213" s="13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>
      <c r="A214" s="84"/>
      <c r="B214" s="13"/>
      <c r="C214" s="13"/>
      <c r="D214" s="13"/>
      <c r="E214" s="13"/>
      <c r="F214" s="13"/>
      <c r="G214" s="13"/>
      <c r="H214" s="13"/>
      <c r="I214" s="13"/>
      <c r="J214" s="13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>
      <c r="A215" s="84"/>
      <c r="B215" s="13"/>
      <c r="C215" s="13"/>
      <c r="D215" s="13"/>
      <c r="E215" s="13"/>
      <c r="F215" s="13"/>
      <c r="G215" s="13"/>
      <c r="H215" s="13"/>
      <c r="I215" s="13"/>
      <c r="J215" s="13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>
      <c r="A216" s="84"/>
      <c r="B216" s="13"/>
      <c r="C216" s="13"/>
      <c r="D216" s="13"/>
      <c r="E216" s="13"/>
      <c r="F216" s="13"/>
      <c r="G216" s="13"/>
      <c r="H216" s="13"/>
      <c r="I216" s="13"/>
      <c r="J216" s="13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>
      <c r="A217" s="84"/>
      <c r="B217" s="13"/>
      <c r="C217" s="13"/>
      <c r="D217" s="13"/>
      <c r="E217" s="13"/>
      <c r="F217" s="13"/>
      <c r="G217" s="13"/>
      <c r="H217" s="13"/>
      <c r="I217" s="13"/>
      <c r="J217" s="13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>
      <c r="A218" s="84"/>
      <c r="B218" s="13"/>
      <c r="C218" s="13"/>
      <c r="D218" s="13"/>
      <c r="E218" s="13"/>
      <c r="F218" s="13"/>
      <c r="G218" s="13"/>
      <c r="H218" s="13"/>
      <c r="I218" s="13"/>
      <c r="J218" s="13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>
      <c r="A219" s="84"/>
      <c r="B219" s="13"/>
      <c r="C219" s="13"/>
      <c r="D219" s="13"/>
      <c r="E219" s="13"/>
      <c r="F219" s="13"/>
      <c r="G219" s="13"/>
      <c r="H219" s="13"/>
      <c r="I219" s="13"/>
      <c r="J219" s="13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>
      <c r="A220" s="84"/>
      <c r="B220" s="13"/>
      <c r="C220" s="13"/>
      <c r="D220" s="13"/>
      <c r="E220" s="13"/>
      <c r="F220" s="13"/>
      <c r="G220" s="13"/>
      <c r="H220" s="13"/>
      <c r="I220" s="13"/>
      <c r="J220" s="13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>
      <c r="A221" s="84"/>
      <c r="B221" s="13"/>
      <c r="C221" s="13"/>
      <c r="D221" s="13"/>
      <c r="E221" s="13"/>
      <c r="F221" s="13"/>
      <c r="G221" s="13"/>
      <c r="H221" s="13"/>
      <c r="I221" s="13"/>
      <c r="J221" s="13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>
      <c r="A222" s="84"/>
      <c r="B222" s="13"/>
      <c r="C222" s="13"/>
      <c r="D222" s="13"/>
      <c r="E222" s="13"/>
      <c r="F222" s="13"/>
      <c r="G222" s="13"/>
      <c r="H222" s="13"/>
      <c r="I222" s="13"/>
      <c r="J222" s="13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>
      <c r="A223" s="84"/>
      <c r="B223" s="13"/>
      <c r="C223" s="13"/>
      <c r="D223" s="13"/>
      <c r="E223" s="13"/>
      <c r="F223" s="13"/>
      <c r="G223" s="13"/>
      <c r="H223" s="13"/>
      <c r="I223" s="13"/>
      <c r="J223" s="13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>
      <c r="A224" s="84"/>
      <c r="B224" s="13"/>
      <c r="C224" s="13"/>
      <c r="D224" s="13"/>
      <c r="E224" s="13"/>
      <c r="F224" s="13"/>
      <c r="G224" s="13"/>
      <c r="H224" s="13"/>
      <c r="I224" s="13"/>
      <c r="J224" s="13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>
      <c r="A225" s="84"/>
      <c r="B225" s="13"/>
      <c r="C225" s="13"/>
      <c r="D225" s="13"/>
      <c r="E225" s="13"/>
      <c r="F225" s="13"/>
      <c r="G225" s="13"/>
      <c r="H225" s="13"/>
      <c r="I225" s="13"/>
      <c r="J225" s="13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>
      <c r="A226" s="84"/>
      <c r="B226" s="13"/>
      <c r="C226" s="13"/>
      <c r="D226" s="13"/>
      <c r="E226" s="13"/>
      <c r="F226" s="13"/>
      <c r="G226" s="13"/>
      <c r="H226" s="13"/>
      <c r="I226" s="13"/>
      <c r="J226" s="13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>
      <c r="A227" s="84"/>
      <c r="B227" s="13"/>
      <c r="C227" s="13"/>
      <c r="D227" s="13"/>
      <c r="E227" s="13"/>
      <c r="F227" s="13"/>
      <c r="G227" s="13"/>
      <c r="H227" s="13"/>
      <c r="I227" s="13"/>
      <c r="J227" s="13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>
      <c r="A228" s="84"/>
      <c r="B228" s="13"/>
      <c r="C228" s="13"/>
      <c r="D228" s="13"/>
      <c r="E228" s="13"/>
      <c r="F228" s="13"/>
      <c r="G228" s="13"/>
      <c r="H228" s="13"/>
      <c r="I228" s="13"/>
      <c r="J228" s="13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>
      <c r="A229" s="84"/>
      <c r="B229" s="13"/>
      <c r="C229" s="13"/>
      <c r="D229" s="13"/>
      <c r="E229" s="13"/>
      <c r="F229" s="13"/>
      <c r="G229" s="13"/>
      <c r="H229" s="13"/>
      <c r="I229" s="13"/>
      <c r="J229" s="13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>
      <c r="A230" s="84"/>
      <c r="B230" s="13"/>
      <c r="C230" s="13"/>
      <c r="D230" s="13"/>
      <c r="E230" s="13"/>
      <c r="F230" s="13"/>
      <c r="G230" s="13"/>
      <c r="H230" s="13"/>
      <c r="I230" s="13"/>
      <c r="J230" s="13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>
      <c r="A231" s="84"/>
      <c r="B231" s="13"/>
      <c r="C231" s="13"/>
      <c r="D231" s="13"/>
      <c r="E231" s="13"/>
      <c r="F231" s="13"/>
      <c r="G231" s="13"/>
      <c r="H231" s="13"/>
      <c r="I231" s="13"/>
      <c r="J231" s="13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>
      <c r="A232" s="84"/>
      <c r="B232" s="13"/>
      <c r="C232" s="13"/>
      <c r="D232" s="13"/>
      <c r="E232" s="13"/>
      <c r="F232" s="13"/>
      <c r="G232" s="13"/>
      <c r="H232" s="13"/>
      <c r="I232" s="13"/>
      <c r="J232" s="13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>
      <c r="A233" s="84"/>
      <c r="B233" s="13"/>
      <c r="C233" s="13"/>
      <c r="D233" s="13"/>
      <c r="E233" s="13"/>
      <c r="F233" s="13"/>
      <c r="G233" s="13"/>
      <c r="H233" s="13"/>
      <c r="I233" s="13"/>
      <c r="J233" s="13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>
      <c r="A234" s="84"/>
      <c r="B234" s="13"/>
      <c r="C234" s="13"/>
      <c r="D234" s="13"/>
      <c r="E234" s="13"/>
      <c r="F234" s="13"/>
      <c r="G234" s="13"/>
      <c r="H234" s="13"/>
      <c r="I234" s="13"/>
      <c r="J234" s="13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>
      <c r="A235" s="84"/>
      <c r="B235" s="13"/>
      <c r="C235" s="13"/>
      <c r="D235" s="13"/>
      <c r="E235" s="13"/>
      <c r="F235" s="13"/>
      <c r="G235" s="13"/>
      <c r="H235" s="13"/>
      <c r="I235" s="13"/>
      <c r="J235" s="13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>
      <c r="A236" s="84"/>
      <c r="B236" s="13"/>
      <c r="C236" s="13"/>
      <c r="D236" s="13"/>
      <c r="E236" s="13"/>
      <c r="F236" s="13"/>
      <c r="G236" s="13"/>
      <c r="H236" s="13"/>
      <c r="I236" s="13"/>
      <c r="J236" s="13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>
      <c r="A237" s="84"/>
      <c r="B237" s="13"/>
      <c r="C237" s="13"/>
      <c r="D237" s="13"/>
      <c r="E237" s="13"/>
      <c r="F237" s="13"/>
      <c r="G237" s="13"/>
      <c r="H237" s="13"/>
      <c r="I237" s="13"/>
      <c r="J237" s="13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>
      <c r="A238" s="84"/>
      <c r="B238" s="13"/>
      <c r="C238" s="13"/>
      <c r="D238" s="13"/>
      <c r="E238" s="13"/>
      <c r="F238" s="13"/>
      <c r="G238" s="13"/>
      <c r="H238" s="13"/>
      <c r="I238" s="13"/>
      <c r="J238" s="13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>
      <c r="A239" s="84"/>
      <c r="B239" s="13"/>
      <c r="C239" s="13"/>
      <c r="D239" s="13"/>
      <c r="E239" s="13"/>
      <c r="F239" s="13"/>
      <c r="G239" s="13"/>
      <c r="H239" s="13"/>
      <c r="I239" s="13"/>
      <c r="J239" s="13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>
      <c r="A240" s="84"/>
      <c r="B240" s="13"/>
      <c r="C240" s="13"/>
      <c r="D240" s="13"/>
      <c r="E240" s="13"/>
      <c r="F240" s="13"/>
      <c r="G240" s="13"/>
      <c r="H240" s="13"/>
      <c r="I240" s="13"/>
      <c r="J240" s="13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>
      <c r="A241" s="84"/>
      <c r="B241" s="13"/>
      <c r="C241" s="13"/>
      <c r="D241" s="13"/>
      <c r="E241" s="13"/>
      <c r="F241" s="13"/>
      <c r="G241" s="13"/>
      <c r="H241" s="13"/>
      <c r="I241" s="13"/>
      <c r="J241" s="13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>
      <c r="A242" s="84"/>
      <c r="B242" s="13"/>
      <c r="C242" s="13"/>
      <c r="D242" s="13"/>
      <c r="E242" s="13"/>
      <c r="F242" s="13"/>
      <c r="G242" s="13"/>
      <c r="H242" s="13"/>
      <c r="I242" s="13"/>
      <c r="J242" s="13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>
      <c r="A243" s="84"/>
      <c r="B243" s="13"/>
      <c r="C243" s="13"/>
      <c r="D243" s="13"/>
      <c r="E243" s="13"/>
      <c r="F243" s="13"/>
      <c r="G243" s="13"/>
      <c r="H243" s="13"/>
      <c r="I243" s="13"/>
      <c r="J243" s="13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>
      <c r="A244" s="84"/>
      <c r="B244" s="13"/>
      <c r="C244" s="13"/>
      <c r="D244" s="13"/>
      <c r="E244" s="13"/>
      <c r="F244" s="13"/>
      <c r="G244" s="13"/>
      <c r="H244" s="13"/>
      <c r="I244" s="13"/>
      <c r="J244" s="13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>
      <c r="A245" s="84"/>
      <c r="B245" s="13"/>
      <c r="C245" s="13"/>
      <c r="D245" s="13"/>
      <c r="E245" s="13"/>
      <c r="F245" s="13"/>
      <c r="G245" s="13"/>
      <c r="H245" s="13"/>
      <c r="I245" s="13"/>
      <c r="J245" s="13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>
      <c r="A246" s="84"/>
      <c r="B246" s="13"/>
      <c r="C246" s="13"/>
      <c r="D246" s="13"/>
      <c r="E246" s="13"/>
      <c r="F246" s="13"/>
      <c r="G246" s="13"/>
      <c r="H246" s="13"/>
      <c r="I246" s="13"/>
      <c r="J246" s="13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>
      <c r="A247" s="84"/>
      <c r="B247" s="13"/>
      <c r="C247" s="13"/>
      <c r="D247" s="13"/>
      <c r="E247" s="13"/>
      <c r="F247" s="13"/>
      <c r="G247" s="13"/>
      <c r="H247" s="13"/>
      <c r="I247" s="13"/>
      <c r="J247" s="13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>
      <c r="A248" s="84"/>
      <c r="B248" s="13"/>
      <c r="C248" s="13"/>
      <c r="D248" s="13"/>
      <c r="E248" s="13"/>
      <c r="F248" s="13"/>
      <c r="G248" s="13"/>
      <c r="H248" s="13"/>
      <c r="I248" s="13"/>
      <c r="J248" s="13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>
      <c r="A249" s="84"/>
      <c r="B249" s="13"/>
      <c r="C249" s="13"/>
      <c r="D249" s="13"/>
      <c r="E249" s="13"/>
      <c r="F249" s="13"/>
      <c r="G249" s="13"/>
      <c r="H249" s="13"/>
      <c r="I249" s="13"/>
      <c r="J249" s="13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>
      <c r="A250" s="84"/>
      <c r="B250" s="13"/>
      <c r="C250" s="13"/>
      <c r="D250" s="13"/>
      <c r="E250" s="13"/>
      <c r="F250" s="13"/>
      <c r="G250" s="13"/>
      <c r="H250" s="13"/>
      <c r="I250" s="13"/>
      <c r="J250" s="13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>
      <c r="A251" s="84"/>
      <c r="B251" s="13"/>
      <c r="C251" s="13"/>
      <c r="D251" s="13"/>
      <c r="E251" s="13"/>
      <c r="F251" s="13"/>
      <c r="G251" s="13"/>
      <c r="H251" s="13"/>
      <c r="I251" s="13"/>
      <c r="J251" s="13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>
      <c r="A252" s="84"/>
      <c r="B252" s="13"/>
      <c r="C252" s="13"/>
      <c r="D252" s="13"/>
      <c r="E252" s="13"/>
      <c r="F252" s="13"/>
      <c r="G252" s="13"/>
      <c r="H252" s="13"/>
      <c r="I252" s="13"/>
      <c r="J252" s="13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>
      <c r="A253" s="84"/>
      <c r="B253" s="13"/>
      <c r="C253" s="13"/>
      <c r="D253" s="13"/>
      <c r="E253" s="13"/>
      <c r="F253" s="13"/>
      <c r="G253" s="13"/>
      <c r="H253" s="13"/>
      <c r="I253" s="13"/>
      <c r="J253" s="13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>
      <c r="A254" s="84"/>
      <c r="B254" s="13"/>
      <c r="C254" s="13"/>
      <c r="D254" s="13"/>
      <c r="E254" s="13"/>
      <c r="F254" s="13"/>
      <c r="G254" s="13"/>
      <c r="H254" s="13"/>
      <c r="I254" s="13"/>
      <c r="J254" s="13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>
      <c r="A255" s="84"/>
      <c r="B255" s="13"/>
      <c r="C255" s="13"/>
      <c r="D255" s="13"/>
      <c r="E255" s="13"/>
      <c r="F255" s="13"/>
      <c r="G255" s="13"/>
      <c r="H255" s="13"/>
      <c r="I255" s="13"/>
      <c r="J255" s="13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>
      <c r="A256" s="84"/>
      <c r="B256" s="13"/>
      <c r="C256" s="13"/>
      <c r="D256" s="13"/>
      <c r="E256" s="13"/>
      <c r="F256" s="13"/>
      <c r="G256" s="13"/>
      <c r="H256" s="13"/>
      <c r="I256" s="13"/>
      <c r="J256" s="13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>
      <c r="A257" s="84"/>
      <c r="B257" s="13"/>
      <c r="C257" s="13"/>
      <c r="D257" s="13"/>
      <c r="E257" s="13"/>
      <c r="F257" s="13"/>
      <c r="G257" s="13"/>
      <c r="H257" s="13"/>
      <c r="I257" s="13"/>
      <c r="J257" s="13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>
      <c r="A258" s="84"/>
      <c r="B258" s="13"/>
      <c r="C258" s="13"/>
      <c r="D258" s="13"/>
      <c r="E258" s="13"/>
      <c r="F258" s="13"/>
      <c r="G258" s="13"/>
      <c r="H258" s="13"/>
      <c r="I258" s="13"/>
      <c r="J258" s="13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>
      <c r="A259" s="84"/>
      <c r="B259" s="13"/>
      <c r="C259" s="13"/>
      <c r="D259" s="13"/>
      <c r="E259" s="13"/>
      <c r="F259" s="13"/>
      <c r="G259" s="13"/>
      <c r="H259" s="13"/>
      <c r="I259" s="13"/>
      <c r="J259" s="13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>
      <c r="A260" s="84"/>
      <c r="B260" s="13"/>
      <c r="C260" s="13"/>
      <c r="D260" s="13"/>
      <c r="E260" s="13"/>
      <c r="F260" s="13"/>
      <c r="G260" s="13"/>
      <c r="H260" s="13"/>
      <c r="I260" s="13"/>
      <c r="J260" s="13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>
      <c r="A261" s="84"/>
      <c r="B261" s="13"/>
      <c r="C261" s="13"/>
      <c r="D261" s="13"/>
      <c r="E261" s="13"/>
      <c r="F261" s="13"/>
      <c r="G261" s="13"/>
      <c r="H261" s="13"/>
      <c r="I261" s="13"/>
      <c r="J261" s="13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>
      <c r="A262" s="84"/>
      <c r="B262" s="13"/>
      <c r="C262" s="13"/>
      <c r="D262" s="13"/>
      <c r="E262" s="13"/>
      <c r="F262" s="13"/>
      <c r="G262" s="13"/>
      <c r="H262" s="13"/>
      <c r="I262" s="13"/>
      <c r="J262" s="13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>
      <c r="A263" s="84"/>
      <c r="B263" s="13"/>
      <c r="C263" s="13"/>
      <c r="D263" s="13"/>
      <c r="E263" s="13"/>
      <c r="F263" s="13"/>
      <c r="G263" s="13"/>
      <c r="H263" s="13"/>
      <c r="I263" s="13"/>
      <c r="J263" s="13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>
      <c r="A264" s="84"/>
      <c r="B264" s="13"/>
      <c r="C264" s="13"/>
      <c r="D264" s="13"/>
      <c r="E264" s="13"/>
      <c r="F264" s="13"/>
      <c r="G264" s="13"/>
      <c r="H264" s="13"/>
      <c r="I264" s="13"/>
      <c r="J264" s="13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>
      <c r="A265" s="84"/>
      <c r="B265" s="13"/>
      <c r="C265" s="13"/>
      <c r="D265" s="13"/>
      <c r="E265" s="13"/>
      <c r="F265" s="13"/>
      <c r="G265" s="13"/>
      <c r="H265" s="13"/>
      <c r="I265" s="13"/>
      <c r="J265" s="13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>
      <c r="A266" s="84"/>
      <c r="B266" s="13"/>
      <c r="C266" s="13"/>
      <c r="D266" s="13"/>
      <c r="E266" s="13"/>
      <c r="F266" s="13"/>
      <c r="G266" s="13"/>
      <c r="H266" s="13"/>
      <c r="I266" s="13"/>
      <c r="J266" s="13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85">
    <mergeCell ref="B38:B42"/>
    <mergeCell ref="C38:C40"/>
    <mergeCell ref="G38:G42"/>
    <mergeCell ref="H38:H40"/>
    <mergeCell ref="C41:C42"/>
    <mergeCell ref="H41:H42"/>
    <mergeCell ref="D41:D42"/>
    <mergeCell ref="I41:I42"/>
    <mergeCell ref="G47:G50"/>
    <mergeCell ref="H47:J50"/>
    <mergeCell ref="H43:J43"/>
    <mergeCell ref="H44:J44"/>
    <mergeCell ref="C43:E43"/>
    <mergeCell ref="H56:H57"/>
    <mergeCell ref="I56:I57"/>
    <mergeCell ref="H58:J58"/>
    <mergeCell ref="H60:J60"/>
    <mergeCell ref="H53:H55"/>
    <mergeCell ref="H51:J51"/>
    <mergeCell ref="C45:E45"/>
    <mergeCell ref="H45:J45"/>
    <mergeCell ref="C46:E46"/>
    <mergeCell ref="H46:J46"/>
    <mergeCell ref="C47:E5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C51:E51"/>
    <mergeCell ref="C56:C57"/>
    <mergeCell ref="D56:D57"/>
    <mergeCell ref="H8:H10"/>
    <mergeCell ref="H11:H12"/>
    <mergeCell ref="H13:J13"/>
    <mergeCell ref="H15:J15"/>
    <mergeCell ref="H16:J16"/>
    <mergeCell ref="D11:D12"/>
    <mergeCell ref="H17:J20"/>
    <mergeCell ref="H21:J21"/>
    <mergeCell ref="H23:H25"/>
    <mergeCell ref="C13:E13"/>
    <mergeCell ref="C15:E15"/>
    <mergeCell ref="C16:E16"/>
    <mergeCell ref="C17:E20"/>
    <mergeCell ref="G17:G20"/>
    <mergeCell ref="B1:B5"/>
    <mergeCell ref="C1:H3"/>
    <mergeCell ref="C4:H5"/>
    <mergeCell ref="H28:J28"/>
    <mergeCell ref="H30:J30"/>
    <mergeCell ref="C21:E21"/>
    <mergeCell ref="C30:E30"/>
    <mergeCell ref="C8:C10"/>
    <mergeCell ref="C11:C12"/>
    <mergeCell ref="B17:B20"/>
    <mergeCell ref="B23:B27"/>
    <mergeCell ref="C23:C25"/>
    <mergeCell ref="I4:I5"/>
    <mergeCell ref="B8:B12"/>
    <mergeCell ref="G8:G12"/>
    <mergeCell ref="I11:I12"/>
    <mergeCell ref="C26:C27"/>
    <mergeCell ref="B32:B35"/>
    <mergeCell ref="H32:J35"/>
    <mergeCell ref="C36:E36"/>
    <mergeCell ref="H36:J36"/>
    <mergeCell ref="G23:G27"/>
    <mergeCell ref="D26:D27"/>
    <mergeCell ref="H26:H27"/>
    <mergeCell ref="I26:I27"/>
    <mergeCell ref="C28:E28"/>
    <mergeCell ref="C32:E35"/>
    <mergeCell ref="G32:G35"/>
    <mergeCell ref="H31:J31"/>
    <mergeCell ref="C31:E31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1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>
      <c r="A1" s="85"/>
      <c r="B1" s="466"/>
      <c r="C1" s="288"/>
      <c r="D1" s="466" t="s">
        <v>0</v>
      </c>
      <c r="E1" s="208"/>
      <c r="F1" s="208"/>
      <c r="G1" s="208"/>
      <c r="H1" s="208"/>
      <c r="I1" s="288"/>
      <c r="J1" s="106" t="s">
        <v>1</v>
      </c>
      <c r="K1" s="106" t="s">
        <v>425</v>
      </c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4"/>
      <c r="Y1" s="84"/>
      <c r="Z1" s="84"/>
    </row>
    <row r="2" spans="1:26" ht="24.75" customHeight="1">
      <c r="A2" s="85"/>
      <c r="B2" s="289"/>
      <c r="C2" s="251"/>
      <c r="D2" s="289"/>
      <c r="E2" s="213"/>
      <c r="F2" s="213"/>
      <c r="G2" s="213"/>
      <c r="H2" s="213"/>
      <c r="I2" s="251"/>
      <c r="J2" s="106" t="s">
        <v>3</v>
      </c>
      <c r="K2" s="107">
        <v>1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4"/>
      <c r="Y2" s="84"/>
      <c r="Z2" s="84"/>
    </row>
    <row r="3" spans="1:26" ht="24.75" customHeight="1">
      <c r="A3" s="85"/>
      <c r="B3" s="289"/>
      <c r="C3" s="251"/>
      <c r="D3" s="290"/>
      <c r="E3" s="230"/>
      <c r="F3" s="230"/>
      <c r="G3" s="230"/>
      <c r="H3" s="230"/>
      <c r="I3" s="291"/>
      <c r="J3" s="106" t="s">
        <v>5</v>
      </c>
      <c r="K3" s="106" t="s">
        <v>6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4"/>
      <c r="Y3" s="84"/>
      <c r="Z3" s="84"/>
    </row>
    <row r="4" spans="1:26" ht="15.75" customHeight="1">
      <c r="A4" s="84"/>
      <c r="B4" s="289"/>
      <c r="C4" s="251"/>
      <c r="D4" s="466" t="s">
        <v>426</v>
      </c>
      <c r="E4" s="208"/>
      <c r="F4" s="208"/>
      <c r="G4" s="208"/>
      <c r="H4" s="208"/>
      <c r="I4" s="288"/>
      <c r="J4" s="470" t="s">
        <v>7</v>
      </c>
      <c r="K4" s="106" t="s">
        <v>227</v>
      </c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24.75" customHeight="1">
      <c r="A5" s="84"/>
      <c r="B5" s="290"/>
      <c r="C5" s="291"/>
      <c r="D5" s="290"/>
      <c r="E5" s="230"/>
      <c r="F5" s="230"/>
      <c r="G5" s="230"/>
      <c r="H5" s="230"/>
      <c r="I5" s="291"/>
      <c r="J5" s="395"/>
      <c r="K5" s="108" t="s">
        <v>228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24.75" customHeight="1">
      <c r="A6" s="84"/>
      <c r="B6" s="9"/>
      <c r="C6" s="9"/>
      <c r="D6" s="9"/>
      <c r="E6" s="9"/>
      <c r="F6" s="9"/>
      <c r="G6" s="9"/>
      <c r="H6" s="9"/>
      <c r="I6" s="9"/>
      <c r="J6" s="9"/>
      <c r="K6" s="126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24.75" customHeight="1">
      <c r="A7" s="84"/>
      <c r="B7" s="13"/>
      <c r="C7" s="13"/>
      <c r="D7" s="13"/>
      <c r="E7" s="13"/>
      <c r="F7" s="13"/>
      <c r="G7" s="13"/>
      <c r="H7" s="13"/>
      <c r="I7" s="13"/>
      <c r="J7" s="13"/>
      <c r="K7" s="13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57" customHeight="1">
      <c r="A8" s="84"/>
      <c r="B8" s="127" t="s">
        <v>427</v>
      </c>
      <c r="C8" s="254" t="str">
        <f>'INSPECCIÓN ETIQUETAS'!C8</f>
        <v>CONTORNO DE OJOS RETINALDEHIDO 0.05%</v>
      </c>
      <c r="D8" s="201"/>
      <c r="E8" s="201"/>
      <c r="F8" s="202"/>
      <c r="G8" s="127" t="s">
        <v>428</v>
      </c>
      <c r="H8" s="254" t="str">
        <f>'LISTA CHEQUEO'!F10</f>
        <v>ANIMUS LAB</v>
      </c>
      <c r="I8" s="201"/>
      <c r="J8" s="201"/>
      <c r="K8" s="202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45" customHeight="1">
      <c r="A9" s="84"/>
      <c r="B9" s="127" t="s">
        <v>21</v>
      </c>
      <c r="C9" s="488" t="str">
        <f>'INSPECCIÓN ETIQUETAS'!H8</f>
        <v>NSOC37029-25CO</v>
      </c>
      <c r="D9" s="204"/>
      <c r="E9" s="127" t="s">
        <v>358</v>
      </c>
      <c r="F9" s="488" t="str">
        <f>'INSPECCIÓN ETIQUETAS'!C9</f>
        <v>OP-SS-126</v>
      </c>
      <c r="G9" s="204"/>
      <c r="H9" s="506" t="s">
        <v>357</v>
      </c>
      <c r="I9" s="204"/>
      <c r="J9" s="485" t="str">
        <f>'INSPECCIÓN ETIQUETAS'!C10</f>
        <v>252581</v>
      </c>
      <c r="K9" s="20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57" customHeight="1">
      <c r="A10" s="84"/>
      <c r="B10" s="127" t="s">
        <v>429</v>
      </c>
      <c r="C10" s="548"/>
      <c r="D10" s="204"/>
      <c r="E10" s="127" t="s">
        <v>430</v>
      </c>
      <c r="F10" s="546"/>
      <c r="G10" s="204"/>
      <c r="H10" s="506" t="s">
        <v>431</v>
      </c>
      <c r="I10" s="204"/>
      <c r="J10" s="545"/>
      <c r="K10" s="20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71.25" customHeight="1">
      <c r="A11" s="84"/>
      <c r="B11" s="127" t="s">
        <v>432</v>
      </c>
      <c r="C11" s="548"/>
      <c r="D11" s="204"/>
      <c r="E11" s="127" t="s">
        <v>433</v>
      </c>
      <c r="F11" s="546"/>
      <c r="G11" s="204"/>
      <c r="H11" s="506" t="s">
        <v>434</v>
      </c>
      <c r="I11" s="204"/>
      <c r="J11" s="545"/>
      <c r="K11" s="20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33.75" customHeight="1">
      <c r="A12" s="84"/>
      <c r="B12" s="10" t="s">
        <v>435</v>
      </c>
      <c r="C12" s="547"/>
      <c r="D12" s="201"/>
      <c r="E12" s="201"/>
      <c r="F12" s="201"/>
      <c r="G12" s="201"/>
      <c r="H12" s="201"/>
      <c r="I12" s="201"/>
      <c r="J12" s="201"/>
      <c r="K12" s="20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33.75" customHeight="1">
      <c r="A13" s="84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37.5" customHeight="1">
      <c r="A14" s="84"/>
      <c r="B14" s="506" t="s">
        <v>27</v>
      </c>
      <c r="C14" s="201"/>
      <c r="D14" s="201"/>
      <c r="E14" s="201"/>
      <c r="F14" s="201"/>
      <c r="G14" s="201"/>
      <c r="H14" s="201"/>
      <c r="I14" s="201"/>
      <c r="J14" s="201"/>
      <c r="K14" s="20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42" customHeight="1">
      <c r="A15" s="84"/>
      <c r="B15" s="127" t="s">
        <v>69</v>
      </c>
      <c r="C15" s="506" t="s">
        <v>436</v>
      </c>
      <c r="D15" s="201"/>
      <c r="E15" s="201"/>
      <c r="F15" s="201"/>
      <c r="G15" s="204"/>
      <c r="H15" s="506" t="s">
        <v>30</v>
      </c>
      <c r="I15" s="204"/>
      <c r="J15" s="506" t="s">
        <v>31</v>
      </c>
      <c r="K15" s="20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48" customHeight="1">
      <c r="A16" s="84"/>
      <c r="B16" s="127" t="s">
        <v>331</v>
      </c>
      <c r="C16" s="501" t="s">
        <v>437</v>
      </c>
      <c r="D16" s="201"/>
      <c r="E16" s="201"/>
      <c r="F16" s="201"/>
      <c r="G16" s="204"/>
      <c r="H16" s="464"/>
      <c r="I16" s="204"/>
      <c r="J16" s="502"/>
      <c r="K16" s="20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51.75" customHeight="1">
      <c r="A17" s="84"/>
      <c r="B17" s="112" t="s">
        <v>438</v>
      </c>
      <c r="C17" s="501" t="s">
        <v>439</v>
      </c>
      <c r="D17" s="201"/>
      <c r="E17" s="201"/>
      <c r="F17" s="201"/>
      <c r="G17" s="204"/>
      <c r="H17" s="464"/>
      <c r="I17" s="204"/>
      <c r="J17" s="129"/>
      <c r="K17" s="132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63.75" customHeight="1">
      <c r="A18" s="84"/>
      <c r="B18" s="112" t="s">
        <v>440</v>
      </c>
      <c r="C18" s="501" t="s">
        <v>441</v>
      </c>
      <c r="D18" s="201"/>
      <c r="E18" s="201"/>
      <c r="F18" s="201"/>
      <c r="G18" s="204"/>
      <c r="H18" s="464"/>
      <c r="I18" s="204"/>
      <c r="J18" s="129"/>
      <c r="K18" s="132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50.25" customHeight="1">
      <c r="A19" s="84"/>
      <c r="B19" s="112" t="s">
        <v>442</v>
      </c>
      <c r="C19" s="501" t="s">
        <v>443</v>
      </c>
      <c r="D19" s="201"/>
      <c r="E19" s="201"/>
      <c r="F19" s="201"/>
      <c r="G19" s="204"/>
      <c r="H19" s="464"/>
      <c r="I19" s="204"/>
      <c r="J19" s="129"/>
      <c r="K19" s="132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60" customHeight="1">
      <c r="A20" s="84"/>
      <c r="B20" s="112" t="s">
        <v>444</v>
      </c>
      <c r="C20" s="501" t="s">
        <v>445</v>
      </c>
      <c r="D20" s="201"/>
      <c r="E20" s="201"/>
      <c r="F20" s="201"/>
      <c r="G20" s="204"/>
      <c r="H20" s="464"/>
      <c r="I20" s="204"/>
      <c r="J20" s="129"/>
      <c r="K20" s="132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54" customHeight="1">
      <c r="A21" s="84"/>
      <c r="B21" s="178" t="s">
        <v>446</v>
      </c>
      <c r="C21" s="501" t="s">
        <v>447</v>
      </c>
      <c r="D21" s="201"/>
      <c r="E21" s="201"/>
      <c r="F21" s="201"/>
      <c r="G21" s="204"/>
      <c r="H21" s="464"/>
      <c r="I21" s="204"/>
      <c r="J21" s="502"/>
      <c r="K21" s="20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45.75" customHeight="1">
      <c r="A22" s="84"/>
      <c r="B22" s="130" t="s">
        <v>448</v>
      </c>
      <c r="C22" s="501" t="s">
        <v>449</v>
      </c>
      <c r="D22" s="201"/>
      <c r="E22" s="201"/>
      <c r="F22" s="201"/>
      <c r="G22" s="204"/>
      <c r="H22" s="464"/>
      <c r="I22" s="204"/>
      <c r="J22" s="502"/>
      <c r="K22" s="20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51" customHeight="1">
      <c r="A23" s="84"/>
      <c r="B23" s="130" t="s">
        <v>450</v>
      </c>
      <c r="C23" s="501" t="s">
        <v>451</v>
      </c>
      <c r="D23" s="201"/>
      <c r="E23" s="201"/>
      <c r="F23" s="201"/>
      <c r="G23" s="204"/>
      <c r="H23" s="464"/>
      <c r="I23" s="204"/>
      <c r="J23" s="502"/>
      <c r="K23" s="20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54" customHeight="1">
      <c r="A24" s="84"/>
      <c r="B24" s="130" t="s">
        <v>452</v>
      </c>
      <c r="C24" s="501" t="s">
        <v>453</v>
      </c>
      <c r="D24" s="201"/>
      <c r="E24" s="201"/>
      <c r="F24" s="201"/>
      <c r="G24" s="204"/>
      <c r="H24" s="464"/>
      <c r="I24" s="204"/>
      <c r="J24" s="502"/>
      <c r="K24" s="20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54" customHeight="1">
      <c r="A25" s="84"/>
      <c r="B25" s="130" t="s">
        <v>454</v>
      </c>
      <c r="C25" s="501" t="s">
        <v>455</v>
      </c>
      <c r="D25" s="201"/>
      <c r="E25" s="201"/>
      <c r="F25" s="201"/>
      <c r="G25" s="204"/>
      <c r="H25" s="464"/>
      <c r="I25" s="204"/>
      <c r="J25" s="502"/>
      <c r="K25" s="20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54" customHeight="1">
      <c r="A26" s="84"/>
      <c r="B26" s="179" t="s">
        <v>456</v>
      </c>
      <c r="C26" s="484" t="s">
        <v>457</v>
      </c>
      <c r="D26" s="201"/>
      <c r="E26" s="201"/>
      <c r="F26" s="201"/>
      <c r="G26" s="204"/>
      <c r="H26" s="464"/>
      <c r="I26" s="204"/>
      <c r="J26" s="502"/>
      <c r="K26" s="20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49.5" customHeight="1">
      <c r="A27" s="84"/>
      <c r="B27" s="130" t="s">
        <v>458</v>
      </c>
      <c r="C27" s="484" t="s">
        <v>459</v>
      </c>
      <c r="D27" s="201"/>
      <c r="E27" s="201"/>
      <c r="F27" s="201"/>
      <c r="G27" s="204"/>
      <c r="H27" s="464"/>
      <c r="I27" s="204"/>
      <c r="J27" s="502"/>
      <c r="K27" s="20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72.75" customHeight="1">
      <c r="A28" s="84"/>
      <c r="B28" s="130" t="s">
        <v>442</v>
      </c>
      <c r="C28" s="484" t="s">
        <v>460</v>
      </c>
      <c r="D28" s="201"/>
      <c r="E28" s="201"/>
      <c r="F28" s="201"/>
      <c r="G28" s="204"/>
      <c r="H28" s="464"/>
      <c r="I28" s="204"/>
      <c r="J28" s="129"/>
      <c r="K28" s="132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55.5" customHeight="1">
      <c r="A29" s="84"/>
      <c r="B29" s="130" t="s">
        <v>461</v>
      </c>
      <c r="C29" s="484" t="s">
        <v>462</v>
      </c>
      <c r="D29" s="201"/>
      <c r="E29" s="201"/>
      <c r="F29" s="201"/>
      <c r="G29" s="204"/>
      <c r="H29" s="464"/>
      <c r="I29" s="204"/>
      <c r="J29" s="502"/>
      <c r="K29" s="20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22.5" customHeight="1">
      <c r="A30" s="84"/>
      <c r="B30" s="114"/>
      <c r="C30" s="114"/>
      <c r="D30" s="114"/>
      <c r="E30" s="133"/>
      <c r="F30" s="133"/>
      <c r="G30" s="133"/>
      <c r="H30" s="134"/>
      <c r="I30" s="134"/>
      <c r="J30" s="134"/>
      <c r="K30" s="13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45.75" customHeight="1">
      <c r="A31" s="84"/>
      <c r="B31" s="505" t="s">
        <v>45</v>
      </c>
      <c r="C31" s="503"/>
      <c r="D31" s="208"/>
      <c r="E31" s="208"/>
      <c r="F31" s="208"/>
      <c r="G31" s="208"/>
      <c r="H31" s="208"/>
      <c r="I31" s="208"/>
      <c r="J31" s="208"/>
      <c r="K31" s="288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65.25" customHeight="1">
      <c r="A32" s="84"/>
      <c r="B32" s="395"/>
      <c r="C32" s="290"/>
      <c r="D32" s="230"/>
      <c r="E32" s="230"/>
      <c r="F32" s="230"/>
      <c r="G32" s="230"/>
      <c r="H32" s="230"/>
      <c r="I32" s="230"/>
      <c r="J32" s="230"/>
      <c r="K32" s="291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22.5" customHeight="1">
      <c r="A33" s="84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customHeight="1">
      <c r="A34" s="84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36" customHeight="1">
      <c r="A35" s="84"/>
      <c r="B35" s="549" t="s">
        <v>251</v>
      </c>
      <c r="C35" s="201"/>
      <c r="D35" s="180"/>
      <c r="E35" s="506" t="s">
        <v>252</v>
      </c>
      <c r="F35" s="204"/>
      <c r="G35" s="181"/>
      <c r="H35" s="506" t="s">
        <v>253</v>
      </c>
      <c r="I35" s="204"/>
      <c r="J35" s="182"/>
      <c r="K35" s="127" t="s">
        <v>254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36" customHeight="1">
      <c r="A36" s="84"/>
      <c r="B36" s="549" t="s">
        <v>272</v>
      </c>
      <c r="C36" s="204"/>
      <c r="D36" s="118"/>
      <c r="E36" s="183"/>
      <c r="F36" s="183"/>
      <c r="G36" s="184"/>
      <c r="H36" s="550" t="s">
        <v>463</v>
      </c>
      <c r="I36" s="305"/>
      <c r="J36" s="185"/>
      <c r="K36" s="186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31.5" customHeight="1">
      <c r="A37" s="84"/>
      <c r="B37" s="549" t="s">
        <v>406</v>
      </c>
      <c r="C37" s="204"/>
      <c r="D37" s="551"/>
      <c r="E37" s="230"/>
      <c r="F37" s="230"/>
      <c r="G37" s="291"/>
      <c r="H37" s="550" t="s">
        <v>464</v>
      </c>
      <c r="I37" s="305"/>
      <c r="J37" s="551"/>
      <c r="K37" s="291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31.5" customHeight="1">
      <c r="A38" s="84"/>
      <c r="B38" s="549" t="s">
        <v>465</v>
      </c>
      <c r="C38" s="204"/>
      <c r="D38" s="552"/>
      <c r="E38" s="201"/>
      <c r="F38" s="201"/>
      <c r="G38" s="201"/>
      <c r="H38" s="201"/>
      <c r="I38" s="201"/>
      <c r="J38" s="201"/>
      <c r="K38" s="20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>
      <c r="A39" s="84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>
      <c r="A40" s="84"/>
      <c r="B40" s="271" t="s">
        <v>52</v>
      </c>
      <c r="C40" s="213"/>
      <c r="D40" s="213"/>
      <c r="E40" s="213"/>
      <c r="F40" s="213"/>
      <c r="G40" s="213"/>
      <c r="H40" s="213"/>
      <c r="I40" s="213"/>
      <c r="J40" s="213"/>
      <c r="K40" s="213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>
      <c r="A41" s="8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>
      <c r="A42" s="8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>
      <c r="A43" s="8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.75" customHeight="1">
      <c r="A44" s="8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customHeight="1">
      <c r="A45" s="8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>
      <c r="A46" s="8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 customHeight="1">
      <c r="A47" s="8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customHeight="1">
      <c r="A48" s="8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>
      <c r="A49" s="8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>
      <c r="A50" s="8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.75" customHeight="1">
      <c r="A51" s="8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>
      <c r="A52" s="8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 customHeight="1">
      <c r="A53" s="8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 customHeight="1">
      <c r="A54" s="8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>
      <c r="A55" s="8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>
      <c r="A56" s="8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>
      <c r="A57" s="8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>
      <c r="A58" s="8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>
      <c r="A59" s="8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>
      <c r="A60" s="8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.75" customHeight="1">
      <c r="A61" s="8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.75" customHeight="1">
      <c r="A62" s="8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5.75" customHeight="1">
      <c r="A63" s="8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customHeight="1">
      <c r="A64" s="8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>
      <c r="A65" s="8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.75" customHeight="1">
      <c r="A66" s="8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>
      <c r="A67" s="8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>
      <c r="A68" s="8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>
      <c r="A69" s="8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.75" customHeight="1">
      <c r="A70" s="8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>
      <c r="A71" s="8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>
      <c r="A72" s="8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>
      <c r="A73" s="8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>
      <c r="A74" s="8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>
      <c r="A75" s="8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>
      <c r="A76" s="8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>
      <c r="A77" s="8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>
      <c r="A78" s="8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>
      <c r="A79" s="8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>
      <c r="A80" s="8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>
      <c r="A81" s="8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>
      <c r="A82" s="8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>
      <c r="A83" s="8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>
      <c r="A84" s="8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>
      <c r="A85" s="8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>
      <c r="A86" s="8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>
      <c r="A87" s="8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>
      <c r="A88" s="8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>
      <c r="A89" s="8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>
      <c r="A90" s="8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>
      <c r="A91" s="8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>
      <c r="A92" s="8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>
      <c r="A93" s="8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>
      <c r="A94" s="8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>
      <c r="A95" s="8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>
      <c r="A96" s="8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>
      <c r="A97" s="8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>
      <c r="A98" s="8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>
      <c r="A99" s="8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>
      <c r="A100" s="8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>
      <c r="A101" s="8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>
      <c r="A102" s="8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>
      <c r="A103" s="8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>
      <c r="A104" s="8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>
      <c r="A105" s="8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>
      <c r="A106" s="8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>
      <c r="A107" s="8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>
      <c r="A108" s="8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>
      <c r="A109" s="8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>
      <c r="A110" s="8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>
      <c r="A111" s="8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>
      <c r="A112" s="8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>
      <c r="A113" s="8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>
      <c r="A114" s="8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>
      <c r="A115" s="8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>
      <c r="A116" s="8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>
      <c r="A117" s="8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>
      <c r="A118" s="8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>
      <c r="A119" s="8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>
      <c r="A120" s="8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>
      <c r="A121" s="8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>
      <c r="A122" s="8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>
      <c r="A123" s="8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>
      <c r="A124" s="8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>
      <c r="A125" s="8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>
      <c r="A126" s="8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>
      <c r="A127" s="8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>
      <c r="A128" s="8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>
      <c r="A129" s="8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>
      <c r="A130" s="8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>
      <c r="A131" s="8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>
      <c r="A132" s="8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>
      <c r="A133" s="8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>
      <c r="A134" s="8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>
      <c r="A135" s="8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>
      <c r="A136" s="8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>
      <c r="A137" s="8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>
      <c r="A138" s="8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>
      <c r="A139" s="8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>
      <c r="A140" s="8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>
      <c r="A141" s="8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>
      <c r="A142" s="8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>
      <c r="A143" s="8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>
      <c r="A144" s="8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>
      <c r="A145" s="8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>
      <c r="A146" s="8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>
      <c r="A147" s="8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>
      <c r="A148" s="8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>
      <c r="A149" s="8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>
      <c r="A150" s="8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>
      <c r="A151" s="8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>
      <c r="A152" s="8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>
      <c r="A153" s="8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>
      <c r="A154" s="8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>
      <c r="A155" s="8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>
      <c r="A156" s="8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>
      <c r="A157" s="8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>
      <c r="A158" s="8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>
      <c r="A159" s="8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>
      <c r="A160" s="8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>
      <c r="A161" s="8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>
      <c r="A162" s="8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>
      <c r="A163" s="8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>
      <c r="A164" s="8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>
      <c r="A165" s="8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>
      <c r="A166" s="8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>
      <c r="A167" s="8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>
      <c r="A168" s="8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>
      <c r="A169" s="8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>
      <c r="A170" s="8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>
      <c r="A171" s="8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>
      <c r="A172" s="8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>
      <c r="A173" s="8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>
      <c r="A174" s="8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>
      <c r="A175" s="8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>
      <c r="A176" s="8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>
      <c r="A177" s="8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>
      <c r="A178" s="8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>
      <c r="A179" s="8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>
      <c r="A180" s="8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>
      <c r="A181" s="8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>
      <c r="A182" s="8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>
      <c r="A183" s="8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>
      <c r="A184" s="8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>
      <c r="A185" s="8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>
      <c r="A186" s="8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>
      <c r="A187" s="8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>
      <c r="A188" s="8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>
      <c r="A189" s="8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>
      <c r="A190" s="8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>
      <c r="A191" s="8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>
      <c r="A192" s="8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>
      <c r="A193" s="8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>
      <c r="A194" s="8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>
      <c r="A195" s="8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>
      <c r="A196" s="8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>
      <c r="A197" s="8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>
      <c r="A198" s="8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>
      <c r="A199" s="8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>
      <c r="A200" s="8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>
      <c r="A201" s="8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>
      <c r="A202" s="8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>
      <c r="A203" s="8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>
      <c r="A204" s="8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>
      <c r="A205" s="8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>
      <c r="A206" s="8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>
      <c r="A207" s="8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>
      <c r="A208" s="8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>
      <c r="A209" s="8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>
      <c r="A210" s="8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>
      <c r="A211" s="8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>
      <c r="A212" s="8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>
      <c r="A213" s="8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>
      <c r="A214" s="8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>
      <c r="A215" s="8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>
      <c r="A216" s="8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>
      <c r="A217" s="8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>
      <c r="A218" s="8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>
      <c r="A219" s="8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>
      <c r="A220" s="8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>
      <c r="A221" s="8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>
      <c r="A222" s="8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>
      <c r="A223" s="8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>
      <c r="A224" s="8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>
      <c r="A225" s="8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>
      <c r="A226" s="8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>
      <c r="A227" s="8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>
      <c r="A228" s="8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>
      <c r="A229" s="84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>
      <c r="A230" s="84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>
      <c r="A231" s="8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>
      <c r="A232" s="84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>
      <c r="A233" s="8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>
      <c r="A234" s="8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>
      <c r="A235" s="84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>
      <c r="A236" s="84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>
      <c r="A237" s="84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>
      <c r="A238" s="84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>
      <c r="A239" s="84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>
      <c r="A240" s="84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  <row r="1001" spans="1:26" ht="15.75" customHeight="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</row>
  </sheetData>
  <mergeCells count="74">
    <mergeCell ref="H25:I25"/>
    <mergeCell ref="J25:K25"/>
    <mergeCell ref="C23:G23"/>
    <mergeCell ref="H23:I23"/>
    <mergeCell ref="J23:K23"/>
    <mergeCell ref="C24:G24"/>
    <mergeCell ref="H24:I24"/>
    <mergeCell ref="J24:K24"/>
    <mergeCell ref="C25:G25"/>
    <mergeCell ref="C26:G26"/>
    <mergeCell ref="H26:I26"/>
    <mergeCell ref="J26:K26"/>
    <mergeCell ref="C27:G27"/>
    <mergeCell ref="H27:I27"/>
    <mergeCell ref="J27:K27"/>
    <mergeCell ref="H28:I28"/>
    <mergeCell ref="E35:F35"/>
    <mergeCell ref="H35:I35"/>
    <mergeCell ref="C28:G28"/>
    <mergeCell ref="C29:G29"/>
    <mergeCell ref="H29:I29"/>
    <mergeCell ref="J29:K29"/>
    <mergeCell ref="B31:B32"/>
    <mergeCell ref="C31:K32"/>
    <mergeCell ref="B35:C35"/>
    <mergeCell ref="D38:K38"/>
    <mergeCell ref="B40:K40"/>
    <mergeCell ref="B36:C36"/>
    <mergeCell ref="H36:I36"/>
    <mergeCell ref="B37:C37"/>
    <mergeCell ref="D37:G37"/>
    <mergeCell ref="H37:I37"/>
    <mergeCell ref="J37:K37"/>
    <mergeCell ref="B38:C38"/>
    <mergeCell ref="J4:J5"/>
    <mergeCell ref="C8:F8"/>
    <mergeCell ref="H8:K8"/>
    <mergeCell ref="J9:K9"/>
    <mergeCell ref="F9:G9"/>
    <mergeCell ref="H9:I9"/>
    <mergeCell ref="C9:D9"/>
    <mergeCell ref="B1:C5"/>
    <mergeCell ref="D1:I3"/>
    <mergeCell ref="D4:I5"/>
    <mergeCell ref="J10:K10"/>
    <mergeCell ref="F11:G11"/>
    <mergeCell ref="H11:I11"/>
    <mergeCell ref="H16:I16"/>
    <mergeCell ref="J16:K16"/>
    <mergeCell ref="J11:K11"/>
    <mergeCell ref="C12:K12"/>
    <mergeCell ref="B14:K14"/>
    <mergeCell ref="C15:G15"/>
    <mergeCell ref="H15:I15"/>
    <mergeCell ref="J15:K15"/>
    <mergeCell ref="C16:G16"/>
    <mergeCell ref="C10:D10"/>
    <mergeCell ref="C11:D11"/>
    <mergeCell ref="F10:G10"/>
    <mergeCell ref="H10:I10"/>
    <mergeCell ref="C17:G17"/>
    <mergeCell ref="H17:I17"/>
    <mergeCell ref="C18:G18"/>
    <mergeCell ref="H18:I18"/>
    <mergeCell ref="C19:G19"/>
    <mergeCell ref="H19:I19"/>
    <mergeCell ref="C22:G22"/>
    <mergeCell ref="H22:I22"/>
    <mergeCell ref="J22:K22"/>
    <mergeCell ref="H20:I20"/>
    <mergeCell ref="C20:G20"/>
    <mergeCell ref="C21:G21"/>
    <mergeCell ref="H21:I21"/>
    <mergeCell ref="J21:K21"/>
  </mergeCells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>
      <c r="A1" s="159"/>
      <c r="B1" s="539"/>
      <c r="C1" s="540" t="s">
        <v>0</v>
      </c>
      <c r="D1" s="219"/>
      <c r="E1" s="219"/>
      <c r="F1" s="219"/>
      <c r="G1" s="219"/>
      <c r="H1" s="220"/>
      <c r="I1" s="160" t="s">
        <v>1</v>
      </c>
      <c r="J1" s="161" t="s">
        <v>466</v>
      </c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4"/>
      <c r="X1" s="84"/>
      <c r="Y1" s="84"/>
      <c r="Z1" s="84"/>
    </row>
    <row r="2" spans="1:26" ht="24.75" customHeight="1">
      <c r="A2" s="159"/>
      <c r="B2" s="213"/>
      <c r="C2" s="264"/>
      <c r="D2" s="213"/>
      <c r="E2" s="213"/>
      <c r="F2" s="213"/>
      <c r="G2" s="213"/>
      <c r="H2" s="258"/>
      <c r="I2" s="109" t="s">
        <v>3</v>
      </c>
      <c r="J2" s="162">
        <v>1</v>
      </c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4"/>
      <c r="X2" s="84"/>
      <c r="Y2" s="84"/>
      <c r="Z2" s="84"/>
    </row>
    <row r="3" spans="1:26" ht="24.75" customHeight="1">
      <c r="A3" s="159"/>
      <c r="B3" s="213"/>
      <c r="C3" s="307"/>
      <c r="D3" s="230"/>
      <c r="E3" s="230"/>
      <c r="F3" s="230"/>
      <c r="G3" s="230"/>
      <c r="H3" s="375"/>
      <c r="I3" s="163" t="s">
        <v>5</v>
      </c>
      <c r="J3" s="163" t="s">
        <v>6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4"/>
      <c r="X3" s="84"/>
      <c r="Y3" s="84"/>
      <c r="Z3" s="84"/>
    </row>
    <row r="4" spans="1:26" ht="24.75" customHeight="1">
      <c r="A4" s="164"/>
      <c r="B4" s="213"/>
      <c r="C4" s="540" t="s">
        <v>467</v>
      </c>
      <c r="D4" s="219"/>
      <c r="E4" s="219"/>
      <c r="F4" s="219"/>
      <c r="G4" s="219"/>
      <c r="H4" s="220"/>
      <c r="I4" s="542" t="s">
        <v>7</v>
      </c>
      <c r="J4" s="165" t="s">
        <v>8</v>
      </c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24.75" customHeight="1">
      <c r="A5" s="164"/>
      <c r="B5" s="210"/>
      <c r="C5" s="221"/>
      <c r="D5" s="210"/>
      <c r="E5" s="210"/>
      <c r="F5" s="210"/>
      <c r="G5" s="210"/>
      <c r="H5" s="211"/>
      <c r="I5" s="529"/>
      <c r="J5" s="166" t="s">
        <v>9</v>
      </c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24.75" customHeight="1">
      <c r="A6" s="84"/>
      <c r="B6" s="9"/>
      <c r="C6" s="9"/>
      <c r="D6" s="9"/>
      <c r="E6" s="9"/>
      <c r="F6" s="9"/>
      <c r="G6" s="9"/>
      <c r="H6" s="9"/>
      <c r="I6" s="9"/>
      <c r="J6" s="126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5.75" customHeight="1">
      <c r="A7" s="84"/>
      <c r="B7" s="13"/>
      <c r="C7" s="13"/>
      <c r="D7" s="13"/>
      <c r="E7" s="13"/>
      <c r="F7" s="13"/>
      <c r="G7" s="13"/>
      <c r="H7" s="13"/>
      <c r="I7" s="13"/>
      <c r="J7" s="13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8.75" customHeight="1">
      <c r="A8" s="84"/>
      <c r="B8" s="536"/>
      <c r="C8" s="527" t="s">
        <v>0</v>
      </c>
      <c r="D8" s="157" t="s">
        <v>1</v>
      </c>
      <c r="E8" s="157" t="s">
        <v>466</v>
      </c>
      <c r="F8" s="13"/>
      <c r="G8" s="536"/>
      <c r="H8" s="527" t="s">
        <v>0</v>
      </c>
      <c r="I8" s="157" t="s">
        <v>1</v>
      </c>
      <c r="J8" s="157" t="s">
        <v>466</v>
      </c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20.25" customHeight="1">
      <c r="A9" s="84"/>
      <c r="B9" s="264"/>
      <c r="C9" s="528"/>
      <c r="D9" s="158" t="s">
        <v>3</v>
      </c>
      <c r="E9" s="167">
        <v>1</v>
      </c>
      <c r="F9" s="13"/>
      <c r="G9" s="264"/>
      <c r="H9" s="528"/>
      <c r="I9" s="158" t="s">
        <v>3</v>
      </c>
      <c r="J9" s="167">
        <v>1</v>
      </c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8" customHeight="1">
      <c r="A10" s="84"/>
      <c r="B10" s="264"/>
      <c r="C10" s="529"/>
      <c r="D10" s="157" t="s">
        <v>5</v>
      </c>
      <c r="E10" s="157" t="s">
        <v>6</v>
      </c>
      <c r="F10" s="13"/>
      <c r="G10" s="264"/>
      <c r="H10" s="529"/>
      <c r="I10" s="157" t="s">
        <v>5</v>
      </c>
      <c r="J10" s="157" t="s">
        <v>6</v>
      </c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8.75" customHeight="1">
      <c r="A11" s="84"/>
      <c r="B11" s="264"/>
      <c r="C11" s="527" t="s">
        <v>467</v>
      </c>
      <c r="D11" s="537" t="s">
        <v>7</v>
      </c>
      <c r="E11" s="168" t="s">
        <v>8</v>
      </c>
      <c r="F11" s="13"/>
      <c r="G11" s="264"/>
      <c r="H11" s="527" t="s">
        <v>467</v>
      </c>
      <c r="I11" s="537" t="s">
        <v>7</v>
      </c>
      <c r="J11" s="168" t="s">
        <v>8</v>
      </c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5" customHeight="1">
      <c r="A12" s="164"/>
      <c r="B12" s="264"/>
      <c r="C12" s="529"/>
      <c r="D12" s="375"/>
      <c r="E12" s="169" t="s">
        <v>9</v>
      </c>
      <c r="F12" s="13"/>
      <c r="G12" s="264"/>
      <c r="H12" s="529"/>
      <c r="I12" s="375"/>
      <c r="J12" s="169" t="s">
        <v>9</v>
      </c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36" customHeight="1">
      <c r="A13" s="84"/>
      <c r="B13" s="170" t="s">
        <v>422</v>
      </c>
      <c r="C13" s="538"/>
      <c r="D13" s="219"/>
      <c r="E13" s="220"/>
      <c r="F13" s="171"/>
      <c r="G13" s="170" t="s">
        <v>422</v>
      </c>
      <c r="H13" s="538"/>
      <c r="I13" s="219"/>
      <c r="J13" s="220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21" customHeight="1">
      <c r="A14" s="84"/>
      <c r="B14" s="172" t="s">
        <v>350</v>
      </c>
      <c r="C14" s="541"/>
      <c r="D14" s="246"/>
      <c r="E14" s="260"/>
      <c r="F14" s="171"/>
      <c r="G14" s="172" t="s">
        <v>350</v>
      </c>
      <c r="H14" s="541"/>
      <c r="I14" s="246"/>
      <c r="J14" s="260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33" customHeight="1">
      <c r="A15" s="84"/>
      <c r="B15" s="170" t="s">
        <v>468</v>
      </c>
      <c r="C15" s="541"/>
      <c r="D15" s="246"/>
      <c r="E15" s="260"/>
      <c r="F15" s="171"/>
      <c r="G15" s="170" t="s">
        <v>468</v>
      </c>
      <c r="H15" s="541"/>
      <c r="I15" s="246"/>
      <c r="J15" s="260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32.25" customHeight="1">
      <c r="A16" s="84"/>
      <c r="B16" s="172" t="s">
        <v>469</v>
      </c>
      <c r="C16" s="187"/>
      <c r="D16" s="187" t="s">
        <v>470</v>
      </c>
      <c r="E16" s="188"/>
      <c r="F16" s="175"/>
      <c r="G16" s="172" t="s">
        <v>469</v>
      </c>
      <c r="H16" s="187"/>
      <c r="I16" s="187" t="s">
        <v>470</v>
      </c>
      <c r="J16" s="188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5.75" customHeight="1">
      <c r="A17" s="84"/>
      <c r="B17" s="533" t="s">
        <v>31</v>
      </c>
      <c r="C17" s="534"/>
      <c r="D17" s="219"/>
      <c r="E17" s="220"/>
      <c r="F17" s="175"/>
      <c r="G17" s="533" t="s">
        <v>31</v>
      </c>
      <c r="H17" s="534"/>
      <c r="I17" s="219"/>
      <c r="J17" s="220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5" customHeight="1">
      <c r="A18" s="84"/>
      <c r="B18" s="528"/>
      <c r="C18" s="264"/>
      <c r="D18" s="213"/>
      <c r="E18" s="258"/>
      <c r="F18" s="171"/>
      <c r="G18" s="528"/>
      <c r="H18" s="264"/>
      <c r="I18" s="213"/>
      <c r="J18" s="258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.75" customHeight="1">
      <c r="A19" s="84"/>
      <c r="B19" s="528"/>
      <c r="C19" s="264"/>
      <c r="D19" s="213"/>
      <c r="E19" s="258"/>
      <c r="F19" s="171"/>
      <c r="G19" s="528"/>
      <c r="H19" s="264"/>
      <c r="I19" s="213"/>
      <c r="J19" s="258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5.75" customHeight="1">
      <c r="A20" s="84"/>
      <c r="B20" s="528"/>
      <c r="C20" s="264"/>
      <c r="D20" s="213"/>
      <c r="E20" s="258"/>
      <c r="F20" s="171"/>
      <c r="G20" s="529"/>
      <c r="H20" s="221"/>
      <c r="I20" s="210"/>
      <c r="J20" s="211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21" customHeight="1">
      <c r="A21" s="84"/>
      <c r="B21" s="189" t="s">
        <v>86</v>
      </c>
      <c r="C21" s="535"/>
      <c r="D21" s="246"/>
      <c r="E21" s="260"/>
      <c r="F21" s="13"/>
      <c r="G21" s="189" t="s">
        <v>86</v>
      </c>
      <c r="H21" s="535"/>
      <c r="I21" s="246"/>
      <c r="J21" s="260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21.75" customHeight="1">
      <c r="A22" s="84"/>
      <c r="B22" s="176" t="s">
        <v>87</v>
      </c>
      <c r="C22" s="150"/>
      <c r="D22" s="190" t="s">
        <v>67</v>
      </c>
      <c r="E22" s="191"/>
      <c r="F22" s="13"/>
      <c r="G22" s="176" t="s">
        <v>87</v>
      </c>
      <c r="H22" s="150"/>
      <c r="I22" s="190" t="s">
        <v>67</v>
      </c>
      <c r="J22" s="191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>
      <c r="A23" s="84"/>
      <c r="B23" s="13"/>
      <c r="C23" s="13"/>
      <c r="D23" s="13"/>
      <c r="E23" s="13"/>
      <c r="F23" s="13"/>
      <c r="G23" s="13"/>
      <c r="H23" s="13"/>
      <c r="I23" s="13"/>
      <c r="J23" s="13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5.75" customHeight="1">
      <c r="A24" s="84"/>
      <c r="B24" s="536"/>
      <c r="C24" s="527" t="s">
        <v>0</v>
      </c>
      <c r="D24" s="157" t="s">
        <v>1</v>
      </c>
      <c r="E24" s="157" t="s">
        <v>466</v>
      </c>
      <c r="F24" s="13"/>
      <c r="G24" s="536"/>
      <c r="H24" s="527" t="s">
        <v>0</v>
      </c>
      <c r="I24" s="157" t="s">
        <v>1</v>
      </c>
      <c r="J24" s="157" t="s">
        <v>466</v>
      </c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>
      <c r="A25" s="84"/>
      <c r="B25" s="264"/>
      <c r="C25" s="528"/>
      <c r="D25" s="158" t="s">
        <v>3</v>
      </c>
      <c r="E25" s="167">
        <v>1</v>
      </c>
      <c r="F25" s="13"/>
      <c r="G25" s="264"/>
      <c r="H25" s="528"/>
      <c r="I25" s="158" t="s">
        <v>3</v>
      </c>
      <c r="J25" s="167">
        <v>1</v>
      </c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5.75" customHeight="1">
      <c r="A26" s="84"/>
      <c r="B26" s="264"/>
      <c r="C26" s="529"/>
      <c r="D26" s="157" t="s">
        <v>5</v>
      </c>
      <c r="E26" s="157" t="s">
        <v>6</v>
      </c>
      <c r="F26" s="13"/>
      <c r="G26" s="264"/>
      <c r="H26" s="529"/>
      <c r="I26" s="157" t="s">
        <v>5</v>
      </c>
      <c r="J26" s="157" t="s">
        <v>6</v>
      </c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5.75" customHeight="1">
      <c r="A27" s="84"/>
      <c r="B27" s="264"/>
      <c r="C27" s="527" t="s">
        <v>467</v>
      </c>
      <c r="D27" s="537" t="s">
        <v>7</v>
      </c>
      <c r="E27" s="168" t="s">
        <v>8</v>
      </c>
      <c r="F27" s="13"/>
      <c r="G27" s="264"/>
      <c r="H27" s="527" t="s">
        <v>467</v>
      </c>
      <c r="I27" s="537" t="s">
        <v>7</v>
      </c>
      <c r="J27" s="168" t="s">
        <v>8</v>
      </c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5.75" customHeight="1">
      <c r="A28" s="84"/>
      <c r="B28" s="264"/>
      <c r="C28" s="529"/>
      <c r="D28" s="375"/>
      <c r="E28" s="169" t="s">
        <v>9</v>
      </c>
      <c r="F28" s="13"/>
      <c r="G28" s="264"/>
      <c r="H28" s="529"/>
      <c r="I28" s="375"/>
      <c r="J28" s="169" t="s">
        <v>9</v>
      </c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34.5" customHeight="1">
      <c r="A29" s="84"/>
      <c r="B29" s="170" t="s">
        <v>422</v>
      </c>
      <c r="C29" s="538"/>
      <c r="D29" s="219"/>
      <c r="E29" s="220"/>
      <c r="F29" s="171"/>
      <c r="G29" s="170" t="s">
        <v>422</v>
      </c>
      <c r="H29" s="538"/>
      <c r="I29" s="219"/>
      <c r="J29" s="220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27" customHeight="1">
      <c r="A30" s="84"/>
      <c r="B30" s="172" t="s">
        <v>350</v>
      </c>
      <c r="C30" s="541"/>
      <c r="D30" s="246"/>
      <c r="E30" s="260"/>
      <c r="F30" s="171"/>
      <c r="G30" s="172" t="s">
        <v>350</v>
      </c>
      <c r="H30" s="541"/>
      <c r="I30" s="246"/>
      <c r="J30" s="260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36" customHeight="1">
      <c r="A31" s="84"/>
      <c r="B31" s="170" t="s">
        <v>468</v>
      </c>
      <c r="C31" s="541"/>
      <c r="D31" s="246"/>
      <c r="E31" s="260"/>
      <c r="F31" s="171"/>
      <c r="G31" s="170" t="s">
        <v>468</v>
      </c>
      <c r="H31" s="541"/>
      <c r="I31" s="246"/>
      <c r="J31" s="260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42.75" customHeight="1">
      <c r="A32" s="84"/>
      <c r="B32" s="172" t="s">
        <v>469</v>
      </c>
      <c r="C32" s="187"/>
      <c r="D32" s="192" t="s">
        <v>470</v>
      </c>
      <c r="E32" s="188"/>
      <c r="F32" s="175"/>
      <c r="G32" s="172" t="s">
        <v>469</v>
      </c>
      <c r="H32" s="187"/>
      <c r="I32" s="192" t="s">
        <v>470</v>
      </c>
      <c r="J32" s="188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5.75" customHeight="1">
      <c r="A33" s="84"/>
      <c r="B33" s="533" t="s">
        <v>31</v>
      </c>
      <c r="C33" s="534"/>
      <c r="D33" s="219"/>
      <c r="E33" s="220"/>
      <c r="F33" s="175"/>
      <c r="G33" s="533" t="s">
        <v>31</v>
      </c>
      <c r="H33" s="534"/>
      <c r="I33" s="219"/>
      <c r="J33" s="220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customHeight="1">
      <c r="A34" s="84"/>
      <c r="B34" s="528"/>
      <c r="C34" s="264"/>
      <c r="D34" s="213"/>
      <c r="E34" s="258"/>
      <c r="F34" s="171"/>
      <c r="G34" s="528"/>
      <c r="H34" s="264"/>
      <c r="I34" s="213"/>
      <c r="J34" s="258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5.75" customHeight="1">
      <c r="A35" s="84"/>
      <c r="B35" s="528"/>
      <c r="C35" s="264"/>
      <c r="D35" s="213"/>
      <c r="E35" s="258"/>
      <c r="F35" s="171"/>
      <c r="G35" s="528"/>
      <c r="H35" s="264"/>
      <c r="I35" s="213"/>
      <c r="J35" s="258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5.75" customHeight="1">
      <c r="A36" s="84"/>
      <c r="B36" s="528"/>
      <c r="C36" s="264"/>
      <c r="D36" s="213"/>
      <c r="E36" s="258"/>
      <c r="F36" s="171"/>
      <c r="G36" s="529"/>
      <c r="H36" s="221"/>
      <c r="I36" s="210"/>
      <c r="J36" s="211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23.25" customHeight="1">
      <c r="A37" s="84"/>
      <c r="B37" s="189" t="s">
        <v>86</v>
      </c>
      <c r="C37" s="535"/>
      <c r="D37" s="246"/>
      <c r="E37" s="260"/>
      <c r="F37" s="13"/>
      <c r="G37" s="189" t="s">
        <v>86</v>
      </c>
      <c r="H37" s="535"/>
      <c r="I37" s="246"/>
      <c r="J37" s="260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21" customHeight="1">
      <c r="A38" s="84"/>
      <c r="B38" s="176" t="s">
        <v>87</v>
      </c>
      <c r="C38" s="150"/>
      <c r="D38" s="190" t="s">
        <v>67</v>
      </c>
      <c r="E38" s="191"/>
      <c r="F38" s="13"/>
      <c r="G38" s="176" t="s">
        <v>87</v>
      </c>
      <c r="H38" s="150"/>
      <c r="I38" s="190" t="s">
        <v>67</v>
      </c>
      <c r="J38" s="191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>
      <c r="A39" s="84"/>
      <c r="B39" s="13"/>
      <c r="C39" s="13"/>
      <c r="D39" s="13"/>
      <c r="E39" s="13"/>
      <c r="F39" s="13"/>
      <c r="G39" s="13"/>
      <c r="H39" s="13"/>
      <c r="I39" s="13"/>
      <c r="J39" s="13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>
      <c r="A40" s="84"/>
      <c r="B40" s="536"/>
      <c r="C40" s="527" t="s">
        <v>0</v>
      </c>
      <c r="D40" s="157" t="s">
        <v>1</v>
      </c>
      <c r="E40" s="157" t="s">
        <v>466</v>
      </c>
      <c r="F40" s="13"/>
      <c r="G40" s="536"/>
      <c r="H40" s="527" t="s">
        <v>0</v>
      </c>
      <c r="I40" s="157" t="s">
        <v>1</v>
      </c>
      <c r="J40" s="157" t="s">
        <v>466</v>
      </c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>
      <c r="A41" s="84"/>
      <c r="B41" s="264"/>
      <c r="C41" s="528"/>
      <c r="D41" s="158" t="s">
        <v>3</v>
      </c>
      <c r="E41" s="167">
        <v>1</v>
      </c>
      <c r="F41" s="13"/>
      <c r="G41" s="264"/>
      <c r="H41" s="528"/>
      <c r="I41" s="158" t="s">
        <v>3</v>
      </c>
      <c r="J41" s="167">
        <v>1</v>
      </c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>
      <c r="A42" s="84"/>
      <c r="B42" s="264"/>
      <c r="C42" s="529"/>
      <c r="D42" s="157" t="s">
        <v>5</v>
      </c>
      <c r="E42" s="157" t="s">
        <v>6</v>
      </c>
      <c r="F42" s="13"/>
      <c r="G42" s="264"/>
      <c r="H42" s="529"/>
      <c r="I42" s="157" t="s">
        <v>5</v>
      </c>
      <c r="J42" s="157" t="s">
        <v>6</v>
      </c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>
      <c r="A43" s="84"/>
      <c r="B43" s="264"/>
      <c r="C43" s="527" t="s">
        <v>467</v>
      </c>
      <c r="D43" s="537" t="s">
        <v>7</v>
      </c>
      <c r="E43" s="168" t="s">
        <v>8</v>
      </c>
      <c r="F43" s="13"/>
      <c r="G43" s="264"/>
      <c r="H43" s="527" t="s">
        <v>467</v>
      </c>
      <c r="I43" s="537" t="s">
        <v>7</v>
      </c>
      <c r="J43" s="168" t="s">
        <v>8</v>
      </c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.75" customHeight="1">
      <c r="A44" s="84"/>
      <c r="B44" s="264"/>
      <c r="C44" s="529"/>
      <c r="D44" s="375"/>
      <c r="E44" s="169" t="s">
        <v>9</v>
      </c>
      <c r="F44" s="13"/>
      <c r="G44" s="264"/>
      <c r="H44" s="529"/>
      <c r="I44" s="375"/>
      <c r="J44" s="169" t="s">
        <v>9</v>
      </c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24.75" customHeight="1">
      <c r="A45" s="84"/>
      <c r="B45" s="170" t="s">
        <v>422</v>
      </c>
      <c r="C45" s="538"/>
      <c r="D45" s="219"/>
      <c r="E45" s="220"/>
      <c r="F45" s="171"/>
      <c r="G45" s="170" t="s">
        <v>422</v>
      </c>
      <c r="H45" s="538"/>
      <c r="I45" s="219"/>
      <c r="J45" s="220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22.5" customHeight="1">
      <c r="A46" s="84"/>
      <c r="B46" s="172" t="s">
        <v>350</v>
      </c>
      <c r="C46" s="541"/>
      <c r="D46" s="246"/>
      <c r="E46" s="260"/>
      <c r="F46" s="171"/>
      <c r="G46" s="172" t="s">
        <v>350</v>
      </c>
      <c r="H46" s="541"/>
      <c r="I46" s="246"/>
      <c r="J46" s="260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34.5" customHeight="1">
      <c r="A47" s="84"/>
      <c r="B47" s="170" t="s">
        <v>468</v>
      </c>
      <c r="C47" s="541"/>
      <c r="D47" s="246"/>
      <c r="E47" s="260"/>
      <c r="F47" s="171"/>
      <c r="G47" s="170" t="s">
        <v>468</v>
      </c>
      <c r="H47" s="541"/>
      <c r="I47" s="246"/>
      <c r="J47" s="260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38.25" customHeight="1">
      <c r="A48" s="84"/>
      <c r="B48" s="172" t="s">
        <v>469</v>
      </c>
      <c r="C48" s="187"/>
      <c r="D48" s="187" t="s">
        <v>470</v>
      </c>
      <c r="E48" s="188"/>
      <c r="F48" s="175"/>
      <c r="G48" s="172" t="s">
        <v>469</v>
      </c>
      <c r="H48" s="187"/>
      <c r="I48" s="187" t="s">
        <v>470</v>
      </c>
      <c r="J48" s="188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>
      <c r="A49" s="84"/>
      <c r="B49" s="533" t="s">
        <v>31</v>
      </c>
      <c r="C49" s="534"/>
      <c r="D49" s="219"/>
      <c r="E49" s="220"/>
      <c r="F49" s="175"/>
      <c r="G49" s="533" t="s">
        <v>31</v>
      </c>
      <c r="H49" s="534"/>
      <c r="I49" s="219"/>
      <c r="J49" s="220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>
      <c r="A50" s="84"/>
      <c r="B50" s="528"/>
      <c r="C50" s="264"/>
      <c r="D50" s="213"/>
      <c r="E50" s="258"/>
      <c r="F50" s="171"/>
      <c r="G50" s="528"/>
      <c r="H50" s="264"/>
      <c r="I50" s="213"/>
      <c r="J50" s="258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.75" customHeight="1">
      <c r="A51" s="84"/>
      <c r="B51" s="528"/>
      <c r="C51" s="264"/>
      <c r="D51" s="213"/>
      <c r="E51" s="258"/>
      <c r="F51" s="171"/>
      <c r="G51" s="528"/>
      <c r="H51" s="264"/>
      <c r="I51" s="213"/>
      <c r="J51" s="258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>
      <c r="A52" s="84"/>
      <c r="B52" s="528"/>
      <c r="C52" s="264"/>
      <c r="D52" s="213"/>
      <c r="E52" s="258"/>
      <c r="F52" s="171"/>
      <c r="G52" s="529"/>
      <c r="H52" s="221"/>
      <c r="I52" s="210"/>
      <c r="J52" s="211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22.5" customHeight="1">
      <c r="A53" s="84"/>
      <c r="B53" s="189" t="s">
        <v>86</v>
      </c>
      <c r="C53" s="535"/>
      <c r="D53" s="246"/>
      <c r="E53" s="260"/>
      <c r="F53" s="13"/>
      <c r="G53" s="189" t="s">
        <v>86</v>
      </c>
      <c r="H53" s="535"/>
      <c r="I53" s="246"/>
      <c r="J53" s="260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24" customHeight="1">
      <c r="A54" s="84"/>
      <c r="B54" s="176" t="s">
        <v>87</v>
      </c>
      <c r="C54" s="150"/>
      <c r="D54" s="190" t="s">
        <v>67</v>
      </c>
      <c r="E54" s="191"/>
      <c r="F54" s="13"/>
      <c r="G54" s="176" t="s">
        <v>87</v>
      </c>
      <c r="H54" s="150"/>
      <c r="I54" s="190" t="s">
        <v>67</v>
      </c>
      <c r="J54" s="191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>
      <c r="A55" s="84"/>
      <c r="B55" s="13"/>
      <c r="C55" s="13"/>
      <c r="D55" s="13"/>
      <c r="E55" s="13"/>
      <c r="F55" s="13"/>
      <c r="G55" s="13"/>
      <c r="H55" s="13"/>
      <c r="I55" s="13"/>
      <c r="J55" s="13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>
      <c r="A56" s="84"/>
      <c r="B56" s="536"/>
      <c r="C56" s="527" t="s">
        <v>0</v>
      </c>
      <c r="D56" s="157" t="s">
        <v>1</v>
      </c>
      <c r="E56" s="157" t="s">
        <v>466</v>
      </c>
      <c r="F56" s="13"/>
      <c r="G56" s="536"/>
      <c r="H56" s="527" t="s">
        <v>0</v>
      </c>
      <c r="I56" s="157" t="s">
        <v>1</v>
      </c>
      <c r="J56" s="157" t="s">
        <v>466</v>
      </c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>
      <c r="A57" s="84"/>
      <c r="B57" s="264"/>
      <c r="C57" s="528"/>
      <c r="D57" s="158" t="s">
        <v>3</v>
      </c>
      <c r="E57" s="167">
        <v>1</v>
      </c>
      <c r="F57" s="13"/>
      <c r="G57" s="264"/>
      <c r="H57" s="528"/>
      <c r="I57" s="158" t="s">
        <v>3</v>
      </c>
      <c r="J57" s="167">
        <v>1</v>
      </c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>
      <c r="A58" s="84"/>
      <c r="B58" s="264"/>
      <c r="C58" s="529"/>
      <c r="D58" s="157" t="s">
        <v>5</v>
      </c>
      <c r="E58" s="157" t="s">
        <v>6</v>
      </c>
      <c r="F58" s="13"/>
      <c r="G58" s="264"/>
      <c r="H58" s="529"/>
      <c r="I58" s="157" t="s">
        <v>5</v>
      </c>
      <c r="J58" s="157" t="s">
        <v>6</v>
      </c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>
      <c r="A59" s="84"/>
      <c r="B59" s="264"/>
      <c r="C59" s="527" t="s">
        <v>467</v>
      </c>
      <c r="D59" s="537" t="s">
        <v>7</v>
      </c>
      <c r="E59" s="168" t="s">
        <v>8</v>
      </c>
      <c r="F59" s="13"/>
      <c r="G59" s="264"/>
      <c r="H59" s="527" t="s">
        <v>467</v>
      </c>
      <c r="I59" s="537" t="s">
        <v>7</v>
      </c>
      <c r="J59" s="168" t="s">
        <v>8</v>
      </c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>
      <c r="A60" s="84"/>
      <c r="B60" s="264"/>
      <c r="C60" s="529"/>
      <c r="D60" s="375"/>
      <c r="E60" s="169" t="s">
        <v>9</v>
      </c>
      <c r="F60" s="13"/>
      <c r="G60" s="264"/>
      <c r="H60" s="529"/>
      <c r="I60" s="375"/>
      <c r="J60" s="169" t="s">
        <v>9</v>
      </c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33" customHeight="1">
      <c r="A61" s="84"/>
      <c r="B61" s="170" t="s">
        <v>422</v>
      </c>
      <c r="C61" s="538"/>
      <c r="D61" s="219"/>
      <c r="E61" s="220"/>
      <c r="F61" s="171"/>
      <c r="G61" s="170" t="s">
        <v>422</v>
      </c>
      <c r="H61" s="538"/>
      <c r="I61" s="219"/>
      <c r="J61" s="220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33" customHeight="1">
      <c r="A62" s="84"/>
      <c r="B62" s="172" t="s">
        <v>350</v>
      </c>
      <c r="C62" s="541"/>
      <c r="D62" s="246"/>
      <c r="E62" s="260"/>
      <c r="F62" s="171"/>
      <c r="G62" s="172" t="s">
        <v>350</v>
      </c>
      <c r="H62" s="541"/>
      <c r="I62" s="246"/>
      <c r="J62" s="260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45" customHeight="1">
      <c r="A63" s="84"/>
      <c r="B63" s="170" t="s">
        <v>468</v>
      </c>
      <c r="C63" s="541"/>
      <c r="D63" s="246"/>
      <c r="E63" s="260"/>
      <c r="F63" s="171"/>
      <c r="G63" s="170" t="s">
        <v>468</v>
      </c>
      <c r="H63" s="541"/>
      <c r="I63" s="246"/>
      <c r="J63" s="260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36" customHeight="1">
      <c r="A64" s="84"/>
      <c r="B64" s="172" t="s">
        <v>469</v>
      </c>
      <c r="C64" s="187"/>
      <c r="D64" s="187" t="s">
        <v>470</v>
      </c>
      <c r="E64" s="188"/>
      <c r="F64" s="175"/>
      <c r="G64" s="172" t="s">
        <v>469</v>
      </c>
      <c r="H64" s="187"/>
      <c r="I64" s="187" t="s">
        <v>470</v>
      </c>
      <c r="J64" s="188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>
      <c r="A65" s="84"/>
      <c r="B65" s="533" t="s">
        <v>31</v>
      </c>
      <c r="C65" s="534"/>
      <c r="D65" s="219"/>
      <c r="E65" s="220"/>
      <c r="F65" s="175"/>
      <c r="G65" s="533" t="s">
        <v>31</v>
      </c>
      <c r="H65" s="534"/>
      <c r="I65" s="219"/>
      <c r="J65" s="220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.75" customHeight="1">
      <c r="A66" s="84"/>
      <c r="B66" s="528"/>
      <c r="C66" s="264"/>
      <c r="D66" s="213"/>
      <c r="E66" s="258"/>
      <c r="F66" s="171"/>
      <c r="G66" s="528"/>
      <c r="H66" s="264"/>
      <c r="I66" s="213"/>
      <c r="J66" s="258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>
      <c r="A67" s="84"/>
      <c r="B67" s="528"/>
      <c r="C67" s="264"/>
      <c r="D67" s="213"/>
      <c r="E67" s="258"/>
      <c r="F67" s="171"/>
      <c r="G67" s="528"/>
      <c r="H67" s="264"/>
      <c r="I67" s="213"/>
      <c r="J67" s="258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>
      <c r="A68" s="84"/>
      <c r="B68" s="528"/>
      <c r="C68" s="264"/>
      <c r="D68" s="213"/>
      <c r="E68" s="258"/>
      <c r="F68" s="171"/>
      <c r="G68" s="529"/>
      <c r="H68" s="221"/>
      <c r="I68" s="210"/>
      <c r="J68" s="211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24" customHeight="1">
      <c r="A69" s="84"/>
      <c r="B69" s="189" t="s">
        <v>86</v>
      </c>
      <c r="C69" s="535"/>
      <c r="D69" s="246"/>
      <c r="E69" s="260"/>
      <c r="F69" s="13"/>
      <c r="G69" s="189" t="s">
        <v>86</v>
      </c>
      <c r="H69" s="535"/>
      <c r="I69" s="246"/>
      <c r="J69" s="260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23.25" customHeight="1">
      <c r="A70" s="84"/>
      <c r="B70" s="176" t="s">
        <v>87</v>
      </c>
      <c r="C70" s="150"/>
      <c r="D70" s="190" t="s">
        <v>67</v>
      </c>
      <c r="E70" s="191"/>
      <c r="F70" s="13"/>
      <c r="G70" s="176" t="s">
        <v>87</v>
      </c>
      <c r="H70" s="150"/>
      <c r="I70" s="190" t="s">
        <v>67</v>
      </c>
      <c r="J70" s="191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>
      <c r="A71" s="84"/>
      <c r="B71" s="13"/>
      <c r="C71" s="13"/>
      <c r="D71" s="13"/>
      <c r="E71" s="13"/>
      <c r="F71" s="13"/>
      <c r="G71" s="13"/>
      <c r="H71" s="13"/>
      <c r="I71" s="13"/>
      <c r="J71" s="13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>
      <c r="A72" s="84"/>
      <c r="B72" s="13"/>
      <c r="C72" s="13"/>
      <c r="D72" s="13"/>
      <c r="E72" s="13"/>
      <c r="F72" s="13"/>
      <c r="G72" s="13"/>
      <c r="H72" s="13"/>
      <c r="I72" s="13"/>
      <c r="J72" s="13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>
      <c r="A73" s="84"/>
      <c r="B73" s="13"/>
      <c r="C73" s="13"/>
      <c r="D73" s="13"/>
      <c r="E73" s="13"/>
      <c r="F73" s="13"/>
      <c r="G73" s="13"/>
      <c r="H73" s="13"/>
      <c r="I73" s="13"/>
      <c r="J73" s="13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>
      <c r="A74" s="84"/>
      <c r="B74" s="13"/>
      <c r="C74" s="13"/>
      <c r="D74" s="13"/>
      <c r="E74" s="13"/>
      <c r="F74" s="13"/>
      <c r="G74" s="13"/>
      <c r="H74" s="13"/>
      <c r="I74" s="13"/>
      <c r="J74" s="13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>
      <c r="A75" s="84"/>
      <c r="B75" s="13"/>
      <c r="C75" s="13"/>
      <c r="D75" s="13"/>
      <c r="E75" s="13"/>
      <c r="F75" s="13"/>
      <c r="G75" s="13"/>
      <c r="H75" s="13"/>
      <c r="I75" s="13"/>
      <c r="J75" s="13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>
      <c r="A76" s="84"/>
      <c r="B76" s="13"/>
      <c r="C76" s="13"/>
      <c r="D76" s="13"/>
      <c r="E76" s="13"/>
      <c r="F76" s="13"/>
      <c r="G76" s="13"/>
      <c r="H76" s="13"/>
      <c r="I76" s="13"/>
      <c r="J76" s="13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>
      <c r="A77" s="84"/>
      <c r="B77" s="13"/>
      <c r="C77" s="13"/>
      <c r="D77" s="13"/>
      <c r="E77" s="13"/>
      <c r="F77" s="13"/>
      <c r="G77" s="13"/>
      <c r="H77" s="13"/>
      <c r="I77" s="13"/>
      <c r="J77" s="13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>
      <c r="A78" s="84"/>
      <c r="B78" s="13"/>
      <c r="C78" s="13"/>
      <c r="D78" s="13"/>
      <c r="E78" s="13"/>
      <c r="F78" s="13"/>
      <c r="G78" s="13"/>
      <c r="H78" s="13"/>
      <c r="I78" s="13"/>
      <c r="J78" s="13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>
      <c r="A79" s="84"/>
      <c r="B79" s="13"/>
      <c r="C79" s="13"/>
      <c r="D79" s="13"/>
      <c r="E79" s="13"/>
      <c r="F79" s="13"/>
      <c r="G79" s="13"/>
      <c r="H79" s="13"/>
      <c r="I79" s="13"/>
      <c r="J79" s="13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>
      <c r="A80" s="84"/>
      <c r="B80" s="13"/>
      <c r="C80" s="13"/>
      <c r="D80" s="13"/>
      <c r="E80" s="13"/>
      <c r="F80" s="13"/>
      <c r="G80" s="13"/>
      <c r="H80" s="13"/>
      <c r="I80" s="13"/>
      <c r="J80" s="13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>
      <c r="A81" s="84"/>
      <c r="B81" s="13"/>
      <c r="C81" s="13"/>
      <c r="D81" s="13"/>
      <c r="E81" s="13"/>
      <c r="F81" s="13"/>
      <c r="G81" s="13"/>
      <c r="H81" s="13"/>
      <c r="I81" s="13"/>
      <c r="J81" s="13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>
      <c r="A82" s="84"/>
      <c r="B82" s="13"/>
      <c r="C82" s="13"/>
      <c r="D82" s="13"/>
      <c r="E82" s="13"/>
      <c r="F82" s="13"/>
      <c r="G82" s="13"/>
      <c r="H82" s="13"/>
      <c r="I82" s="13"/>
      <c r="J82" s="13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>
      <c r="A83" s="84"/>
      <c r="B83" s="13"/>
      <c r="C83" s="13"/>
      <c r="D83" s="13"/>
      <c r="E83" s="13"/>
      <c r="F83" s="13"/>
      <c r="G83" s="13"/>
      <c r="H83" s="13"/>
      <c r="I83" s="13"/>
      <c r="J83" s="13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>
      <c r="A84" s="84"/>
      <c r="B84" s="13"/>
      <c r="C84" s="13"/>
      <c r="D84" s="13"/>
      <c r="E84" s="13"/>
      <c r="F84" s="13"/>
      <c r="G84" s="13"/>
      <c r="H84" s="13"/>
      <c r="I84" s="13"/>
      <c r="J84" s="13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>
      <c r="A85" s="84"/>
      <c r="B85" s="13"/>
      <c r="C85" s="13"/>
      <c r="D85" s="13"/>
      <c r="E85" s="13"/>
      <c r="F85" s="13"/>
      <c r="G85" s="13"/>
      <c r="H85" s="13"/>
      <c r="I85" s="13"/>
      <c r="J85" s="13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>
      <c r="A86" s="84"/>
      <c r="B86" s="13"/>
      <c r="C86" s="13"/>
      <c r="D86" s="13"/>
      <c r="E86" s="13"/>
      <c r="F86" s="13"/>
      <c r="G86" s="13"/>
      <c r="H86" s="13"/>
      <c r="I86" s="13"/>
      <c r="J86" s="13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>
      <c r="A87" s="84"/>
      <c r="B87" s="13"/>
      <c r="C87" s="13"/>
      <c r="D87" s="13"/>
      <c r="E87" s="13"/>
      <c r="F87" s="13"/>
      <c r="G87" s="13"/>
      <c r="H87" s="13"/>
      <c r="I87" s="13"/>
      <c r="J87" s="13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>
      <c r="A88" s="84"/>
      <c r="B88" s="13"/>
      <c r="C88" s="13"/>
      <c r="D88" s="13"/>
      <c r="E88" s="13"/>
      <c r="F88" s="13"/>
      <c r="G88" s="13"/>
      <c r="H88" s="13"/>
      <c r="I88" s="13"/>
      <c r="J88" s="13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>
      <c r="A89" s="84"/>
      <c r="B89" s="13"/>
      <c r="C89" s="13"/>
      <c r="D89" s="13"/>
      <c r="E89" s="13"/>
      <c r="F89" s="13"/>
      <c r="G89" s="13"/>
      <c r="H89" s="13"/>
      <c r="I89" s="13"/>
      <c r="J89" s="13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>
      <c r="A90" s="84"/>
      <c r="B90" s="13"/>
      <c r="C90" s="13"/>
      <c r="D90" s="13"/>
      <c r="E90" s="13"/>
      <c r="F90" s="13"/>
      <c r="G90" s="13"/>
      <c r="H90" s="13"/>
      <c r="I90" s="13"/>
      <c r="J90" s="13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>
      <c r="A91" s="84"/>
      <c r="B91" s="13"/>
      <c r="C91" s="13"/>
      <c r="D91" s="13"/>
      <c r="E91" s="13"/>
      <c r="F91" s="13"/>
      <c r="G91" s="13"/>
      <c r="H91" s="13"/>
      <c r="I91" s="13"/>
      <c r="J91" s="13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>
      <c r="A92" s="84"/>
      <c r="B92" s="13"/>
      <c r="C92" s="13"/>
      <c r="D92" s="13"/>
      <c r="E92" s="13"/>
      <c r="F92" s="13"/>
      <c r="G92" s="13"/>
      <c r="H92" s="13"/>
      <c r="I92" s="13"/>
      <c r="J92" s="13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>
      <c r="A93" s="84"/>
      <c r="B93" s="13"/>
      <c r="C93" s="13"/>
      <c r="D93" s="13"/>
      <c r="E93" s="13"/>
      <c r="F93" s="13"/>
      <c r="G93" s="13"/>
      <c r="H93" s="13"/>
      <c r="I93" s="13"/>
      <c r="J93" s="13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>
      <c r="A94" s="84"/>
      <c r="B94" s="13"/>
      <c r="C94" s="13"/>
      <c r="D94" s="13"/>
      <c r="E94" s="13"/>
      <c r="F94" s="13"/>
      <c r="G94" s="13"/>
      <c r="H94" s="13"/>
      <c r="I94" s="13"/>
      <c r="J94" s="13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>
      <c r="A95" s="84"/>
      <c r="B95" s="13"/>
      <c r="C95" s="13"/>
      <c r="D95" s="13"/>
      <c r="E95" s="13"/>
      <c r="F95" s="13"/>
      <c r="G95" s="13"/>
      <c r="H95" s="13"/>
      <c r="I95" s="13"/>
      <c r="J95" s="13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>
      <c r="A96" s="84"/>
      <c r="B96" s="13"/>
      <c r="C96" s="13"/>
      <c r="D96" s="13"/>
      <c r="E96" s="13"/>
      <c r="F96" s="13"/>
      <c r="G96" s="13"/>
      <c r="H96" s="13"/>
      <c r="I96" s="13"/>
      <c r="J96" s="13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>
      <c r="A97" s="84"/>
      <c r="B97" s="13"/>
      <c r="C97" s="13"/>
      <c r="D97" s="13"/>
      <c r="E97" s="13"/>
      <c r="F97" s="13"/>
      <c r="G97" s="13"/>
      <c r="H97" s="13"/>
      <c r="I97" s="13"/>
      <c r="J97" s="13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>
      <c r="A98" s="84"/>
      <c r="B98" s="13"/>
      <c r="C98" s="13"/>
      <c r="D98" s="13"/>
      <c r="E98" s="13"/>
      <c r="F98" s="13"/>
      <c r="G98" s="13"/>
      <c r="H98" s="13"/>
      <c r="I98" s="13"/>
      <c r="J98" s="13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>
      <c r="A99" s="84"/>
      <c r="B99" s="13"/>
      <c r="C99" s="13"/>
      <c r="D99" s="13"/>
      <c r="E99" s="13"/>
      <c r="F99" s="13"/>
      <c r="G99" s="13"/>
      <c r="H99" s="13"/>
      <c r="I99" s="13"/>
      <c r="J99" s="13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>
      <c r="A100" s="84"/>
      <c r="B100" s="13"/>
      <c r="C100" s="13"/>
      <c r="D100" s="13"/>
      <c r="E100" s="13"/>
      <c r="F100" s="13"/>
      <c r="G100" s="13"/>
      <c r="H100" s="13"/>
      <c r="I100" s="13"/>
      <c r="J100" s="13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>
      <c r="A101" s="84"/>
      <c r="B101" s="13"/>
      <c r="C101" s="13"/>
      <c r="D101" s="13"/>
      <c r="E101" s="13"/>
      <c r="F101" s="13"/>
      <c r="G101" s="13"/>
      <c r="H101" s="13"/>
      <c r="I101" s="13"/>
      <c r="J101" s="13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>
      <c r="A102" s="84"/>
      <c r="B102" s="13"/>
      <c r="C102" s="13"/>
      <c r="D102" s="13"/>
      <c r="E102" s="13"/>
      <c r="F102" s="13"/>
      <c r="G102" s="13"/>
      <c r="H102" s="13"/>
      <c r="I102" s="13"/>
      <c r="J102" s="13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>
      <c r="A103" s="84"/>
      <c r="B103" s="13"/>
      <c r="C103" s="13"/>
      <c r="D103" s="13"/>
      <c r="E103" s="13"/>
      <c r="F103" s="13"/>
      <c r="G103" s="13"/>
      <c r="H103" s="13"/>
      <c r="I103" s="13"/>
      <c r="J103" s="13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>
      <c r="A104" s="84"/>
      <c r="B104" s="13"/>
      <c r="C104" s="13"/>
      <c r="D104" s="13"/>
      <c r="E104" s="13"/>
      <c r="F104" s="13"/>
      <c r="G104" s="13"/>
      <c r="H104" s="13"/>
      <c r="I104" s="13"/>
      <c r="J104" s="13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>
      <c r="A105" s="84"/>
      <c r="B105" s="13"/>
      <c r="C105" s="13"/>
      <c r="D105" s="13"/>
      <c r="E105" s="13"/>
      <c r="F105" s="13"/>
      <c r="G105" s="13"/>
      <c r="H105" s="13"/>
      <c r="I105" s="13"/>
      <c r="J105" s="13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>
      <c r="A106" s="84"/>
      <c r="B106" s="13"/>
      <c r="C106" s="13"/>
      <c r="D106" s="13"/>
      <c r="E106" s="13"/>
      <c r="F106" s="13"/>
      <c r="G106" s="13"/>
      <c r="H106" s="13"/>
      <c r="I106" s="13"/>
      <c r="J106" s="13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>
      <c r="A107" s="84"/>
      <c r="B107" s="13"/>
      <c r="C107" s="13"/>
      <c r="D107" s="13"/>
      <c r="E107" s="13"/>
      <c r="F107" s="13"/>
      <c r="G107" s="13"/>
      <c r="H107" s="13"/>
      <c r="I107" s="13"/>
      <c r="J107" s="13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>
      <c r="A108" s="84"/>
      <c r="B108" s="13"/>
      <c r="C108" s="13"/>
      <c r="D108" s="13"/>
      <c r="E108" s="13"/>
      <c r="F108" s="13"/>
      <c r="G108" s="13"/>
      <c r="H108" s="13"/>
      <c r="I108" s="13"/>
      <c r="J108" s="13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>
      <c r="A109" s="84"/>
      <c r="B109" s="13"/>
      <c r="C109" s="13"/>
      <c r="D109" s="13"/>
      <c r="E109" s="13"/>
      <c r="F109" s="13"/>
      <c r="G109" s="13"/>
      <c r="H109" s="13"/>
      <c r="I109" s="13"/>
      <c r="J109" s="13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>
      <c r="A110" s="84"/>
      <c r="B110" s="13"/>
      <c r="C110" s="13"/>
      <c r="D110" s="13"/>
      <c r="E110" s="13"/>
      <c r="F110" s="13"/>
      <c r="G110" s="13"/>
      <c r="H110" s="13"/>
      <c r="I110" s="13"/>
      <c r="J110" s="13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>
      <c r="A111" s="84"/>
      <c r="B111" s="13"/>
      <c r="C111" s="13"/>
      <c r="D111" s="13"/>
      <c r="E111" s="13"/>
      <c r="F111" s="13"/>
      <c r="G111" s="13"/>
      <c r="H111" s="13"/>
      <c r="I111" s="13"/>
      <c r="J111" s="13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>
      <c r="A112" s="84"/>
      <c r="B112" s="13"/>
      <c r="C112" s="13"/>
      <c r="D112" s="13"/>
      <c r="E112" s="13"/>
      <c r="F112" s="13"/>
      <c r="G112" s="13"/>
      <c r="H112" s="13"/>
      <c r="I112" s="13"/>
      <c r="J112" s="13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>
      <c r="A113" s="84"/>
      <c r="B113" s="13"/>
      <c r="C113" s="13"/>
      <c r="D113" s="13"/>
      <c r="E113" s="13"/>
      <c r="F113" s="13"/>
      <c r="G113" s="13"/>
      <c r="H113" s="13"/>
      <c r="I113" s="13"/>
      <c r="J113" s="13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>
      <c r="A114" s="84"/>
      <c r="B114" s="13"/>
      <c r="C114" s="13"/>
      <c r="D114" s="13"/>
      <c r="E114" s="13"/>
      <c r="F114" s="13"/>
      <c r="G114" s="13"/>
      <c r="H114" s="13"/>
      <c r="I114" s="13"/>
      <c r="J114" s="13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>
      <c r="A115" s="84"/>
      <c r="B115" s="13"/>
      <c r="C115" s="13"/>
      <c r="D115" s="13"/>
      <c r="E115" s="13"/>
      <c r="F115" s="13"/>
      <c r="G115" s="13"/>
      <c r="H115" s="13"/>
      <c r="I115" s="13"/>
      <c r="J115" s="13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>
      <c r="A116" s="84"/>
      <c r="B116" s="13"/>
      <c r="C116" s="13"/>
      <c r="D116" s="13"/>
      <c r="E116" s="13"/>
      <c r="F116" s="13"/>
      <c r="G116" s="13"/>
      <c r="H116" s="13"/>
      <c r="I116" s="13"/>
      <c r="J116" s="13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>
      <c r="A117" s="84"/>
      <c r="B117" s="13"/>
      <c r="C117" s="13"/>
      <c r="D117" s="13"/>
      <c r="E117" s="13"/>
      <c r="F117" s="13"/>
      <c r="G117" s="13"/>
      <c r="H117" s="13"/>
      <c r="I117" s="13"/>
      <c r="J117" s="13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>
      <c r="A118" s="84"/>
      <c r="B118" s="13"/>
      <c r="C118" s="13"/>
      <c r="D118" s="13"/>
      <c r="E118" s="13"/>
      <c r="F118" s="13"/>
      <c r="G118" s="13"/>
      <c r="H118" s="13"/>
      <c r="I118" s="13"/>
      <c r="J118" s="13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>
      <c r="A119" s="84"/>
      <c r="B119" s="13"/>
      <c r="C119" s="13"/>
      <c r="D119" s="13"/>
      <c r="E119" s="13"/>
      <c r="F119" s="13"/>
      <c r="G119" s="13"/>
      <c r="H119" s="13"/>
      <c r="I119" s="13"/>
      <c r="J119" s="13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>
      <c r="A120" s="84"/>
      <c r="B120" s="13"/>
      <c r="C120" s="13"/>
      <c r="D120" s="13"/>
      <c r="E120" s="13"/>
      <c r="F120" s="13"/>
      <c r="G120" s="13"/>
      <c r="H120" s="13"/>
      <c r="I120" s="13"/>
      <c r="J120" s="13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>
      <c r="A121" s="84"/>
      <c r="B121" s="13"/>
      <c r="C121" s="13"/>
      <c r="D121" s="13"/>
      <c r="E121" s="13"/>
      <c r="F121" s="13"/>
      <c r="G121" s="13"/>
      <c r="H121" s="13"/>
      <c r="I121" s="13"/>
      <c r="J121" s="13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>
      <c r="A122" s="84"/>
      <c r="B122" s="13"/>
      <c r="C122" s="13"/>
      <c r="D122" s="13"/>
      <c r="E122" s="13"/>
      <c r="F122" s="13"/>
      <c r="G122" s="13"/>
      <c r="H122" s="13"/>
      <c r="I122" s="13"/>
      <c r="J122" s="13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>
      <c r="A123" s="84"/>
      <c r="B123" s="13"/>
      <c r="C123" s="13"/>
      <c r="D123" s="13"/>
      <c r="E123" s="13"/>
      <c r="F123" s="13"/>
      <c r="G123" s="13"/>
      <c r="H123" s="13"/>
      <c r="I123" s="13"/>
      <c r="J123" s="13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>
      <c r="A124" s="84"/>
      <c r="B124" s="13"/>
      <c r="C124" s="13"/>
      <c r="D124" s="13"/>
      <c r="E124" s="13"/>
      <c r="F124" s="13"/>
      <c r="G124" s="13"/>
      <c r="H124" s="13"/>
      <c r="I124" s="13"/>
      <c r="J124" s="13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>
      <c r="A125" s="84"/>
      <c r="B125" s="13"/>
      <c r="C125" s="13"/>
      <c r="D125" s="13"/>
      <c r="E125" s="13"/>
      <c r="F125" s="13"/>
      <c r="G125" s="13"/>
      <c r="H125" s="13"/>
      <c r="I125" s="13"/>
      <c r="J125" s="13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>
      <c r="A126" s="84"/>
      <c r="B126" s="13"/>
      <c r="C126" s="13"/>
      <c r="D126" s="13"/>
      <c r="E126" s="13"/>
      <c r="F126" s="13"/>
      <c r="G126" s="13"/>
      <c r="H126" s="13"/>
      <c r="I126" s="13"/>
      <c r="J126" s="13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>
      <c r="A127" s="84"/>
      <c r="B127" s="13"/>
      <c r="C127" s="13"/>
      <c r="D127" s="13"/>
      <c r="E127" s="13"/>
      <c r="F127" s="13"/>
      <c r="G127" s="13"/>
      <c r="H127" s="13"/>
      <c r="I127" s="13"/>
      <c r="J127" s="13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>
      <c r="A128" s="84"/>
      <c r="B128" s="13"/>
      <c r="C128" s="13"/>
      <c r="D128" s="13"/>
      <c r="E128" s="13"/>
      <c r="F128" s="13"/>
      <c r="G128" s="13"/>
      <c r="H128" s="13"/>
      <c r="I128" s="13"/>
      <c r="J128" s="13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>
      <c r="A129" s="84"/>
      <c r="B129" s="13"/>
      <c r="C129" s="13"/>
      <c r="D129" s="13"/>
      <c r="E129" s="13"/>
      <c r="F129" s="13"/>
      <c r="G129" s="13"/>
      <c r="H129" s="13"/>
      <c r="I129" s="13"/>
      <c r="J129" s="13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>
      <c r="A130" s="84"/>
      <c r="B130" s="13"/>
      <c r="C130" s="13"/>
      <c r="D130" s="13"/>
      <c r="E130" s="13"/>
      <c r="F130" s="13"/>
      <c r="G130" s="13"/>
      <c r="H130" s="13"/>
      <c r="I130" s="13"/>
      <c r="J130" s="13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>
      <c r="A131" s="84"/>
      <c r="B131" s="13"/>
      <c r="C131" s="13"/>
      <c r="D131" s="13"/>
      <c r="E131" s="13"/>
      <c r="F131" s="13"/>
      <c r="G131" s="13"/>
      <c r="H131" s="13"/>
      <c r="I131" s="13"/>
      <c r="J131" s="13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>
      <c r="A132" s="84"/>
      <c r="B132" s="13"/>
      <c r="C132" s="13"/>
      <c r="D132" s="13"/>
      <c r="E132" s="13"/>
      <c r="F132" s="13"/>
      <c r="G132" s="13"/>
      <c r="H132" s="13"/>
      <c r="I132" s="13"/>
      <c r="J132" s="13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>
      <c r="A133" s="84"/>
      <c r="B133" s="13"/>
      <c r="C133" s="13"/>
      <c r="D133" s="13"/>
      <c r="E133" s="13"/>
      <c r="F133" s="13"/>
      <c r="G133" s="13"/>
      <c r="H133" s="13"/>
      <c r="I133" s="13"/>
      <c r="J133" s="13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>
      <c r="A134" s="84"/>
      <c r="B134" s="13"/>
      <c r="C134" s="13"/>
      <c r="D134" s="13"/>
      <c r="E134" s="13"/>
      <c r="F134" s="13"/>
      <c r="G134" s="13"/>
      <c r="H134" s="13"/>
      <c r="I134" s="13"/>
      <c r="J134" s="13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>
      <c r="A135" s="84"/>
      <c r="B135" s="13"/>
      <c r="C135" s="13"/>
      <c r="D135" s="13"/>
      <c r="E135" s="13"/>
      <c r="F135" s="13"/>
      <c r="G135" s="13"/>
      <c r="H135" s="13"/>
      <c r="I135" s="13"/>
      <c r="J135" s="13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>
      <c r="A136" s="84"/>
      <c r="B136" s="13"/>
      <c r="C136" s="13"/>
      <c r="D136" s="13"/>
      <c r="E136" s="13"/>
      <c r="F136" s="13"/>
      <c r="G136" s="13"/>
      <c r="H136" s="13"/>
      <c r="I136" s="13"/>
      <c r="J136" s="13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>
      <c r="A137" s="84"/>
      <c r="B137" s="13"/>
      <c r="C137" s="13"/>
      <c r="D137" s="13"/>
      <c r="E137" s="13"/>
      <c r="F137" s="13"/>
      <c r="G137" s="13"/>
      <c r="H137" s="13"/>
      <c r="I137" s="13"/>
      <c r="J137" s="13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>
      <c r="A138" s="84"/>
      <c r="B138" s="13"/>
      <c r="C138" s="13"/>
      <c r="D138" s="13"/>
      <c r="E138" s="13"/>
      <c r="F138" s="13"/>
      <c r="G138" s="13"/>
      <c r="H138" s="13"/>
      <c r="I138" s="13"/>
      <c r="J138" s="13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>
      <c r="A139" s="84"/>
      <c r="B139" s="13"/>
      <c r="C139" s="13"/>
      <c r="D139" s="13"/>
      <c r="E139" s="13"/>
      <c r="F139" s="13"/>
      <c r="G139" s="13"/>
      <c r="H139" s="13"/>
      <c r="I139" s="13"/>
      <c r="J139" s="13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>
      <c r="A140" s="84"/>
      <c r="B140" s="13"/>
      <c r="C140" s="13"/>
      <c r="D140" s="13"/>
      <c r="E140" s="13"/>
      <c r="F140" s="13"/>
      <c r="G140" s="13"/>
      <c r="H140" s="13"/>
      <c r="I140" s="13"/>
      <c r="J140" s="13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>
      <c r="A141" s="84"/>
      <c r="B141" s="13"/>
      <c r="C141" s="13"/>
      <c r="D141" s="13"/>
      <c r="E141" s="13"/>
      <c r="F141" s="13"/>
      <c r="G141" s="13"/>
      <c r="H141" s="13"/>
      <c r="I141" s="13"/>
      <c r="J141" s="13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>
      <c r="A142" s="84"/>
      <c r="B142" s="13"/>
      <c r="C142" s="13"/>
      <c r="D142" s="13"/>
      <c r="E142" s="13"/>
      <c r="F142" s="13"/>
      <c r="G142" s="13"/>
      <c r="H142" s="13"/>
      <c r="I142" s="13"/>
      <c r="J142" s="13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>
      <c r="A143" s="84"/>
      <c r="B143" s="13"/>
      <c r="C143" s="13"/>
      <c r="D143" s="13"/>
      <c r="E143" s="13"/>
      <c r="F143" s="13"/>
      <c r="G143" s="13"/>
      <c r="H143" s="13"/>
      <c r="I143" s="13"/>
      <c r="J143" s="13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>
      <c r="A144" s="84"/>
      <c r="B144" s="13"/>
      <c r="C144" s="13"/>
      <c r="D144" s="13"/>
      <c r="E144" s="13"/>
      <c r="F144" s="13"/>
      <c r="G144" s="13"/>
      <c r="H144" s="13"/>
      <c r="I144" s="13"/>
      <c r="J144" s="13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>
      <c r="A145" s="84"/>
      <c r="B145" s="13"/>
      <c r="C145" s="13"/>
      <c r="D145" s="13"/>
      <c r="E145" s="13"/>
      <c r="F145" s="13"/>
      <c r="G145" s="13"/>
      <c r="H145" s="13"/>
      <c r="I145" s="13"/>
      <c r="J145" s="13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>
      <c r="A146" s="84"/>
      <c r="B146" s="13"/>
      <c r="C146" s="13"/>
      <c r="D146" s="13"/>
      <c r="E146" s="13"/>
      <c r="F146" s="13"/>
      <c r="G146" s="13"/>
      <c r="H146" s="13"/>
      <c r="I146" s="13"/>
      <c r="J146" s="13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>
      <c r="A147" s="84"/>
      <c r="B147" s="13"/>
      <c r="C147" s="13"/>
      <c r="D147" s="13"/>
      <c r="E147" s="13"/>
      <c r="F147" s="13"/>
      <c r="G147" s="13"/>
      <c r="H147" s="13"/>
      <c r="I147" s="13"/>
      <c r="J147" s="13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>
      <c r="A148" s="84"/>
      <c r="B148" s="13"/>
      <c r="C148" s="13"/>
      <c r="D148" s="13"/>
      <c r="E148" s="13"/>
      <c r="F148" s="13"/>
      <c r="G148" s="13"/>
      <c r="H148" s="13"/>
      <c r="I148" s="13"/>
      <c r="J148" s="13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>
      <c r="A149" s="84"/>
      <c r="B149" s="13"/>
      <c r="C149" s="13"/>
      <c r="D149" s="13"/>
      <c r="E149" s="13"/>
      <c r="F149" s="13"/>
      <c r="G149" s="13"/>
      <c r="H149" s="13"/>
      <c r="I149" s="13"/>
      <c r="J149" s="13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>
      <c r="A150" s="84"/>
      <c r="B150" s="13"/>
      <c r="C150" s="13"/>
      <c r="D150" s="13"/>
      <c r="E150" s="13"/>
      <c r="F150" s="13"/>
      <c r="G150" s="13"/>
      <c r="H150" s="13"/>
      <c r="I150" s="13"/>
      <c r="J150" s="13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>
      <c r="A151" s="84"/>
      <c r="B151" s="13"/>
      <c r="C151" s="13"/>
      <c r="D151" s="13"/>
      <c r="E151" s="13"/>
      <c r="F151" s="13"/>
      <c r="G151" s="13"/>
      <c r="H151" s="13"/>
      <c r="I151" s="13"/>
      <c r="J151" s="13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>
      <c r="A152" s="84"/>
      <c r="B152" s="13"/>
      <c r="C152" s="13"/>
      <c r="D152" s="13"/>
      <c r="E152" s="13"/>
      <c r="F152" s="13"/>
      <c r="G152" s="13"/>
      <c r="H152" s="13"/>
      <c r="I152" s="13"/>
      <c r="J152" s="13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>
      <c r="A153" s="84"/>
      <c r="B153" s="13"/>
      <c r="C153" s="13"/>
      <c r="D153" s="13"/>
      <c r="E153" s="13"/>
      <c r="F153" s="13"/>
      <c r="G153" s="13"/>
      <c r="H153" s="13"/>
      <c r="I153" s="13"/>
      <c r="J153" s="13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>
      <c r="A154" s="84"/>
      <c r="B154" s="13"/>
      <c r="C154" s="13"/>
      <c r="D154" s="13"/>
      <c r="E154" s="13"/>
      <c r="F154" s="13"/>
      <c r="G154" s="13"/>
      <c r="H154" s="13"/>
      <c r="I154" s="13"/>
      <c r="J154" s="13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>
      <c r="A155" s="84"/>
      <c r="B155" s="13"/>
      <c r="C155" s="13"/>
      <c r="D155" s="13"/>
      <c r="E155" s="13"/>
      <c r="F155" s="13"/>
      <c r="G155" s="13"/>
      <c r="H155" s="13"/>
      <c r="I155" s="13"/>
      <c r="J155" s="13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>
      <c r="A156" s="84"/>
      <c r="B156" s="13"/>
      <c r="C156" s="13"/>
      <c r="D156" s="13"/>
      <c r="E156" s="13"/>
      <c r="F156" s="13"/>
      <c r="G156" s="13"/>
      <c r="H156" s="13"/>
      <c r="I156" s="13"/>
      <c r="J156" s="13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>
      <c r="A157" s="84"/>
      <c r="B157" s="13"/>
      <c r="C157" s="13"/>
      <c r="D157" s="13"/>
      <c r="E157" s="13"/>
      <c r="F157" s="13"/>
      <c r="G157" s="13"/>
      <c r="H157" s="13"/>
      <c r="I157" s="13"/>
      <c r="J157" s="13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>
      <c r="A158" s="84"/>
      <c r="B158" s="13"/>
      <c r="C158" s="13"/>
      <c r="D158" s="13"/>
      <c r="E158" s="13"/>
      <c r="F158" s="13"/>
      <c r="G158" s="13"/>
      <c r="H158" s="13"/>
      <c r="I158" s="13"/>
      <c r="J158" s="13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>
      <c r="A159" s="84"/>
      <c r="B159" s="13"/>
      <c r="C159" s="13"/>
      <c r="D159" s="13"/>
      <c r="E159" s="13"/>
      <c r="F159" s="13"/>
      <c r="G159" s="13"/>
      <c r="H159" s="13"/>
      <c r="I159" s="13"/>
      <c r="J159" s="13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>
      <c r="A160" s="84"/>
      <c r="B160" s="13"/>
      <c r="C160" s="13"/>
      <c r="D160" s="13"/>
      <c r="E160" s="13"/>
      <c r="F160" s="13"/>
      <c r="G160" s="13"/>
      <c r="H160" s="13"/>
      <c r="I160" s="13"/>
      <c r="J160" s="13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>
      <c r="A161" s="84"/>
      <c r="B161" s="13"/>
      <c r="C161" s="13"/>
      <c r="D161" s="13"/>
      <c r="E161" s="13"/>
      <c r="F161" s="13"/>
      <c r="G161" s="13"/>
      <c r="H161" s="13"/>
      <c r="I161" s="13"/>
      <c r="J161" s="13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>
      <c r="A162" s="84"/>
      <c r="B162" s="13"/>
      <c r="C162" s="13"/>
      <c r="D162" s="13"/>
      <c r="E162" s="13"/>
      <c r="F162" s="13"/>
      <c r="G162" s="13"/>
      <c r="H162" s="13"/>
      <c r="I162" s="13"/>
      <c r="J162" s="13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>
      <c r="A163" s="84"/>
      <c r="B163" s="13"/>
      <c r="C163" s="13"/>
      <c r="D163" s="13"/>
      <c r="E163" s="13"/>
      <c r="F163" s="13"/>
      <c r="G163" s="13"/>
      <c r="H163" s="13"/>
      <c r="I163" s="13"/>
      <c r="J163" s="13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>
      <c r="A164" s="84"/>
      <c r="B164" s="13"/>
      <c r="C164" s="13"/>
      <c r="D164" s="13"/>
      <c r="E164" s="13"/>
      <c r="F164" s="13"/>
      <c r="G164" s="13"/>
      <c r="H164" s="13"/>
      <c r="I164" s="13"/>
      <c r="J164" s="13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>
      <c r="A165" s="84"/>
      <c r="B165" s="13"/>
      <c r="C165" s="13"/>
      <c r="D165" s="13"/>
      <c r="E165" s="13"/>
      <c r="F165" s="13"/>
      <c r="G165" s="13"/>
      <c r="H165" s="13"/>
      <c r="I165" s="13"/>
      <c r="J165" s="13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>
      <c r="A166" s="84"/>
      <c r="B166" s="13"/>
      <c r="C166" s="13"/>
      <c r="D166" s="13"/>
      <c r="E166" s="13"/>
      <c r="F166" s="13"/>
      <c r="G166" s="13"/>
      <c r="H166" s="13"/>
      <c r="I166" s="13"/>
      <c r="J166" s="13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>
      <c r="A167" s="84"/>
      <c r="B167" s="13"/>
      <c r="C167" s="13"/>
      <c r="D167" s="13"/>
      <c r="E167" s="13"/>
      <c r="F167" s="13"/>
      <c r="G167" s="13"/>
      <c r="H167" s="13"/>
      <c r="I167" s="13"/>
      <c r="J167" s="13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>
      <c r="A168" s="84"/>
      <c r="B168" s="13"/>
      <c r="C168" s="13"/>
      <c r="D168" s="13"/>
      <c r="E168" s="13"/>
      <c r="F168" s="13"/>
      <c r="G168" s="13"/>
      <c r="H168" s="13"/>
      <c r="I168" s="13"/>
      <c r="J168" s="13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>
      <c r="A169" s="84"/>
      <c r="B169" s="13"/>
      <c r="C169" s="13"/>
      <c r="D169" s="13"/>
      <c r="E169" s="13"/>
      <c r="F169" s="13"/>
      <c r="G169" s="13"/>
      <c r="H169" s="13"/>
      <c r="I169" s="13"/>
      <c r="J169" s="13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>
      <c r="A170" s="84"/>
      <c r="B170" s="13"/>
      <c r="C170" s="13"/>
      <c r="D170" s="13"/>
      <c r="E170" s="13"/>
      <c r="F170" s="13"/>
      <c r="G170" s="13"/>
      <c r="H170" s="13"/>
      <c r="I170" s="13"/>
      <c r="J170" s="13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>
      <c r="A171" s="84"/>
      <c r="B171" s="13"/>
      <c r="C171" s="13"/>
      <c r="D171" s="13"/>
      <c r="E171" s="13"/>
      <c r="F171" s="13"/>
      <c r="G171" s="13"/>
      <c r="H171" s="13"/>
      <c r="I171" s="13"/>
      <c r="J171" s="13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>
      <c r="A172" s="84"/>
      <c r="B172" s="13"/>
      <c r="C172" s="13"/>
      <c r="D172" s="13"/>
      <c r="E172" s="13"/>
      <c r="F172" s="13"/>
      <c r="G172" s="13"/>
      <c r="H172" s="13"/>
      <c r="I172" s="13"/>
      <c r="J172" s="13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>
      <c r="A173" s="84"/>
      <c r="B173" s="13"/>
      <c r="C173" s="13"/>
      <c r="D173" s="13"/>
      <c r="E173" s="13"/>
      <c r="F173" s="13"/>
      <c r="G173" s="13"/>
      <c r="H173" s="13"/>
      <c r="I173" s="13"/>
      <c r="J173" s="13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>
      <c r="A174" s="84"/>
      <c r="B174" s="13"/>
      <c r="C174" s="13"/>
      <c r="D174" s="13"/>
      <c r="E174" s="13"/>
      <c r="F174" s="13"/>
      <c r="G174" s="13"/>
      <c r="H174" s="13"/>
      <c r="I174" s="13"/>
      <c r="J174" s="13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>
      <c r="A175" s="84"/>
      <c r="B175" s="13"/>
      <c r="C175" s="13"/>
      <c r="D175" s="13"/>
      <c r="E175" s="13"/>
      <c r="F175" s="13"/>
      <c r="G175" s="13"/>
      <c r="H175" s="13"/>
      <c r="I175" s="13"/>
      <c r="J175" s="13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>
      <c r="A176" s="84"/>
      <c r="B176" s="13"/>
      <c r="C176" s="13"/>
      <c r="D176" s="13"/>
      <c r="E176" s="13"/>
      <c r="F176" s="13"/>
      <c r="G176" s="13"/>
      <c r="H176" s="13"/>
      <c r="I176" s="13"/>
      <c r="J176" s="13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>
      <c r="A177" s="84"/>
      <c r="B177" s="13"/>
      <c r="C177" s="13"/>
      <c r="D177" s="13"/>
      <c r="E177" s="13"/>
      <c r="F177" s="13"/>
      <c r="G177" s="13"/>
      <c r="H177" s="13"/>
      <c r="I177" s="13"/>
      <c r="J177" s="13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>
      <c r="A178" s="84"/>
      <c r="B178" s="13"/>
      <c r="C178" s="13"/>
      <c r="D178" s="13"/>
      <c r="E178" s="13"/>
      <c r="F178" s="13"/>
      <c r="G178" s="13"/>
      <c r="H178" s="13"/>
      <c r="I178" s="13"/>
      <c r="J178" s="13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>
      <c r="A179" s="84"/>
      <c r="B179" s="13"/>
      <c r="C179" s="13"/>
      <c r="D179" s="13"/>
      <c r="E179" s="13"/>
      <c r="F179" s="13"/>
      <c r="G179" s="13"/>
      <c r="H179" s="13"/>
      <c r="I179" s="13"/>
      <c r="J179" s="13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>
      <c r="A180" s="84"/>
      <c r="B180" s="13"/>
      <c r="C180" s="13"/>
      <c r="D180" s="13"/>
      <c r="E180" s="13"/>
      <c r="F180" s="13"/>
      <c r="G180" s="13"/>
      <c r="H180" s="13"/>
      <c r="I180" s="13"/>
      <c r="J180" s="13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>
      <c r="A181" s="84"/>
      <c r="B181" s="13"/>
      <c r="C181" s="13"/>
      <c r="D181" s="13"/>
      <c r="E181" s="13"/>
      <c r="F181" s="13"/>
      <c r="G181" s="13"/>
      <c r="H181" s="13"/>
      <c r="I181" s="13"/>
      <c r="J181" s="13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>
      <c r="A182" s="84"/>
      <c r="B182" s="13"/>
      <c r="C182" s="13"/>
      <c r="D182" s="13"/>
      <c r="E182" s="13"/>
      <c r="F182" s="13"/>
      <c r="G182" s="13"/>
      <c r="H182" s="13"/>
      <c r="I182" s="13"/>
      <c r="J182" s="13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>
      <c r="A183" s="84"/>
      <c r="B183" s="13"/>
      <c r="C183" s="13"/>
      <c r="D183" s="13"/>
      <c r="E183" s="13"/>
      <c r="F183" s="13"/>
      <c r="G183" s="13"/>
      <c r="H183" s="13"/>
      <c r="I183" s="13"/>
      <c r="J183" s="13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>
      <c r="A184" s="84"/>
      <c r="B184" s="13"/>
      <c r="C184" s="13"/>
      <c r="D184" s="13"/>
      <c r="E184" s="13"/>
      <c r="F184" s="13"/>
      <c r="G184" s="13"/>
      <c r="H184" s="13"/>
      <c r="I184" s="13"/>
      <c r="J184" s="13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>
      <c r="A185" s="84"/>
      <c r="B185" s="13"/>
      <c r="C185" s="13"/>
      <c r="D185" s="13"/>
      <c r="E185" s="13"/>
      <c r="F185" s="13"/>
      <c r="G185" s="13"/>
      <c r="H185" s="13"/>
      <c r="I185" s="13"/>
      <c r="J185" s="13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>
      <c r="A186" s="84"/>
      <c r="B186" s="13"/>
      <c r="C186" s="13"/>
      <c r="D186" s="13"/>
      <c r="E186" s="13"/>
      <c r="F186" s="13"/>
      <c r="G186" s="13"/>
      <c r="H186" s="13"/>
      <c r="I186" s="13"/>
      <c r="J186" s="13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>
      <c r="A187" s="84"/>
      <c r="B187" s="13"/>
      <c r="C187" s="13"/>
      <c r="D187" s="13"/>
      <c r="E187" s="13"/>
      <c r="F187" s="13"/>
      <c r="G187" s="13"/>
      <c r="H187" s="13"/>
      <c r="I187" s="13"/>
      <c r="J187" s="13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>
      <c r="A188" s="84"/>
      <c r="B188" s="13"/>
      <c r="C188" s="13"/>
      <c r="D188" s="13"/>
      <c r="E188" s="13"/>
      <c r="F188" s="13"/>
      <c r="G188" s="13"/>
      <c r="H188" s="13"/>
      <c r="I188" s="13"/>
      <c r="J188" s="13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>
      <c r="A189" s="84"/>
      <c r="B189" s="13"/>
      <c r="C189" s="13"/>
      <c r="D189" s="13"/>
      <c r="E189" s="13"/>
      <c r="F189" s="13"/>
      <c r="G189" s="13"/>
      <c r="H189" s="13"/>
      <c r="I189" s="13"/>
      <c r="J189" s="13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>
      <c r="A190" s="84"/>
      <c r="B190" s="13"/>
      <c r="C190" s="13"/>
      <c r="D190" s="13"/>
      <c r="E190" s="13"/>
      <c r="F190" s="13"/>
      <c r="G190" s="13"/>
      <c r="H190" s="13"/>
      <c r="I190" s="13"/>
      <c r="J190" s="13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>
      <c r="A191" s="84"/>
      <c r="B191" s="13"/>
      <c r="C191" s="13"/>
      <c r="D191" s="13"/>
      <c r="E191" s="13"/>
      <c r="F191" s="13"/>
      <c r="G191" s="13"/>
      <c r="H191" s="13"/>
      <c r="I191" s="13"/>
      <c r="J191" s="13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>
      <c r="A192" s="84"/>
      <c r="B192" s="13"/>
      <c r="C192" s="13"/>
      <c r="D192" s="13"/>
      <c r="E192" s="13"/>
      <c r="F192" s="13"/>
      <c r="G192" s="13"/>
      <c r="H192" s="13"/>
      <c r="I192" s="13"/>
      <c r="J192" s="13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>
      <c r="A193" s="84"/>
      <c r="B193" s="13"/>
      <c r="C193" s="13"/>
      <c r="D193" s="13"/>
      <c r="E193" s="13"/>
      <c r="F193" s="13"/>
      <c r="G193" s="13"/>
      <c r="H193" s="13"/>
      <c r="I193" s="13"/>
      <c r="J193" s="13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>
      <c r="A194" s="84"/>
      <c r="B194" s="13"/>
      <c r="C194" s="13"/>
      <c r="D194" s="13"/>
      <c r="E194" s="13"/>
      <c r="F194" s="13"/>
      <c r="G194" s="13"/>
      <c r="H194" s="13"/>
      <c r="I194" s="13"/>
      <c r="J194" s="13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>
      <c r="A195" s="84"/>
      <c r="B195" s="13"/>
      <c r="C195" s="13"/>
      <c r="D195" s="13"/>
      <c r="E195" s="13"/>
      <c r="F195" s="13"/>
      <c r="G195" s="13"/>
      <c r="H195" s="13"/>
      <c r="I195" s="13"/>
      <c r="J195" s="13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>
      <c r="A196" s="84"/>
      <c r="B196" s="13"/>
      <c r="C196" s="13"/>
      <c r="D196" s="13"/>
      <c r="E196" s="13"/>
      <c r="F196" s="13"/>
      <c r="G196" s="13"/>
      <c r="H196" s="13"/>
      <c r="I196" s="13"/>
      <c r="J196" s="13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>
      <c r="A197" s="84"/>
      <c r="B197" s="13"/>
      <c r="C197" s="13"/>
      <c r="D197" s="13"/>
      <c r="E197" s="13"/>
      <c r="F197" s="13"/>
      <c r="G197" s="13"/>
      <c r="H197" s="13"/>
      <c r="I197" s="13"/>
      <c r="J197" s="13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>
      <c r="A198" s="84"/>
      <c r="B198" s="13"/>
      <c r="C198" s="13"/>
      <c r="D198" s="13"/>
      <c r="E198" s="13"/>
      <c r="F198" s="13"/>
      <c r="G198" s="13"/>
      <c r="H198" s="13"/>
      <c r="I198" s="13"/>
      <c r="J198" s="13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>
      <c r="A199" s="84"/>
      <c r="B199" s="13"/>
      <c r="C199" s="13"/>
      <c r="D199" s="13"/>
      <c r="E199" s="13"/>
      <c r="F199" s="13"/>
      <c r="G199" s="13"/>
      <c r="H199" s="13"/>
      <c r="I199" s="13"/>
      <c r="J199" s="13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>
      <c r="A200" s="84"/>
      <c r="B200" s="13"/>
      <c r="C200" s="13"/>
      <c r="D200" s="13"/>
      <c r="E200" s="13"/>
      <c r="F200" s="13"/>
      <c r="G200" s="13"/>
      <c r="H200" s="13"/>
      <c r="I200" s="13"/>
      <c r="J200" s="13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>
      <c r="A201" s="84"/>
      <c r="B201" s="13"/>
      <c r="C201" s="13"/>
      <c r="D201" s="13"/>
      <c r="E201" s="13"/>
      <c r="F201" s="13"/>
      <c r="G201" s="13"/>
      <c r="H201" s="13"/>
      <c r="I201" s="13"/>
      <c r="J201" s="13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>
      <c r="A202" s="84"/>
      <c r="B202" s="13"/>
      <c r="C202" s="13"/>
      <c r="D202" s="13"/>
      <c r="E202" s="13"/>
      <c r="F202" s="13"/>
      <c r="G202" s="13"/>
      <c r="H202" s="13"/>
      <c r="I202" s="13"/>
      <c r="J202" s="13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>
      <c r="A203" s="84"/>
      <c r="B203" s="13"/>
      <c r="C203" s="13"/>
      <c r="D203" s="13"/>
      <c r="E203" s="13"/>
      <c r="F203" s="13"/>
      <c r="G203" s="13"/>
      <c r="H203" s="13"/>
      <c r="I203" s="13"/>
      <c r="J203" s="13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>
      <c r="A204" s="84"/>
      <c r="B204" s="13"/>
      <c r="C204" s="13"/>
      <c r="D204" s="13"/>
      <c r="E204" s="13"/>
      <c r="F204" s="13"/>
      <c r="G204" s="13"/>
      <c r="H204" s="13"/>
      <c r="I204" s="13"/>
      <c r="J204" s="13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>
      <c r="A205" s="84"/>
      <c r="B205" s="13"/>
      <c r="C205" s="13"/>
      <c r="D205" s="13"/>
      <c r="E205" s="13"/>
      <c r="F205" s="13"/>
      <c r="G205" s="13"/>
      <c r="H205" s="13"/>
      <c r="I205" s="13"/>
      <c r="J205" s="13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>
      <c r="A206" s="84"/>
      <c r="B206" s="13"/>
      <c r="C206" s="13"/>
      <c r="D206" s="13"/>
      <c r="E206" s="13"/>
      <c r="F206" s="13"/>
      <c r="G206" s="13"/>
      <c r="H206" s="13"/>
      <c r="I206" s="13"/>
      <c r="J206" s="13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>
      <c r="A207" s="84"/>
      <c r="B207" s="13"/>
      <c r="C207" s="13"/>
      <c r="D207" s="13"/>
      <c r="E207" s="13"/>
      <c r="F207" s="13"/>
      <c r="G207" s="13"/>
      <c r="H207" s="13"/>
      <c r="I207" s="13"/>
      <c r="J207" s="13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>
      <c r="A208" s="84"/>
      <c r="B208" s="13"/>
      <c r="C208" s="13"/>
      <c r="D208" s="13"/>
      <c r="E208" s="13"/>
      <c r="F208" s="13"/>
      <c r="G208" s="13"/>
      <c r="H208" s="13"/>
      <c r="I208" s="13"/>
      <c r="J208" s="13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>
      <c r="A209" s="84"/>
      <c r="B209" s="13"/>
      <c r="C209" s="13"/>
      <c r="D209" s="13"/>
      <c r="E209" s="13"/>
      <c r="F209" s="13"/>
      <c r="G209" s="13"/>
      <c r="H209" s="13"/>
      <c r="I209" s="13"/>
      <c r="J209" s="13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>
      <c r="A210" s="84"/>
      <c r="B210" s="13"/>
      <c r="C210" s="13"/>
      <c r="D210" s="13"/>
      <c r="E210" s="13"/>
      <c r="F210" s="13"/>
      <c r="G210" s="13"/>
      <c r="H210" s="13"/>
      <c r="I210" s="13"/>
      <c r="J210" s="13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>
      <c r="A211" s="84"/>
      <c r="B211" s="13"/>
      <c r="C211" s="13"/>
      <c r="D211" s="13"/>
      <c r="E211" s="13"/>
      <c r="F211" s="13"/>
      <c r="G211" s="13"/>
      <c r="H211" s="13"/>
      <c r="I211" s="13"/>
      <c r="J211" s="13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>
      <c r="A212" s="84"/>
      <c r="B212" s="13"/>
      <c r="C212" s="13"/>
      <c r="D212" s="13"/>
      <c r="E212" s="13"/>
      <c r="F212" s="13"/>
      <c r="G212" s="13"/>
      <c r="H212" s="13"/>
      <c r="I212" s="13"/>
      <c r="J212" s="13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>
      <c r="A213" s="84"/>
      <c r="B213" s="13"/>
      <c r="C213" s="13"/>
      <c r="D213" s="13"/>
      <c r="E213" s="13"/>
      <c r="F213" s="13"/>
      <c r="G213" s="13"/>
      <c r="H213" s="13"/>
      <c r="I213" s="13"/>
      <c r="J213" s="13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>
      <c r="A214" s="84"/>
      <c r="B214" s="13"/>
      <c r="C214" s="13"/>
      <c r="D214" s="13"/>
      <c r="E214" s="13"/>
      <c r="F214" s="13"/>
      <c r="G214" s="13"/>
      <c r="H214" s="13"/>
      <c r="I214" s="13"/>
      <c r="J214" s="13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>
      <c r="A215" s="84"/>
      <c r="B215" s="13"/>
      <c r="C215" s="13"/>
      <c r="D215" s="13"/>
      <c r="E215" s="13"/>
      <c r="F215" s="13"/>
      <c r="G215" s="13"/>
      <c r="H215" s="13"/>
      <c r="I215" s="13"/>
      <c r="J215" s="13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>
      <c r="A216" s="84"/>
      <c r="B216" s="13"/>
      <c r="C216" s="13"/>
      <c r="D216" s="13"/>
      <c r="E216" s="13"/>
      <c r="F216" s="13"/>
      <c r="G216" s="13"/>
      <c r="H216" s="13"/>
      <c r="I216" s="13"/>
      <c r="J216" s="13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>
      <c r="A217" s="84"/>
      <c r="B217" s="13"/>
      <c r="C217" s="13"/>
      <c r="D217" s="13"/>
      <c r="E217" s="13"/>
      <c r="F217" s="13"/>
      <c r="G217" s="13"/>
      <c r="H217" s="13"/>
      <c r="I217" s="13"/>
      <c r="J217" s="13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>
      <c r="A218" s="84"/>
      <c r="B218" s="13"/>
      <c r="C218" s="13"/>
      <c r="D218" s="13"/>
      <c r="E218" s="13"/>
      <c r="F218" s="13"/>
      <c r="G218" s="13"/>
      <c r="H218" s="13"/>
      <c r="I218" s="13"/>
      <c r="J218" s="13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>
      <c r="A219" s="84"/>
      <c r="B219" s="13"/>
      <c r="C219" s="13"/>
      <c r="D219" s="13"/>
      <c r="E219" s="13"/>
      <c r="F219" s="13"/>
      <c r="G219" s="13"/>
      <c r="H219" s="13"/>
      <c r="I219" s="13"/>
      <c r="J219" s="13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>
      <c r="A220" s="84"/>
      <c r="B220" s="13"/>
      <c r="C220" s="13"/>
      <c r="D220" s="13"/>
      <c r="E220" s="13"/>
      <c r="F220" s="13"/>
      <c r="G220" s="13"/>
      <c r="H220" s="13"/>
      <c r="I220" s="13"/>
      <c r="J220" s="13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>
      <c r="A221" s="84"/>
      <c r="B221" s="13"/>
      <c r="C221" s="13"/>
      <c r="D221" s="13"/>
      <c r="E221" s="13"/>
      <c r="F221" s="13"/>
      <c r="G221" s="13"/>
      <c r="H221" s="13"/>
      <c r="I221" s="13"/>
      <c r="J221" s="13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>
      <c r="A222" s="84"/>
      <c r="B222" s="13"/>
      <c r="C222" s="13"/>
      <c r="D222" s="13"/>
      <c r="E222" s="13"/>
      <c r="F222" s="13"/>
      <c r="G222" s="13"/>
      <c r="H222" s="13"/>
      <c r="I222" s="13"/>
      <c r="J222" s="13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>
      <c r="A223" s="84"/>
      <c r="B223" s="13"/>
      <c r="C223" s="13"/>
      <c r="D223" s="13"/>
      <c r="E223" s="13"/>
      <c r="F223" s="13"/>
      <c r="G223" s="13"/>
      <c r="H223" s="13"/>
      <c r="I223" s="13"/>
      <c r="J223" s="13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>
      <c r="A224" s="84"/>
      <c r="B224" s="13"/>
      <c r="C224" s="13"/>
      <c r="D224" s="13"/>
      <c r="E224" s="13"/>
      <c r="F224" s="13"/>
      <c r="G224" s="13"/>
      <c r="H224" s="13"/>
      <c r="I224" s="13"/>
      <c r="J224" s="13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>
      <c r="A225" s="84"/>
      <c r="B225" s="13"/>
      <c r="C225" s="13"/>
      <c r="D225" s="13"/>
      <c r="E225" s="13"/>
      <c r="F225" s="13"/>
      <c r="G225" s="13"/>
      <c r="H225" s="13"/>
      <c r="I225" s="13"/>
      <c r="J225" s="13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>
      <c r="A226" s="84"/>
      <c r="B226" s="13"/>
      <c r="C226" s="13"/>
      <c r="D226" s="13"/>
      <c r="E226" s="13"/>
      <c r="F226" s="13"/>
      <c r="G226" s="13"/>
      <c r="H226" s="13"/>
      <c r="I226" s="13"/>
      <c r="J226" s="13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>
      <c r="A227" s="84"/>
      <c r="B227" s="13"/>
      <c r="C227" s="13"/>
      <c r="D227" s="13"/>
      <c r="E227" s="13"/>
      <c r="F227" s="13"/>
      <c r="G227" s="13"/>
      <c r="H227" s="13"/>
      <c r="I227" s="13"/>
      <c r="J227" s="13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>
      <c r="A228" s="84"/>
      <c r="B228" s="13"/>
      <c r="C228" s="13"/>
      <c r="D228" s="13"/>
      <c r="E228" s="13"/>
      <c r="F228" s="13"/>
      <c r="G228" s="13"/>
      <c r="H228" s="13"/>
      <c r="I228" s="13"/>
      <c r="J228" s="13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>
      <c r="A229" s="84"/>
      <c r="B229" s="13"/>
      <c r="C229" s="13"/>
      <c r="D229" s="13"/>
      <c r="E229" s="13"/>
      <c r="F229" s="13"/>
      <c r="G229" s="13"/>
      <c r="H229" s="13"/>
      <c r="I229" s="13"/>
      <c r="J229" s="13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>
      <c r="A230" s="84"/>
      <c r="B230" s="13"/>
      <c r="C230" s="13"/>
      <c r="D230" s="13"/>
      <c r="E230" s="13"/>
      <c r="F230" s="13"/>
      <c r="G230" s="13"/>
      <c r="H230" s="13"/>
      <c r="I230" s="13"/>
      <c r="J230" s="13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>
      <c r="A231" s="84"/>
      <c r="B231" s="13"/>
      <c r="C231" s="13"/>
      <c r="D231" s="13"/>
      <c r="E231" s="13"/>
      <c r="F231" s="13"/>
      <c r="G231" s="13"/>
      <c r="H231" s="13"/>
      <c r="I231" s="13"/>
      <c r="J231" s="13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>
      <c r="A232" s="84"/>
      <c r="B232" s="13"/>
      <c r="C232" s="13"/>
      <c r="D232" s="13"/>
      <c r="E232" s="13"/>
      <c r="F232" s="13"/>
      <c r="G232" s="13"/>
      <c r="H232" s="13"/>
      <c r="I232" s="13"/>
      <c r="J232" s="13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>
      <c r="A233" s="84"/>
      <c r="B233" s="13"/>
      <c r="C233" s="13"/>
      <c r="D233" s="13"/>
      <c r="E233" s="13"/>
      <c r="F233" s="13"/>
      <c r="G233" s="13"/>
      <c r="H233" s="13"/>
      <c r="I233" s="13"/>
      <c r="J233" s="13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>
      <c r="A234" s="84"/>
      <c r="B234" s="13"/>
      <c r="C234" s="13"/>
      <c r="D234" s="13"/>
      <c r="E234" s="13"/>
      <c r="F234" s="13"/>
      <c r="G234" s="13"/>
      <c r="H234" s="13"/>
      <c r="I234" s="13"/>
      <c r="J234" s="13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>
      <c r="A235" s="84"/>
      <c r="B235" s="13"/>
      <c r="C235" s="13"/>
      <c r="D235" s="13"/>
      <c r="E235" s="13"/>
      <c r="F235" s="13"/>
      <c r="G235" s="13"/>
      <c r="H235" s="13"/>
      <c r="I235" s="13"/>
      <c r="J235" s="13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>
      <c r="A236" s="84"/>
      <c r="B236" s="13"/>
      <c r="C236" s="13"/>
      <c r="D236" s="13"/>
      <c r="E236" s="13"/>
      <c r="F236" s="13"/>
      <c r="G236" s="13"/>
      <c r="H236" s="13"/>
      <c r="I236" s="13"/>
      <c r="J236" s="13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>
      <c r="A237" s="84"/>
      <c r="B237" s="13"/>
      <c r="C237" s="13"/>
      <c r="D237" s="13"/>
      <c r="E237" s="13"/>
      <c r="F237" s="13"/>
      <c r="G237" s="13"/>
      <c r="H237" s="13"/>
      <c r="I237" s="13"/>
      <c r="J237" s="13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>
      <c r="A238" s="84"/>
      <c r="B238" s="13"/>
      <c r="C238" s="13"/>
      <c r="D238" s="13"/>
      <c r="E238" s="13"/>
      <c r="F238" s="13"/>
      <c r="G238" s="13"/>
      <c r="H238" s="13"/>
      <c r="I238" s="13"/>
      <c r="J238" s="13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>
      <c r="A239" s="84"/>
      <c r="B239" s="13"/>
      <c r="C239" s="13"/>
      <c r="D239" s="13"/>
      <c r="E239" s="13"/>
      <c r="F239" s="13"/>
      <c r="G239" s="13"/>
      <c r="H239" s="13"/>
      <c r="I239" s="13"/>
      <c r="J239" s="13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>
      <c r="A240" s="84"/>
      <c r="B240" s="13"/>
      <c r="C240" s="13"/>
      <c r="D240" s="13"/>
      <c r="E240" s="13"/>
      <c r="F240" s="13"/>
      <c r="G240" s="13"/>
      <c r="H240" s="13"/>
      <c r="I240" s="13"/>
      <c r="J240" s="13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>
      <c r="A241" s="84"/>
      <c r="B241" s="13"/>
      <c r="C241" s="13"/>
      <c r="D241" s="13"/>
      <c r="E241" s="13"/>
      <c r="F241" s="13"/>
      <c r="G241" s="13"/>
      <c r="H241" s="13"/>
      <c r="I241" s="13"/>
      <c r="J241" s="13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>
      <c r="A242" s="84"/>
      <c r="B242" s="13"/>
      <c r="C242" s="13"/>
      <c r="D242" s="13"/>
      <c r="E242" s="13"/>
      <c r="F242" s="13"/>
      <c r="G242" s="13"/>
      <c r="H242" s="13"/>
      <c r="I242" s="13"/>
      <c r="J242" s="13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>
      <c r="A243" s="84"/>
      <c r="B243" s="13"/>
      <c r="C243" s="13"/>
      <c r="D243" s="13"/>
      <c r="E243" s="13"/>
      <c r="F243" s="13"/>
      <c r="G243" s="13"/>
      <c r="H243" s="13"/>
      <c r="I243" s="13"/>
      <c r="J243" s="13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>
      <c r="A244" s="84"/>
      <c r="B244" s="13"/>
      <c r="C244" s="13"/>
      <c r="D244" s="13"/>
      <c r="E244" s="13"/>
      <c r="F244" s="13"/>
      <c r="G244" s="13"/>
      <c r="H244" s="13"/>
      <c r="I244" s="13"/>
      <c r="J244" s="13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>
      <c r="A245" s="84"/>
      <c r="B245" s="13"/>
      <c r="C245" s="13"/>
      <c r="D245" s="13"/>
      <c r="E245" s="13"/>
      <c r="F245" s="13"/>
      <c r="G245" s="13"/>
      <c r="H245" s="13"/>
      <c r="I245" s="13"/>
      <c r="J245" s="13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>
      <c r="A246" s="84"/>
      <c r="B246" s="13"/>
      <c r="C246" s="13"/>
      <c r="D246" s="13"/>
      <c r="E246" s="13"/>
      <c r="F246" s="13"/>
      <c r="G246" s="13"/>
      <c r="H246" s="13"/>
      <c r="I246" s="13"/>
      <c r="J246" s="13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>
      <c r="A247" s="84"/>
      <c r="B247" s="13"/>
      <c r="C247" s="13"/>
      <c r="D247" s="13"/>
      <c r="E247" s="13"/>
      <c r="F247" s="13"/>
      <c r="G247" s="13"/>
      <c r="H247" s="13"/>
      <c r="I247" s="13"/>
      <c r="J247" s="13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>
      <c r="A248" s="84"/>
      <c r="B248" s="13"/>
      <c r="C248" s="13"/>
      <c r="D248" s="13"/>
      <c r="E248" s="13"/>
      <c r="F248" s="13"/>
      <c r="G248" s="13"/>
      <c r="H248" s="13"/>
      <c r="I248" s="13"/>
      <c r="J248" s="13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>
      <c r="A249" s="84"/>
      <c r="B249" s="13"/>
      <c r="C249" s="13"/>
      <c r="D249" s="13"/>
      <c r="E249" s="13"/>
      <c r="F249" s="13"/>
      <c r="G249" s="13"/>
      <c r="H249" s="13"/>
      <c r="I249" s="13"/>
      <c r="J249" s="13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>
      <c r="A250" s="84"/>
      <c r="B250" s="13"/>
      <c r="C250" s="13"/>
      <c r="D250" s="13"/>
      <c r="E250" s="13"/>
      <c r="F250" s="13"/>
      <c r="G250" s="13"/>
      <c r="H250" s="13"/>
      <c r="I250" s="13"/>
      <c r="J250" s="13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>
      <c r="A251" s="84"/>
      <c r="B251" s="13"/>
      <c r="C251" s="13"/>
      <c r="D251" s="13"/>
      <c r="E251" s="13"/>
      <c r="F251" s="13"/>
      <c r="G251" s="13"/>
      <c r="H251" s="13"/>
      <c r="I251" s="13"/>
      <c r="J251" s="13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>
      <c r="A252" s="84"/>
      <c r="B252" s="13"/>
      <c r="C252" s="13"/>
      <c r="D252" s="13"/>
      <c r="E252" s="13"/>
      <c r="F252" s="13"/>
      <c r="G252" s="13"/>
      <c r="H252" s="13"/>
      <c r="I252" s="13"/>
      <c r="J252" s="13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>
      <c r="A253" s="84"/>
      <c r="B253" s="13"/>
      <c r="C253" s="13"/>
      <c r="D253" s="13"/>
      <c r="E253" s="13"/>
      <c r="F253" s="13"/>
      <c r="G253" s="13"/>
      <c r="H253" s="13"/>
      <c r="I253" s="13"/>
      <c r="J253" s="13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>
      <c r="A254" s="84"/>
      <c r="B254" s="13"/>
      <c r="C254" s="13"/>
      <c r="D254" s="13"/>
      <c r="E254" s="13"/>
      <c r="F254" s="13"/>
      <c r="G254" s="13"/>
      <c r="H254" s="13"/>
      <c r="I254" s="13"/>
      <c r="J254" s="13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>
      <c r="A255" s="84"/>
      <c r="B255" s="13"/>
      <c r="C255" s="13"/>
      <c r="D255" s="13"/>
      <c r="E255" s="13"/>
      <c r="F255" s="13"/>
      <c r="G255" s="13"/>
      <c r="H255" s="13"/>
      <c r="I255" s="13"/>
      <c r="J255" s="13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>
      <c r="A256" s="84"/>
      <c r="B256" s="13"/>
      <c r="C256" s="13"/>
      <c r="D256" s="13"/>
      <c r="E256" s="13"/>
      <c r="F256" s="13"/>
      <c r="G256" s="13"/>
      <c r="H256" s="13"/>
      <c r="I256" s="13"/>
      <c r="J256" s="13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>
      <c r="A257" s="84"/>
      <c r="B257" s="13"/>
      <c r="C257" s="13"/>
      <c r="D257" s="13"/>
      <c r="E257" s="13"/>
      <c r="F257" s="13"/>
      <c r="G257" s="13"/>
      <c r="H257" s="13"/>
      <c r="I257" s="13"/>
      <c r="J257" s="13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>
      <c r="A258" s="84"/>
      <c r="B258" s="13"/>
      <c r="C258" s="13"/>
      <c r="D258" s="13"/>
      <c r="E258" s="13"/>
      <c r="F258" s="13"/>
      <c r="G258" s="13"/>
      <c r="H258" s="13"/>
      <c r="I258" s="13"/>
      <c r="J258" s="13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>
      <c r="A259" s="84"/>
      <c r="B259" s="13"/>
      <c r="C259" s="13"/>
      <c r="D259" s="13"/>
      <c r="E259" s="13"/>
      <c r="F259" s="13"/>
      <c r="G259" s="13"/>
      <c r="H259" s="13"/>
      <c r="I259" s="13"/>
      <c r="J259" s="13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>
      <c r="A260" s="84"/>
      <c r="B260" s="13"/>
      <c r="C260" s="13"/>
      <c r="D260" s="13"/>
      <c r="E260" s="13"/>
      <c r="F260" s="13"/>
      <c r="G260" s="13"/>
      <c r="H260" s="13"/>
      <c r="I260" s="13"/>
      <c r="J260" s="13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>
      <c r="A261" s="84"/>
      <c r="B261" s="13"/>
      <c r="C261" s="13"/>
      <c r="D261" s="13"/>
      <c r="E261" s="13"/>
      <c r="F261" s="13"/>
      <c r="G261" s="13"/>
      <c r="H261" s="13"/>
      <c r="I261" s="13"/>
      <c r="J261" s="13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>
      <c r="A262" s="84"/>
      <c r="B262" s="13"/>
      <c r="C262" s="13"/>
      <c r="D262" s="13"/>
      <c r="E262" s="13"/>
      <c r="F262" s="13"/>
      <c r="G262" s="13"/>
      <c r="H262" s="13"/>
      <c r="I262" s="13"/>
      <c r="J262" s="13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>
      <c r="A263" s="84"/>
      <c r="B263" s="13"/>
      <c r="C263" s="13"/>
      <c r="D263" s="13"/>
      <c r="E263" s="13"/>
      <c r="F263" s="13"/>
      <c r="G263" s="13"/>
      <c r="H263" s="13"/>
      <c r="I263" s="13"/>
      <c r="J263" s="13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>
      <c r="A264" s="84"/>
      <c r="B264" s="13"/>
      <c r="C264" s="13"/>
      <c r="D264" s="13"/>
      <c r="E264" s="13"/>
      <c r="F264" s="13"/>
      <c r="G264" s="13"/>
      <c r="H264" s="13"/>
      <c r="I264" s="13"/>
      <c r="J264" s="13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>
      <c r="A265" s="84"/>
      <c r="B265" s="13"/>
      <c r="C265" s="13"/>
      <c r="D265" s="13"/>
      <c r="E265" s="13"/>
      <c r="F265" s="13"/>
      <c r="G265" s="13"/>
      <c r="H265" s="13"/>
      <c r="I265" s="13"/>
      <c r="J265" s="13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>
      <c r="A266" s="84"/>
      <c r="B266" s="13"/>
      <c r="C266" s="13"/>
      <c r="D266" s="13"/>
      <c r="E266" s="13"/>
      <c r="F266" s="13"/>
      <c r="G266" s="13"/>
      <c r="H266" s="13"/>
      <c r="I266" s="13"/>
      <c r="J266" s="13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>
      <c r="A267" s="84"/>
      <c r="B267" s="13"/>
      <c r="C267" s="13"/>
      <c r="D267" s="13"/>
      <c r="E267" s="13"/>
      <c r="F267" s="13"/>
      <c r="G267" s="13"/>
      <c r="H267" s="13"/>
      <c r="I267" s="13"/>
      <c r="J267" s="13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>
      <c r="A268" s="84"/>
      <c r="B268" s="13"/>
      <c r="C268" s="13"/>
      <c r="D268" s="13"/>
      <c r="E268" s="13"/>
      <c r="F268" s="13"/>
      <c r="G268" s="13"/>
      <c r="H268" s="13"/>
      <c r="I268" s="13"/>
      <c r="J268" s="13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>
      <c r="A269" s="84"/>
      <c r="B269" s="13"/>
      <c r="C269" s="13"/>
      <c r="D269" s="13"/>
      <c r="E269" s="13"/>
      <c r="F269" s="13"/>
      <c r="G269" s="13"/>
      <c r="H269" s="13"/>
      <c r="I269" s="13"/>
      <c r="J269" s="13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>
      <c r="A270" s="84"/>
      <c r="B270" s="13"/>
      <c r="C270" s="13"/>
      <c r="D270" s="13"/>
      <c r="E270" s="13"/>
      <c r="F270" s="13"/>
      <c r="G270" s="13"/>
      <c r="H270" s="13"/>
      <c r="I270" s="13"/>
      <c r="J270" s="13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84"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G49:G52"/>
    <mergeCell ref="H49:J52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I43:I44"/>
    <mergeCell ref="D43:D44"/>
    <mergeCell ref="C45:E45"/>
    <mergeCell ref="C13:E13"/>
    <mergeCell ref="C14:E14"/>
    <mergeCell ref="C15:E15"/>
    <mergeCell ref="C17:E20"/>
    <mergeCell ref="G17:G20"/>
    <mergeCell ref="B1:B5"/>
    <mergeCell ref="C1:H3"/>
    <mergeCell ref="C4:H5"/>
    <mergeCell ref="I4:I5"/>
    <mergeCell ref="B8:B12"/>
    <mergeCell ref="G8:G12"/>
    <mergeCell ref="I11:I12"/>
    <mergeCell ref="D11:D12"/>
    <mergeCell ref="H8:H10"/>
    <mergeCell ref="H11:H12"/>
    <mergeCell ref="C33:E36"/>
    <mergeCell ref="G33:G36"/>
    <mergeCell ref="H17:J20"/>
    <mergeCell ref="H21:J21"/>
    <mergeCell ref="H24:H26"/>
    <mergeCell ref="C29:E29"/>
    <mergeCell ref="H29:J29"/>
    <mergeCell ref="H30:J30"/>
    <mergeCell ref="H31:J31"/>
    <mergeCell ref="C21:E21"/>
    <mergeCell ref="C30:E30"/>
    <mergeCell ref="C31:E31"/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>
      <c r="A1" s="159"/>
      <c r="B1" s="539"/>
      <c r="C1" s="540" t="s">
        <v>0</v>
      </c>
      <c r="D1" s="219"/>
      <c r="E1" s="219"/>
      <c r="F1" s="219"/>
      <c r="G1" s="219"/>
      <c r="H1" s="220"/>
      <c r="I1" s="160" t="s">
        <v>1</v>
      </c>
      <c r="J1" s="161" t="s">
        <v>471</v>
      </c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4"/>
      <c r="X1" s="84"/>
      <c r="Y1" s="84"/>
      <c r="Z1" s="84"/>
    </row>
    <row r="2" spans="1:26" ht="24.75" customHeight="1">
      <c r="A2" s="159"/>
      <c r="B2" s="213"/>
      <c r="C2" s="264"/>
      <c r="D2" s="213"/>
      <c r="E2" s="213"/>
      <c r="F2" s="213"/>
      <c r="G2" s="213"/>
      <c r="H2" s="258"/>
      <c r="I2" s="109" t="s">
        <v>3</v>
      </c>
      <c r="J2" s="162">
        <v>1</v>
      </c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4"/>
      <c r="X2" s="84"/>
      <c r="Y2" s="84"/>
      <c r="Z2" s="84"/>
    </row>
    <row r="3" spans="1:26" ht="24.75" customHeight="1">
      <c r="A3" s="159"/>
      <c r="B3" s="213"/>
      <c r="C3" s="307"/>
      <c r="D3" s="230"/>
      <c r="E3" s="230"/>
      <c r="F3" s="230"/>
      <c r="G3" s="230"/>
      <c r="H3" s="375"/>
      <c r="I3" s="163" t="s">
        <v>5</v>
      </c>
      <c r="J3" s="163" t="s">
        <v>6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4"/>
      <c r="X3" s="84"/>
      <c r="Y3" s="84"/>
      <c r="Z3" s="84"/>
    </row>
    <row r="4" spans="1:26" ht="24.75" customHeight="1">
      <c r="A4" s="164"/>
      <c r="B4" s="213"/>
      <c r="C4" s="540" t="s">
        <v>472</v>
      </c>
      <c r="D4" s="219"/>
      <c r="E4" s="219"/>
      <c r="F4" s="219"/>
      <c r="G4" s="219"/>
      <c r="H4" s="220"/>
      <c r="I4" s="542" t="s">
        <v>7</v>
      </c>
      <c r="J4" s="165" t="s">
        <v>227</v>
      </c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24.75" customHeight="1">
      <c r="A5" s="164"/>
      <c r="B5" s="210"/>
      <c r="C5" s="221"/>
      <c r="D5" s="210"/>
      <c r="E5" s="210"/>
      <c r="F5" s="210"/>
      <c r="G5" s="210"/>
      <c r="H5" s="211"/>
      <c r="I5" s="529"/>
      <c r="J5" s="166" t="s">
        <v>228</v>
      </c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24.75" customHeight="1">
      <c r="A6" s="84"/>
      <c r="B6" s="9"/>
      <c r="C6" s="9"/>
      <c r="D6" s="9"/>
      <c r="E6" s="9"/>
      <c r="F6" s="9"/>
      <c r="G6" s="9"/>
      <c r="H6" s="9"/>
      <c r="I6" s="9"/>
      <c r="J6" s="126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5.75" customHeight="1">
      <c r="A7" s="84"/>
      <c r="B7" s="13"/>
      <c r="C7" s="13"/>
      <c r="D7" s="13"/>
      <c r="E7" s="13"/>
      <c r="F7" s="13"/>
      <c r="G7" s="13"/>
      <c r="H7" s="13"/>
      <c r="I7" s="13"/>
      <c r="J7" s="13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8.75" customHeight="1">
      <c r="A8" s="84"/>
      <c r="B8" s="536"/>
      <c r="C8" s="527" t="s">
        <v>0</v>
      </c>
      <c r="D8" s="157" t="s">
        <v>1</v>
      </c>
      <c r="E8" s="157" t="s">
        <v>471</v>
      </c>
      <c r="F8" s="13"/>
      <c r="G8" s="536"/>
      <c r="H8" s="527" t="s">
        <v>0</v>
      </c>
      <c r="I8" s="157" t="s">
        <v>1</v>
      </c>
      <c r="J8" s="157" t="s">
        <v>471</v>
      </c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20.25" customHeight="1">
      <c r="A9" s="84"/>
      <c r="B9" s="264"/>
      <c r="C9" s="528"/>
      <c r="D9" s="158" t="s">
        <v>3</v>
      </c>
      <c r="E9" s="167">
        <v>1</v>
      </c>
      <c r="F9" s="13"/>
      <c r="G9" s="264"/>
      <c r="H9" s="528"/>
      <c r="I9" s="158" t="s">
        <v>3</v>
      </c>
      <c r="J9" s="167">
        <v>1</v>
      </c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8" customHeight="1">
      <c r="A10" s="84"/>
      <c r="B10" s="264"/>
      <c r="C10" s="527" t="s">
        <v>472</v>
      </c>
      <c r="D10" s="193" t="s">
        <v>5</v>
      </c>
      <c r="E10" s="157" t="s">
        <v>6</v>
      </c>
      <c r="F10" s="13"/>
      <c r="G10" s="264"/>
      <c r="H10" s="527" t="s">
        <v>472</v>
      </c>
      <c r="I10" s="193" t="s">
        <v>5</v>
      </c>
      <c r="J10" s="157" t="s">
        <v>6</v>
      </c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8.75" customHeight="1">
      <c r="A11" s="84"/>
      <c r="B11" s="264"/>
      <c r="C11" s="528"/>
      <c r="D11" s="537" t="s">
        <v>7</v>
      </c>
      <c r="E11" s="168" t="s">
        <v>227</v>
      </c>
      <c r="F11" s="13"/>
      <c r="G11" s="264"/>
      <c r="H11" s="528"/>
      <c r="I11" s="537" t="s">
        <v>7</v>
      </c>
      <c r="J11" s="168" t="s">
        <v>227</v>
      </c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5" customHeight="1">
      <c r="A12" s="164"/>
      <c r="B12" s="264"/>
      <c r="C12" s="555"/>
      <c r="D12" s="375"/>
      <c r="E12" s="169" t="s">
        <v>228</v>
      </c>
      <c r="F12" s="13"/>
      <c r="G12" s="264"/>
      <c r="H12" s="555"/>
      <c r="I12" s="375"/>
      <c r="J12" s="169" t="s">
        <v>228</v>
      </c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45" customHeight="1">
      <c r="A13" s="84"/>
      <c r="B13" s="156" t="s">
        <v>422</v>
      </c>
      <c r="C13" s="557"/>
      <c r="D13" s="219"/>
      <c r="E13" s="220"/>
      <c r="F13" s="171"/>
      <c r="G13" s="156" t="s">
        <v>422</v>
      </c>
      <c r="H13" s="556"/>
      <c r="I13" s="246"/>
      <c r="J13" s="260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29.25" customHeight="1">
      <c r="A14" s="84"/>
      <c r="B14" s="194" t="s">
        <v>350</v>
      </c>
      <c r="C14" s="195"/>
      <c r="D14" s="196" t="s">
        <v>473</v>
      </c>
      <c r="E14" s="195"/>
      <c r="F14" s="171"/>
      <c r="G14" s="197" t="s">
        <v>350</v>
      </c>
      <c r="H14" s="195"/>
      <c r="I14" s="196" t="s">
        <v>473</v>
      </c>
      <c r="J14" s="195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33" customHeight="1">
      <c r="A15" s="84"/>
      <c r="B15" s="156" t="s">
        <v>423</v>
      </c>
      <c r="C15" s="198"/>
      <c r="D15" s="199" t="s">
        <v>474</v>
      </c>
      <c r="E15" s="198"/>
      <c r="F15" s="171"/>
      <c r="G15" s="156" t="s">
        <v>423</v>
      </c>
      <c r="H15" s="198"/>
      <c r="I15" s="199" t="s">
        <v>474</v>
      </c>
      <c r="J15" s="198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32.25" customHeight="1">
      <c r="A16" s="84"/>
      <c r="B16" s="156" t="s">
        <v>475</v>
      </c>
      <c r="C16" s="195"/>
      <c r="D16" s="196" t="s">
        <v>476</v>
      </c>
      <c r="E16" s="195"/>
      <c r="F16" s="175"/>
      <c r="G16" s="156" t="s">
        <v>477</v>
      </c>
      <c r="H16" s="195"/>
      <c r="I16" s="196" t="s">
        <v>476</v>
      </c>
      <c r="J16" s="195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30" customHeight="1">
      <c r="A17" s="84"/>
      <c r="B17" s="527" t="s">
        <v>478</v>
      </c>
      <c r="C17" s="557"/>
      <c r="D17" s="219"/>
      <c r="E17" s="220"/>
      <c r="F17" s="175"/>
      <c r="G17" s="527" t="s">
        <v>478</v>
      </c>
      <c r="H17" s="557"/>
      <c r="I17" s="219"/>
      <c r="J17" s="220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9.75" customHeight="1">
      <c r="A18" s="84"/>
      <c r="B18" s="528"/>
      <c r="C18" s="264"/>
      <c r="D18" s="213"/>
      <c r="E18" s="258"/>
      <c r="F18" s="175"/>
      <c r="G18" s="528"/>
      <c r="H18" s="264"/>
      <c r="I18" s="213"/>
      <c r="J18" s="258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.4">
      <c r="A19" s="84"/>
      <c r="B19" s="528"/>
      <c r="C19" s="264"/>
      <c r="D19" s="213"/>
      <c r="E19" s="258"/>
      <c r="F19" s="175"/>
      <c r="G19" s="528"/>
      <c r="H19" s="264"/>
      <c r="I19" s="213"/>
      <c r="J19" s="258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3.5" customHeight="1">
      <c r="A20" s="84"/>
      <c r="B20" s="529"/>
      <c r="C20" s="221"/>
      <c r="D20" s="210"/>
      <c r="E20" s="211"/>
      <c r="F20" s="175"/>
      <c r="G20" s="529"/>
      <c r="H20" s="221"/>
      <c r="I20" s="210"/>
      <c r="J20" s="211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15.75" customHeight="1">
      <c r="A21" s="84"/>
      <c r="B21" s="527" t="s">
        <v>405</v>
      </c>
      <c r="C21" s="553"/>
      <c r="D21" s="554" t="s">
        <v>479</v>
      </c>
      <c r="E21" s="553"/>
      <c r="F21" s="175"/>
      <c r="G21" s="527" t="s">
        <v>405</v>
      </c>
      <c r="H21" s="553"/>
      <c r="I21" s="554" t="s">
        <v>479</v>
      </c>
      <c r="J21" s="553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15" customHeight="1">
      <c r="A22" s="84"/>
      <c r="B22" s="528"/>
      <c r="C22" s="528"/>
      <c r="D22" s="258"/>
      <c r="E22" s="529"/>
      <c r="F22" s="171"/>
      <c r="G22" s="528"/>
      <c r="H22" s="528"/>
      <c r="I22" s="258"/>
      <c r="J22" s="529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>
      <c r="A23" s="84"/>
      <c r="B23" s="528"/>
      <c r="C23" s="528"/>
      <c r="D23" s="527" t="s">
        <v>201</v>
      </c>
      <c r="E23" s="553"/>
      <c r="F23" s="171"/>
      <c r="G23" s="528"/>
      <c r="H23" s="528"/>
      <c r="I23" s="527" t="s">
        <v>201</v>
      </c>
      <c r="J23" s="553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5.75" customHeight="1">
      <c r="A24" s="84"/>
      <c r="B24" s="529"/>
      <c r="C24" s="529"/>
      <c r="D24" s="529"/>
      <c r="E24" s="529"/>
      <c r="F24" s="171"/>
      <c r="G24" s="529"/>
      <c r="H24" s="529"/>
      <c r="I24" s="529"/>
      <c r="J24" s="529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>
      <c r="A25" s="84"/>
      <c r="B25" s="13"/>
      <c r="C25" s="13"/>
      <c r="D25" s="13"/>
      <c r="E25" s="13"/>
      <c r="F25" s="13"/>
      <c r="G25" s="13"/>
      <c r="H25" s="13"/>
      <c r="I25" s="13"/>
      <c r="J25" s="13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8" customHeight="1">
      <c r="A26" s="84"/>
      <c r="B26" s="536"/>
      <c r="C26" s="527" t="s">
        <v>0</v>
      </c>
      <c r="D26" s="157" t="s">
        <v>1</v>
      </c>
      <c r="E26" s="157" t="s">
        <v>471</v>
      </c>
      <c r="F26" s="13"/>
      <c r="G26" s="536"/>
      <c r="H26" s="527" t="s">
        <v>0</v>
      </c>
      <c r="I26" s="157" t="s">
        <v>1</v>
      </c>
      <c r="J26" s="157" t="s">
        <v>471</v>
      </c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8.75" customHeight="1">
      <c r="A27" s="84"/>
      <c r="B27" s="264"/>
      <c r="C27" s="528"/>
      <c r="D27" s="158" t="s">
        <v>3</v>
      </c>
      <c r="E27" s="167">
        <v>1</v>
      </c>
      <c r="F27" s="13"/>
      <c r="G27" s="264"/>
      <c r="H27" s="528"/>
      <c r="I27" s="158" t="s">
        <v>3</v>
      </c>
      <c r="J27" s="167">
        <v>1</v>
      </c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7.25" customHeight="1">
      <c r="A28" s="84"/>
      <c r="B28" s="264"/>
      <c r="C28" s="527" t="s">
        <v>472</v>
      </c>
      <c r="D28" s="193" t="s">
        <v>5</v>
      </c>
      <c r="E28" s="157" t="s">
        <v>6</v>
      </c>
      <c r="F28" s="13"/>
      <c r="G28" s="264"/>
      <c r="H28" s="527" t="s">
        <v>472</v>
      </c>
      <c r="I28" s="193" t="s">
        <v>5</v>
      </c>
      <c r="J28" s="157" t="s">
        <v>6</v>
      </c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7.25" customHeight="1">
      <c r="A29" s="84"/>
      <c r="B29" s="264"/>
      <c r="C29" s="528"/>
      <c r="D29" s="537" t="s">
        <v>7</v>
      </c>
      <c r="E29" s="168" t="s">
        <v>227</v>
      </c>
      <c r="F29" s="13"/>
      <c r="G29" s="264"/>
      <c r="H29" s="528"/>
      <c r="I29" s="537" t="s">
        <v>7</v>
      </c>
      <c r="J29" s="168" t="s">
        <v>227</v>
      </c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5.75" customHeight="1">
      <c r="A30" s="84"/>
      <c r="B30" s="264"/>
      <c r="C30" s="555"/>
      <c r="D30" s="375"/>
      <c r="E30" s="169" t="s">
        <v>228</v>
      </c>
      <c r="F30" s="13"/>
      <c r="G30" s="264"/>
      <c r="H30" s="555"/>
      <c r="I30" s="375"/>
      <c r="J30" s="169" t="s">
        <v>228</v>
      </c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43.5" customHeight="1">
      <c r="A31" s="84"/>
      <c r="B31" s="156" t="s">
        <v>422</v>
      </c>
      <c r="C31" s="556"/>
      <c r="D31" s="246"/>
      <c r="E31" s="260"/>
      <c r="F31" s="171"/>
      <c r="G31" s="156" t="s">
        <v>422</v>
      </c>
      <c r="H31" s="556"/>
      <c r="I31" s="246"/>
      <c r="J31" s="260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30" customHeight="1">
      <c r="A32" s="84"/>
      <c r="B32" s="197" t="s">
        <v>350</v>
      </c>
      <c r="C32" s="195"/>
      <c r="D32" s="196" t="s">
        <v>473</v>
      </c>
      <c r="E32" s="195"/>
      <c r="F32" s="171"/>
      <c r="G32" s="197" t="s">
        <v>350</v>
      </c>
      <c r="H32" s="195"/>
      <c r="I32" s="196" t="s">
        <v>473</v>
      </c>
      <c r="J32" s="195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36" customHeight="1">
      <c r="A33" s="84"/>
      <c r="B33" s="156" t="s">
        <v>423</v>
      </c>
      <c r="C33" s="198"/>
      <c r="D33" s="199" t="s">
        <v>474</v>
      </c>
      <c r="E33" s="198"/>
      <c r="F33" s="171"/>
      <c r="G33" s="156" t="s">
        <v>423</v>
      </c>
      <c r="H33" s="198"/>
      <c r="I33" s="199" t="s">
        <v>474</v>
      </c>
      <c r="J33" s="198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42.75" customHeight="1">
      <c r="A34" s="84"/>
      <c r="B34" s="156" t="s">
        <v>477</v>
      </c>
      <c r="C34" s="195"/>
      <c r="D34" s="196" t="s">
        <v>476</v>
      </c>
      <c r="E34" s="195"/>
      <c r="F34" s="175"/>
      <c r="G34" s="156" t="s">
        <v>477</v>
      </c>
      <c r="H34" s="195"/>
      <c r="I34" s="196" t="s">
        <v>476</v>
      </c>
      <c r="J34" s="195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2" customHeight="1">
      <c r="A35" s="84"/>
      <c r="B35" s="527" t="s">
        <v>478</v>
      </c>
      <c r="C35" s="557"/>
      <c r="D35" s="219"/>
      <c r="E35" s="220"/>
      <c r="F35" s="175"/>
      <c r="G35" s="527" t="s">
        <v>478</v>
      </c>
      <c r="H35" s="557"/>
      <c r="I35" s="219"/>
      <c r="J35" s="220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2" customHeight="1">
      <c r="A36" s="84"/>
      <c r="B36" s="528"/>
      <c r="C36" s="264"/>
      <c r="D36" s="213"/>
      <c r="E36" s="258"/>
      <c r="F36" s="175"/>
      <c r="G36" s="528"/>
      <c r="H36" s="264"/>
      <c r="I36" s="213"/>
      <c r="J36" s="258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9" customHeight="1">
      <c r="A37" s="84"/>
      <c r="B37" s="528"/>
      <c r="C37" s="264"/>
      <c r="D37" s="213"/>
      <c r="E37" s="258"/>
      <c r="F37" s="175"/>
      <c r="G37" s="528"/>
      <c r="H37" s="264"/>
      <c r="I37" s="213"/>
      <c r="J37" s="258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24" customHeight="1">
      <c r="A38" s="84"/>
      <c r="B38" s="529"/>
      <c r="C38" s="221"/>
      <c r="D38" s="210"/>
      <c r="E38" s="211"/>
      <c r="F38" s="175"/>
      <c r="G38" s="529"/>
      <c r="H38" s="221"/>
      <c r="I38" s="210"/>
      <c r="J38" s="211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>
      <c r="A39" s="84"/>
      <c r="B39" s="527" t="s">
        <v>405</v>
      </c>
      <c r="C39" s="553"/>
      <c r="D39" s="554" t="s">
        <v>479</v>
      </c>
      <c r="E39" s="553"/>
      <c r="F39" s="175"/>
      <c r="G39" s="527" t="s">
        <v>405</v>
      </c>
      <c r="H39" s="553"/>
      <c r="I39" s="554" t="s">
        <v>479</v>
      </c>
      <c r="J39" s="553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>
      <c r="A40" s="84"/>
      <c r="B40" s="528"/>
      <c r="C40" s="528"/>
      <c r="D40" s="258"/>
      <c r="E40" s="529"/>
      <c r="F40" s="171"/>
      <c r="G40" s="528"/>
      <c r="H40" s="528"/>
      <c r="I40" s="258"/>
      <c r="J40" s="529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>
      <c r="A41" s="84"/>
      <c r="B41" s="528"/>
      <c r="C41" s="528"/>
      <c r="D41" s="527" t="s">
        <v>201</v>
      </c>
      <c r="E41" s="553"/>
      <c r="F41" s="171"/>
      <c r="G41" s="528"/>
      <c r="H41" s="528"/>
      <c r="I41" s="527" t="s">
        <v>201</v>
      </c>
      <c r="J41" s="553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>
      <c r="A42" s="84"/>
      <c r="B42" s="529"/>
      <c r="C42" s="529"/>
      <c r="D42" s="529"/>
      <c r="E42" s="529"/>
      <c r="F42" s="171"/>
      <c r="G42" s="529"/>
      <c r="H42" s="529"/>
      <c r="I42" s="529"/>
      <c r="J42" s="529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>
      <c r="A43" s="84"/>
      <c r="B43" s="13"/>
      <c r="C43" s="13"/>
      <c r="D43" s="13"/>
      <c r="E43" s="13"/>
      <c r="F43" s="13"/>
      <c r="G43" s="13"/>
      <c r="H43" s="13"/>
      <c r="I43" s="13"/>
      <c r="J43" s="13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" customHeight="1">
      <c r="A44" s="84"/>
      <c r="B44" s="536"/>
      <c r="C44" s="527" t="s">
        <v>0</v>
      </c>
      <c r="D44" s="157" t="s">
        <v>1</v>
      </c>
      <c r="E44" s="157" t="s">
        <v>471</v>
      </c>
      <c r="F44" s="13"/>
      <c r="G44" s="536"/>
      <c r="H44" s="527" t="s">
        <v>0</v>
      </c>
      <c r="I44" s="157" t="s">
        <v>1</v>
      </c>
      <c r="J44" s="157" t="s">
        <v>471</v>
      </c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customHeight="1">
      <c r="A45" s="84"/>
      <c r="B45" s="264"/>
      <c r="C45" s="528"/>
      <c r="D45" s="158" t="s">
        <v>3</v>
      </c>
      <c r="E45" s="167">
        <v>1</v>
      </c>
      <c r="F45" s="13"/>
      <c r="G45" s="264"/>
      <c r="H45" s="528"/>
      <c r="I45" s="158" t="s">
        <v>3</v>
      </c>
      <c r="J45" s="167">
        <v>1</v>
      </c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>
      <c r="A46" s="84"/>
      <c r="B46" s="264"/>
      <c r="C46" s="527" t="s">
        <v>472</v>
      </c>
      <c r="D46" s="193" t="s">
        <v>5</v>
      </c>
      <c r="E46" s="157" t="s">
        <v>6</v>
      </c>
      <c r="F46" s="13"/>
      <c r="G46" s="264"/>
      <c r="H46" s="527" t="s">
        <v>472</v>
      </c>
      <c r="I46" s="193" t="s">
        <v>5</v>
      </c>
      <c r="J46" s="157" t="s">
        <v>6</v>
      </c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21" customHeight="1">
      <c r="A47" s="84"/>
      <c r="B47" s="264"/>
      <c r="C47" s="528"/>
      <c r="D47" s="537" t="s">
        <v>7</v>
      </c>
      <c r="E47" s="168" t="s">
        <v>227</v>
      </c>
      <c r="F47" s="13"/>
      <c r="G47" s="264"/>
      <c r="H47" s="528"/>
      <c r="I47" s="537" t="s">
        <v>7</v>
      </c>
      <c r="J47" s="168" t="s">
        <v>227</v>
      </c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8.75" customHeight="1">
      <c r="A48" s="84"/>
      <c r="B48" s="264"/>
      <c r="C48" s="555"/>
      <c r="D48" s="375"/>
      <c r="E48" s="169" t="s">
        <v>228</v>
      </c>
      <c r="F48" s="13"/>
      <c r="G48" s="264"/>
      <c r="H48" s="555"/>
      <c r="I48" s="375"/>
      <c r="J48" s="169" t="s">
        <v>228</v>
      </c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46.5" customHeight="1">
      <c r="A49" s="84"/>
      <c r="B49" s="156" t="s">
        <v>422</v>
      </c>
      <c r="C49" s="556"/>
      <c r="D49" s="246"/>
      <c r="E49" s="260"/>
      <c r="F49" s="171"/>
      <c r="G49" s="156" t="s">
        <v>422</v>
      </c>
      <c r="H49" s="556"/>
      <c r="I49" s="246"/>
      <c r="J49" s="260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29.25" customHeight="1">
      <c r="A50" s="84"/>
      <c r="B50" s="197" t="s">
        <v>350</v>
      </c>
      <c r="C50" s="195"/>
      <c r="D50" s="196" t="s">
        <v>473</v>
      </c>
      <c r="E50" s="195"/>
      <c r="F50" s="171"/>
      <c r="G50" s="197" t="s">
        <v>350</v>
      </c>
      <c r="H50" s="195"/>
      <c r="I50" s="196" t="s">
        <v>473</v>
      </c>
      <c r="J50" s="195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34.5" customHeight="1">
      <c r="A51" s="84"/>
      <c r="B51" s="156" t="s">
        <v>423</v>
      </c>
      <c r="C51" s="198"/>
      <c r="D51" s="199" t="s">
        <v>474</v>
      </c>
      <c r="E51" s="198"/>
      <c r="F51" s="171"/>
      <c r="G51" s="156" t="s">
        <v>423</v>
      </c>
      <c r="H51" s="198"/>
      <c r="I51" s="199" t="s">
        <v>474</v>
      </c>
      <c r="J51" s="198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38.25" customHeight="1">
      <c r="A52" s="84"/>
      <c r="B52" s="156" t="s">
        <v>477</v>
      </c>
      <c r="C52" s="195"/>
      <c r="D52" s="196" t="s">
        <v>476</v>
      </c>
      <c r="E52" s="195"/>
      <c r="F52" s="175"/>
      <c r="G52" s="156" t="s">
        <v>477</v>
      </c>
      <c r="H52" s="195"/>
      <c r="I52" s="196" t="s">
        <v>476</v>
      </c>
      <c r="J52" s="195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8.75" customHeight="1">
      <c r="A53" s="84"/>
      <c r="B53" s="527" t="s">
        <v>478</v>
      </c>
      <c r="C53" s="557"/>
      <c r="D53" s="219"/>
      <c r="E53" s="220"/>
      <c r="F53" s="175"/>
      <c r="G53" s="527" t="s">
        <v>478</v>
      </c>
      <c r="H53" s="557"/>
      <c r="I53" s="219"/>
      <c r="J53" s="220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6.5" customHeight="1">
      <c r="A54" s="84"/>
      <c r="B54" s="528"/>
      <c r="C54" s="264"/>
      <c r="D54" s="213"/>
      <c r="E54" s="258"/>
      <c r="F54" s="175"/>
      <c r="G54" s="528"/>
      <c r="H54" s="264"/>
      <c r="I54" s="213"/>
      <c r="J54" s="258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9.75" customHeight="1">
      <c r="A55" s="84"/>
      <c r="B55" s="528"/>
      <c r="C55" s="264"/>
      <c r="D55" s="213"/>
      <c r="E55" s="258"/>
      <c r="F55" s="175"/>
      <c r="G55" s="528"/>
      <c r="H55" s="264"/>
      <c r="I55" s="213"/>
      <c r="J55" s="258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3.5" customHeight="1">
      <c r="A56" s="84"/>
      <c r="B56" s="529"/>
      <c r="C56" s="221"/>
      <c r="D56" s="210"/>
      <c r="E56" s="211"/>
      <c r="F56" s="175"/>
      <c r="G56" s="529"/>
      <c r="H56" s="221"/>
      <c r="I56" s="210"/>
      <c r="J56" s="211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>
      <c r="A57" s="84"/>
      <c r="B57" s="527" t="s">
        <v>405</v>
      </c>
      <c r="C57" s="553"/>
      <c r="D57" s="554" t="s">
        <v>479</v>
      </c>
      <c r="E57" s="553"/>
      <c r="F57" s="175"/>
      <c r="G57" s="527" t="s">
        <v>405</v>
      </c>
      <c r="H57" s="553"/>
      <c r="I57" s="554" t="s">
        <v>479</v>
      </c>
      <c r="J57" s="553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>
      <c r="A58" s="84"/>
      <c r="B58" s="528"/>
      <c r="C58" s="528"/>
      <c r="D58" s="258"/>
      <c r="E58" s="529"/>
      <c r="F58" s="171"/>
      <c r="G58" s="528"/>
      <c r="H58" s="528"/>
      <c r="I58" s="258"/>
      <c r="J58" s="529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>
      <c r="A59" s="84"/>
      <c r="B59" s="528"/>
      <c r="C59" s="528"/>
      <c r="D59" s="527" t="s">
        <v>201</v>
      </c>
      <c r="E59" s="553"/>
      <c r="F59" s="171"/>
      <c r="G59" s="528"/>
      <c r="H59" s="528"/>
      <c r="I59" s="527" t="s">
        <v>201</v>
      </c>
      <c r="J59" s="553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>
      <c r="A60" s="84"/>
      <c r="B60" s="529"/>
      <c r="C60" s="529"/>
      <c r="D60" s="529"/>
      <c r="E60" s="529"/>
      <c r="F60" s="171"/>
      <c r="G60" s="529"/>
      <c r="H60" s="529"/>
      <c r="I60" s="529"/>
      <c r="J60" s="529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.75" customHeight="1">
      <c r="A61" s="84"/>
      <c r="B61" s="13"/>
      <c r="C61" s="13"/>
      <c r="D61" s="13"/>
      <c r="E61" s="13"/>
      <c r="F61" s="13"/>
      <c r="G61" s="13"/>
      <c r="H61" s="13"/>
      <c r="I61" s="13"/>
      <c r="J61" s="13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21" customHeight="1">
      <c r="A62" s="84"/>
      <c r="B62" s="536"/>
      <c r="C62" s="527" t="s">
        <v>0</v>
      </c>
      <c r="D62" s="157" t="s">
        <v>1</v>
      </c>
      <c r="E62" s="157" t="s">
        <v>471</v>
      </c>
      <c r="F62" s="13"/>
      <c r="G62" s="536"/>
      <c r="H62" s="527" t="s">
        <v>0</v>
      </c>
      <c r="I62" s="157" t="s">
        <v>1</v>
      </c>
      <c r="J62" s="157" t="s">
        <v>471</v>
      </c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21" customHeight="1">
      <c r="A63" s="84"/>
      <c r="B63" s="264"/>
      <c r="C63" s="528"/>
      <c r="D63" s="158" t="s">
        <v>3</v>
      </c>
      <c r="E63" s="167">
        <v>1</v>
      </c>
      <c r="F63" s="13"/>
      <c r="G63" s="264"/>
      <c r="H63" s="528"/>
      <c r="I63" s="158" t="s">
        <v>3</v>
      </c>
      <c r="J63" s="167">
        <v>1</v>
      </c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21" customHeight="1">
      <c r="A64" s="84"/>
      <c r="B64" s="264"/>
      <c r="C64" s="527" t="s">
        <v>472</v>
      </c>
      <c r="D64" s="193" t="s">
        <v>5</v>
      </c>
      <c r="E64" s="157" t="s">
        <v>6</v>
      </c>
      <c r="F64" s="13"/>
      <c r="G64" s="264"/>
      <c r="H64" s="527" t="s">
        <v>472</v>
      </c>
      <c r="I64" s="193" t="s">
        <v>5</v>
      </c>
      <c r="J64" s="157" t="s">
        <v>6</v>
      </c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22.5" customHeight="1">
      <c r="A65" s="84"/>
      <c r="B65" s="264"/>
      <c r="C65" s="528"/>
      <c r="D65" s="537" t="s">
        <v>7</v>
      </c>
      <c r="E65" s="168" t="s">
        <v>227</v>
      </c>
      <c r="F65" s="13"/>
      <c r="G65" s="264"/>
      <c r="H65" s="528"/>
      <c r="I65" s="537" t="s">
        <v>7</v>
      </c>
      <c r="J65" s="168" t="s">
        <v>227</v>
      </c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8.75" customHeight="1">
      <c r="A66" s="84"/>
      <c r="B66" s="264"/>
      <c r="C66" s="555"/>
      <c r="D66" s="375"/>
      <c r="E66" s="169" t="s">
        <v>228</v>
      </c>
      <c r="F66" s="13"/>
      <c r="G66" s="264"/>
      <c r="H66" s="555"/>
      <c r="I66" s="375"/>
      <c r="J66" s="169" t="s">
        <v>228</v>
      </c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45" customHeight="1">
      <c r="A67" s="84"/>
      <c r="B67" s="156" t="s">
        <v>422</v>
      </c>
      <c r="C67" s="556"/>
      <c r="D67" s="246"/>
      <c r="E67" s="260"/>
      <c r="F67" s="171"/>
      <c r="G67" s="156" t="s">
        <v>422</v>
      </c>
      <c r="H67" s="556"/>
      <c r="I67" s="246"/>
      <c r="J67" s="260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30" customHeight="1">
      <c r="A68" s="84"/>
      <c r="B68" s="197" t="s">
        <v>350</v>
      </c>
      <c r="C68" s="195"/>
      <c r="D68" s="196" t="s">
        <v>473</v>
      </c>
      <c r="E68" s="195"/>
      <c r="F68" s="171"/>
      <c r="G68" s="197" t="s">
        <v>350</v>
      </c>
      <c r="H68" s="195"/>
      <c r="I68" s="196" t="s">
        <v>473</v>
      </c>
      <c r="J68" s="195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45" customHeight="1">
      <c r="A69" s="84"/>
      <c r="B69" s="156" t="s">
        <v>423</v>
      </c>
      <c r="C69" s="198"/>
      <c r="D69" s="199" t="s">
        <v>474</v>
      </c>
      <c r="E69" s="198"/>
      <c r="F69" s="171"/>
      <c r="G69" s="156" t="s">
        <v>423</v>
      </c>
      <c r="H69" s="198"/>
      <c r="I69" s="199" t="s">
        <v>474</v>
      </c>
      <c r="J69" s="198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36" customHeight="1">
      <c r="A70" s="84"/>
      <c r="B70" s="156" t="s">
        <v>477</v>
      </c>
      <c r="C70" s="195"/>
      <c r="D70" s="196" t="s">
        <v>476</v>
      </c>
      <c r="E70" s="195"/>
      <c r="F70" s="175"/>
      <c r="G70" s="156" t="s">
        <v>477</v>
      </c>
      <c r="H70" s="195"/>
      <c r="I70" s="196" t="s">
        <v>476</v>
      </c>
      <c r="J70" s="195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2" customHeight="1">
      <c r="A71" s="84"/>
      <c r="B71" s="527" t="s">
        <v>478</v>
      </c>
      <c r="C71" s="557"/>
      <c r="D71" s="219"/>
      <c r="E71" s="220"/>
      <c r="F71" s="175"/>
      <c r="G71" s="527" t="s">
        <v>478</v>
      </c>
      <c r="H71" s="557"/>
      <c r="I71" s="219"/>
      <c r="J71" s="220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3" customHeight="1">
      <c r="A72" s="84"/>
      <c r="B72" s="528"/>
      <c r="C72" s="264"/>
      <c r="D72" s="213"/>
      <c r="E72" s="258"/>
      <c r="F72" s="175"/>
      <c r="G72" s="528"/>
      <c r="H72" s="264"/>
      <c r="I72" s="213"/>
      <c r="J72" s="258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6.5" customHeight="1">
      <c r="A73" s="84"/>
      <c r="B73" s="528"/>
      <c r="C73" s="264"/>
      <c r="D73" s="213"/>
      <c r="E73" s="258"/>
      <c r="F73" s="175"/>
      <c r="G73" s="528"/>
      <c r="H73" s="264"/>
      <c r="I73" s="213"/>
      <c r="J73" s="258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25.5" customHeight="1">
      <c r="A74" s="84"/>
      <c r="B74" s="529"/>
      <c r="C74" s="221"/>
      <c r="D74" s="210"/>
      <c r="E74" s="211"/>
      <c r="F74" s="175"/>
      <c r="G74" s="529"/>
      <c r="H74" s="221"/>
      <c r="I74" s="210"/>
      <c r="J74" s="211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>
      <c r="A75" s="84"/>
      <c r="B75" s="527" t="s">
        <v>405</v>
      </c>
      <c r="C75" s="553"/>
      <c r="D75" s="554" t="s">
        <v>479</v>
      </c>
      <c r="E75" s="553"/>
      <c r="F75" s="175"/>
      <c r="G75" s="527" t="s">
        <v>405</v>
      </c>
      <c r="H75" s="553"/>
      <c r="I75" s="554" t="s">
        <v>479</v>
      </c>
      <c r="J75" s="553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>
      <c r="A76" s="84"/>
      <c r="B76" s="528"/>
      <c r="C76" s="528"/>
      <c r="D76" s="258"/>
      <c r="E76" s="529"/>
      <c r="F76" s="171"/>
      <c r="G76" s="528"/>
      <c r="H76" s="528"/>
      <c r="I76" s="258"/>
      <c r="J76" s="529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>
      <c r="A77" s="84"/>
      <c r="B77" s="528"/>
      <c r="C77" s="528"/>
      <c r="D77" s="527" t="s">
        <v>201</v>
      </c>
      <c r="E77" s="553"/>
      <c r="F77" s="171"/>
      <c r="G77" s="528"/>
      <c r="H77" s="528"/>
      <c r="I77" s="527" t="s">
        <v>201</v>
      </c>
      <c r="J77" s="553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>
      <c r="A78" s="84"/>
      <c r="B78" s="529"/>
      <c r="C78" s="529"/>
      <c r="D78" s="529"/>
      <c r="E78" s="529"/>
      <c r="F78" s="171"/>
      <c r="G78" s="529"/>
      <c r="H78" s="529"/>
      <c r="I78" s="529"/>
      <c r="J78" s="529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>
      <c r="A79" s="84"/>
      <c r="B79" s="13"/>
      <c r="C79" s="13"/>
      <c r="D79" s="13"/>
      <c r="E79" s="13"/>
      <c r="F79" s="13"/>
      <c r="G79" s="13"/>
      <c r="H79" s="13"/>
      <c r="I79" s="13"/>
      <c r="J79" s="13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>
      <c r="A80" s="84"/>
      <c r="B80" s="13"/>
      <c r="C80" s="13"/>
      <c r="D80" s="13"/>
      <c r="E80" s="13"/>
      <c r="F80" s="13"/>
      <c r="G80" s="13"/>
      <c r="H80" s="13"/>
      <c r="I80" s="13"/>
      <c r="J80" s="13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>
      <c r="A81" s="84"/>
      <c r="B81" s="13"/>
      <c r="C81" s="13"/>
      <c r="D81" s="13"/>
      <c r="E81" s="13"/>
      <c r="F81" s="13"/>
      <c r="G81" s="13"/>
      <c r="H81" s="13"/>
      <c r="I81" s="13"/>
      <c r="J81" s="13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>
      <c r="A82" s="84"/>
      <c r="B82" s="13"/>
      <c r="C82" s="13"/>
      <c r="D82" s="13"/>
      <c r="E82" s="13"/>
      <c r="F82" s="13"/>
      <c r="G82" s="13"/>
      <c r="H82" s="13"/>
      <c r="I82" s="13"/>
      <c r="J82" s="13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>
      <c r="A83" s="84"/>
      <c r="B83" s="13"/>
      <c r="C83" s="13"/>
      <c r="D83" s="13"/>
      <c r="E83" s="13"/>
      <c r="F83" s="13"/>
      <c r="G83" s="13"/>
      <c r="H83" s="13"/>
      <c r="I83" s="13"/>
      <c r="J83" s="13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>
      <c r="A84" s="84"/>
      <c r="B84" s="13"/>
      <c r="C84" s="13"/>
      <c r="D84" s="13"/>
      <c r="E84" s="13"/>
      <c r="F84" s="13"/>
      <c r="G84" s="13"/>
      <c r="H84" s="13"/>
      <c r="I84" s="13"/>
      <c r="J84" s="13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>
      <c r="A85" s="84"/>
      <c r="B85" s="13"/>
      <c r="C85" s="13"/>
      <c r="D85" s="13"/>
      <c r="E85" s="13"/>
      <c r="F85" s="13"/>
      <c r="G85" s="13"/>
      <c r="H85" s="13"/>
      <c r="I85" s="13"/>
      <c r="J85" s="13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>
      <c r="A86" s="84"/>
      <c r="B86" s="13"/>
      <c r="C86" s="13"/>
      <c r="D86" s="13"/>
      <c r="E86" s="13"/>
      <c r="F86" s="13"/>
      <c r="G86" s="13"/>
      <c r="H86" s="13"/>
      <c r="I86" s="13"/>
      <c r="J86" s="13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>
      <c r="A87" s="84"/>
      <c r="B87" s="13"/>
      <c r="C87" s="13"/>
      <c r="D87" s="13"/>
      <c r="E87" s="13"/>
      <c r="F87" s="13"/>
      <c r="G87" s="13"/>
      <c r="H87" s="13"/>
      <c r="I87" s="13"/>
      <c r="J87" s="13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>
      <c r="A88" s="84"/>
      <c r="B88" s="13"/>
      <c r="C88" s="13"/>
      <c r="D88" s="13"/>
      <c r="E88" s="13"/>
      <c r="F88" s="13"/>
      <c r="G88" s="13"/>
      <c r="H88" s="13"/>
      <c r="I88" s="13"/>
      <c r="J88" s="13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>
      <c r="A89" s="84"/>
      <c r="B89" s="13"/>
      <c r="C89" s="13"/>
      <c r="D89" s="13"/>
      <c r="E89" s="13"/>
      <c r="F89" s="13"/>
      <c r="G89" s="13"/>
      <c r="H89" s="13"/>
      <c r="I89" s="13"/>
      <c r="J89" s="13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>
      <c r="A90" s="84"/>
      <c r="B90" s="13"/>
      <c r="C90" s="13"/>
      <c r="D90" s="13"/>
      <c r="E90" s="13"/>
      <c r="F90" s="13"/>
      <c r="G90" s="13"/>
      <c r="H90" s="13"/>
      <c r="I90" s="13"/>
      <c r="J90" s="13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>
      <c r="A91" s="84"/>
      <c r="B91" s="13"/>
      <c r="C91" s="13"/>
      <c r="D91" s="13"/>
      <c r="E91" s="13"/>
      <c r="F91" s="13"/>
      <c r="G91" s="13"/>
      <c r="H91" s="13"/>
      <c r="I91" s="13"/>
      <c r="J91" s="13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>
      <c r="A92" s="84"/>
      <c r="B92" s="13"/>
      <c r="C92" s="13"/>
      <c r="D92" s="13"/>
      <c r="E92" s="13"/>
      <c r="F92" s="13"/>
      <c r="G92" s="13"/>
      <c r="H92" s="13"/>
      <c r="I92" s="13"/>
      <c r="J92" s="13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>
      <c r="A93" s="84"/>
      <c r="B93" s="13"/>
      <c r="C93" s="13"/>
      <c r="D93" s="13"/>
      <c r="E93" s="13"/>
      <c r="F93" s="13"/>
      <c r="G93" s="13"/>
      <c r="H93" s="13"/>
      <c r="I93" s="13"/>
      <c r="J93" s="13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>
      <c r="A94" s="84"/>
      <c r="B94" s="13"/>
      <c r="C94" s="13"/>
      <c r="D94" s="13"/>
      <c r="E94" s="13"/>
      <c r="F94" s="13"/>
      <c r="G94" s="13"/>
      <c r="H94" s="13"/>
      <c r="I94" s="13"/>
      <c r="J94" s="13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>
      <c r="A95" s="84"/>
      <c r="B95" s="13"/>
      <c r="C95" s="13"/>
      <c r="D95" s="13"/>
      <c r="E95" s="13"/>
      <c r="F95" s="13"/>
      <c r="G95" s="13"/>
      <c r="H95" s="13"/>
      <c r="I95" s="13"/>
      <c r="J95" s="13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>
      <c r="A96" s="84"/>
      <c r="B96" s="13"/>
      <c r="C96" s="13"/>
      <c r="D96" s="13"/>
      <c r="E96" s="13"/>
      <c r="F96" s="13"/>
      <c r="G96" s="13"/>
      <c r="H96" s="13"/>
      <c r="I96" s="13"/>
      <c r="J96" s="13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>
      <c r="A97" s="84"/>
      <c r="B97" s="13"/>
      <c r="C97" s="13"/>
      <c r="D97" s="13"/>
      <c r="E97" s="13"/>
      <c r="F97" s="13"/>
      <c r="G97" s="13"/>
      <c r="H97" s="13"/>
      <c r="I97" s="13"/>
      <c r="J97" s="13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>
      <c r="A98" s="84"/>
      <c r="B98" s="13"/>
      <c r="C98" s="13"/>
      <c r="D98" s="13"/>
      <c r="E98" s="13"/>
      <c r="F98" s="13"/>
      <c r="G98" s="13"/>
      <c r="H98" s="13"/>
      <c r="I98" s="13"/>
      <c r="J98" s="13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>
      <c r="A99" s="84"/>
      <c r="B99" s="13"/>
      <c r="C99" s="13"/>
      <c r="D99" s="13"/>
      <c r="E99" s="13"/>
      <c r="F99" s="13"/>
      <c r="G99" s="13"/>
      <c r="H99" s="13"/>
      <c r="I99" s="13"/>
      <c r="J99" s="13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>
      <c r="A100" s="84"/>
      <c r="B100" s="13"/>
      <c r="C100" s="13"/>
      <c r="D100" s="13"/>
      <c r="E100" s="13"/>
      <c r="F100" s="13"/>
      <c r="G100" s="13"/>
      <c r="H100" s="13"/>
      <c r="I100" s="13"/>
      <c r="J100" s="13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>
      <c r="A101" s="84"/>
      <c r="B101" s="13"/>
      <c r="C101" s="13"/>
      <c r="D101" s="13"/>
      <c r="E101" s="13"/>
      <c r="F101" s="13"/>
      <c r="G101" s="13"/>
      <c r="H101" s="13"/>
      <c r="I101" s="13"/>
      <c r="J101" s="13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>
      <c r="A102" s="84"/>
      <c r="B102" s="13"/>
      <c r="C102" s="13"/>
      <c r="D102" s="13"/>
      <c r="E102" s="13"/>
      <c r="F102" s="13"/>
      <c r="G102" s="13"/>
      <c r="H102" s="13"/>
      <c r="I102" s="13"/>
      <c r="J102" s="13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>
      <c r="A103" s="84"/>
      <c r="B103" s="13"/>
      <c r="C103" s="13"/>
      <c r="D103" s="13"/>
      <c r="E103" s="13"/>
      <c r="F103" s="13"/>
      <c r="G103" s="13"/>
      <c r="H103" s="13"/>
      <c r="I103" s="13"/>
      <c r="J103" s="13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>
      <c r="A104" s="84"/>
      <c r="B104" s="13"/>
      <c r="C104" s="13"/>
      <c r="D104" s="13"/>
      <c r="E104" s="13"/>
      <c r="F104" s="13"/>
      <c r="G104" s="13"/>
      <c r="H104" s="13"/>
      <c r="I104" s="13"/>
      <c r="J104" s="13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>
      <c r="A105" s="84"/>
      <c r="B105" s="13"/>
      <c r="C105" s="13"/>
      <c r="D105" s="13"/>
      <c r="E105" s="13"/>
      <c r="F105" s="13"/>
      <c r="G105" s="13"/>
      <c r="H105" s="13"/>
      <c r="I105" s="13"/>
      <c r="J105" s="13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>
      <c r="A106" s="84"/>
      <c r="B106" s="13"/>
      <c r="C106" s="13"/>
      <c r="D106" s="13"/>
      <c r="E106" s="13"/>
      <c r="F106" s="13"/>
      <c r="G106" s="13"/>
      <c r="H106" s="13"/>
      <c r="I106" s="13"/>
      <c r="J106" s="13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>
      <c r="A107" s="84"/>
      <c r="B107" s="13"/>
      <c r="C107" s="13"/>
      <c r="D107" s="13"/>
      <c r="E107" s="13"/>
      <c r="F107" s="13"/>
      <c r="G107" s="13"/>
      <c r="H107" s="13"/>
      <c r="I107" s="13"/>
      <c r="J107" s="13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>
      <c r="A108" s="84"/>
      <c r="B108" s="13"/>
      <c r="C108" s="13"/>
      <c r="D108" s="13"/>
      <c r="E108" s="13"/>
      <c r="F108" s="13"/>
      <c r="G108" s="13"/>
      <c r="H108" s="13"/>
      <c r="I108" s="13"/>
      <c r="J108" s="13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>
      <c r="A109" s="84"/>
      <c r="B109" s="13"/>
      <c r="C109" s="13"/>
      <c r="D109" s="13"/>
      <c r="E109" s="13"/>
      <c r="F109" s="13"/>
      <c r="G109" s="13"/>
      <c r="H109" s="13"/>
      <c r="I109" s="13"/>
      <c r="J109" s="13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>
      <c r="A110" s="84"/>
      <c r="B110" s="13"/>
      <c r="C110" s="13"/>
      <c r="D110" s="13"/>
      <c r="E110" s="13"/>
      <c r="F110" s="13"/>
      <c r="G110" s="13"/>
      <c r="H110" s="13"/>
      <c r="I110" s="13"/>
      <c r="J110" s="13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>
      <c r="A111" s="84"/>
      <c r="B111" s="13"/>
      <c r="C111" s="13"/>
      <c r="D111" s="13"/>
      <c r="E111" s="13"/>
      <c r="F111" s="13"/>
      <c r="G111" s="13"/>
      <c r="H111" s="13"/>
      <c r="I111" s="13"/>
      <c r="J111" s="13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>
      <c r="A112" s="84"/>
      <c r="B112" s="13"/>
      <c r="C112" s="13"/>
      <c r="D112" s="13"/>
      <c r="E112" s="13"/>
      <c r="F112" s="13"/>
      <c r="G112" s="13"/>
      <c r="H112" s="13"/>
      <c r="I112" s="13"/>
      <c r="J112" s="13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>
      <c r="A113" s="84"/>
      <c r="B113" s="13"/>
      <c r="C113" s="13"/>
      <c r="D113" s="13"/>
      <c r="E113" s="13"/>
      <c r="F113" s="13"/>
      <c r="G113" s="13"/>
      <c r="H113" s="13"/>
      <c r="I113" s="13"/>
      <c r="J113" s="13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>
      <c r="A114" s="84"/>
      <c r="B114" s="13"/>
      <c r="C114" s="13"/>
      <c r="D114" s="13"/>
      <c r="E114" s="13"/>
      <c r="F114" s="13"/>
      <c r="G114" s="13"/>
      <c r="H114" s="13"/>
      <c r="I114" s="13"/>
      <c r="J114" s="13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>
      <c r="A115" s="84"/>
      <c r="B115" s="13"/>
      <c r="C115" s="13"/>
      <c r="D115" s="13"/>
      <c r="E115" s="13"/>
      <c r="F115" s="13"/>
      <c r="G115" s="13"/>
      <c r="H115" s="13"/>
      <c r="I115" s="13"/>
      <c r="J115" s="13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>
      <c r="A116" s="84"/>
      <c r="B116" s="13"/>
      <c r="C116" s="13"/>
      <c r="D116" s="13"/>
      <c r="E116" s="13"/>
      <c r="F116" s="13"/>
      <c r="G116" s="13"/>
      <c r="H116" s="13"/>
      <c r="I116" s="13"/>
      <c r="J116" s="13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>
      <c r="A117" s="84"/>
      <c r="B117" s="13"/>
      <c r="C117" s="13"/>
      <c r="D117" s="13"/>
      <c r="E117" s="13"/>
      <c r="F117" s="13"/>
      <c r="G117" s="13"/>
      <c r="H117" s="13"/>
      <c r="I117" s="13"/>
      <c r="J117" s="13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>
      <c r="A118" s="84"/>
      <c r="B118" s="13"/>
      <c r="C118" s="13"/>
      <c r="D118" s="13"/>
      <c r="E118" s="13"/>
      <c r="F118" s="13"/>
      <c r="G118" s="13"/>
      <c r="H118" s="13"/>
      <c r="I118" s="13"/>
      <c r="J118" s="13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>
      <c r="A119" s="84"/>
      <c r="B119" s="13"/>
      <c r="C119" s="13"/>
      <c r="D119" s="13"/>
      <c r="E119" s="13"/>
      <c r="F119" s="13"/>
      <c r="G119" s="13"/>
      <c r="H119" s="13"/>
      <c r="I119" s="13"/>
      <c r="J119" s="13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>
      <c r="A120" s="84"/>
      <c r="B120" s="13"/>
      <c r="C120" s="13"/>
      <c r="D120" s="13"/>
      <c r="E120" s="13"/>
      <c r="F120" s="13"/>
      <c r="G120" s="13"/>
      <c r="H120" s="13"/>
      <c r="I120" s="13"/>
      <c r="J120" s="13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>
      <c r="A121" s="84"/>
      <c r="B121" s="13"/>
      <c r="C121" s="13"/>
      <c r="D121" s="13"/>
      <c r="E121" s="13"/>
      <c r="F121" s="13"/>
      <c r="G121" s="13"/>
      <c r="H121" s="13"/>
      <c r="I121" s="13"/>
      <c r="J121" s="13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>
      <c r="A122" s="84"/>
      <c r="B122" s="13"/>
      <c r="C122" s="13"/>
      <c r="D122" s="13"/>
      <c r="E122" s="13"/>
      <c r="F122" s="13"/>
      <c r="G122" s="13"/>
      <c r="H122" s="13"/>
      <c r="I122" s="13"/>
      <c r="J122" s="13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>
      <c r="A123" s="84"/>
      <c r="B123" s="13"/>
      <c r="C123" s="13"/>
      <c r="D123" s="13"/>
      <c r="E123" s="13"/>
      <c r="F123" s="13"/>
      <c r="G123" s="13"/>
      <c r="H123" s="13"/>
      <c r="I123" s="13"/>
      <c r="J123" s="13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>
      <c r="A124" s="84"/>
      <c r="B124" s="13"/>
      <c r="C124" s="13"/>
      <c r="D124" s="13"/>
      <c r="E124" s="13"/>
      <c r="F124" s="13"/>
      <c r="G124" s="13"/>
      <c r="H124" s="13"/>
      <c r="I124" s="13"/>
      <c r="J124" s="13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>
      <c r="A125" s="84"/>
      <c r="B125" s="13"/>
      <c r="C125" s="13"/>
      <c r="D125" s="13"/>
      <c r="E125" s="13"/>
      <c r="F125" s="13"/>
      <c r="G125" s="13"/>
      <c r="H125" s="13"/>
      <c r="I125" s="13"/>
      <c r="J125" s="13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>
      <c r="A126" s="84"/>
      <c r="B126" s="13"/>
      <c r="C126" s="13"/>
      <c r="D126" s="13"/>
      <c r="E126" s="13"/>
      <c r="F126" s="13"/>
      <c r="G126" s="13"/>
      <c r="H126" s="13"/>
      <c r="I126" s="13"/>
      <c r="J126" s="13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>
      <c r="A127" s="84"/>
      <c r="B127" s="13"/>
      <c r="C127" s="13"/>
      <c r="D127" s="13"/>
      <c r="E127" s="13"/>
      <c r="F127" s="13"/>
      <c r="G127" s="13"/>
      <c r="H127" s="13"/>
      <c r="I127" s="13"/>
      <c r="J127" s="13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>
      <c r="A128" s="84"/>
      <c r="B128" s="13"/>
      <c r="C128" s="13"/>
      <c r="D128" s="13"/>
      <c r="E128" s="13"/>
      <c r="F128" s="13"/>
      <c r="G128" s="13"/>
      <c r="H128" s="13"/>
      <c r="I128" s="13"/>
      <c r="J128" s="13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>
      <c r="A129" s="84"/>
      <c r="B129" s="13"/>
      <c r="C129" s="13"/>
      <c r="D129" s="13"/>
      <c r="E129" s="13"/>
      <c r="F129" s="13"/>
      <c r="G129" s="13"/>
      <c r="H129" s="13"/>
      <c r="I129" s="13"/>
      <c r="J129" s="13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>
      <c r="A130" s="84"/>
      <c r="B130" s="13"/>
      <c r="C130" s="13"/>
      <c r="D130" s="13"/>
      <c r="E130" s="13"/>
      <c r="F130" s="13"/>
      <c r="G130" s="13"/>
      <c r="H130" s="13"/>
      <c r="I130" s="13"/>
      <c r="J130" s="13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>
      <c r="A131" s="84"/>
      <c r="B131" s="13"/>
      <c r="C131" s="13"/>
      <c r="D131" s="13"/>
      <c r="E131" s="13"/>
      <c r="F131" s="13"/>
      <c r="G131" s="13"/>
      <c r="H131" s="13"/>
      <c r="I131" s="13"/>
      <c r="J131" s="13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>
      <c r="A132" s="84"/>
      <c r="B132" s="13"/>
      <c r="C132" s="13"/>
      <c r="D132" s="13"/>
      <c r="E132" s="13"/>
      <c r="F132" s="13"/>
      <c r="G132" s="13"/>
      <c r="H132" s="13"/>
      <c r="I132" s="13"/>
      <c r="J132" s="13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>
      <c r="A133" s="84"/>
      <c r="B133" s="13"/>
      <c r="C133" s="13"/>
      <c r="D133" s="13"/>
      <c r="E133" s="13"/>
      <c r="F133" s="13"/>
      <c r="G133" s="13"/>
      <c r="H133" s="13"/>
      <c r="I133" s="13"/>
      <c r="J133" s="13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>
      <c r="A134" s="84"/>
      <c r="B134" s="13"/>
      <c r="C134" s="13"/>
      <c r="D134" s="13"/>
      <c r="E134" s="13"/>
      <c r="F134" s="13"/>
      <c r="G134" s="13"/>
      <c r="H134" s="13"/>
      <c r="I134" s="13"/>
      <c r="J134" s="13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>
      <c r="A135" s="84"/>
      <c r="B135" s="13"/>
      <c r="C135" s="13"/>
      <c r="D135" s="13"/>
      <c r="E135" s="13"/>
      <c r="F135" s="13"/>
      <c r="G135" s="13"/>
      <c r="H135" s="13"/>
      <c r="I135" s="13"/>
      <c r="J135" s="13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>
      <c r="A136" s="84"/>
      <c r="B136" s="13"/>
      <c r="C136" s="13"/>
      <c r="D136" s="13"/>
      <c r="E136" s="13"/>
      <c r="F136" s="13"/>
      <c r="G136" s="13"/>
      <c r="H136" s="13"/>
      <c r="I136" s="13"/>
      <c r="J136" s="13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>
      <c r="A137" s="84"/>
      <c r="B137" s="13"/>
      <c r="C137" s="13"/>
      <c r="D137" s="13"/>
      <c r="E137" s="13"/>
      <c r="F137" s="13"/>
      <c r="G137" s="13"/>
      <c r="H137" s="13"/>
      <c r="I137" s="13"/>
      <c r="J137" s="13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>
      <c r="A138" s="84"/>
      <c r="B138" s="13"/>
      <c r="C138" s="13"/>
      <c r="D138" s="13"/>
      <c r="E138" s="13"/>
      <c r="F138" s="13"/>
      <c r="G138" s="13"/>
      <c r="H138" s="13"/>
      <c r="I138" s="13"/>
      <c r="J138" s="13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>
      <c r="A139" s="84"/>
      <c r="B139" s="13"/>
      <c r="C139" s="13"/>
      <c r="D139" s="13"/>
      <c r="E139" s="13"/>
      <c r="F139" s="13"/>
      <c r="G139" s="13"/>
      <c r="H139" s="13"/>
      <c r="I139" s="13"/>
      <c r="J139" s="13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>
      <c r="A140" s="84"/>
      <c r="B140" s="13"/>
      <c r="C140" s="13"/>
      <c r="D140" s="13"/>
      <c r="E140" s="13"/>
      <c r="F140" s="13"/>
      <c r="G140" s="13"/>
      <c r="H140" s="13"/>
      <c r="I140" s="13"/>
      <c r="J140" s="13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>
      <c r="A141" s="84"/>
      <c r="B141" s="13"/>
      <c r="C141" s="13"/>
      <c r="D141" s="13"/>
      <c r="E141" s="13"/>
      <c r="F141" s="13"/>
      <c r="G141" s="13"/>
      <c r="H141" s="13"/>
      <c r="I141" s="13"/>
      <c r="J141" s="13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>
      <c r="A142" s="84"/>
      <c r="B142" s="13"/>
      <c r="C142" s="13"/>
      <c r="D142" s="13"/>
      <c r="E142" s="13"/>
      <c r="F142" s="13"/>
      <c r="G142" s="13"/>
      <c r="H142" s="13"/>
      <c r="I142" s="13"/>
      <c r="J142" s="13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>
      <c r="A143" s="84"/>
      <c r="B143" s="13"/>
      <c r="C143" s="13"/>
      <c r="D143" s="13"/>
      <c r="E143" s="13"/>
      <c r="F143" s="13"/>
      <c r="G143" s="13"/>
      <c r="H143" s="13"/>
      <c r="I143" s="13"/>
      <c r="J143" s="13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>
      <c r="A144" s="84"/>
      <c r="B144" s="13"/>
      <c r="C144" s="13"/>
      <c r="D144" s="13"/>
      <c r="E144" s="13"/>
      <c r="F144" s="13"/>
      <c r="G144" s="13"/>
      <c r="H144" s="13"/>
      <c r="I144" s="13"/>
      <c r="J144" s="13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>
      <c r="A145" s="84"/>
      <c r="B145" s="13"/>
      <c r="C145" s="13"/>
      <c r="D145" s="13"/>
      <c r="E145" s="13"/>
      <c r="F145" s="13"/>
      <c r="G145" s="13"/>
      <c r="H145" s="13"/>
      <c r="I145" s="13"/>
      <c r="J145" s="13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>
      <c r="A146" s="84"/>
      <c r="B146" s="13"/>
      <c r="C146" s="13"/>
      <c r="D146" s="13"/>
      <c r="E146" s="13"/>
      <c r="F146" s="13"/>
      <c r="G146" s="13"/>
      <c r="H146" s="13"/>
      <c r="I146" s="13"/>
      <c r="J146" s="13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>
      <c r="A147" s="84"/>
      <c r="B147" s="13"/>
      <c r="C147" s="13"/>
      <c r="D147" s="13"/>
      <c r="E147" s="13"/>
      <c r="F147" s="13"/>
      <c r="G147" s="13"/>
      <c r="H147" s="13"/>
      <c r="I147" s="13"/>
      <c r="J147" s="13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>
      <c r="A148" s="84"/>
      <c r="B148" s="13"/>
      <c r="C148" s="13"/>
      <c r="D148" s="13"/>
      <c r="E148" s="13"/>
      <c r="F148" s="13"/>
      <c r="G148" s="13"/>
      <c r="H148" s="13"/>
      <c r="I148" s="13"/>
      <c r="J148" s="13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>
      <c r="A149" s="84"/>
      <c r="B149" s="13"/>
      <c r="C149" s="13"/>
      <c r="D149" s="13"/>
      <c r="E149" s="13"/>
      <c r="F149" s="13"/>
      <c r="G149" s="13"/>
      <c r="H149" s="13"/>
      <c r="I149" s="13"/>
      <c r="J149" s="13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>
      <c r="A150" s="84"/>
      <c r="B150" s="13"/>
      <c r="C150" s="13"/>
      <c r="D150" s="13"/>
      <c r="E150" s="13"/>
      <c r="F150" s="13"/>
      <c r="G150" s="13"/>
      <c r="H150" s="13"/>
      <c r="I150" s="13"/>
      <c r="J150" s="13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>
      <c r="A151" s="84"/>
      <c r="B151" s="13"/>
      <c r="C151" s="13"/>
      <c r="D151" s="13"/>
      <c r="E151" s="13"/>
      <c r="F151" s="13"/>
      <c r="G151" s="13"/>
      <c r="H151" s="13"/>
      <c r="I151" s="13"/>
      <c r="J151" s="13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>
      <c r="A152" s="84"/>
      <c r="B152" s="13"/>
      <c r="C152" s="13"/>
      <c r="D152" s="13"/>
      <c r="E152" s="13"/>
      <c r="F152" s="13"/>
      <c r="G152" s="13"/>
      <c r="H152" s="13"/>
      <c r="I152" s="13"/>
      <c r="J152" s="13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>
      <c r="A153" s="84"/>
      <c r="B153" s="13"/>
      <c r="C153" s="13"/>
      <c r="D153" s="13"/>
      <c r="E153" s="13"/>
      <c r="F153" s="13"/>
      <c r="G153" s="13"/>
      <c r="H153" s="13"/>
      <c r="I153" s="13"/>
      <c r="J153" s="13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>
      <c r="A154" s="84"/>
      <c r="B154" s="13"/>
      <c r="C154" s="13"/>
      <c r="D154" s="13"/>
      <c r="E154" s="13"/>
      <c r="F154" s="13"/>
      <c r="G154" s="13"/>
      <c r="H154" s="13"/>
      <c r="I154" s="13"/>
      <c r="J154" s="13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>
      <c r="A155" s="84"/>
      <c r="B155" s="13"/>
      <c r="C155" s="13"/>
      <c r="D155" s="13"/>
      <c r="E155" s="13"/>
      <c r="F155" s="13"/>
      <c r="G155" s="13"/>
      <c r="H155" s="13"/>
      <c r="I155" s="13"/>
      <c r="J155" s="13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>
      <c r="A156" s="84"/>
      <c r="B156" s="13"/>
      <c r="C156" s="13"/>
      <c r="D156" s="13"/>
      <c r="E156" s="13"/>
      <c r="F156" s="13"/>
      <c r="G156" s="13"/>
      <c r="H156" s="13"/>
      <c r="I156" s="13"/>
      <c r="J156" s="13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>
      <c r="A157" s="84"/>
      <c r="B157" s="13"/>
      <c r="C157" s="13"/>
      <c r="D157" s="13"/>
      <c r="E157" s="13"/>
      <c r="F157" s="13"/>
      <c r="G157" s="13"/>
      <c r="H157" s="13"/>
      <c r="I157" s="13"/>
      <c r="J157" s="13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>
      <c r="A158" s="84"/>
      <c r="B158" s="13"/>
      <c r="C158" s="13"/>
      <c r="D158" s="13"/>
      <c r="E158" s="13"/>
      <c r="F158" s="13"/>
      <c r="G158" s="13"/>
      <c r="H158" s="13"/>
      <c r="I158" s="13"/>
      <c r="J158" s="13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>
      <c r="A159" s="84"/>
      <c r="B159" s="13"/>
      <c r="C159" s="13"/>
      <c r="D159" s="13"/>
      <c r="E159" s="13"/>
      <c r="F159" s="13"/>
      <c r="G159" s="13"/>
      <c r="H159" s="13"/>
      <c r="I159" s="13"/>
      <c r="J159" s="13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>
      <c r="A160" s="84"/>
      <c r="B160" s="13"/>
      <c r="C160" s="13"/>
      <c r="D160" s="13"/>
      <c r="E160" s="13"/>
      <c r="F160" s="13"/>
      <c r="G160" s="13"/>
      <c r="H160" s="13"/>
      <c r="I160" s="13"/>
      <c r="J160" s="13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>
      <c r="A161" s="84"/>
      <c r="B161" s="13"/>
      <c r="C161" s="13"/>
      <c r="D161" s="13"/>
      <c r="E161" s="13"/>
      <c r="F161" s="13"/>
      <c r="G161" s="13"/>
      <c r="H161" s="13"/>
      <c r="I161" s="13"/>
      <c r="J161" s="13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>
      <c r="A162" s="84"/>
      <c r="B162" s="13"/>
      <c r="C162" s="13"/>
      <c r="D162" s="13"/>
      <c r="E162" s="13"/>
      <c r="F162" s="13"/>
      <c r="G162" s="13"/>
      <c r="H162" s="13"/>
      <c r="I162" s="13"/>
      <c r="J162" s="13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>
      <c r="A163" s="84"/>
      <c r="B163" s="13"/>
      <c r="C163" s="13"/>
      <c r="D163" s="13"/>
      <c r="E163" s="13"/>
      <c r="F163" s="13"/>
      <c r="G163" s="13"/>
      <c r="H163" s="13"/>
      <c r="I163" s="13"/>
      <c r="J163" s="13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>
      <c r="A164" s="84"/>
      <c r="B164" s="13"/>
      <c r="C164" s="13"/>
      <c r="D164" s="13"/>
      <c r="E164" s="13"/>
      <c r="F164" s="13"/>
      <c r="G164" s="13"/>
      <c r="H164" s="13"/>
      <c r="I164" s="13"/>
      <c r="J164" s="13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>
      <c r="A165" s="84"/>
      <c r="B165" s="13"/>
      <c r="C165" s="13"/>
      <c r="D165" s="13"/>
      <c r="E165" s="13"/>
      <c r="F165" s="13"/>
      <c r="G165" s="13"/>
      <c r="H165" s="13"/>
      <c r="I165" s="13"/>
      <c r="J165" s="13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>
      <c r="A166" s="84"/>
      <c r="B166" s="13"/>
      <c r="C166" s="13"/>
      <c r="D166" s="13"/>
      <c r="E166" s="13"/>
      <c r="F166" s="13"/>
      <c r="G166" s="13"/>
      <c r="H166" s="13"/>
      <c r="I166" s="13"/>
      <c r="J166" s="13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>
      <c r="A167" s="84"/>
      <c r="B167" s="13"/>
      <c r="C167" s="13"/>
      <c r="D167" s="13"/>
      <c r="E167" s="13"/>
      <c r="F167" s="13"/>
      <c r="G167" s="13"/>
      <c r="H167" s="13"/>
      <c r="I167" s="13"/>
      <c r="J167" s="13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>
      <c r="A168" s="84"/>
      <c r="B168" s="13"/>
      <c r="C168" s="13"/>
      <c r="D168" s="13"/>
      <c r="E168" s="13"/>
      <c r="F168" s="13"/>
      <c r="G168" s="13"/>
      <c r="H168" s="13"/>
      <c r="I168" s="13"/>
      <c r="J168" s="13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>
      <c r="A169" s="84"/>
      <c r="B169" s="13"/>
      <c r="C169" s="13"/>
      <c r="D169" s="13"/>
      <c r="E169" s="13"/>
      <c r="F169" s="13"/>
      <c r="G169" s="13"/>
      <c r="H169" s="13"/>
      <c r="I169" s="13"/>
      <c r="J169" s="13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>
      <c r="A170" s="84"/>
      <c r="B170" s="13"/>
      <c r="C170" s="13"/>
      <c r="D170" s="13"/>
      <c r="E170" s="13"/>
      <c r="F170" s="13"/>
      <c r="G170" s="13"/>
      <c r="H170" s="13"/>
      <c r="I170" s="13"/>
      <c r="J170" s="13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>
      <c r="A171" s="84"/>
      <c r="B171" s="13"/>
      <c r="C171" s="13"/>
      <c r="D171" s="13"/>
      <c r="E171" s="13"/>
      <c r="F171" s="13"/>
      <c r="G171" s="13"/>
      <c r="H171" s="13"/>
      <c r="I171" s="13"/>
      <c r="J171" s="13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>
      <c r="A172" s="84"/>
      <c r="B172" s="13"/>
      <c r="C172" s="13"/>
      <c r="D172" s="13"/>
      <c r="E172" s="13"/>
      <c r="F172" s="13"/>
      <c r="G172" s="13"/>
      <c r="H172" s="13"/>
      <c r="I172" s="13"/>
      <c r="J172" s="13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>
      <c r="A173" s="84"/>
      <c r="B173" s="13"/>
      <c r="C173" s="13"/>
      <c r="D173" s="13"/>
      <c r="E173" s="13"/>
      <c r="F173" s="13"/>
      <c r="G173" s="13"/>
      <c r="H173" s="13"/>
      <c r="I173" s="13"/>
      <c r="J173" s="13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>
      <c r="A174" s="84"/>
      <c r="B174" s="13"/>
      <c r="C174" s="13"/>
      <c r="D174" s="13"/>
      <c r="E174" s="13"/>
      <c r="F174" s="13"/>
      <c r="G174" s="13"/>
      <c r="H174" s="13"/>
      <c r="I174" s="13"/>
      <c r="J174" s="13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>
      <c r="A175" s="84"/>
      <c r="B175" s="13"/>
      <c r="C175" s="13"/>
      <c r="D175" s="13"/>
      <c r="E175" s="13"/>
      <c r="F175" s="13"/>
      <c r="G175" s="13"/>
      <c r="H175" s="13"/>
      <c r="I175" s="13"/>
      <c r="J175" s="13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>
      <c r="A176" s="84"/>
      <c r="B176" s="13"/>
      <c r="C176" s="13"/>
      <c r="D176" s="13"/>
      <c r="E176" s="13"/>
      <c r="F176" s="13"/>
      <c r="G176" s="13"/>
      <c r="H176" s="13"/>
      <c r="I176" s="13"/>
      <c r="J176" s="13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>
      <c r="A177" s="84"/>
      <c r="B177" s="13"/>
      <c r="C177" s="13"/>
      <c r="D177" s="13"/>
      <c r="E177" s="13"/>
      <c r="F177" s="13"/>
      <c r="G177" s="13"/>
      <c r="H177" s="13"/>
      <c r="I177" s="13"/>
      <c r="J177" s="13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>
      <c r="A178" s="84"/>
      <c r="B178" s="13"/>
      <c r="C178" s="13"/>
      <c r="D178" s="13"/>
      <c r="E178" s="13"/>
      <c r="F178" s="13"/>
      <c r="G178" s="13"/>
      <c r="H178" s="13"/>
      <c r="I178" s="13"/>
      <c r="J178" s="13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>
      <c r="A179" s="84"/>
      <c r="B179" s="13"/>
      <c r="C179" s="13"/>
      <c r="D179" s="13"/>
      <c r="E179" s="13"/>
      <c r="F179" s="13"/>
      <c r="G179" s="13"/>
      <c r="H179" s="13"/>
      <c r="I179" s="13"/>
      <c r="J179" s="13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>
      <c r="A180" s="84"/>
      <c r="B180" s="13"/>
      <c r="C180" s="13"/>
      <c r="D180" s="13"/>
      <c r="E180" s="13"/>
      <c r="F180" s="13"/>
      <c r="G180" s="13"/>
      <c r="H180" s="13"/>
      <c r="I180" s="13"/>
      <c r="J180" s="13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>
      <c r="A181" s="84"/>
      <c r="B181" s="13"/>
      <c r="C181" s="13"/>
      <c r="D181" s="13"/>
      <c r="E181" s="13"/>
      <c r="F181" s="13"/>
      <c r="G181" s="13"/>
      <c r="H181" s="13"/>
      <c r="I181" s="13"/>
      <c r="J181" s="13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>
      <c r="A182" s="84"/>
      <c r="B182" s="13"/>
      <c r="C182" s="13"/>
      <c r="D182" s="13"/>
      <c r="E182" s="13"/>
      <c r="F182" s="13"/>
      <c r="G182" s="13"/>
      <c r="H182" s="13"/>
      <c r="I182" s="13"/>
      <c r="J182" s="13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>
      <c r="A183" s="84"/>
      <c r="B183" s="13"/>
      <c r="C183" s="13"/>
      <c r="D183" s="13"/>
      <c r="E183" s="13"/>
      <c r="F183" s="13"/>
      <c r="G183" s="13"/>
      <c r="H183" s="13"/>
      <c r="I183" s="13"/>
      <c r="J183" s="13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>
      <c r="A184" s="84"/>
      <c r="B184" s="13"/>
      <c r="C184" s="13"/>
      <c r="D184" s="13"/>
      <c r="E184" s="13"/>
      <c r="F184" s="13"/>
      <c r="G184" s="13"/>
      <c r="H184" s="13"/>
      <c r="I184" s="13"/>
      <c r="J184" s="13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>
      <c r="A185" s="84"/>
      <c r="B185" s="13"/>
      <c r="C185" s="13"/>
      <c r="D185" s="13"/>
      <c r="E185" s="13"/>
      <c r="F185" s="13"/>
      <c r="G185" s="13"/>
      <c r="H185" s="13"/>
      <c r="I185" s="13"/>
      <c r="J185" s="13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>
      <c r="A186" s="84"/>
      <c r="B186" s="13"/>
      <c r="C186" s="13"/>
      <c r="D186" s="13"/>
      <c r="E186" s="13"/>
      <c r="F186" s="13"/>
      <c r="G186" s="13"/>
      <c r="H186" s="13"/>
      <c r="I186" s="13"/>
      <c r="J186" s="13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>
      <c r="A187" s="84"/>
      <c r="B187" s="13"/>
      <c r="C187" s="13"/>
      <c r="D187" s="13"/>
      <c r="E187" s="13"/>
      <c r="F187" s="13"/>
      <c r="G187" s="13"/>
      <c r="H187" s="13"/>
      <c r="I187" s="13"/>
      <c r="J187" s="13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>
      <c r="A188" s="84"/>
      <c r="B188" s="13"/>
      <c r="C188" s="13"/>
      <c r="D188" s="13"/>
      <c r="E188" s="13"/>
      <c r="F188" s="13"/>
      <c r="G188" s="13"/>
      <c r="H188" s="13"/>
      <c r="I188" s="13"/>
      <c r="J188" s="13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>
      <c r="A189" s="84"/>
      <c r="B189" s="13"/>
      <c r="C189" s="13"/>
      <c r="D189" s="13"/>
      <c r="E189" s="13"/>
      <c r="F189" s="13"/>
      <c r="G189" s="13"/>
      <c r="H189" s="13"/>
      <c r="I189" s="13"/>
      <c r="J189" s="13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>
      <c r="A190" s="84"/>
      <c r="B190" s="13"/>
      <c r="C190" s="13"/>
      <c r="D190" s="13"/>
      <c r="E190" s="13"/>
      <c r="F190" s="13"/>
      <c r="G190" s="13"/>
      <c r="H190" s="13"/>
      <c r="I190" s="13"/>
      <c r="J190" s="13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>
      <c r="A191" s="84"/>
      <c r="B191" s="13"/>
      <c r="C191" s="13"/>
      <c r="D191" s="13"/>
      <c r="E191" s="13"/>
      <c r="F191" s="13"/>
      <c r="G191" s="13"/>
      <c r="H191" s="13"/>
      <c r="I191" s="13"/>
      <c r="J191" s="13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>
      <c r="A192" s="84"/>
      <c r="B192" s="13"/>
      <c r="C192" s="13"/>
      <c r="D192" s="13"/>
      <c r="E192" s="13"/>
      <c r="F192" s="13"/>
      <c r="G192" s="13"/>
      <c r="H192" s="13"/>
      <c r="I192" s="13"/>
      <c r="J192" s="13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>
      <c r="A193" s="84"/>
      <c r="B193" s="13"/>
      <c r="C193" s="13"/>
      <c r="D193" s="13"/>
      <c r="E193" s="13"/>
      <c r="F193" s="13"/>
      <c r="G193" s="13"/>
      <c r="H193" s="13"/>
      <c r="I193" s="13"/>
      <c r="J193" s="13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>
      <c r="A194" s="84"/>
      <c r="B194" s="13"/>
      <c r="C194" s="13"/>
      <c r="D194" s="13"/>
      <c r="E194" s="13"/>
      <c r="F194" s="13"/>
      <c r="G194" s="13"/>
      <c r="H194" s="13"/>
      <c r="I194" s="13"/>
      <c r="J194" s="13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>
      <c r="A195" s="84"/>
      <c r="B195" s="13"/>
      <c r="C195" s="13"/>
      <c r="D195" s="13"/>
      <c r="E195" s="13"/>
      <c r="F195" s="13"/>
      <c r="G195" s="13"/>
      <c r="H195" s="13"/>
      <c r="I195" s="13"/>
      <c r="J195" s="13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>
      <c r="A196" s="84"/>
      <c r="B196" s="13"/>
      <c r="C196" s="13"/>
      <c r="D196" s="13"/>
      <c r="E196" s="13"/>
      <c r="F196" s="13"/>
      <c r="G196" s="13"/>
      <c r="H196" s="13"/>
      <c r="I196" s="13"/>
      <c r="J196" s="13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>
      <c r="A197" s="84"/>
      <c r="B197" s="13"/>
      <c r="C197" s="13"/>
      <c r="D197" s="13"/>
      <c r="E197" s="13"/>
      <c r="F197" s="13"/>
      <c r="G197" s="13"/>
      <c r="H197" s="13"/>
      <c r="I197" s="13"/>
      <c r="J197" s="13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>
      <c r="A198" s="84"/>
      <c r="B198" s="13"/>
      <c r="C198" s="13"/>
      <c r="D198" s="13"/>
      <c r="E198" s="13"/>
      <c r="F198" s="13"/>
      <c r="G198" s="13"/>
      <c r="H198" s="13"/>
      <c r="I198" s="13"/>
      <c r="J198" s="13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>
      <c r="A199" s="84"/>
      <c r="B199" s="13"/>
      <c r="C199" s="13"/>
      <c r="D199" s="13"/>
      <c r="E199" s="13"/>
      <c r="F199" s="13"/>
      <c r="G199" s="13"/>
      <c r="H199" s="13"/>
      <c r="I199" s="13"/>
      <c r="J199" s="13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>
      <c r="A200" s="84"/>
      <c r="B200" s="13"/>
      <c r="C200" s="13"/>
      <c r="D200" s="13"/>
      <c r="E200" s="13"/>
      <c r="F200" s="13"/>
      <c r="G200" s="13"/>
      <c r="H200" s="13"/>
      <c r="I200" s="13"/>
      <c r="J200" s="13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>
      <c r="A201" s="84"/>
      <c r="B201" s="13"/>
      <c r="C201" s="13"/>
      <c r="D201" s="13"/>
      <c r="E201" s="13"/>
      <c r="F201" s="13"/>
      <c r="G201" s="13"/>
      <c r="H201" s="13"/>
      <c r="I201" s="13"/>
      <c r="J201" s="13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>
      <c r="A202" s="84"/>
      <c r="B202" s="13"/>
      <c r="C202" s="13"/>
      <c r="D202" s="13"/>
      <c r="E202" s="13"/>
      <c r="F202" s="13"/>
      <c r="G202" s="13"/>
      <c r="H202" s="13"/>
      <c r="I202" s="13"/>
      <c r="J202" s="13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>
      <c r="A203" s="84"/>
      <c r="B203" s="13"/>
      <c r="C203" s="13"/>
      <c r="D203" s="13"/>
      <c r="E203" s="13"/>
      <c r="F203" s="13"/>
      <c r="G203" s="13"/>
      <c r="H203" s="13"/>
      <c r="I203" s="13"/>
      <c r="J203" s="13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>
      <c r="A204" s="84"/>
      <c r="B204" s="13"/>
      <c r="C204" s="13"/>
      <c r="D204" s="13"/>
      <c r="E204" s="13"/>
      <c r="F204" s="13"/>
      <c r="G204" s="13"/>
      <c r="H204" s="13"/>
      <c r="I204" s="13"/>
      <c r="J204" s="13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>
      <c r="A205" s="84"/>
      <c r="B205" s="13"/>
      <c r="C205" s="13"/>
      <c r="D205" s="13"/>
      <c r="E205" s="13"/>
      <c r="F205" s="13"/>
      <c r="G205" s="13"/>
      <c r="H205" s="13"/>
      <c r="I205" s="13"/>
      <c r="J205" s="13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>
      <c r="A206" s="84"/>
      <c r="B206" s="13"/>
      <c r="C206" s="13"/>
      <c r="D206" s="13"/>
      <c r="E206" s="13"/>
      <c r="F206" s="13"/>
      <c r="G206" s="13"/>
      <c r="H206" s="13"/>
      <c r="I206" s="13"/>
      <c r="J206" s="13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>
      <c r="A207" s="84"/>
      <c r="B207" s="13"/>
      <c r="C207" s="13"/>
      <c r="D207" s="13"/>
      <c r="E207" s="13"/>
      <c r="F207" s="13"/>
      <c r="G207" s="13"/>
      <c r="H207" s="13"/>
      <c r="I207" s="13"/>
      <c r="J207" s="13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>
      <c r="A208" s="84"/>
      <c r="B208" s="13"/>
      <c r="C208" s="13"/>
      <c r="D208" s="13"/>
      <c r="E208" s="13"/>
      <c r="F208" s="13"/>
      <c r="G208" s="13"/>
      <c r="H208" s="13"/>
      <c r="I208" s="13"/>
      <c r="J208" s="13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>
      <c r="A209" s="84"/>
      <c r="B209" s="13"/>
      <c r="C209" s="13"/>
      <c r="D209" s="13"/>
      <c r="E209" s="13"/>
      <c r="F209" s="13"/>
      <c r="G209" s="13"/>
      <c r="H209" s="13"/>
      <c r="I209" s="13"/>
      <c r="J209" s="13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>
      <c r="A210" s="84"/>
      <c r="B210" s="13"/>
      <c r="C210" s="13"/>
      <c r="D210" s="13"/>
      <c r="E210" s="13"/>
      <c r="F210" s="13"/>
      <c r="G210" s="13"/>
      <c r="H210" s="13"/>
      <c r="I210" s="13"/>
      <c r="J210" s="13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>
      <c r="A211" s="84"/>
      <c r="B211" s="13"/>
      <c r="C211" s="13"/>
      <c r="D211" s="13"/>
      <c r="E211" s="13"/>
      <c r="F211" s="13"/>
      <c r="G211" s="13"/>
      <c r="H211" s="13"/>
      <c r="I211" s="13"/>
      <c r="J211" s="13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>
      <c r="A212" s="84"/>
      <c r="B212" s="13"/>
      <c r="C212" s="13"/>
      <c r="D212" s="13"/>
      <c r="E212" s="13"/>
      <c r="F212" s="13"/>
      <c r="G212" s="13"/>
      <c r="H212" s="13"/>
      <c r="I212" s="13"/>
      <c r="J212" s="13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>
      <c r="A213" s="84"/>
      <c r="B213" s="13"/>
      <c r="C213" s="13"/>
      <c r="D213" s="13"/>
      <c r="E213" s="13"/>
      <c r="F213" s="13"/>
      <c r="G213" s="13"/>
      <c r="H213" s="13"/>
      <c r="I213" s="13"/>
      <c r="J213" s="13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>
      <c r="A214" s="84"/>
      <c r="B214" s="13"/>
      <c r="C214" s="13"/>
      <c r="D214" s="13"/>
      <c r="E214" s="13"/>
      <c r="F214" s="13"/>
      <c r="G214" s="13"/>
      <c r="H214" s="13"/>
      <c r="I214" s="13"/>
      <c r="J214" s="13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>
      <c r="A215" s="84"/>
      <c r="B215" s="13"/>
      <c r="C215" s="13"/>
      <c r="D215" s="13"/>
      <c r="E215" s="13"/>
      <c r="F215" s="13"/>
      <c r="G215" s="13"/>
      <c r="H215" s="13"/>
      <c r="I215" s="13"/>
      <c r="J215" s="13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>
      <c r="A216" s="84"/>
      <c r="B216" s="13"/>
      <c r="C216" s="13"/>
      <c r="D216" s="13"/>
      <c r="E216" s="13"/>
      <c r="F216" s="13"/>
      <c r="G216" s="13"/>
      <c r="H216" s="13"/>
      <c r="I216" s="13"/>
      <c r="J216" s="13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>
      <c r="A217" s="84"/>
      <c r="B217" s="13"/>
      <c r="C217" s="13"/>
      <c r="D217" s="13"/>
      <c r="E217" s="13"/>
      <c r="F217" s="13"/>
      <c r="G217" s="13"/>
      <c r="H217" s="13"/>
      <c r="I217" s="13"/>
      <c r="J217" s="13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>
      <c r="A218" s="84"/>
      <c r="B218" s="13"/>
      <c r="C218" s="13"/>
      <c r="D218" s="13"/>
      <c r="E218" s="13"/>
      <c r="F218" s="13"/>
      <c r="G218" s="13"/>
      <c r="H218" s="13"/>
      <c r="I218" s="13"/>
      <c r="J218" s="13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>
      <c r="A219" s="84"/>
      <c r="B219" s="13"/>
      <c r="C219" s="13"/>
      <c r="D219" s="13"/>
      <c r="E219" s="13"/>
      <c r="F219" s="13"/>
      <c r="G219" s="13"/>
      <c r="H219" s="13"/>
      <c r="I219" s="13"/>
      <c r="J219" s="13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>
      <c r="A220" s="84"/>
      <c r="B220" s="13"/>
      <c r="C220" s="13"/>
      <c r="D220" s="13"/>
      <c r="E220" s="13"/>
      <c r="F220" s="13"/>
      <c r="G220" s="13"/>
      <c r="H220" s="13"/>
      <c r="I220" s="13"/>
      <c r="J220" s="13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>
      <c r="A221" s="84"/>
      <c r="B221" s="13"/>
      <c r="C221" s="13"/>
      <c r="D221" s="13"/>
      <c r="E221" s="13"/>
      <c r="F221" s="13"/>
      <c r="G221" s="13"/>
      <c r="H221" s="13"/>
      <c r="I221" s="13"/>
      <c r="J221" s="13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>
      <c r="A222" s="84"/>
      <c r="B222" s="13"/>
      <c r="C222" s="13"/>
      <c r="D222" s="13"/>
      <c r="E222" s="13"/>
      <c r="F222" s="13"/>
      <c r="G222" s="13"/>
      <c r="H222" s="13"/>
      <c r="I222" s="13"/>
      <c r="J222" s="13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>
      <c r="A223" s="84"/>
      <c r="B223" s="13"/>
      <c r="C223" s="13"/>
      <c r="D223" s="13"/>
      <c r="E223" s="13"/>
      <c r="F223" s="13"/>
      <c r="G223" s="13"/>
      <c r="H223" s="13"/>
      <c r="I223" s="13"/>
      <c r="J223" s="13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>
      <c r="A224" s="84"/>
      <c r="B224" s="13"/>
      <c r="C224" s="13"/>
      <c r="D224" s="13"/>
      <c r="E224" s="13"/>
      <c r="F224" s="13"/>
      <c r="G224" s="13"/>
      <c r="H224" s="13"/>
      <c r="I224" s="13"/>
      <c r="J224" s="13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>
      <c r="A225" s="84"/>
      <c r="B225" s="13"/>
      <c r="C225" s="13"/>
      <c r="D225" s="13"/>
      <c r="E225" s="13"/>
      <c r="F225" s="13"/>
      <c r="G225" s="13"/>
      <c r="H225" s="13"/>
      <c r="I225" s="13"/>
      <c r="J225" s="13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>
      <c r="A226" s="84"/>
      <c r="B226" s="13"/>
      <c r="C226" s="13"/>
      <c r="D226" s="13"/>
      <c r="E226" s="13"/>
      <c r="F226" s="13"/>
      <c r="G226" s="13"/>
      <c r="H226" s="13"/>
      <c r="I226" s="13"/>
      <c r="J226" s="13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>
      <c r="A227" s="84"/>
      <c r="B227" s="13"/>
      <c r="C227" s="13"/>
      <c r="D227" s="13"/>
      <c r="E227" s="13"/>
      <c r="F227" s="13"/>
      <c r="G227" s="13"/>
      <c r="H227" s="13"/>
      <c r="I227" s="13"/>
      <c r="J227" s="13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>
      <c r="A228" s="84"/>
      <c r="B228" s="13"/>
      <c r="C228" s="13"/>
      <c r="D228" s="13"/>
      <c r="E228" s="13"/>
      <c r="F228" s="13"/>
      <c r="G228" s="13"/>
      <c r="H228" s="13"/>
      <c r="I228" s="13"/>
      <c r="J228" s="13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>
      <c r="A229" s="84"/>
      <c r="B229" s="13"/>
      <c r="C229" s="13"/>
      <c r="D229" s="13"/>
      <c r="E229" s="13"/>
      <c r="F229" s="13"/>
      <c r="G229" s="13"/>
      <c r="H229" s="13"/>
      <c r="I229" s="13"/>
      <c r="J229" s="13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>
      <c r="A230" s="84"/>
      <c r="B230" s="13"/>
      <c r="C230" s="13"/>
      <c r="D230" s="13"/>
      <c r="E230" s="13"/>
      <c r="F230" s="13"/>
      <c r="G230" s="13"/>
      <c r="H230" s="13"/>
      <c r="I230" s="13"/>
      <c r="J230" s="13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>
      <c r="A231" s="84"/>
      <c r="B231" s="13"/>
      <c r="C231" s="13"/>
      <c r="D231" s="13"/>
      <c r="E231" s="13"/>
      <c r="F231" s="13"/>
      <c r="G231" s="13"/>
      <c r="H231" s="13"/>
      <c r="I231" s="13"/>
      <c r="J231" s="13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>
      <c r="A232" s="84"/>
      <c r="B232" s="13"/>
      <c r="C232" s="13"/>
      <c r="D232" s="13"/>
      <c r="E232" s="13"/>
      <c r="F232" s="13"/>
      <c r="G232" s="13"/>
      <c r="H232" s="13"/>
      <c r="I232" s="13"/>
      <c r="J232" s="13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>
      <c r="A233" s="84"/>
      <c r="B233" s="13"/>
      <c r="C233" s="13"/>
      <c r="D233" s="13"/>
      <c r="E233" s="13"/>
      <c r="F233" s="13"/>
      <c r="G233" s="13"/>
      <c r="H233" s="13"/>
      <c r="I233" s="13"/>
      <c r="J233" s="13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>
      <c r="A234" s="84"/>
      <c r="B234" s="13"/>
      <c r="C234" s="13"/>
      <c r="D234" s="13"/>
      <c r="E234" s="13"/>
      <c r="F234" s="13"/>
      <c r="G234" s="13"/>
      <c r="H234" s="13"/>
      <c r="I234" s="13"/>
      <c r="J234" s="13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>
      <c r="A235" s="84"/>
      <c r="B235" s="13"/>
      <c r="C235" s="13"/>
      <c r="D235" s="13"/>
      <c r="E235" s="13"/>
      <c r="F235" s="13"/>
      <c r="G235" s="13"/>
      <c r="H235" s="13"/>
      <c r="I235" s="13"/>
      <c r="J235" s="13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>
      <c r="A236" s="84"/>
      <c r="B236" s="13"/>
      <c r="C236" s="13"/>
      <c r="D236" s="13"/>
      <c r="E236" s="13"/>
      <c r="F236" s="13"/>
      <c r="G236" s="13"/>
      <c r="H236" s="13"/>
      <c r="I236" s="13"/>
      <c r="J236" s="13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>
      <c r="A237" s="84"/>
      <c r="B237" s="13"/>
      <c r="C237" s="13"/>
      <c r="D237" s="13"/>
      <c r="E237" s="13"/>
      <c r="F237" s="13"/>
      <c r="G237" s="13"/>
      <c r="H237" s="13"/>
      <c r="I237" s="13"/>
      <c r="J237" s="13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>
      <c r="A238" s="84"/>
      <c r="B238" s="13"/>
      <c r="C238" s="13"/>
      <c r="D238" s="13"/>
      <c r="E238" s="13"/>
      <c r="F238" s="13"/>
      <c r="G238" s="13"/>
      <c r="H238" s="13"/>
      <c r="I238" s="13"/>
      <c r="J238" s="13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>
      <c r="A239" s="84"/>
      <c r="B239" s="13"/>
      <c r="C239" s="13"/>
      <c r="D239" s="13"/>
      <c r="E239" s="13"/>
      <c r="F239" s="13"/>
      <c r="G239" s="13"/>
      <c r="H239" s="13"/>
      <c r="I239" s="13"/>
      <c r="J239" s="13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>
      <c r="A240" s="84"/>
      <c r="B240" s="13"/>
      <c r="C240" s="13"/>
      <c r="D240" s="13"/>
      <c r="E240" s="13"/>
      <c r="F240" s="13"/>
      <c r="G240" s="13"/>
      <c r="H240" s="13"/>
      <c r="I240" s="13"/>
      <c r="J240" s="13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>
      <c r="A241" s="84"/>
      <c r="B241" s="13"/>
      <c r="C241" s="13"/>
      <c r="D241" s="13"/>
      <c r="E241" s="13"/>
      <c r="F241" s="13"/>
      <c r="G241" s="13"/>
      <c r="H241" s="13"/>
      <c r="I241" s="13"/>
      <c r="J241" s="13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>
      <c r="A242" s="84"/>
      <c r="B242" s="13"/>
      <c r="C242" s="13"/>
      <c r="D242" s="13"/>
      <c r="E242" s="13"/>
      <c r="F242" s="13"/>
      <c r="G242" s="13"/>
      <c r="H242" s="13"/>
      <c r="I242" s="13"/>
      <c r="J242" s="13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>
      <c r="A243" s="84"/>
      <c r="B243" s="13"/>
      <c r="C243" s="13"/>
      <c r="D243" s="13"/>
      <c r="E243" s="13"/>
      <c r="F243" s="13"/>
      <c r="G243" s="13"/>
      <c r="H243" s="13"/>
      <c r="I243" s="13"/>
      <c r="J243" s="13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>
      <c r="A244" s="84"/>
      <c r="B244" s="13"/>
      <c r="C244" s="13"/>
      <c r="D244" s="13"/>
      <c r="E244" s="13"/>
      <c r="F244" s="13"/>
      <c r="G244" s="13"/>
      <c r="H244" s="13"/>
      <c r="I244" s="13"/>
      <c r="J244" s="13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>
      <c r="A245" s="84"/>
      <c r="B245" s="13"/>
      <c r="C245" s="13"/>
      <c r="D245" s="13"/>
      <c r="E245" s="13"/>
      <c r="F245" s="13"/>
      <c r="G245" s="13"/>
      <c r="H245" s="13"/>
      <c r="I245" s="13"/>
      <c r="J245" s="13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>
      <c r="A246" s="84"/>
      <c r="B246" s="13"/>
      <c r="C246" s="13"/>
      <c r="D246" s="13"/>
      <c r="E246" s="13"/>
      <c r="F246" s="13"/>
      <c r="G246" s="13"/>
      <c r="H246" s="13"/>
      <c r="I246" s="13"/>
      <c r="J246" s="13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>
      <c r="A247" s="84"/>
      <c r="B247" s="13"/>
      <c r="C247" s="13"/>
      <c r="D247" s="13"/>
      <c r="E247" s="13"/>
      <c r="F247" s="13"/>
      <c r="G247" s="13"/>
      <c r="H247" s="13"/>
      <c r="I247" s="13"/>
      <c r="J247" s="13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>
      <c r="A248" s="84"/>
      <c r="B248" s="13"/>
      <c r="C248" s="13"/>
      <c r="D248" s="13"/>
      <c r="E248" s="13"/>
      <c r="F248" s="13"/>
      <c r="G248" s="13"/>
      <c r="H248" s="13"/>
      <c r="I248" s="13"/>
      <c r="J248" s="13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>
      <c r="A249" s="84"/>
      <c r="B249" s="13"/>
      <c r="C249" s="13"/>
      <c r="D249" s="13"/>
      <c r="E249" s="13"/>
      <c r="F249" s="13"/>
      <c r="G249" s="13"/>
      <c r="H249" s="13"/>
      <c r="I249" s="13"/>
      <c r="J249" s="13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>
      <c r="A250" s="84"/>
      <c r="B250" s="13"/>
      <c r="C250" s="13"/>
      <c r="D250" s="13"/>
      <c r="E250" s="13"/>
      <c r="F250" s="13"/>
      <c r="G250" s="13"/>
      <c r="H250" s="13"/>
      <c r="I250" s="13"/>
      <c r="J250" s="13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>
      <c r="A251" s="84"/>
      <c r="B251" s="13"/>
      <c r="C251" s="13"/>
      <c r="D251" s="13"/>
      <c r="E251" s="13"/>
      <c r="F251" s="13"/>
      <c r="G251" s="13"/>
      <c r="H251" s="13"/>
      <c r="I251" s="13"/>
      <c r="J251" s="13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>
      <c r="A252" s="84"/>
      <c r="B252" s="13"/>
      <c r="C252" s="13"/>
      <c r="D252" s="13"/>
      <c r="E252" s="13"/>
      <c r="F252" s="13"/>
      <c r="G252" s="13"/>
      <c r="H252" s="13"/>
      <c r="I252" s="13"/>
      <c r="J252" s="13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>
      <c r="A253" s="84"/>
      <c r="B253" s="13"/>
      <c r="C253" s="13"/>
      <c r="D253" s="13"/>
      <c r="E253" s="13"/>
      <c r="F253" s="13"/>
      <c r="G253" s="13"/>
      <c r="H253" s="13"/>
      <c r="I253" s="13"/>
      <c r="J253" s="13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>
      <c r="A254" s="84"/>
      <c r="B254" s="13"/>
      <c r="C254" s="13"/>
      <c r="D254" s="13"/>
      <c r="E254" s="13"/>
      <c r="F254" s="13"/>
      <c r="G254" s="13"/>
      <c r="H254" s="13"/>
      <c r="I254" s="13"/>
      <c r="J254" s="13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>
      <c r="A255" s="84"/>
      <c r="B255" s="13"/>
      <c r="C255" s="13"/>
      <c r="D255" s="13"/>
      <c r="E255" s="13"/>
      <c r="F255" s="13"/>
      <c r="G255" s="13"/>
      <c r="H255" s="13"/>
      <c r="I255" s="13"/>
      <c r="J255" s="13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>
      <c r="A256" s="84"/>
      <c r="B256" s="13"/>
      <c r="C256" s="13"/>
      <c r="D256" s="13"/>
      <c r="E256" s="13"/>
      <c r="F256" s="13"/>
      <c r="G256" s="13"/>
      <c r="H256" s="13"/>
      <c r="I256" s="13"/>
      <c r="J256" s="13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>
      <c r="A257" s="84"/>
      <c r="B257" s="13"/>
      <c r="C257" s="13"/>
      <c r="D257" s="13"/>
      <c r="E257" s="13"/>
      <c r="F257" s="13"/>
      <c r="G257" s="13"/>
      <c r="H257" s="13"/>
      <c r="I257" s="13"/>
      <c r="J257" s="13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>
      <c r="A258" s="84"/>
      <c r="B258" s="13"/>
      <c r="C258" s="13"/>
      <c r="D258" s="13"/>
      <c r="E258" s="13"/>
      <c r="F258" s="13"/>
      <c r="G258" s="13"/>
      <c r="H258" s="13"/>
      <c r="I258" s="13"/>
      <c r="J258" s="13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>
      <c r="A259" s="84"/>
      <c r="B259" s="13"/>
      <c r="C259" s="13"/>
      <c r="D259" s="13"/>
      <c r="E259" s="13"/>
      <c r="F259" s="13"/>
      <c r="G259" s="13"/>
      <c r="H259" s="13"/>
      <c r="I259" s="13"/>
      <c r="J259" s="13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>
      <c r="A260" s="84"/>
      <c r="B260" s="13"/>
      <c r="C260" s="13"/>
      <c r="D260" s="13"/>
      <c r="E260" s="13"/>
      <c r="F260" s="13"/>
      <c r="G260" s="13"/>
      <c r="H260" s="13"/>
      <c r="I260" s="13"/>
      <c r="J260" s="13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>
      <c r="A261" s="84"/>
      <c r="B261" s="13"/>
      <c r="C261" s="13"/>
      <c r="D261" s="13"/>
      <c r="E261" s="13"/>
      <c r="F261" s="13"/>
      <c r="G261" s="13"/>
      <c r="H261" s="13"/>
      <c r="I261" s="13"/>
      <c r="J261" s="13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>
      <c r="A262" s="84"/>
      <c r="B262" s="13"/>
      <c r="C262" s="13"/>
      <c r="D262" s="13"/>
      <c r="E262" s="13"/>
      <c r="F262" s="13"/>
      <c r="G262" s="13"/>
      <c r="H262" s="13"/>
      <c r="I262" s="13"/>
      <c r="J262" s="13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>
      <c r="A263" s="84"/>
      <c r="B263" s="13"/>
      <c r="C263" s="13"/>
      <c r="D263" s="13"/>
      <c r="E263" s="13"/>
      <c r="F263" s="13"/>
      <c r="G263" s="13"/>
      <c r="H263" s="13"/>
      <c r="I263" s="13"/>
      <c r="J263" s="13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>
      <c r="A264" s="84"/>
      <c r="B264" s="13"/>
      <c r="C264" s="13"/>
      <c r="D264" s="13"/>
      <c r="E264" s="13"/>
      <c r="F264" s="13"/>
      <c r="G264" s="13"/>
      <c r="H264" s="13"/>
      <c r="I264" s="13"/>
      <c r="J264" s="13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>
      <c r="A265" s="84"/>
      <c r="B265" s="13"/>
      <c r="C265" s="13"/>
      <c r="D265" s="13"/>
      <c r="E265" s="13"/>
      <c r="F265" s="13"/>
      <c r="G265" s="13"/>
      <c r="H265" s="13"/>
      <c r="I265" s="13"/>
      <c r="J265" s="13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>
      <c r="A266" s="84"/>
      <c r="B266" s="13"/>
      <c r="C266" s="13"/>
      <c r="D266" s="13"/>
      <c r="E266" s="13"/>
      <c r="F266" s="13"/>
      <c r="G266" s="13"/>
      <c r="H266" s="13"/>
      <c r="I266" s="13"/>
      <c r="J266" s="13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>
      <c r="A267" s="84"/>
      <c r="B267" s="13"/>
      <c r="C267" s="13"/>
      <c r="D267" s="13"/>
      <c r="E267" s="13"/>
      <c r="F267" s="13"/>
      <c r="G267" s="13"/>
      <c r="H267" s="13"/>
      <c r="I267" s="13"/>
      <c r="J267" s="13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>
      <c r="A268" s="84"/>
      <c r="B268" s="13"/>
      <c r="C268" s="13"/>
      <c r="D268" s="13"/>
      <c r="E268" s="13"/>
      <c r="F268" s="13"/>
      <c r="G268" s="13"/>
      <c r="H268" s="13"/>
      <c r="I268" s="13"/>
      <c r="J268" s="13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>
      <c r="A269" s="84"/>
      <c r="B269" s="13"/>
      <c r="C269" s="13"/>
      <c r="D269" s="13"/>
      <c r="E269" s="13"/>
      <c r="F269" s="13"/>
      <c r="G269" s="13"/>
      <c r="H269" s="13"/>
      <c r="I269" s="13"/>
      <c r="J269" s="13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>
      <c r="A270" s="84"/>
      <c r="B270" s="13"/>
      <c r="C270" s="13"/>
      <c r="D270" s="13"/>
      <c r="E270" s="13"/>
      <c r="F270" s="13"/>
      <c r="G270" s="13"/>
      <c r="H270" s="13"/>
      <c r="I270" s="13"/>
      <c r="J270" s="13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>
      <c r="A271" s="84"/>
      <c r="B271" s="13"/>
      <c r="C271" s="13"/>
      <c r="D271" s="13"/>
      <c r="E271" s="13"/>
      <c r="F271" s="13"/>
      <c r="G271" s="13"/>
      <c r="H271" s="13"/>
      <c r="I271" s="13"/>
      <c r="J271" s="13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>
      <c r="A272" s="84"/>
      <c r="B272" s="13"/>
      <c r="C272" s="13"/>
      <c r="D272" s="13"/>
      <c r="E272" s="13"/>
      <c r="F272" s="13"/>
      <c r="G272" s="13"/>
      <c r="H272" s="13"/>
      <c r="I272" s="13"/>
      <c r="J272" s="13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>
      <c r="A273" s="84"/>
      <c r="B273" s="13"/>
      <c r="C273" s="13"/>
      <c r="D273" s="13"/>
      <c r="E273" s="13"/>
      <c r="F273" s="13"/>
      <c r="G273" s="13"/>
      <c r="H273" s="13"/>
      <c r="I273" s="13"/>
      <c r="J273" s="13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>
      <c r="A274" s="84"/>
      <c r="B274" s="13"/>
      <c r="C274" s="13"/>
      <c r="D274" s="13"/>
      <c r="E274" s="13"/>
      <c r="F274" s="13"/>
      <c r="G274" s="13"/>
      <c r="H274" s="13"/>
      <c r="I274" s="13"/>
      <c r="J274" s="13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>
      <c r="A275" s="84"/>
      <c r="B275" s="13"/>
      <c r="C275" s="13"/>
      <c r="D275" s="13"/>
      <c r="E275" s="13"/>
      <c r="F275" s="13"/>
      <c r="G275" s="13"/>
      <c r="H275" s="13"/>
      <c r="I275" s="13"/>
      <c r="J275" s="13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>
      <c r="A276" s="84"/>
      <c r="B276" s="13"/>
      <c r="C276" s="13"/>
      <c r="D276" s="13"/>
      <c r="E276" s="13"/>
      <c r="F276" s="13"/>
      <c r="G276" s="13"/>
      <c r="H276" s="13"/>
      <c r="I276" s="13"/>
      <c r="J276" s="13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>
      <c r="A277" s="84"/>
      <c r="B277" s="13"/>
      <c r="C277" s="13"/>
      <c r="D277" s="13"/>
      <c r="E277" s="13"/>
      <c r="F277" s="13"/>
      <c r="G277" s="13"/>
      <c r="H277" s="13"/>
      <c r="I277" s="13"/>
      <c r="J277" s="13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108"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  <mergeCell ref="J21:J22"/>
    <mergeCell ref="I23:I24"/>
    <mergeCell ref="J23:J24"/>
    <mergeCell ref="B8:B12"/>
    <mergeCell ref="D11:D12"/>
    <mergeCell ref="B21:B24"/>
    <mergeCell ref="C21:C24"/>
    <mergeCell ref="D21:D22"/>
    <mergeCell ref="E21:E22"/>
    <mergeCell ref="G21:G24"/>
    <mergeCell ref="I29:I30"/>
    <mergeCell ref="H31:J31"/>
    <mergeCell ref="H35:J38"/>
    <mergeCell ref="D23:D24"/>
    <mergeCell ref="E23:E24"/>
    <mergeCell ref="B26:B30"/>
    <mergeCell ref="C26:C27"/>
    <mergeCell ref="G26:G30"/>
    <mergeCell ref="H26:H27"/>
    <mergeCell ref="H28:H30"/>
    <mergeCell ref="C28:C30"/>
    <mergeCell ref="D29:D30"/>
    <mergeCell ref="C31:E31"/>
    <mergeCell ref="B35:B38"/>
    <mergeCell ref="C35:E38"/>
    <mergeCell ref="G35:G38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I57:I58"/>
    <mergeCell ref="I59:I60"/>
    <mergeCell ref="C57:C60"/>
    <mergeCell ref="E57:E58"/>
    <mergeCell ref="G57:G60"/>
    <mergeCell ref="H57:H60"/>
    <mergeCell ref="J57:J58"/>
    <mergeCell ref="E59:E60"/>
    <mergeCell ref="J59:J60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I75:I76"/>
    <mergeCell ref="J75:J76"/>
    <mergeCell ref="H39:H42"/>
    <mergeCell ref="H44:H45"/>
    <mergeCell ref="H46:H48"/>
    <mergeCell ref="I47:I48"/>
    <mergeCell ref="G53:G56"/>
    <mergeCell ref="H53:J56"/>
    <mergeCell ref="G39:G42"/>
    <mergeCell ref="I39:I40"/>
    <mergeCell ref="J39:J40"/>
    <mergeCell ref="I41:I42"/>
    <mergeCell ref="J41:J42"/>
    <mergeCell ref="G44:G48"/>
    <mergeCell ref="H49:J49"/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B39:B42"/>
    <mergeCell ref="E39:E40"/>
    <mergeCell ref="E41:E42"/>
    <mergeCell ref="B44:B48"/>
    <mergeCell ref="B53:B56"/>
    <mergeCell ref="C53:E56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</vt:lpstr>
      <vt:lpstr>ACONDICIONAMIENTO</vt:lpstr>
      <vt:lpstr>ESTADO DE LIMPIEZA DE A Y E</vt:lpstr>
      <vt:lpstr>COA PT</vt:lpstr>
      <vt:lpstr>INSPECCIÓN ETIQUETAS</vt:lpstr>
      <vt:lpstr>ROTULO DE DISPENSACION</vt:lpstr>
      <vt:lpstr>PRODUCTO EN PROCESO</vt:lpstr>
      <vt:lpstr>INSPECCIÓN DE PRODUCTO FINAL</vt:lpstr>
      <vt:lpstr>ENVASADO NO CONTINUO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2026-03-28T00:29:30Z</dcterms:modified>
</cp:coreProperties>
</file>