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Formulas Maestras/SUERO MULTIPEPTIDOS FORMULA NUEVA/"/>
    </mc:Choice>
  </mc:AlternateContent>
  <xr:revisionPtr revIDLastSave="6" documentId="11_B28FBAE726A848498A42977D84FE3009FFB22574" xr6:coauthVersionLast="47" xr6:coauthVersionMax="47" xr10:uidLastSave="{2BBFB6F5-EA1F-4DCD-8A73-234D2540BA9F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INSPECCIÓN ETIQUETAS" sheetId="11" r:id="rId11"/>
    <sheet name="ROTULO DE DISPENSACION" sheetId="12" r:id="rId12"/>
    <sheet name="PRODUCTO EN PROCESO" sheetId="13" r:id="rId13"/>
    <sheet name="INSPECCIÓN DE PRODUCTO FINAL" sheetId="14" r:id="rId14"/>
    <sheet name="ROTULO PT" sheetId="15" r:id="rId15"/>
    <sheet name="ENVASADO NO CONTINUO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5rokmE6hnzfxW13qeqmC9sj8Z69AdABo6/nqJvHUlZo="/>
    </ext>
  </extLst>
</workbook>
</file>

<file path=xl/calcChain.xml><?xml version="1.0" encoding="utf-8"?>
<calcChain xmlns="http://schemas.openxmlformats.org/spreadsheetml/2006/main">
  <c r="H8" i="14" l="1"/>
  <c r="C10" i="13"/>
  <c r="H10" i="13" s="1"/>
  <c r="C377" i="12"/>
  <c r="H376" i="12"/>
  <c r="C376" i="12"/>
  <c r="C363" i="12"/>
  <c r="H362" i="12"/>
  <c r="C362" i="12"/>
  <c r="H348" i="12"/>
  <c r="C348" i="12"/>
  <c r="H334" i="12"/>
  <c r="C334" i="12"/>
  <c r="H320" i="12"/>
  <c r="C320" i="12"/>
  <c r="H306" i="12"/>
  <c r="C306" i="12"/>
  <c r="H292" i="12"/>
  <c r="C292" i="12"/>
  <c r="H278" i="12"/>
  <c r="C278" i="12"/>
  <c r="H264" i="12"/>
  <c r="C264" i="12"/>
  <c r="H250" i="12"/>
  <c r="C250" i="12"/>
  <c r="H236" i="12"/>
  <c r="C236" i="12"/>
  <c r="H222" i="12"/>
  <c r="C222" i="12"/>
  <c r="C209" i="12"/>
  <c r="H208" i="12"/>
  <c r="C208" i="12"/>
  <c r="H194" i="12"/>
  <c r="C194" i="12"/>
  <c r="H180" i="12"/>
  <c r="C180" i="12"/>
  <c r="H166" i="12"/>
  <c r="C166" i="12"/>
  <c r="H152" i="12"/>
  <c r="C152" i="12"/>
  <c r="H138" i="12"/>
  <c r="C138" i="12"/>
  <c r="C136" i="12"/>
  <c r="H124" i="12"/>
  <c r="C124" i="12"/>
  <c r="H110" i="12"/>
  <c r="C110" i="12"/>
  <c r="H96" i="12"/>
  <c r="C96" i="12"/>
  <c r="H82" i="12"/>
  <c r="C82" i="12"/>
  <c r="H66" i="12"/>
  <c r="C66" i="12"/>
  <c r="H52" i="12"/>
  <c r="C52" i="12"/>
  <c r="H38" i="12"/>
  <c r="C38" i="12"/>
  <c r="H23" i="12"/>
  <c r="C23" i="12"/>
  <c r="H8" i="12"/>
  <c r="C8" i="12"/>
  <c r="H10" i="11"/>
  <c r="D16" i="10"/>
  <c r="D15" i="10"/>
  <c r="D14" i="10"/>
  <c r="O8" i="8"/>
  <c r="M17" i="7"/>
  <c r="M16" i="7"/>
  <c r="M15" i="7"/>
  <c r="M14" i="7"/>
  <c r="F8" i="7"/>
  <c r="O7" i="7"/>
  <c r="D9" i="6"/>
  <c r="M41" i="4"/>
  <c r="H41" i="4"/>
  <c r="C41" i="4"/>
  <c r="A41" i="4"/>
  <c r="M40" i="4"/>
  <c r="H40" i="4"/>
  <c r="C40" i="4"/>
  <c r="A40" i="4"/>
  <c r="M39" i="4"/>
  <c r="H39" i="4"/>
  <c r="C39" i="4"/>
  <c r="A39" i="4"/>
  <c r="M38" i="4"/>
  <c r="H38" i="4"/>
  <c r="C38" i="4"/>
  <c r="A38" i="4"/>
  <c r="M37" i="4"/>
  <c r="H37" i="4"/>
  <c r="C37" i="4"/>
  <c r="A37" i="4"/>
  <c r="M36" i="4"/>
  <c r="H36" i="4"/>
  <c r="C36" i="4"/>
  <c r="A36" i="4"/>
  <c r="M35" i="4"/>
  <c r="H35" i="4"/>
  <c r="C35" i="4"/>
  <c r="A35" i="4"/>
  <c r="M34" i="4"/>
  <c r="K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40" i="3"/>
  <c r="N39" i="3"/>
  <c r="C349" i="12" s="1"/>
  <c r="N38" i="3"/>
  <c r="C335" i="12" s="1"/>
  <c r="N37" i="3"/>
  <c r="C321" i="12" s="1"/>
  <c r="N36" i="3"/>
  <c r="K38" i="4" s="1"/>
  <c r="N35" i="3"/>
  <c r="C293" i="12" s="1"/>
  <c r="N34" i="3"/>
  <c r="K36" i="4" s="1"/>
  <c r="N33" i="3"/>
  <c r="K35" i="4" s="1"/>
  <c r="N32" i="3"/>
  <c r="C251" i="12" s="1"/>
  <c r="N31" i="3"/>
  <c r="C237" i="12" s="1"/>
  <c r="N30" i="3"/>
  <c r="K32" i="4" s="1"/>
  <c r="N29" i="3"/>
  <c r="K31" i="4" s="1"/>
  <c r="N28" i="3"/>
  <c r="C195" i="12" s="1"/>
  <c r="N27" i="3"/>
  <c r="C181" i="12" s="1"/>
  <c r="N26" i="3"/>
  <c r="K28" i="4" s="1"/>
  <c r="N25" i="3"/>
  <c r="K27" i="4" s="1"/>
  <c r="N24" i="3"/>
  <c r="C139" i="12" s="1"/>
  <c r="N23" i="3"/>
  <c r="K25" i="4" s="1"/>
  <c r="N22" i="3"/>
  <c r="N21" i="3"/>
  <c r="C97" i="12" s="1"/>
  <c r="N20" i="3"/>
  <c r="C83" i="12" s="1"/>
  <c r="N19" i="3"/>
  <c r="C67" i="12" s="1"/>
  <c r="N18" i="3"/>
  <c r="C53" i="12" s="1"/>
  <c r="N17" i="3"/>
  <c r="K19" i="4" s="1"/>
  <c r="N16" i="3"/>
  <c r="C24" i="12" s="1"/>
  <c r="N15" i="3"/>
  <c r="K17" i="4" s="1"/>
  <c r="G10" i="2"/>
  <c r="N9" i="2"/>
  <c r="M11" i="3" s="1"/>
  <c r="G9" i="2"/>
  <c r="G11" i="3" s="1"/>
  <c r="N8" i="2"/>
  <c r="M10" i="3" s="1"/>
  <c r="G8" i="2"/>
  <c r="G10" i="3" s="1"/>
  <c r="H8" i="11" s="1"/>
  <c r="C9" i="14" s="1"/>
  <c r="G7" i="2"/>
  <c r="G9" i="3" s="1"/>
  <c r="K40" i="4" l="1"/>
  <c r="C223" i="12"/>
  <c r="C167" i="12"/>
  <c r="C265" i="12"/>
  <c r="K41" i="4"/>
  <c r="C125" i="12"/>
  <c r="C39" i="12"/>
  <c r="K30" i="4"/>
  <c r="K18" i="4"/>
  <c r="K22" i="4"/>
  <c r="C9" i="12"/>
  <c r="K37" i="4"/>
  <c r="K23" i="4"/>
  <c r="C361" i="12"/>
  <c r="C263" i="12"/>
  <c r="C319" i="12"/>
  <c r="C277" i="12"/>
  <c r="C235" i="12"/>
  <c r="C193" i="12"/>
  <c r="C151" i="12"/>
  <c r="C109" i="12"/>
  <c r="C65" i="12"/>
  <c r="C22" i="12"/>
  <c r="C347" i="12"/>
  <c r="C305" i="12"/>
  <c r="C221" i="12"/>
  <c r="C137" i="12"/>
  <c r="C95" i="12"/>
  <c r="C51" i="12"/>
  <c r="C7" i="12"/>
  <c r="F7" i="4"/>
  <c r="F7" i="5" s="1"/>
  <c r="D6" i="6" s="1"/>
  <c r="F6" i="7" s="1"/>
  <c r="C375" i="12"/>
  <c r="C291" i="12"/>
  <c r="C249" i="12"/>
  <c r="C165" i="12"/>
  <c r="C81" i="12"/>
  <c r="C333" i="12"/>
  <c r="C207" i="12"/>
  <c r="C123" i="12"/>
  <c r="C37" i="12"/>
  <c r="C179" i="12"/>
  <c r="H361" i="12"/>
  <c r="H179" i="12"/>
  <c r="H319" i="12"/>
  <c r="H277" i="12"/>
  <c r="H235" i="12"/>
  <c r="H193" i="12"/>
  <c r="H151" i="12"/>
  <c r="H109" i="12"/>
  <c r="H65" i="12"/>
  <c r="H22" i="12"/>
  <c r="H347" i="12"/>
  <c r="H305" i="12"/>
  <c r="H263" i="12"/>
  <c r="H221" i="12"/>
  <c r="H137" i="12"/>
  <c r="H95" i="12"/>
  <c r="H51" i="12"/>
  <c r="H7" i="12"/>
  <c r="F8" i="4"/>
  <c r="F8" i="5" s="1"/>
  <c r="D8" i="6" s="1"/>
  <c r="F7" i="7" s="1"/>
  <c r="F8" i="8" s="1"/>
  <c r="D7" i="10" s="1"/>
  <c r="C10" i="11" s="1"/>
  <c r="H123" i="12"/>
  <c r="H375" i="12"/>
  <c r="H333" i="12"/>
  <c r="H291" i="12"/>
  <c r="H249" i="12"/>
  <c r="H207" i="12"/>
  <c r="H165" i="12"/>
  <c r="H81" i="12"/>
  <c r="H37" i="12"/>
  <c r="D8" i="10"/>
  <c r="I8" i="6"/>
  <c r="C374" i="12"/>
  <c r="C332" i="12"/>
  <c r="C290" i="12"/>
  <c r="C248" i="12"/>
  <c r="C206" i="12"/>
  <c r="C164" i="12"/>
  <c r="C122" i="12"/>
  <c r="C80" i="12"/>
  <c r="C36" i="12"/>
  <c r="C318" i="12"/>
  <c r="F9" i="4"/>
  <c r="F9" i="5" s="1"/>
  <c r="D7" i="6" s="1"/>
  <c r="J7" i="7" s="1"/>
  <c r="J8" i="8" s="1"/>
  <c r="H7" i="10" s="1"/>
  <c r="C9" i="11" s="1"/>
  <c r="C304" i="12"/>
  <c r="C360" i="12"/>
  <c r="C276" i="12"/>
  <c r="C234" i="12"/>
  <c r="C192" i="12"/>
  <c r="C150" i="12"/>
  <c r="C108" i="12"/>
  <c r="C64" i="12"/>
  <c r="C21" i="12"/>
  <c r="C262" i="12"/>
  <c r="C220" i="12"/>
  <c r="C178" i="12"/>
  <c r="C50" i="12"/>
  <c r="C346" i="12"/>
  <c r="C94" i="12"/>
  <c r="K24" i="4"/>
  <c r="C111" i="12"/>
  <c r="C6" i="12"/>
  <c r="N40" i="3"/>
  <c r="K33" i="4"/>
  <c r="K29" i="4"/>
  <c r="K26" i="4"/>
  <c r="K20" i="4"/>
  <c r="C307" i="12"/>
  <c r="K21" i="4"/>
  <c r="K39" i="4"/>
  <c r="C153" i="12"/>
  <c r="C279" i="12"/>
  <c r="F9" i="14" l="1"/>
  <c r="C9" i="13"/>
  <c r="H9" i="13" s="1"/>
  <c r="D6" i="10"/>
  <c r="C8" i="11" s="1"/>
  <c r="F7" i="8"/>
  <c r="J9" i="14"/>
  <c r="C8" i="13"/>
  <c r="H8" i="13" s="1"/>
  <c r="C8" i="14" l="1"/>
  <c r="C7" i="13"/>
  <c r="H7" i="13" s="1"/>
</calcChain>
</file>

<file path=xl/sharedStrings.xml><?xml version="1.0" encoding="utf-8"?>
<sst xmlns="http://schemas.openxmlformats.org/spreadsheetml/2006/main" count="1863" uniqueCount="492">
  <si>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</si>
  <si>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</si>
  <si>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</si>
  <si>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</si>
  <si>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</si>
  <si>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</si>
  <si>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</si>
  <si>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</si>
  <si>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</si>
  <si>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</si>
  <si>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</si>
  <si>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MULTIPEPTIDOS</t>
  </si>
  <si>
    <t>LOTE</t>
  </si>
  <si>
    <t>252521</t>
  </si>
  <si>
    <t>OP</t>
  </si>
  <si>
    <t>OP-L-123</t>
  </si>
  <si>
    <t>PRESENTACIÓN</t>
  </si>
  <si>
    <t>30 mL</t>
  </si>
  <si>
    <t>TAMAÑO LOTE (kg)</t>
  </si>
  <si>
    <t>CLIENTE</t>
  </si>
  <si>
    <t>ANIMUS LAB</t>
  </si>
  <si>
    <t>NOTIFICACIÓN SANITARIA</t>
  </si>
  <si>
    <t>NSOC35967-24CO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</si>
  <si>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</si>
  <si>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</si>
  <si>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</si>
  <si>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</si>
  <si>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</si>
  <si>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</si>
  <si>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</si>
  <si>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</si>
  <si>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</si>
  <si>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</si>
  <si>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</si>
  <si>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</si>
  <si>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</si>
  <si>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</si>
  <si>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</si>
  <si>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</si>
  <si>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</si>
  <si>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</si>
  <si>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</si>
  <si>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</si>
  <si>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</si>
  <si>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</si>
  <si>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</si>
  <si>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</si>
  <si>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</si>
  <si>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</si>
  <si>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</si>
  <si>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</si>
  <si>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</si>
  <si>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</si>
  <si>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</si>
  <si>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</si>
  <si>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</si>
  <si>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</si>
  <si>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</si>
  <si>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</si>
  <si>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</si>
  <si>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</si>
  <si>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</si>
  <si>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</si>
  <si>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</si>
  <si>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</si>
  <si>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</si>
  <si>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</si>
  <si>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</si>
  <si>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</si>
  <si>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</si>
  <si>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</si>
  <si>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</si>
  <si>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</si>
  <si>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</si>
  <si>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</si>
  <si>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</si>
  <si>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</si>
  <si>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</si>
  <si>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</si>
  <si>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</si>
  <si>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</si>
  <si>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</si>
  <si>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</si>
  <si>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</si>
  <si>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</si>
  <si>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</si>
  <si>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</si>
  <si>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</si>
  <si>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</si>
  <si>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</si>
  <si>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</si>
  <si>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</si>
  <si>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</si>
  <si>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</si>
  <si>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</si>
  <si>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</si>
  <si>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</si>
  <si>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</si>
  <si>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</si>
  <si>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</si>
  <si>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</si>
  <si>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</si>
  <si>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</si>
  <si>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</si>
  <si>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AD-252521</t>
  </si>
  <si>
    <t>NIACINAMIDA</t>
  </si>
  <si>
    <t>MPNIACSO01</t>
  </si>
  <si>
    <t>LYPH250726</t>
  </si>
  <si>
    <t>PROPILENGLICOL</t>
  </si>
  <si>
    <t>MPPROPLI01</t>
  </si>
  <si>
    <t>D357P4J1B3</t>
  </si>
  <si>
    <t>GLUCOSAMINA (NAG)</t>
  </si>
  <si>
    <t>MPGLUCSO01</t>
  </si>
  <si>
    <t>YT-20251213</t>
  </si>
  <si>
    <t>BIOSURE FE</t>
  </si>
  <si>
    <t>MPBIOFELI01</t>
  </si>
  <si>
    <t>GLUCONOLACTONA</t>
  </si>
  <si>
    <t>MPGLUCSO02</t>
  </si>
  <si>
    <t>YT-G20250419</t>
  </si>
  <si>
    <t>COPPER TRIPEPTIDE 1</t>
  </si>
  <si>
    <t>MPCOTRSO01</t>
  </si>
  <si>
    <t>PALMITOYL TRIPEPTIDE 1</t>
  </si>
  <si>
    <t>MPPALTRISO02</t>
  </si>
  <si>
    <t>LYPH250603</t>
  </si>
  <si>
    <t>PALMITOYL TETRAPEPTIDE 7</t>
  </si>
  <si>
    <t>MPPALTESO01</t>
  </si>
  <si>
    <t>LYPH250702</t>
  </si>
  <si>
    <t>PALMITOYL PENTAPEPTIDE 4</t>
  </si>
  <si>
    <t>MPPAPESO01</t>
  </si>
  <si>
    <t>YT-20250310</t>
  </si>
  <si>
    <t>ACETYL HEXAPEPTIDE 8</t>
  </si>
  <si>
    <t>MPACHESO01</t>
  </si>
  <si>
    <t>YT-AH20250320</t>
  </si>
  <si>
    <t>ACETYL TETRAPEPTIDE 5</t>
  </si>
  <si>
    <t>MPACTESO01</t>
  </si>
  <si>
    <t>YT-PT20250318</t>
  </si>
  <si>
    <t>DIPÉPTIDO DIAMINOBUTIROIL BENZALAMIDA DIACETATO</t>
  </si>
  <si>
    <t>MPDIBEDISO01</t>
  </si>
  <si>
    <t>LYPH250721</t>
  </si>
  <si>
    <t>PDRN (SODIUM DNA)</t>
  </si>
  <si>
    <t>MPPOBOSO01</t>
  </si>
  <si>
    <t>T-20250107</t>
  </si>
  <si>
    <t>ADENOSINA</t>
  </si>
  <si>
    <t>MPADENSO01</t>
  </si>
  <si>
    <t>YT-20250521</t>
  </si>
  <si>
    <t>GLICINA</t>
  </si>
  <si>
    <t>MPGLICSO01</t>
  </si>
  <si>
    <t>YT-20220925</t>
  </si>
  <si>
    <t>GLUTATION</t>
  </si>
  <si>
    <t>MPGLUTSO01</t>
  </si>
  <si>
    <t>YT-20250406</t>
  </si>
  <si>
    <t>PALMITOYL TRIPEPTIDE 5</t>
  </si>
  <si>
    <t>MPPALTRISO01</t>
  </si>
  <si>
    <t>YT-PT20250419</t>
  </si>
  <si>
    <t>ACIDO HIALURONICO 50KD</t>
  </si>
  <si>
    <t>MPACHISO01</t>
  </si>
  <si>
    <t>YT-HA20250622</t>
  </si>
  <si>
    <t>ACIDO HIALURONICO 1500KD</t>
  </si>
  <si>
    <t>MPACHISO03</t>
  </si>
  <si>
    <t>YT-HA20250326</t>
  </si>
  <si>
    <t>ACIDO HIALURONICO 300KD</t>
  </si>
  <si>
    <t>MPACHISO02</t>
  </si>
  <si>
    <t>YT-20241203</t>
  </si>
  <si>
    <t>PEPTIDOS DE COLAGENO POLVO</t>
  </si>
  <si>
    <t>MPPECOSO01</t>
  </si>
  <si>
    <t>YT202507325</t>
  </si>
  <si>
    <t>EDTA DISODICO</t>
  </si>
  <si>
    <t>MPEDDISO01</t>
  </si>
  <si>
    <t>GRANSIL VX 419</t>
  </si>
  <si>
    <t>MPGRANLI01</t>
  </si>
  <si>
    <t>980305S1125</t>
  </si>
  <si>
    <t>TRIETANOLAMINA 85%</t>
  </si>
  <si>
    <t>MPTRIELO01</t>
  </si>
  <si>
    <t>DIR-152124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</si>
  <si>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</si>
  <si>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</si>
  <si>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</si>
  <si>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</si>
  <si>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</si>
  <si>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</si>
  <si>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</si>
  <si>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</si>
  <si>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</si>
  <si>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</si>
  <si>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</si>
  <si>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</si>
  <si>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</si>
  <si>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</si>
  <si>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</si>
  <si>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</si>
  <si>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</si>
  <si>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</si>
  <si>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</si>
  <si>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</si>
  <si>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</si>
  <si>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</si>
  <si>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</si>
  <si>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</si>
  <si>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</si>
  <si>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</si>
  <si>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</si>
  <si>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</si>
  <si>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</si>
  <si>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</si>
  <si>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</si>
  <si>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</si>
  <si>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</si>
  <si>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</si>
  <si>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</si>
  <si>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</si>
  <si>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</si>
  <si>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</si>
  <si>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</si>
  <si>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</si>
  <si>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</si>
  <si>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</si>
  <si>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</si>
  <si>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</si>
  <si>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Dispensar en una balanza analítica y adicionar en un recipiente las siguientes materias primas:
  Agua Destilada
  Niacinamida 
  Gluconolactona
  Glucosamina
  Mezcle contantemente hasta observar tatal disoluciòn y asegure un Ph de 6 con Trietanolamina
  No calentar està fase.</t>
  </si>
  <si>
    <t>"2. Dispensar en una balanza analítica con capacidad de 620g y adicionar en un recipiente las siguientes materias primas:
 Glicina
 Glutation
 Adenosina
 PDRN (SODIUM DNA)                                                                                                                      
 Dipeptido Diaminobutiroil Benzalamida Diacetato                                                                                                                             
 Edta disodico, Adicione uno por uno hasta observar total disoluciòn con agitaciòn constante 
 No es necesario calentar, ajustar pH 6.0</t>
  </si>
  <si>
    <t>3. Dispensar en una balanza analítica con capacidad de 620g y adicionar en un recipiente las siguientes materias primas: 
  Péptido de Colágeno 
  Copper Tripeptide-1 
  Adicione uno por uno hasta observar total disoluciòn con agitaciòn constante, asegure un Ph de 6 con trietanolamina 
  No es necesario calentar, ajustar pH 6.0</t>
  </si>
  <si>
    <t>4. Dispensar en una balanza analítica con capacidad de 620g y adicionar en un recipiente las siguientes materias primas: 
  Acetyl Hexapeptide 8
  Acetyl Tetrapeptide 5
  Palmitoyl Tripeptide 5
  Adicione uno por uno hasta observar total disoluciòn con agitaciòn constante 
  No es necesario calentar.</t>
  </si>
  <si>
    <t xml:space="preserve">"5. Dispensar en una balanza analítica con capacidad de 620g y adicionar en un recipiente las siguientes materias primas: 
 Palmitoyl Tetrapeptide-7
 Palmitoyl Pentapeptide-4
 Palmitoyl Tripeptide-1
 Propilenglicol
 Àcido Hialuronico 50 KD
 Colocar en la plancha de calentamiento el propilenglicol y adicionar uno a uno las materias primas con agitacion constante hasta observar total disoluciòn.
 Colocar al baño maria con agitacion constante, despues de alcanzar una temperatura &lt;45ºC adicione el Àcido Hialuronico de 50KD y mezcle hasta observar total disoluciòn", ajustar pH 6.0                                                                                                                   
</t>
  </si>
  <si>
    <t>6. Dispensar en una balanza analítica con capacidad de 620g y adicionar en un recipiente las siguientes materias primas: 
  Fenoxietanol
  Adicione por ultimo el Fenoxiethanol para ayudar a disminuir la espuma y finalize asegurando un Ph de 6,0</t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</si>
  <si>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</si>
  <si>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</si>
  <si>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</si>
  <si>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</si>
  <si>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</si>
  <si>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</si>
  <si>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</si>
  <si>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</si>
  <si>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</si>
  <si>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</si>
  <si>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</si>
  <si>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</si>
  <si>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</si>
  <si>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</si>
  <si>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</si>
  <si>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</si>
  <si>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</si>
  <si>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</si>
  <si>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</si>
  <si>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</si>
  <si>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</si>
  <si>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</si>
  <si>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Líquido fluido de textura suave homogénea y sin partículas extrañas</t>
  </si>
  <si>
    <t>Viscosidad</t>
  </si>
  <si>
    <t>INFORMATIVO</t>
  </si>
  <si>
    <t>Densidad</t>
  </si>
  <si>
    <t>0,950 - 1,100 g/cm³</t>
  </si>
  <si>
    <t>pH</t>
  </si>
  <si>
    <t>5,5 - 6,5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</si>
  <si>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</si>
  <si>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</si>
  <si>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</si>
  <si>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</si>
  <si>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</si>
  <si>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</si>
  <si>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</si>
  <si>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</si>
  <si>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</si>
  <si>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</si>
  <si>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</si>
  <si>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</si>
  <si>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</si>
  <si>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</si>
  <si>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</si>
  <si>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</si>
  <si>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</si>
  <si>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</si>
  <si>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</si>
  <si>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</si>
  <si>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EN-TR-VI-030-01</t>
  </si>
  <si>
    <t>N/A</t>
  </si>
  <si>
    <t>Envase Vidrio Transparente 30 mL</t>
  </si>
  <si>
    <t>TA-GO-BL-072-01</t>
  </si>
  <si>
    <t>Gotero Blanco 72 mm</t>
  </si>
  <si>
    <t>ETIQ-SUE-MUL-30mL</t>
  </si>
  <si>
    <t>ETIQUETA SUERO MULTIPEPTIDOS 30 mL FORMULA NUEVA</t>
  </si>
  <si>
    <t>PL-SUE-MUL-F.N 30mL</t>
  </si>
  <si>
    <t>PLEGADIZA SUERO MULTIPEPTIDOS 30 mL FORMULA NUEVA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</si>
  <si>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</si>
  <si>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</si>
  <si>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</si>
  <si>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</si>
  <si>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</si>
  <si>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</si>
  <si>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</si>
  <si>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</si>
  <si>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</si>
  <si>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</si>
  <si>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</si>
  <si>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</si>
  <si>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</si>
  <si>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</si>
  <si>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</si>
  <si>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</si>
  <si>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</si>
  <si>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</si>
  <si>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</si>
  <si>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</si>
  <si>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</si>
  <si>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</si>
  <si>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</si>
  <si>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</si>
  <si>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</si>
  <si>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</si>
  <si>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</si>
  <si>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</si>
  <si>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</si>
  <si>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</si>
  <si>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</si>
  <si>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</si>
  <si>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</si>
  <si>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</si>
  <si>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</si>
  <si>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</si>
  <si>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</si>
  <si>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</si>
  <si>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</si>
  <si>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</si>
  <si>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</si>
  <si>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</si>
  <si>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</si>
  <si>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</si>
  <si>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</si>
  <si>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</si>
  <si>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</si>
  <si>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</si>
  <si>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</si>
  <si>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</si>
  <si>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</si>
  <si>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</si>
  <si>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</si>
  <si>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</si>
  <si>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</si>
  <si>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</si>
  <si>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</si>
  <si>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</si>
  <si>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</si>
  <si>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</si>
  <si>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</si>
  <si>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</si>
  <si>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</si>
  <si>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</si>
  <si>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</si>
  <si>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</si>
  <si>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</si>
  <si>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</si>
  <si>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</si>
  <si>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</si>
  <si>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</si>
  <si>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</si>
  <si>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</si>
  <si>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</si>
  <si>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</si>
  <si>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</si>
  <si>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</si>
  <si>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</si>
  <si>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</si>
  <si>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</si>
  <si>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</si>
  <si>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</si>
  <si>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</si>
  <si>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</si>
  <si>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</si>
  <si>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</si>
  <si>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</si>
  <si>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</si>
  <si>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</si>
  <si>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</si>
  <si>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</si>
  <si>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</si>
  <si>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</si>
  <si>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</si>
  <si>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</si>
  <si>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</si>
  <si>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</si>
  <si>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</si>
  <si>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Azul tenue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</si>
  <si>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</si>
  <si>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</si>
  <si>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</si>
  <si>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</si>
  <si>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</si>
  <si>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</si>
  <si>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</si>
  <si>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</si>
  <si>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</si>
  <si>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</si>
  <si>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</si>
  <si>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</si>
  <si>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</si>
  <si>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</si>
  <si>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</si>
  <si>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</si>
  <si>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</si>
  <si>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</si>
  <si>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</si>
  <si>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</si>
  <si>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</si>
  <si>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</si>
  <si>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</si>
  <si>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</si>
  <si>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</si>
  <si>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</si>
  <si>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</si>
  <si>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</si>
  <si>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</si>
  <si>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</si>
  <si>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</si>
  <si>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</si>
  <si>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</si>
  <si>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</si>
  <si>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</si>
  <si>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</si>
  <si>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</si>
  <si>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</si>
  <si>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</si>
  <si>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</si>
  <si>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</si>
  <si>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</si>
  <si>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</si>
  <si>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</si>
  <si>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</si>
  <si>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</si>
  <si>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</si>
  <si>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</si>
  <si>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</si>
  <si>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</si>
  <si>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</si>
  <si>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</si>
  <si>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</si>
  <si>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</si>
  <si>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</si>
  <si>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</si>
  <si>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</si>
  <si>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</si>
  <si>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</si>
  <si>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</si>
  <si>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</si>
  <si>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</si>
  <si>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</si>
  <si>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</si>
  <si>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</si>
  <si>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</si>
  <si>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</si>
  <si>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</si>
  <si>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</si>
  <si>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</si>
  <si>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</si>
  <si>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</si>
  <si>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</si>
  <si>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</si>
  <si>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</si>
  <si>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</si>
  <si>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</si>
  <si>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</si>
  <si>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</si>
  <si>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</si>
  <si>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</si>
  <si>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</si>
  <si>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</si>
  <si>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</si>
  <si>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</si>
  <si>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</si>
  <si>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</si>
  <si>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</si>
  <si>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</si>
  <si>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</si>
  <si>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</si>
  <si>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</si>
  <si>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</si>
  <si>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</si>
  <si>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</si>
  <si>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</si>
  <si>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</si>
  <si>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</si>
  <si>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</si>
  <si>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</si>
  <si>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</si>
  <si>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</si>
  <si>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</si>
  <si>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</si>
  <si>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</si>
  <si>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</si>
  <si>
    <t>PRD-PRO-001-F09</t>
  </si>
  <si>
    <t>ENVASADO NO CONTINUO</t>
  </si>
  <si>
    <t>Motivo de no envasado</t>
  </si>
  <si>
    <t>Fecha de Elaboración:</t>
  </si>
  <si>
    <t>Fecha de Envasado: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</si>
</sst>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0.000"/>
    <numFmt numFmtId="172" formatCode="#,##0.000"/>
    <numFmt numFmtId="173" formatCode="mmm\ yyyy"/>
  </numFmts>
  <fonts count="28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Verdana"/>
      <family val="2"/>
    </font>
    <font>
      <sz val="11"/>
      <color rgb="FF000000"/>
      <name val="Verdana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Verdana"/>
      <family val="2"/>
    </font>
    <font>
      <sz val="13"/>
      <color rgb="FF000000"/>
      <name val="Verdana"/>
      <family val="2"/>
    </font>
    <font>
      <sz val="11"/>
      <color theme="1"/>
      <name val="Verdan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000000"/>
      <name val="Arial"/>
      <family val="2"/>
    </font>
    <font>
      <b/>
      <sz val="14"/>
      <color rgb="FF000000"/>
      <name val="Times New Roman"/>
      <family val="1"/>
    </font>
    <font>
      <sz val="14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Calibri"/>
      <family val="2"/>
    </font>
    <font>
      <i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</fills>
  <borders count="7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3" fillId="0" borderId="7" xfId="0" applyFont="1" applyBorder="1"/>
    <xf numFmtId="0" fontId="1" fillId="0" borderId="2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21" xfId="0" applyFont="1" applyBorder="1" applyAlignment="1">
      <alignment wrapText="1"/>
    </xf>
    <xf numFmtId="2" fontId="3" fillId="0" borderId="21" xfId="0" applyNumberFormat="1" applyFont="1" applyBorder="1" applyAlignment="1">
      <alignment vertical="center"/>
    </xf>
    <xf numFmtId="0" fontId="3" fillId="0" borderId="21" xfId="0" applyFont="1" applyBorder="1"/>
    <xf numFmtId="0" fontId="3" fillId="0" borderId="34" xfId="0" applyFont="1" applyBorder="1"/>
    <xf numFmtId="0" fontId="3" fillId="0" borderId="27" xfId="0" applyFont="1" applyBorder="1"/>
    <xf numFmtId="0" fontId="3" fillId="0" borderId="30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170" fontId="3" fillId="0" borderId="34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 wrapText="1"/>
    </xf>
    <xf numFmtId="166" fontId="3" fillId="0" borderId="48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171" fontId="6" fillId="0" borderId="52" xfId="0" applyNumberFormat="1" applyFont="1" applyBorder="1" applyAlignment="1">
      <alignment horizontal="center"/>
    </xf>
    <xf numFmtId="171" fontId="6" fillId="0" borderId="21" xfId="0" applyNumberFormat="1" applyFont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171" fontId="6" fillId="0" borderId="21" xfId="0" applyNumberFormat="1" applyFont="1" applyBorder="1" applyAlignment="1">
      <alignment horizontal="center" vertical="center"/>
    </xf>
    <xf numFmtId="2" fontId="1" fillId="6" borderId="47" xfId="0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right"/>
    </xf>
    <xf numFmtId="0" fontId="3" fillId="0" borderId="23" xfId="0" applyFont="1" applyBorder="1"/>
    <xf numFmtId="0" fontId="1" fillId="0" borderId="23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1" fillId="0" borderId="2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33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30" xfId="0" applyNumberFormat="1" applyFont="1" applyBorder="1"/>
    <xf numFmtId="0" fontId="10" fillId="0" borderId="0" xfId="0" applyFont="1"/>
    <xf numFmtId="0" fontId="11" fillId="0" borderId="30" xfId="0" applyFont="1" applyBorder="1"/>
    <xf numFmtId="0" fontId="11" fillId="0" borderId="48" xfId="0" applyFont="1" applyBorder="1"/>
    <xf numFmtId="0" fontId="3" fillId="0" borderId="34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2" fontId="13" fillId="0" borderId="0" xfId="0" applyNumberFormat="1" applyFont="1"/>
    <xf numFmtId="0" fontId="14" fillId="0" borderId="7" xfId="0" applyFont="1" applyBorder="1" applyAlignment="1">
      <alignment horizontal="left"/>
    </xf>
    <xf numFmtId="0" fontId="14" fillId="0" borderId="0" xfId="0" applyFont="1" applyAlignment="1">
      <alignment horizontal="left"/>
    </xf>
    <xf numFmtId="2" fontId="6" fillId="0" borderId="0" xfId="0" applyNumberFormat="1" applyFont="1"/>
    <xf numFmtId="172" fontId="15" fillId="0" borderId="0" xfId="0" applyNumberFormat="1" applyFont="1" applyAlignment="1">
      <alignment horizontal="center"/>
    </xf>
    <xf numFmtId="0" fontId="3" fillId="0" borderId="1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23" xfId="0" applyFont="1" applyBorder="1"/>
    <xf numFmtId="165" fontId="6" fillId="0" borderId="21" xfId="0" applyNumberFormat="1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1" fillId="0" borderId="54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1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/>
    </xf>
    <xf numFmtId="1" fontId="5" fillId="0" borderId="21" xfId="0" applyNumberFormat="1" applyFont="1" applyBorder="1" applyAlignment="1">
      <alignment vertical="center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" fontId="19" fillId="0" borderId="54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47" xfId="0" applyNumberFormat="1" applyFont="1" applyBorder="1" applyAlignment="1">
      <alignment horizontal="center" vertical="center" wrapText="1"/>
    </xf>
    <xf numFmtId="1" fontId="5" fillId="0" borderId="48" xfId="0" applyNumberFormat="1" applyFont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20" fillId="0" borderId="21" xfId="0" applyFont="1" applyBorder="1" applyAlignment="1">
      <alignment horizontal="center" vertical="center"/>
    </xf>
    <xf numFmtId="164" fontId="20" fillId="0" borderId="21" xfId="0" applyNumberFormat="1" applyFont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0" fillId="0" borderId="4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right" wrapText="1"/>
    </xf>
    <xf numFmtId="0" fontId="21" fillId="0" borderId="0" xfId="0" applyFont="1" applyAlignment="1">
      <alignment wrapText="1"/>
    </xf>
    <xf numFmtId="0" fontId="21" fillId="0" borderId="7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20" fillId="0" borderId="52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5" xfId="0" applyFont="1" applyBorder="1"/>
    <xf numFmtId="0" fontId="23" fillId="0" borderId="44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24" fillId="0" borderId="0" xfId="0" applyFont="1"/>
    <xf numFmtId="0" fontId="20" fillId="0" borderId="4" xfId="0" applyFont="1" applyBorder="1" applyAlignment="1">
      <alignment horizontal="center" wrapText="1"/>
    </xf>
    <xf numFmtId="0" fontId="23" fillId="0" borderId="5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1" fillId="0" borderId="50" xfId="0" applyFont="1" applyBorder="1" applyAlignment="1">
      <alignment horizontal="center" vertical="center"/>
    </xf>
    <xf numFmtId="0" fontId="25" fillId="0" borderId="51" xfId="0" applyFont="1" applyBorder="1" applyAlignment="1">
      <alignment horizontal="right" vertical="center" wrapText="1"/>
    </xf>
    <xf numFmtId="0" fontId="25" fillId="0" borderId="10" xfId="0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25" fillId="0" borderId="60" xfId="0" applyFont="1" applyBorder="1" applyAlignment="1">
      <alignment horizontal="right" wrapText="1"/>
    </xf>
    <xf numFmtId="0" fontId="25" fillId="0" borderId="5" xfId="0" applyFont="1" applyBorder="1" applyAlignment="1">
      <alignment horizontal="right" wrapText="1"/>
    </xf>
    <xf numFmtId="0" fontId="25" fillId="0" borderId="5" xfId="0" applyFont="1" applyBorder="1" applyAlignment="1">
      <alignment horizontal="right" vertical="center" wrapText="1"/>
    </xf>
    <xf numFmtId="0" fontId="25" fillId="0" borderId="27" xfId="0" applyFont="1" applyBorder="1" applyAlignment="1">
      <alignment horizontal="right" wrapText="1"/>
    </xf>
    <xf numFmtId="0" fontId="25" fillId="0" borderId="0" xfId="0" applyFont="1" applyAlignment="1">
      <alignment horizontal="right" wrapText="1"/>
    </xf>
    <xf numFmtId="0" fontId="18" fillId="0" borderId="3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33" xfId="0" applyFont="1" applyBorder="1" applyAlignment="1">
      <alignment wrapText="1"/>
    </xf>
    <xf numFmtId="0" fontId="25" fillId="0" borderId="36" xfId="0" applyFont="1" applyBorder="1" applyAlignment="1">
      <alignment horizontal="left" vertical="center"/>
    </xf>
    <xf numFmtId="0" fontId="18" fillId="0" borderId="16" xfId="0" applyFont="1" applyBorder="1" applyAlignment="1">
      <alignment wrapText="1"/>
    </xf>
    <xf numFmtId="0" fontId="6" fillId="0" borderId="16" xfId="0" applyFont="1" applyBorder="1"/>
    <xf numFmtId="0" fontId="18" fillId="0" borderId="37" xfId="0" applyFont="1" applyBorder="1" applyAlignment="1">
      <alignment wrapText="1"/>
    </xf>
    <xf numFmtId="167" fontId="6" fillId="0" borderId="0" xfId="0" applyNumberFormat="1" applyFont="1"/>
    <xf numFmtId="2" fontId="18" fillId="0" borderId="16" xfId="0" applyNumberFormat="1" applyFont="1" applyBorder="1" applyAlignment="1">
      <alignment wrapText="1"/>
    </xf>
    <xf numFmtId="2" fontId="6" fillId="0" borderId="16" xfId="0" applyNumberFormat="1" applyFont="1" applyBorder="1"/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6" fillId="0" borderId="2" xfId="0" applyFont="1" applyBorder="1"/>
    <xf numFmtId="0" fontId="1" fillId="0" borderId="67" xfId="0" applyFont="1" applyBorder="1" applyAlignment="1">
      <alignment horizontal="center" vertical="center"/>
    </xf>
    <xf numFmtId="164" fontId="1" fillId="0" borderId="62" xfId="0" applyNumberFormat="1" applyFont="1" applyBorder="1" applyAlignment="1">
      <alignment horizontal="center" vertical="center"/>
    </xf>
    <xf numFmtId="164" fontId="1" fillId="0" borderId="68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5" fontId="1" fillId="0" borderId="61" xfId="0" applyNumberFormat="1" applyFont="1" applyBorder="1" applyAlignment="1">
      <alignment horizontal="center" vertical="center"/>
    </xf>
    <xf numFmtId="165" fontId="1" fillId="0" borderId="56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 wrapText="1"/>
    </xf>
    <xf numFmtId="0" fontId="6" fillId="0" borderId="30" xfId="0" applyFont="1" applyBorder="1"/>
    <xf numFmtId="0" fontId="6" fillId="0" borderId="61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1" fontId="3" fillId="0" borderId="39" xfId="0" applyNumberFormat="1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wrapText="1"/>
    </xf>
    <xf numFmtId="0" fontId="6" fillId="0" borderId="40" xfId="0" applyFont="1" applyBorder="1" applyAlignment="1">
      <alignment horizontal="center" wrapText="1"/>
    </xf>
    <xf numFmtId="0" fontId="6" fillId="0" borderId="63" xfId="0" applyFont="1" applyBorder="1"/>
    <xf numFmtId="0" fontId="7" fillId="0" borderId="70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6" fillId="0" borderId="7" xfId="0" applyFont="1" applyBorder="1"/>
    <xf numFmtId="0" fontId="7" fillId="0" borderId="73" xfId="0" applyFont="1" applyBorder="1" applyAlignment="1">
      <alignment horizontal="center" vertical="center" wrapText="1"/>
    </xf>
    <xf numFmtId="0" fontId="6" fillId="0" borderId="9" xfId="0" applyFont="1" applyBorder="1"/>
    <xf numFmtId="0" fontId="7" fillId="0" borderId="74" xfId="0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/>
    </xf>
    <xf numFmtId="0" fontId="24" fillId="0" borderId="6" xfId="0" applyFont="1" applyBorder="1"/>
    <xf numFmtId="0" fontId="24" fillId="0" borderId="7" xfId="0" applyFont="1" applyBorder="1"/>
    <xf numFmtId="0" fontId="20" fillId="0" borderId="7" xfId="0" applyFont="1" applyBorder="1" applyAlignment="1">
      <alignment horizontal="center" wrapText="1"/>
    </xf>
    <xf numFmtId="0" fontId="20" fillId="0" borderId="4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1" xfId="0" applyFont="1" applyBorder="1" applyAlignment="1">
      <alignment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0" fillId="0" borderId="8" xfId="0" applyFont="1" applyBorder="1" applyAlignment="1">
      <alignment wrapText="1"/>
    </xf>
    <xf numFmtId="0" fontId="20" fillId="0" borderId="10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164" fontId="20" fillId="0" borderId="62" xfId="0" applyNumberFormat="1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18" fillId="0" borderId="30" xfId="0" applyFont="1" applyBorder="1"/>
    <xf numFmtId="0" fontId="20" fillId="0" borderId="38" xfId="0" applyFont="1" applyBorder="1" applyAlignment="1">
      <alignment horizontal="center" vertical="center"/>
    </xf>
    <xf numFmtId="165" fontId="20" fillId="0" borderId="62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62" xfId="0" applyFont="1" applyBorder="1" applyAlignment="1">
      <alignment horizontal="center" vertical="center" wrapText="1"/>
    </xf>
    <xf numFmtId="0" fontId="3" fillId="0" borderId="64" xfId="0" applyFont="1" applyBorder="1" applyAlignment="1">
      <alignment wrapText="1"/>
    </xf>
    <xf numFmtId="0" fontId="1" fillId="0" borderId="64" xfId="0" applyFont="1" applyBorder="1" applyAlignment="1">
      <alignment horizontal="center" vertical="center" wrapText="1"/>
    </xf>
    <xf numFmtId="0" fontId="6" fillId="0" borderId="64" xfId="0" applyFont="1" applyBorder="1" applyAlignment="1">
      <alignment wrapText="1"/>
    </xf>
    <xf numFmtId="0" fontId="6" fillId="0" borderId="63" xfId="0" applyFont="1" applyBorder="1" applyAlignment="1">
      <alignment wrapText="1"/>
    </xf>
    <xf numFmtId="0" fontId="7" fillId="0" borderId="62" xfId="0" applyFont="1" applyBorder="1" applyAlignment="1">
      <alignment vertical="center" wrapText="1"/>
    </xf>
    <xf numFmtId="0" fontId="6" fillId="0" borderId="62" xfId="0" applyFont="1" applyBorder="1" applyAlignment="1">
      <alignment wrapText="1"/>
    </xf>
    <xf numFmtId="0" fontId="6" fillId="0" borderId="64" xfId="0" applyFont="1" applyBorder="1" applyAlignment="1">
      <alignment vertical="center" wrapText="1"/>
    </xf>
    <xf numFmtId="2" fontId="4" fillId="0" borderId="4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28" xfId="0" applyFont="1" applyBorder="1"/>
    <xf numFmtId="172" fontId="8" fillId="0" borderId="4" xfId="0" applyNumberFormat="1" applyFont="1" applyBorder="1"/>
    <xf numFmtId="0" fontId="2" fillId="0" borderId="5" xfId="0" applyFont="1" applyBorder="1"/>
    <xf numFmtId="0" fontId="4" fillId="0" borderId="4" xfId="0" applyFont="1" applyBorder="1" applyAlignment="1">
      <alignment horizontal="center"/>
    </xf>
    <xf numFmtId="172" fontId="9" fillId="0" borderId="4" xfId="0" applyNumberFormat="1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5" xfId="0" applyFont="1" applyBorder="1"/>
    <xf numFmtId="0" fontId="1" fillId="0" borderId="25" xfId="0" applyFont="1" applyBorder="1" applyAlignment="1">
      <alignment horizontal="left" vertical="top" wrapText="1"/>
    </xf>
    <xf numFmtId="0" fontId="2" fillId="0" borderId="23" xfId="0" applyFont="1" applyBorder="1"/>
    <xf numFmtId="0" fontId="2" fillId="0" borderId="38" xfId="0" applyFont="1" applyBorder="1"/>
    <xf numFmtId="0" fontId="2" fillId="0" borderId="36" xfId="0" applyFont="1" applyBorder="1"/>
    <xf numFmtId="0" fontId="2" fillId="0" borderId="16" xfId="0" applyFont="1" applyBorder="1"/>
    <xf numFmtId="0" fontId="2" fillId="0" borderId="37" xfId="0" applyFont="1" applyBorder="1"/>
    <xf numFmtId="0" fontId="3" fillId="0" borderId="19" xfId="0" applyFont="1" applyBorder="1" applyAlignment="1">
      <alignment horizontal="center"/>
    </xf>
    <xf numFmtId="0" fontId="2" fillId="0" borderId="19" xfId="0" applyFont="1" applyBorder="1"/>
    <xf numFmtId="0" fontId="1" fillId="0" borderId="19" xfId="0" applyFont="1" applyBorder="1" applyAlignment="1">
      <alignment horizontal="right"/>
    </xf>
    <xf numFmtId="0" fontId="2" fillId="0" borderId="26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1" fillId="0" borderId="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/>
    </xf>
    <xf numFmtId="0" fontId="1" fillId="0" borderId="25" xfId="0" applyFont="1" applyBorder="1" applyAlignment="1">
      <alignment horizontal="right"/>
    </xf>
    <xf numFmtId="0" fontId="3" fillId="0" borderId="27" xfId="0" applyFont="1" applyBorder="1" applyAlignment="1">
      <alignment horizontal="center"/>
    </xf>
    <xf numFmtId="0" fontId="0" fillId="0" borderId="0" xfId="0"/>
    <xf numFmtId="0" fontId="1" fillId="0" borderId="27" xfId="0" applyFont="1" applyBorder="1" applyAlignment="1">
      <alignment horizontal="right"/>
    </xf>
    <xf numFmtId="0" fontId="1" fillId="6" borderId="46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2" fontId="1" fillId="6" borderId="12" xfId="0" applyNumberFormat="1" applyFont="1" applyFill="1" applyBorder="1" applyAlignment="1">
      <alignment horizontal="center" vertical="center"/>
    </xf>
    <xf numFmtId="0" fontId="2" fillId="0" borderId="53" xfId="0" applyFont="1" applyBorder="1"/>
    <xf numFmtId="0" fontId="1" fillId="0" borderId="43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/>
    <xf numFmtId="0" fontId="1" fillId="0" borderId="18" xfId="0" applyFont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4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2" fillId="0" borderId="42" xfId="0" applyFont="1" applyBorder="1"/>
    <xf numFmtId="0" fontId="2" fillId="0" borderId="41" xfId="0" applyFont="1" applyBorder="1"/>
    <xf numFmtId="0" fontId="1" fillId="0" borderId="46" xfId="0" applyFont="1" applyBorder="1" applyAlignment="1">
      <alignment horizontal="center" vertical="center"/>
    </xf>
    <xf numFmtId="0" fontId="2" fillId="0" borderId="20" xfId="0" applyFont="1" applyBorder="1"/>
    <xf numFmtId="0" fontId="6" fillId="0" borderId="27" xfId="0" applyFont="1" applyBorder="1" applyAlignment="1">
      <alignment horizontal="center" wrapText="1"/>
    </xf>
    <xf numFmtId="0" fontId="2" fillId="0" borderId="30" xfId="0" applyFont="1" applyBorder="1"/>
    <xf numFmtId="0" fontId="3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7" xfId="0" applyFont="1" applyBorder="1"/>
    <xf numFmtId="0" fontId="1" fillId="0" borderId="39" xfId="0" applyFont="1" applyBorder="1" applyAlignment="1">
      <alignment horizontal="center" vertical="center"/>
    </xf>
    <xf numFmtId="0" fontId="2" fillId="0" borderId="40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2" fillId="0" borderId="10" xfId="0" applyFont="1" applyBorder="1"/>
    <xf numFmtId="0" fontId="3" fillId="0" borderId="4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top"/>
    </xf>
    <xf numFmtId="0" fontId="2" fillId="0" borderId="24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4" fillId="0" borderId="15" xfId="0" applyFont="1" applyBorder="1" applyAlignment="1">
      <alignment horizontal="center" vertical="center"/>
    </xf>
    <xf numFmtId="0" fontId="2" fillId="0" borderId="17" xfId="0" applyFont="1" applyBorder="1"/>
    <xf numFmtId="167" fontId="3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1" fillId="0" borderId="18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29" xfId="0" applyFont="1" applyBorder="1"/>
    <xf numFmtId="0" fontId="1" fillId="0" borderId="22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33" xfId="0" applyFont="1" applyBorder="1"/>
    <xf numFmtId="0" fontId="3" fillId="0" borderId="3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172" fontId="12" fillId="0" borderId="9" xfId="0" applyNumberFormat="1" applyFont="1" applyBorder="1"/>
    <xf numFmtId="0" fontId="3" fillId="0" borderId="31" xfId="0" applyFont="1" applyBorder="1" applyAlignment="1">
      <alignment horizontal="center" vertical="center" wrapText="1"/>
    </xf>
    <xf numFmtId="172" fontId="13" fillId="0" borderId="0" xfId="0" applyNumberFormat="1" applyFont="1"/>
    <xf numFmtId="2" fontId="12" fillId="0" borderId="9" xfId="0" applyNumberFormat="1" applyFont="1" applyBorder="1"/>
    <xf numFmtId="0" fontId="1" fillId="0" borderId="31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 vertical="center" wrapText="1"/>
    </xf>
    <xf numFmtId="1" fontId="16" fillId="0" borderId="43" xfId="0" applyNumberFormat="1" applyFont="1" applyBorder="1" applyAlignment="1">
      <alignment horizontal="center" vertical="center" wrapText="1"/>
    </xf>
    <xf numFmtId="0" fontId="6" fillId="0" borderId="32" xfId="0" applyFont="1" applyBorder="1" applyAlignment="1">
      <alignment wrapText="1"/>
    </xf>
    <xf numFmtId="0" fontId="7" fillId="0" borderId="43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/>
    </xf>
    <xf numFmtId="0" fontId="1" fillId="0" borderId="29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7" fillId="0" borderId="27" xfId="0" applyFont="1" applyBorder="1" applyAlignment="1">
      <alignment horizontal="left"/>
    </xf>
    <xf numFmtId="0" fontId="6" fillId="0" borderId="46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center" wrapText="1"/>
    </xf>
    <xf numFmtId="0" fontId="7" fillId="0" borderId="25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/>
    </xf>
    <xf numFmtId="0" fontId="17" fillId="0" borderId="31" xfId="0" applyFont="1" applyBorder="1" applyAlignment="1">
      <alignment horizontal="left"/>
    </xf>
    <xf numFmtId="0" fontId="17" fillId="0" borderId="3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2" fillId="0" borderId="55" xfId="0" applyFont="1" applyBorder="1"/>
    <xf numFmtId="0" fontId="2" fillId="0" borderId="52" xfId="0" applyFont="1" applyBorder="1"/>
    <xf numFmtId="170" fontId="3" fillId="0" borderId="4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left" vertical="center" wrapText="1"/>
    </xf>
    <xf numFmtId="1" fontId="5" fillId="0" borderId="46" xfId="0" applyNumberFormat="1" applyFont="1" applyBorder="1" applyAlignment="1">
      <alignment horizontal="center" vertical="center" wrapText="1"/>
    </xf>
    <xf numFmtId="1" fontId="5" fillId="0" borderId="39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right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 applyAlignment="1">
      <alignment horizontal="right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27" xfId="0" applyNumberFormat="1" applyFont="1" applyBorder="1" applyAlignment="1">
      <alignment horizontal="right" vertical="center" wrapText="1"/>
    </xf>
    <xf numFmtId="1" fontId="5" fillId="0" borderId="36" xfId="0" applyNumberFormat="1" applyFont="1" applyBorder="1" applyAlignment="1">
      <alignment horizontal="right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43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31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64" fontId="20" fillId="0" borderId="4" xfId="0" applyNumberFormat="1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0" fontId="18" fillId="0" borderId="0" xfId="0" applyFont="1"/>
    <xf numFmtId="0" fontId="20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/>
    </xf>
    <xf numFmtId="0" fontId="21" fillId="0" borderId="0" xfId="0" applyFont="1" applyAlignment="1">
      <alignment horizontal="center" wrapText="1"/>
    </xf>
    <xf numFmtId="0" fontId="21" fillId="0" borderId="1" xfId="0" applyFont="1" applyBorder="1"/>
    <xf numFmtId="0" fontId="20" fillId="0" borderId="6" xfId="0" applyFont="1" applyBorder="1" applyAlignment="1">
      <alignment horizontal="center" vertical="center" textRotation="90" wrapText="1"/>
    </xf>
    <xf numFmtId="0" fontId="20" fillId="0" borderId="6" xfId="0" applyFont="1" applyBorder="1" applyAlignment="1">
      <alignment horizontal="right" wrapText="1"/>
    </xf>
    <xf numFmtId="0" fontId="21" fillId="0" borderId="9" xfId="0" applyFont="1" applyBorder="1" applyAlignment="1">
      <alignment horizontal="center" wrapText="1"/>
    </xf>
    <xf numFmtId="0" fontId="21" fillId="0" borderId="4" xfId="0" applyFont="1" applyBorder="1" applyAlignment="1">
      <alignment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right" vertical="center" wrapText="1"/>
    </xf>
    <xf numFmtId="0" fontId="21" fillId="0" borderId="11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textRotation="90" wrapText="1"/>
    </xf>
    <xf numFmtId="0" fontId="21" fillId="0" borderId="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1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3" fillId="0" borderId="4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73" fontId="21" fillId="0" borderId="4" xfId="0" applyNumberFormat="1" applyFont="1" applyBorder="1" applyAlignment="1">
      <alignment horizontal="center" vertical="center" wrapText="1"/>
    </xf>
    <xf numFmtId="165" fontId="11" fillId="0" borderId="8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72" fontId="11" fillId="0" borderId="4" xfId="0" applyNumberFormat="1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wrapText="1"/>
    </xf>
    <xf numFmtId="0" fontId="18" fillId="0" borderId="9" xfId="0" applyFont="1" applyBorder="1" applyAlignment="1">
      <alignment wrapText="1"/>
    </xf>
    <xf numFmtId="0" fontId="2" fillId="0" borderId="59" xfId="0" applyFont="1" applyBorder="1"/>
    <xf numFmtId="165" fontId="1" fillId="0" borderId="12" xfId="0" applyNumberFormat="1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2" fillId="0" borderId="57" xfId="0" applyFont="1" applyBorder="1"/>
    <xf numFmtId="0" fontId="2" fillId="0" borderId="58" xfId="0" applyFont="1" applyBorder="1"/>
    <xf numFmtId="0" fontId="1" fillId="0" borderId="22" xfId="0" applyFont="1" applyBorder="1" applyAlignment="1">
      <alignment horizontal="center" vertical="center" wrapText="1"/>
    </xf>
    <xf numFmtId="2" fontId="18" fillId="0" borderId="9" xfId="0" applyNumberFormat="1" applyFont="1" applyBorder="1" applyAlignment="1">
      <alignment wrapText="1"/>
    </xf>
    <xf numFmtId="2" fontId="1" fillId="0" borderId="22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165" fontId="1" fillId="0" borderId="39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 wrapText="1"/>
    </xf>
    <xf numFmtId="0" fontId="2" fillId="0" borderId="63" xfId="0" applyFont="1" applyBorder="1"/>
    <xf numFmtId="0" fontId="2" fillId="0" borderId="64" xfId="0" applyFont="1" applyBorder="1"/>
    <xf numFmtId="2" fontId="1" fillId="0" borderId="25" xfId="0" applyNumberFormat="1" applyFont="1" applyBorder="1" applyAlignment="1">
      <alignment horizontal="center" vertical="center" wrapText="1"/>
    </xf>
    <xf numFmtId="164" fontId="1" fillId="0" borderId="39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wrapText="1"/>
    </xf>
    <xf numFmtId="0" fontId="7" fillId="0" borderId="69" xfId="0" applyFont="1" applyBorder="1" applyAlignment="1">
      <alignment horizontal="center" vertical="center" wrapText="1"/>
    </xf>
    <xf numFmtId="0" fontId="2" fillId="0" borderId="71" xfId="0" applyFont="1" applyBorder="1"/>
    <xf numFmtId="0" fontId="2" fillId="0" borderId="72" xfId="0" applyFont="1" applyBorder="1"/>
    <xf numFmtId="0" fontId="18" fillId="0" borderId="25" xfId="0" applyFont="1" applyBorder="1" applyAlignment="1">
      <alignment horizontal="center" wrapText="1"/>
    </xf>
    <xf numFmtId="0" fontId="7" fillId="0" borderId="61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wrapText="1"/>
    </xf>
    <xf numFmtId="0" fontId="18" fillId="0" borderId="39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166" fontId="3" fillId="0" borderId="39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4" fillId="0" borderId="4" xfId="0" applyFont="1" applyBorder="1"/>
    <xf numFmtId="0" fontId="1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3" fillId="0" borderId="61" xfId="0" applyFont="1" applyBorder="1" applyAlignment="1">
      <alignment horizontal="center" wrapText="1"/>
    </xf>
    <xf numFmtId="0" fontId="1" fillId="0" borderId="38" xfId="0" applyFont="1" applyBorder="1" applyAlignment="1">
      <alignment horizontal="center" vertical="center" wrapText="1"/>
    </xf>
    <xf numFmtId="0" fontId="2" fillId="0" borderId="75" xfId="0" applyFont="1" applyBorder="1"/>
    <xf numFmtId="0" fontId="3" fillId="0" borderId="39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33</xdr:row>
      <xdr:rowOff>0</xdr:rowOff>
    </xdr:from>
    <xdr:ext cx="276225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914400</xdr:colOff>
      <xdr:row>33</xdr:row>
      <xdr:rowOff>0</xdr:rowOff>
    </xdr:from>
    <xdr:ext cx="2286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33</xdr:row>
      <xdr:rowOff>0</xdr:rowOff>
    </xdr:from>
    <xdr:ext cx="228600" cy="3429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33</xdr:row>
      <xdr:rowOff>0</xdr:rowOff>
    </xdr:from>
    <xdr:ext cx="228600" cy="3429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285750</xdr:colOff>
      <xdr:row>33</xdr:row>
      <xdr:rowOff>0</xdr:rowOff>
    </xdr:from>
    <xdr:ext cx="228600" cy="3429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914400</xdr:colOff>
      <xdr:row>33</xdr:row>
      <xdr:rowOff>0</xdr:rowOff>
    </xdr:from>
    <xdr:ext cx="228600" cy="3429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33</xdr:row>
      <xdr:rowOff>0</xdr:rowOff>
    </xdr:from>
    <xdr:ext cx="228600" cy="3429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33</xdr:row>
      <xdr:rowOff>0</xdr:rowOff>
    </xdr:from>
    <xdr:ext cx="276225" cy="34290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33</xdr:row>
      <xdr:rowOff>0</xdr:rowOff>
    </xdr:from>
    <xdr:ext cx="228600" cy="3429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33</xdr:row>
      <xdr:rowOff>0</xdr:rowOff>
    </xdr:from>
    <xdr:ext cx="228600" cy="34290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33</xdr:row>
      <xdr:rowOff>0</xdr:rowOff>
    </xdr:from>
    <xdr:ext cx="228600" cy="34290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33</xdr:row>
      <xdr:rowOff>0</xdr:rowOff>
    </xdr:from>
    <xdr:ext cx="228600" cy="3429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33</xdr:row>
      <xdr:rowOff>0</xdr:rowOff>
    </xdr:from>
    <xdr:ext cx="228600" cy="34290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33</xdr:row>
      <xdr:rowOff>0</xdr:rowOff>
    </xdr:from>
    <xdr:ext cx="228600" cy="34290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33</xdr:row>
      <xdr:rowOff>0</xdr:rowOff>
    </xdr:from>
    <xdr:ext cx="228600" cy="34290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32</xdr:row>
      <xdr:rowOff>0</xdr:rowOff>
    </xdr:from>
    <xdr:ext cx="276225" cy="342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914400</xdr:colOff>
      <xdr:row>32</xdr:row>
      <xdr:rowOff>0</xdr:rowOff>
    </xdr:from>
    <xdr:ext cx="2286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32</xdr:row>
      <xdr:rowOff>0</xdr:rowOff>
    </xdr:from>
    <xdr:ext cx="228600" cy="3429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32</xdr:row>
      <xdr:rowOff>0</xdr:rowOff>
    </xdr:from>
    <xdr:ext cx="2286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285750</xdr:colOff>
      <xdr:row>32</xdr:row>
      <xdr:rowOff>0</xdr:rowOff>
    </xdr:from>
    <xdr:ext cx="228600" cy="3429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914400</xdr:colOff>
      <xdr:row>32</xdr:row>
      <xdr:rowOff>0</xdr:rowOff>
    </xdr:from>
    <xdr:ext cx="228600" cy="3429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32</xdr:row>
      <xdr:rowOff>0</xdr:rowOff>
    </xdr:from>
    <xdr:ext cx="228600" cy="3429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32</xdr:row>
      <xdr:rowOff>0</xdr:rowOff>
    </xdr:from>
    <xdr:ext cx="276225" cy="34290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32</xdr:row>
      <xdr:rowOff>0</xdr:rowOff>
    </xdr:from>
    <xdr:ext cx="228600" cy="3429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32</xdr:row>
      <xdr:rowOff>0</xdr:rowOff>
    </xdr:from>
    <xdr:ext cx="228600" cy="34290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32</xdr:row>
      <xdr:rowOff>0</xdr:rowOff>
    </xdr:from>
    <xdr:ext cx="228600" cy="34290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32</xdr:row>
      <xdr:rowOff>0</xdr:rowOff>
    </xdr:from>
    <xdr:ext cx="228600" cy="3429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32</xdr:row>
      <xdr:rowOff>0</xdr:rowOff>
    </xdr:from>
    <xdr:ext cx="228600" cy="34290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32</xdr:row>
      <xdr:rowOff>0</xdr:rowOff>
    </xdr:from>
    <xdr:ext cx="228600" cy="34290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32</xdr:row>
      <xdr:rowOff>0</xdr:rowOff>
    </xdr:from>
    <xdr:ext cx="228600" cy="34290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54</xdr:row>
      <xdr:rowOff>0</xdr:rowOff>
    </xdr:from>
    <xdr:ext cx="276225" cy="3429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914400</xdr:colOff>
      <xdr:row>54</xdr:row>
      <xdr:rowOff>0</xdr:rowOff>
    </xdr:from>
    <xdr:ext cx="2286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54</xdr:row>
      <xdr:rowOff>0</xdr:rowOff>
    </xdr:from>
    <xdr:ext cx="228600" cy="3429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54</xdr:row>
      <xdr:rowOff>0</xdr:rowOff>
    </xdr:from>
    <xdr:ext cx="2286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285750</xdr:colOff>
      <xdr:row>54</xdr:row>
      <xdr:rowOff>0</xdr:rowOff>
    </xdr:from>
    <xdr:ext cx="228600" cy="3429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914400</xdr:colOff>
      <xdr:row>54</xdr:row>
      <xdr:rowOff>0</xdr:rowOff>
    </xdr:from>
    <xdr:ext cx="228600" cy="3429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54</xdr:row>
      <xdr:rowOff>0</xdr:rowOff>
    </xdr:from>
    <xdr:ext cx="228600" cy="3429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54</xdr:row>
      <xdr:rowOff>0</xdr:rowOff>
    </xdr:from>
    <xdr:ext cx="276225" cy="3429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54</xdr:row>
      <xdr:rowOff>0</xdr:rowOff>
    </xdr:from>
    <xdr:ext cx="228600" cy="3429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54</xdr:row>
      <xdr:rowOff>0</xdr:rowOff>
    </xdr:from>
    <xdr:ext cx="228600" cy="34290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54</xdr:row>
      <xdr:rowOff>0</xdr:rowOff>
    </xdr:from>
    <xdr:ext cx="228600" cy="34290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54</xdr:row>
      <xdr:rowOff>0</xdr:rowOff>
    </xdr:from>
    <xdr:ext cx="228600" cy="3429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54</xdr:row>
      <xdr:rowOff>0</xdr:rowOff>
    </xdr:from>
    <xdr:ext cx="228600" cy="34290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54</xdr:row>
      <xdr:rowOff>0</xdr:rowOff>
    </xdr:from>
    <xdr:ext cx="228600" cy="34290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54</xdr:row>
      <xdr:rowOff>0</xdr:rowOff>
    </xdr:from>
    <xdr:ext cx="228600" cy="34290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47</xdr:row>
      <xdr:rowOff>0</xdr:rowOff>
    </xdr:from>
    <xdr:ext cx="276225" cy="3429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914400</xdr:colOff>
      <xdr:row>47</xdr:row>
      <xdr:rowOff>0</xdr:rowOff>
    </xdr:from>
    <xdr:ext cx="2286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286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285750</xdr:colOff>
      <xdr:row>47</xdr:row>
      <xdr:rowOff>0</xdr:rowOff>
    </xdr:from>
    <xdr:ext cx="228600" cy="3429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914400</xdr:colOff>
      <xdr:row>47</xdr:row>
      <xdr:rowOff>0</xdr:rowOff>
    </xdr:from>
    <xdr:ext cx="228600" cy="3429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76225" cy="3429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28600" cy="3429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28600" cy="3429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31</xdr:row>
      <xdr:rowOff>0</xdr:rowOff>
    </xdr:from>
    <xdr:ext cx="27622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914400</xdr:colOff>
      <xdr:row>31</xdr:row>
      <xdr:rowOff>0</xdr:rowOff>
    </xdr:from>
    <xdr:ext cx="2286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31</xdr:row>
      <xdr:rowOff>0</xdr:rowOff>
    </xdr:from>
    <xdr:ext cx="228600" cy="3429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31</xdr:row>
      <xdr:rowOff>0</xdr:rowOff>
    </xdr:from>
    <xdr:ext cx="2286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285750</xdr:colOff>
      <xdr:row>31</xdr:row>
      <xdr:rowOff>0</xdr:rowOff>
    </xdr:from>
    <xdr:ext cx="228600" cy="3429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914400</xdr:colOff>
      <xdr:row>31</xdr:row>
      <xdr:rowOff>0</xdr:rowOff>
    </xdr:from>
    <xdr:ext cx="228600" cy="3429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31</xdr:row>
      <xdr:rowOff>0</xdr:rowOff>
    </xdr:from>
    <xdr:ext cx="228600" cy="3429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31</xdr:row>
      <xdr:rowOff>0</xdr:rowOff>
    </xdr:from>
    <xdr:ext cx="276225" cy="3429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31</xdr:row>
      <xdr:rowOff>0</xdr:rowOff>
    </xdr:from>
    <xdr:ext cx="228600" cy="3429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31</xdr:row>
      <xdr:rowOff>0</xdr:rowOff>
    </xdr:from>
    <xdr:ext cx="228600" cy="3429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31</xdr:row>
      <xdr:rowOff>0</xdr:rowOff>
    </xdr:from>
    <xdr:ext cx="228600" cy="3429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31</xdr:row>
      <xdr:rowOff>0</xdr:rowOff>
    </xdr:from>
    <xdr:ext cx="228600" cy="34290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31</xdr:row>
      <xdr:rowOff>0</xdr:rowOff>
    </xdr:from>
    <xdr:ext cx="228600" cy="34290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31</xdr:row>
      <xdr:rowOff>0</xdr:rowOff>
    </xdr:from>
    <xdr:ext cx="228600" cy="34290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31</xdr:row>
      <xdr:rowOff>0</xdr:rowOff>
    </xdr:from>
    <xdr:ext cx="228600" cy="34290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47</xdr:row>
      <xdr:rowOff>0</xdr:rowOff>
    </xdr:from>
    <xdr:ext cx="27622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914400</xdr:colOff>
      <xdr:row>47</xdr:row>
      <xdr:rowOff>0</xdr:rowOff>
    </xdr:from>
    <xdr:ext cx="2286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286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285750</xdr:colOff>
      <xdr:row>47</xdr:row>
      <xdr:rowOff>0</xdr:rowOff>
    </xdr:from>
    <xdr:ext cx="228600" cy="3429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914400</xdr:colOff>
      <xdr:row>47</xdr:row>
      <xdr:rowOff>0</xdr:rowOff>
    </xdr:from>
    <xdr:ext cx="228600" cy="3429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76225" cy="3429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28600" cy="3429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47</xdr:row>
      <xdr:rowOff>0</xdr:rowOff>
    </xdr:from>
    <xdr:ext cx="228600" cy="34290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47</xdr:row>
      <xdr:rowOff>0</xdr:rowOff>
    </xdr:from>
    <xdr:ext cx="228600" cy="34290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40</xdr:row>
      <xdr:rowOff>0</xdr:rowOff>
    </xdr:from>
    <xdr:ext cx="276225" cy="3429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914400</xdr:colOff>
      <xdr:row>40</xdr:row>
      <xdr:rowOff>0</xdr:rowOff>
    </xdr:from>
    <xdr:ext cx="2286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40</xdr:row>
      <xdr:rowOff>0</xdr:rowOff>
    </xdr:from>
    <xdr:ext cx="228600" cy="3429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40</xdr:row>
      <xdr:rowOff>0</xdr:rowOff>
    </xdr:from>
    <xdr:ext cx="228600" cy="342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285750</xdr:colOff>
      <xdr:row>40</xdr:row>
      <xdr:rowOff>0</xdr:rowOff>
    </xdr:from>
    <xdr:ext cx="228600" cy="3429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914400</xdr:colOff>
      <xdr:row>40</xdr:row>
      <xdr:rowOff>0</xdr:rowOff>
    </xdr:from>
    <xdr:ext cx="228600" cy="3429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40</xdr:row>
      <xdr:rowOff>0</xdr:rowOff>
    </xdr:from>
    <xdr:ext cx="228600" cy="3429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40</xdr:row>
      <xdr:rowOff>0</xdr:rowOff>
    </xdr:from>
    <xdr:ext cx="276225" cy="3429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12650" y="3613313"/>
          <a:ext cx="266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40</xdr:row>
      <xdr:rowOff>0</xdr:rowOff>
    </xdr:from>
    <xdr:ext cx="228600" cy="3429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40</xdr:row>
      <xdr:rowOff>0</xdr:rowOff>
    </xdr:from>
    <xdr:ext cx="228600" cy="3429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40</xdr:row>
      <xdr:rowOff>0</xdr:rowOff>
    </xdr:from>
    <xdr:ext cx="228600" cy="3429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447675</xdr:colOff>
      <xdr:row>40</xdr:row>
      <xdr:rowOff>0</xdr:rowOff>
    </xdr:from>
    <xdr:ext cx="228600" cy="34290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40</xdr:row>
      <xdr:rowOff>0</xdr:rowOff>
    </xdr:from>
    <xdr:ext cx="228600" cy="34290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40</xdr:row>
      <xdr:rowOff>0</xdr:rowOff>
    </xdr:from>
    <xdr:ext cx="228600" cy="3429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466725</xdr:colOff>
      <xdr:row>40</xdr:row>
      <xdr:rowOff>0</xdr:rowOff>
    </xdr:from>
    <xdr:ext cx="228600" cy="34290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36463" y="3613313"/>
          <a:ext cx="219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2</xdr:row>
      <xdr:rowOff>38100</xdr:rowOff>
    </xdr:from>
    <xdr:ext cx="828675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2</xdr:row>
      <xdr:rowOff>9525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16</xdr:row>
      <xdr:rowOff>171450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16</xdr:row>
      <xdr:rowOff>152400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32</xdr:row>
      <xdr:rowOff>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31</xdr:row>
      <xdr:rowOff>152400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47</xdr:row>
      <xdr:rowOff>9525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46</xdr:row>
      <xdr:rowOff>161925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53"/>
      <c r="B1" s="221"/>
      <c r="C1" s="254"/>
      <c r="D1" s="253" t="s">
        <v>0</v>
      </c>
      <c r="E1" s="221"/>
      <c r="F1" s="221"/>
      <c r="G1" s="221"/>
      <c r="H1" s="221"/>
      <c r="I1" s="221"/>
      <c r="J1" s="221"/>
      <c r="K1" s="221"/>
      <c r="L1" s="254"/>
      <c r="M1" s="267" t="s">
        <v>1</v>
      </c>
      <c r="N1" s="215"/>
      <c r="O1" s="267" t="s">
        <v>2</v>
      </c>
      <c r="P1" s="215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300"/>
      <c r="B2" s="240"/>
      <c r="C2" s="293"/>
      <c r="D2" s="301"/>
      <c r="E2" s="235"/>
      <c r="F2" s="235"/>
      <c r="G2" s="235"/>
      <c r="H2" s="235"/>
      <c r="I2" s="235"/>
      <c r="J2" s="235"/>
      <c r="K2" s="235"/>
      <c r="L2" s="282"/>
      <c r="M2" s="302" t="s">
        <v>3</v>
      </c>
      <c r="N2" s="282"/>
      <c r="O2" s="303">
        <v>1</v>
      </c>
      <c r="P2" s="254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300"/>
      <c r="B3" s="240"/>
      <c r="C3" s="293"/>
      <c r="D3" s="304" t="s">
        <v>4</v>
      </c>
      <c r="E3" s="221"/>
      <c r="F3" s="221"/>
      <c r="G3" s="221"/>
      <c r="H3" s="221"/>
      <c r="I3" s="221"/>
      <c r="J3" s="221"/>
      <c r="K3" s="221"/>
      <c r="L3" s="254"/>
      <c r="M3" s="302" t="s">
        <v>5</v>
      </c>
      <c r="N3" s="282"/>
      <c r="O3" s="267" t="s">
        <v>6</v>
      </c>
      <c r="P3" s="215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300"/>
      <c r="B4" s="240"/>
      <c r="C4" s="293"/>
      <c r="D4" s="300"/>
      <c r="E4" s="240"/>
      <c r="F4" s="240"/>
      <c r="G4" s="240"/>
      <c r="H4" s="240"/>
      <c r="I4" s="240"/>
      <c r="J4" s="240"/>
      <c r="K4" s="240"/>
      <c r="L4" s="293"/>
      <c r="M4" s="253" t="s">
        <v>7</v>
      </c>
      <c r="N4" s="254"/>
      <c r="O4" s="272" t="s">
        <v>8</v>
      </c>
      <c r="P4" s="215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301"/>
      <c r="B5" s="235"/>
      <c r="C5" s="282"/>
      <c r="D5" s="301"/>
      <c r="E5" s="235"/>
      <c r="F5" s="235"/>
      <c r="G5" s="235"/>
      <c r="H5" s="235"/>
      <c r="I5" s="235"/>
      <c r="J5" s="235"/>
      <c r="K5" s="235"/>
      <c r="L5" s="282"/>
      <c r="M5" s="301"/>
      <c r="N5" s="282"/>
      <c r="O5" s="273" t="s">
        <v>9</v>
      </c>
      <c r="P5" s="215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97" t="s">
        <v>10</v>
      </c>
      <c r="B7" s="212"/>
      <c r="C7" s="212"/>
      <c r="D7" s="212"/>
      <c r="E7" s="215"/>
      <c r="F7" s="218" t="s">
        <v>11</v>
      </c>
      <c r="G7" s="212"/>
      <c r="H7" s="212"/>
      <c r="I7" s="212"/>
      <c r="J7" s="212"/>
      <c r="K7" s="212"/>
      <c r="L7" s="212"/>
      <c r="M7" s="212"/>
      <c r="N7" s="212"/>
      <c r="O7" s="212"/>
      <c r="P7" s="215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97" t="s">
        <v>12</v>
      </c>
      <c r="B8" s="212"/>
      <c r="C8" s="212"/>
      <c r="D8" s="212"/>
      <c r="E8" s="215"/>
      <c r="F8" s="298" t="s">
        <v>13</v>
      </c>
      <c r="G8" s="212"/>
      <c r="H8" s="212"/>
      <c r="I8" s="212"/>
      <c r="J8" s="215"/>
      <c r="K8" s="267" t="s">
        <v>14</v>
      </c>
      <c r="L8" s="215"/>
      <c r="M8" s="266" t="s">
        <v>15</v>
      </c>
      <c r="N8" s="212"/>
      <c r="O8" s="212"/>
      <c r="P8" s="215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97" t="s">
        <v>16</v>
      </c>
      <c r="B9" s="212"/>
      <c r="C9" s="212"/>
      <c r="D9" s="212"/>
      <c r="E9" s="215"/>
      <c r="F9" s="266" t="s">
        <v>17</v>
      </c>
      <c r="G9" s="212"/>
      <c r="H9" s="212"/>
      <c r="I9" s="212"/>
      <c r="J9" s="215"/>
      <c r="K9" s="267" t="s">
        <v>18</v>
      </c>
      <c r="L9" s="215"/>
      <c r="M9" s="295">
        <v>25</v>
      </c>
      <c r="N9" s="212"/>
      <c r="O9" s="212"/>
      <c r="P9" s="215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97" t="s">
        <v>19</v>
      </c>
      <c r="B10" s="212"/>
      <c r="C10" s="212"/>
      <c r="D10" s="212"/>
      <c r="E10" s="215"/>
      <c r="F10" s="266" t="s">
        <v>20</v>
      </c>
      <c r="G10" s="212"/>
      <c r="H10" s="212"/>
      <c r="I10" s="212"/>
      <c r="J10" s="212"/>
      <c r="K10" s="212"/>
      <c r="L10" s="212"/>
      <c r="M10" s="212"/>
      <c r="N10" s="212"/>
      <c r="O10" s="212"/>
      <c r="P10" s="215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97" t="s">
        <v>21</v>
      </c>
      <c r="B11" s="212"/>
      <c r="C11" s="212"/>
      <c r="D11" s="212"/>
      <c r="E11" s="215"/>
      <c r="F11" s="296" t="s">
        <v>22</v>
      </c>
      <c r="G11" s="243"/>
      <c r="H11" s="243"/>
      <c r="I11" s="243"/>
      <c r="J11" s="244"/>
      <c r="K11" s="268" t="s">
        <v>23</v>
      </c>
      <c r="L11" s="215"/>
      <c r="M11" s="295"/>
      <c r="N11" s="212"/>
      <c r="O11" s="212"/>
      <c r="P11" s="215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99" t="s">
        <v>24</v>
      </c>
      <c r="B12" s="243"/>
      <c r="C12" s="243"/>
      <c r="D12" s="243"/>
      <c r="E12" s="244"/>
      <c r="F12" s="289" t="s">
        <v>25</v>
      </c>
      <c r="G12" s="227"/>
      <c r="H12" s="227"/>
      <c r="I12" s="227"/>
      <c r="J12" s="290"/>
      <c r="K12" s="256" t="s">
        <v>26</v>
      </c>
      <c r="L12" s="244"/>
      <c r="M12" s="291"/>
      <c r="N12" s="243"/>
      <c r="O12" s="243"/>
      <c r="P12" s="244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92"/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93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94" t="s">
        <v>27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6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28</v>
      </c>
      <c r="B15" s="267" t="s">
        <v>29</v>
      </c>
      <c r="C15" s="212"/>
      <c r="D15" s="212"/>
      <c r="E15" s="212"/>
      <c r="F15" s="212"/>
      <c r="G15" s="212"/>
      <c r="H15" s="212"/>
      <c r="I15" s="212"/>
      <c r="J15" s="212"/>
      <c r="K15" s="215"/>
      <c r="L15" s="267" t="s">
        <v>30</v>
      </c>
      <c r="M15" s="215"/>
      <c r="N15" s="267" t="s">
        <v>31</v>
      </c>
      <c r="O15" s="212"/>
      <c r="P15" s="21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83" t="s">
        <v>32</v>
      </c>
      <c r="C16" s="212"/>
      <c r="D16" s="212"/>
      <c r="E16" s="212"/>
      <c r="F16" s="212"/>
      <c r="G16" s="212"/>
      <c r="H16" s="212"/>
      <c r="I16" s="212"/>
      <c r="J16" s="212"/>
      <c r="K16" s="215"/>
      <c r="L16" s="267"/>
      <c r="M16" s="215"/>
      <c r="N16" s="267"/>
      <c r="O16" s="212"/>
      <c r="P16" s="215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0">
        <v>2</v>
      </c>
      <c r="B17" s="283" t="s">
        <v>33</v>
      </c>
      <c r="C17" s="212"/>
      <c r="D17" s="212"/>
      <c r="E17" s="212"/>
      <c r="F17" s="212"/>
      <c r="G17" s="212"/>
      <c r="H17" s="212"/>
      <c r="I17" s="212"/>
      <c r="J17" s="212"/>
      <c r="K17" s="215"/>
      <c r="L17" s="267"/>
      <c r="M17" s="215"/>
      <c r="N17" s="267"/>
      <c r="O17" s="212"/>
      <c r="P17" s="215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83" t="s">
        <v>34</v>
      </c>
      <c r="C18" s="212"/>
      <c r="D18" s="212"/>
      <c r="E18" s="212"/>
      <c r="F18" s="212"/>
      <c r="G18" s="212"/>
      <c r="H18" s="212"/>
      <c r="I18" s="212"/>
      <c r="J18" s="212"/>
      <c r="K18" s="215"/>
      <c r="L18" s="267"/>
      <c r="M18" s="215"/>
      <c r="N18" s="267"/>
      <c r="O18" s="212"/>
      <c r="P18" s="21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0">
        <v>4</v>
      </c>
      <c r="B19" s="283" t="s">
        <v>35</v>
      </c>
      <c r="C19" s="212"/>
      <c r="D19" s="212"/>
      <c r="E19" s="212"/>
      <c r="F19" s="212"/>
      <c r="G19" s="212"/>
      <c r="H19" s="212"/>
      <c r="I19" s="212"/>
      <c r="J19" s="212"/>
      <c r="K19" s="215"/>
      <c r="L19" s="267"/>
      <c r="M19" s="215"/>
      <c r="N19" s="267"/>
      <c r="O19" s="212"/>
      <c r="P19" s="21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83" t="s">
        <v>36</v>
      </c>
      <c r="C20" s="212"/>
      <c r="D20" s="212"/>
      <c r="E20" s="212"/>
      <c r="F20" s="212"/>
      <c r="G20" s="212"/>
      <c r="H20" s="212"/>
      <c r="I20" s="212"/>
      <c r="J20" s="212"/>
      <c r="K20" s="215"/>
      <c r="L20" s="267"/>
      <c r="M20" s="215"/>
      <c r="N20" s="267"/>
      <c r="O20" s="212"/>
      <c r="P20" s="21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83" t="s">
        <v>37</v>
      </c>
      <c r="C21" s="212"/>
      <c r="D21" s="212"/>
      <c r="E21" s="212"/>
      <c r="F21" s="212"/>
      <c r="G21" s="212"/>
      <c r="H21" s="212"/>
      <c r="I21" s="212"/>
      <c r="J21" s="212"/>
      <c r="K21" s="215"/>
      <c r="L21" s="267"/>
      <c r="M21" s="215"/>
      <c r="N21" s="267"/>
      <c r="O21" s="212"/>
      <c r="P21" s="215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83" t="s">
        <v>38</v>
      </c>
      <c r="C22" s="212"/>
      <c r="D22" s="212"/>
      <c r="E22" s="212"/>
      <c r="F22" s="212"/>
      <c r="G22" s="212"/>
      <c r="H22" s="212"/>
      <c r="I22" s="212"/>
      <c r="J22" s="212"/>
      <c r="K22" s="215"/>
      <c r="L22" s="267"/>
      <c r="M22" s="215"/>
      <c r="N22" s="267"/>
      <c r="O22" s="212"/>
      <c r="P22" s="21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83" t="s">
        <v>39</v>
      </c>
      <c r="C23" s="212"/>
      <c r="D23" s="212"/>
      <c r="E23" s="212"/>
      <c r="F23" s="212"/>
      <c r="G23" s="212"/>
      <c r="H23" s="212"/>
      <c r="I23" s="212"/>
      <c r="J23" s="212"/>
      <c r="K23" s="215"/>
      <c r="L23" s="267"/>
      <c r="M23" s="215"/>
      <c r="N23" s="267"/>
      <c r="O23" s="212"/>
      <c r="P23" s="215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0">
        <v>9</v>
      </c>
      <c r="B24" s="283" t="s">
        <v>40</v>
      </c>
      <c r="C24" s="212"/>
      <c r="D24" s="212"/>
      <c r="E24" s="212"/>
      <c r="F24" s="212"/>
      <c r="G24" s="212"/>
      <c r="H24" s="212"/>
      <c r="I24" s="212"/>
      <c r="J24" s="212"/>
      <c r="K24" s="215"/>
      <c r="L24" s="267"/>
      <c r="M24" s="215"/>
      <c r="N24" s="267"/>
      <c r="O24" s="212"/>
      <c r="P24" s="215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83" t="s">
        <v>41</v>
      </c>
      <c r="C25" s="212"/>
      <c r="D25" s="212"/>
      <c r="E25" s="212"/>
      <c r="F25" s="212"/>
      <c r="G25" s="212"/>
      <c r="H25" s="212"/>
      <c r="I25" s="212"/>
      <c r="J25" s="212"/>
      <c r="K25" s="215"/>
      <c r="L25" s="267"/>
      <c r="M25" s="215"/>
      <c r="N25" s="267"/>
      <c r="O25" s="212"/>
      <c r="P25" s="215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83" t="s">
        <v>42</v>
      </c>
      <c r="C26" s="212"/>
      <c r="D26" s="212"/>
      <c r="E26" s="212"/>
      <c r="F26" s="212"/>
      <c r="G26" s="212"/>
      <c r="H26" s="212"/>
      <c r="I26" s="212"/>
      <c r="J26" s="212"/>
      <c r="K26" s="215"/>
      <c r="L26" s="267"/>
      <c r="M26" s="215"/>
      <c r="N26" s="267"/>
      <c r="O26" s="212"/>
      <c r="P26" s="215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83" t="s">
        <v>43</v>
      </c>
      <c r="C27" s="212"/>
      <c r="D27" s="212"/>
      <c r="E27" s="212"/>
      <c r="F27" s="212"/>
      <c r="G27" s="212"/>
      <c r="H27" s="212"/>
      <c r="I27" s="212"/>
      <c r="J27" s="212"/>
      <c r="K27" s="215"/>
      <c r="L27" s="267"/>
      <c r="M27" s="215"/>
      <c r="N27" s="267"/>
      <c r="O27" s="212"/>
      <c r="P27" s="215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0">
        <v>13</v>
      </c>
      <c r="B28" s="283" t="s">
        <v>44</v>
      </c>
      <c r="C28" s="212"/>
      <c r="D28" s="212"/>
      <c r="E28" s="212"/>
      <c r="F28" s="212"/>
      <c r="G28" s="212"/>
      <c r="H28" s="212"/>
      <c r="I28" s="212"/>
      <c r="J28" s="212"/>
      <c r="K28" s="215"/>
      <c r="L28" s="267"/>
      <c r="M28" s="215"/>
      <c r="N28" s="267"/>
      <c r="O28" s="212"/>
      <c r="P28" s="215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84" t="s">
        <v>45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8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86" t="s">
        <v>46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5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80"/>
      <c r="B31" s="212"/>
      <c r="C31" s="212"/>
      <c r="D31" s="212"/>
      <c r="E31" s="212"/>
      <c r="F31" s="212"/>
      <c r="G31" s="212"/>
      <c r="H31" s="212"/>
      <c r="I31" s="212"/>
      <c r="J31" s="215"/>
      <c r="K31" s="287"/>
      <c r="L31" s="212"/>
      <c r="M31" s="212"/>
      <c r="N31" s="212"/>
      <c r="O31" s="212"/>
      <c r="P31" s="215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79" t="s">
        <v>47</v>
      </c>
      <c r="B32" s="212"/>
      <c r="C32" s="212"/>
      <c r="D32" s="212"/>
      <c r="E32" s="212"/>
      <c r="F32" s="212"/>
      <c r="G32" s="212"/>
      <c r="H32" s="212"/>
      <c r="I32" s="212"/>
      <c r="J32" s="215"/>
      <c r="K32" s="267" t="s">
        <v>48</v>
      </c>
      <c r="L32" s="212"/>
      <c r="M32" s="212"/>
      <c r="N32" s="212"/>
      <c r="O32" s="212"/>
      <c r="P32" s="215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86" t="s">
        <v>49</v>
      </c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5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68" t="s">
        <v>50</v>
      </c>
      <c r="B34" s="212"/>
      <c r="C34" s="212"/>
      <c r="D34" s="212"/>
      <c r="E34" s="212"/>
      <c r="F34" s="212"/>
      <c r="G34" s="215"/>
      <c r="H34" s="288"/>
      <c r="I34" s="212"/>
      <c r="J34" s="212"/>
      <c r="K34" s="212"/>
      <c r="L34" s="212"/>
      <c r="M34" s="212"/>
      <c r="N34" s="212"/>
      <c r="O34" s="212"/>
      <c r="P34" s="215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79" t="s">
        <v>51</v>
      </c>
      <c r="B35" s="212"/>
      <c r="C35" s="212"/>
      <c r="D35" s="212"/>
      <c r="E35" s="212"/>
      <c r="F35" s="212"/>
      <c r="G35" s="215"/>
      <c r="H35" s="280"/>
      <c r="I35" s="212"/>
      <c r="J35" s="212"/>
      <c r="K35" s="212"/>
      <c r="L35" s="212"/>
      <c r="M35" s="212"/>
      <c r="N35" s="212"/>
      <c r="O35" s="212"/>
      <c r="P35" s="215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1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81" t="s">
        <v>52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8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71"/>
      <c r="B1" s="224"/>
      <c r="C1" s="285"/>
      <c r="D1" s="312" t="s">
        <v>0</v>
      </c>
      <c r="E1" s="224"/>
      <c r="F1" s="224"/>
      <c r="G1" s="224"/>
      <c r="H1" s="224"/>
      <c r="I1" s="224"/>
      <c r="J1" s="224"/>
      <c r="K1" s="224"/>
      <c r="L1" s="285"/>
      <c r="M1" s="294" t="s">
        <v>1</v>
      </c>
      <c r="N1" s="261"/>
      <c r="O1" s="294" t="s">
        <v>53</v>
      </c>
      <c r="P1" s="232"/>
    </row>
    <row r="2" spans="1:19" ht="15" customHeight="1" x14ac:dyDescent="0.45">
      <c r="A2" s="274"/>
      <c r="B2" s="240"/>
      <c r="C2" s="293"/>
      <c r="D2" s="301"/>
      <c r="E2" s="235"/>
      <c r="F2" s="235"/>
      <c r="G2" s="235"/>
      <c r="H2" s="235"/>
      <c r="I2" s="235"/>
      <c r="J2" s="235"/>
      <c r="K2" s="235"/>
      <c r="L2" s="282"/>
      <c r="M2" s="267" t="s">
        <v>3</v>
      </c>
      <c r="N2" s="215"/>
      <c r="O2" s="313">
        <v>1</v>
      </c>
      <c r="P2" s="213"/>
    </row>
    <row r="3" spans="1:19" ht="15.75" customHeight="1" x14ac:dyDescent="0.45">
      <c r="A3" s="274"/>
      <c r="B3" s="240"/>
      <c r="C3" s="293"/>
      <c r="D3" s="304" t="s">
        <v>54</v>
      </c>
      <c r="E3" s="221"/>
      <c r="F3" s="221"/>
      <c r="G3" s="221"/>
      <c r="H3" s="221"/>
      <c r="I3" s="221"/>
      <c r="J3" s="221"/>
      <c r="K3" s="221"/>
      <c r="L3" s="254"/>
      <c r="M3" s="267" t="s">
        <v>5</v>
      </c>
      <c r="N3" s="215"/>
      <c r="O3" s="267" t="s">
        <v>6</v>
      </c>
      <c r="P3" s="213"/>
      <c r="Q3" s="12"/>
      <c r="R3" s="12"/>
      <c r="S3" s="12"/>
    </row>
    <row r="4" spans="1:19" ht="15.75" customHeight="1" x14ac:dyDescent="0.45">
      <c r="A4" s="274"/>
      <c r="B4" s="240"/>
      <c r="C4" s="293"/>
      <c r="D4" s="300"/>
      <c r="E4" s="240"/>
      <c r="F4" s="240"/>
      <c r="G4" s="240"/>
      <c r="H4" s="240"/>
      <c r="I4" s="240"/>
      <c r="J4" s="240"/>
      <c r="K4" s="240"/>
      <c r="L4" s="293"/>
      <c r="M4" s="292" t="s">
        <v>7</v>
      </c>
      <c r="N4" s="293"/>
      <c r="O4" s="272" t="s">
        <v>8</v>
      </c>
      <c r="P4" s="213"/>
      <c r="Q4" s="12"/>
      <c r="R4" s="12"/>
      <c r="S4" s="12"/>
    </row>
    <row r="5" spans="1:19" ht="15.75" customHeight="1" x14ac:dyDescent="0.45">
      <c r="A5" s="311"/>
      <c r="B5" s="235"/>
      <c r="C5" s="282"/>
      <c r="D5" s="301"/>
      <c r="E5" s="235"/>
      <c r="F5" s="235"/>
      <c r="G5" s="235"/>
      <c r="H5" s="235"/>
      <c r="I5" s="235"/>
      <c r="J5" s="235"/>
      <c r="K5" s="235"/>
      <c r="L5" s="282"/>
      <c r="M5" s="301"/>
      <c r="N5" s="282"/>
      <c r="O5" s="273" t="s">
        <v>9</v>
      </c>
      <c r="P5" s="213"/>
      <c r="Q5" s="12"/>
      <c r="R5" s="12"/>
      <c r="S5" s="12"/>
    </row>
    <row r="6" spans="1:19" ht="12" customHeight="1" x14ac:dyDescent="0.45">
      <c r="A6" s="308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63"/>
      <c r="Q6" s="12"/>
      <c r="R6" s="12"/>
      <c r="S6" s="12"/>
    </row>
    <row r="7" spans="1:19" ht="30" customHeight="1" x14ac:dyDescent="0.45">
      <c r="A7" s="309" t="s">
        <v>10</v>
      </c>
      <c r="B7" s="212"/>
      <c r="C7" s="212"/>
      <c r="D7" s="212"/>
      <c r="E7" s="212"/>
      <c r="F7" s="215"/>
      <c r="G7" s="266" t="str">
        <f>'LISTA CHEQUEO'!F7</f>
        <v>SUERO MULTIPEPTIDOS</v>
      </c>
      <c r="H7" s="212"/>
      <c r="I7" s="212"/>
      <c r="J7" s="212"/>
      <c r="K7" s="212"/>
      <c r="L7" s="212"/>
      <c r="M7" s="212"/>
      <c r="N7" s="212"/>
      <c r="O7" s="212"/>
      <c r="P7" s="213"/>
      <c r="Q7" s="12"/>
      <c r="R7" s="12"/>
      <c r="S7" s="12"/>
    </row>
    <row r="8" spans="1:19" ht="30" customHeight="1" x14ac:dyDescent="0.45">
      <c r="A8" s="310" t="s">
        <v>21</v>
      </c>
      <c r="B8" s="235"/>
      <c r="C8" s="235"/>
      <c r="D8" s="235"/>
      <c r="E8" s="235"/>
      <c r="F8" s="235"/>
      <c r="G8" s="252" t="str">
        <f>'LISTA CHEQUEO'!F11</f>
        <v>NSOC35967-24CO</v>
      </c>
      <c r="H8" s="243"/>
      <c r="I8" s="243"/>
      <c r="J8" s="243"/>
      <c r="K8" s="244"/>
      <c r="L8" s="302" t="s">
        <v>55</v>
      </c>
      <c r="M8" s="282"/>
      <c r="N8" s="298" t="str">
        <f>'LISTA CHEQUEO'!F8</f>
        <v>252521</v>
      </c>
      <c r="O8" s="212"/>
      <c r="P8" s="213"/>
      <c r="Q8" s="12"/>
      <c r="R8" s="12"/>
      <c r="S8" s="12"/>
    </row>
    <row r="9" spans="1:19" ht="30" customHeight="1" x14ac:dyDescent="0.45">
      <c r="A9" s="305" t="s">
        <v>56</v>
      </c>
      <c r="B9" s="221"/>
      <c r="C9" s="221"/>
      <c r="D9" s="221"/>
      <c r="E9" s="221"/>
      <c r="F9" s="221"/>
      <c r="G9" s="252" t="str">
        <f>'LISTA CHEQUEO'!F12</f>
        <v>SOLUCION</v>
      </c>
      <c r="H9" s="243"/>
      <c r="I9" s="243"/>
      <c r="J9" s="243"/>
      <c r="K9" s="244"/>
      <c r="L9" s="253" t="s">
        <v>57</v>
      </c>
      <c r="M9" s="254"/>
      <c r="N9" s="266" t="str">
        <f>'LISTA CHEQUEO'!M8</f>
        <v>OP-L-123</v>
      </c>
      <c r="O9" s="212"/>
      <c r="P9" s="213"/>
      <c r="Q9" s="12"/>
      <c r="R9" s="12"/>
      <c r="S9" s="12"/>
    </row>
    <row r="10" spans="1:19" ht="30" customHeight="1" x14ac:dyDescent="0.45">
      <c r="A10" s="309" t="s">
        <v>58</v>
      </c>
      <c r="B10" s="212"/>
      <c r="C10" s="212"/>
      <c r="D10" s="212"/>
      <c r="E10" s="212"/>
      <c r="F10" s="215"/>
      <c r="G10" s="306">
        <f>'LISTA CHEQUEO'!M9</f>
        <v>25</v>
      </c>
      <c r="H10" s="212"/>
      <c r="I10" s="212"/>
      <c r="J10" s="212"/>
      <c r="K10" s="215"/>
      <c r="L10" s="286" t="s">
        <v>59</v>
      </c>
      <c r="M10" s="215"/>
      <c r="N10" s="307"/>
      <c r="O10" s="212"/>
      <c r="P10" s="213"/>
      <c r="Q10" s="12"/>
      <c r="R10" s="12"/>
      <c r="S10" s="12"/>
    </row>
    <row r="11" spans="1:19" ht="12" customHeight="1" x14ac:dyDescent="0.45">
      <c r="A11" s="317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3"/>
      <c r="Q11" s="12"/>
      <c r="R11" s="12"/>
      <c r="S11" s="12"/>
    </row>
    <row r="12" spans="1:19" ht="42.75" customHeight="1" x14ac:dyDescent="0.45">
      <c r="A12" s="322" t="s">
        <v>60</v>
      </c>
      <c r="B12" s="235"/>
      <c r="C12" s="235"/>
      <c r="D12" s="235"/>
      <c r="E12" s="235"/>
      <c r="F12" s="235"/>
      <c r="G12" s="323"/>
      <c r="H12" s="235"/>
      <c r="I12" s="235"/>
      <c r="J12" s="235"/>
      <c r="K12" s="235"/>
      <c r="L12" s="235"/>
      <c r="M12" s="235"/>
      <c r="N12" s="235"/>
      <c r="O12" s="235"/>
      <c r="P12" s="315"/>
      <c r="Q12" s="12"/>
      <c r="R12" s="12"/>
      <c r="S12" s="12"/>
    </row>
    <row r="13" spans="1:19" ht="43.5" customHeight="1" x14ac:dyDescent="0.45">
      <c r="A13" s="317" t="s">
        <v>61</v>
      </c>
      <c r="B13" s="212"/>
      <c r="C13" s="212"/>
      <c r="D13" s="212"/>
      <c r="E13" s="212"/>
      <c r="F13" s="215"/>
      <c r="G13" s="268" t="s">
        <v>62</v>
      </c>
      <c r="H13" s="215"/>
      <c r="I13" s="268" t="s">
        <v>63</v>
      </c>
      <c r="J13" s="215"/>
      <c r="K13" s="268" t="s">
        <v>64</v>
      </c>
      <c r="L13" s="215"/>
      <c r="M13" s="268" t="s">
        <v>65</v>
      </c>
      <c r="N13" s="215"/>
      <c r="O13" s="268" t="s">
        <v>66</v>
      </c>
      <c r="P13" s="213"/>
      <c r="Q13" s="12"/>
      <c r="R13" s="12"/>
      <c r="S13" s="12"/>
    </row>
    <row r="14" spans="1:19" ht="24.75" customHeight="1" x14ac:dyDescent="0.45">
      <c r="A14" s="318" t="s">
        <v>67</v>
      </c>
      <c r="B14" s="212"/>
      <c r="C14" s="212"/>
      <c r="D14" s="212"/>
      <c r="E14" s="212"/>
      <c r="F14" s="215"/>
      <c r="G14" s="268"/>
      <c r="H14" s="215"/>
      <c r="I14" s="268"/>
      <c r="J14" s="215"/>
      <c r="K14" s="268"/>
      <c r="L14" s="215"/>
      <c r="M14" s="268"/>
      <c r="N14" s="215"/>
      <c r="O14" s="268"/>
      <c r="P14" s="213"/>
      <c r="Q14" s="12"/>
      <c r="R14" s="12"/>
      <c r="S14" s="12"/>
    </row>
    <row r="15" spans="1:19" ht="27.75" customHeight="1" x14ac:dyDescent="0.45">
      <c r="A15" s="318" t="s">
        <v>68</v>
      </c>
      <c r="B15" s="212"/>
      <c r="C15" s="212"/>
      <c r="D15" s="212"/>
      <c r="E15" s="212"/>
      <c r="F15" s="215"/>
      <c r="G15" s="288"/>
      <c r="H15" s="215"/>
      <c r="I15" s="288"/>
      <c r="J15" s="215"/>
      <c r="K15" s="288"/>
      <c r="L15" s="215"/>
      <c r="M15" s="288"/>
      <c r="N15" s="215"/>
      <c r="O15" s="288"/>
      <c r="P15" s="213"/>
      <c r="Q15" s="12"/>
      <c r="R15" s="12"/>
      <c r="S15" s="12"/>
    </row>
    <row r="16" spans="1:19" ht="16.5" customHeight="1" x14ac:dyDescent="0.45">
      <c r="A16" s="321" t="s">
        <v>69</v>
      </c>
      <c r="B16" s="221"/>
      <c r="C16" s="221"/>
      <c r="D16" s="221"/>
      <c r="E16" s="221"/>
      <c r="F16" s="254"/>
      <c r="G16" s="16" t="s">
        <v>70</v>
      </c>
      <c r="H16" s="16" t="s">
        <v>71</v>
      </c>
      <c r="I16" s="16" t="s">
        <v>70</v>
      </c>
      <c r="J16" s="16" t="s">
        <v>71</v>
      </c>
      <c r="K16" s="16" t="s">
        <v>70</v>
      </c>
      <c r="L16" s="16" t="s">
        <v>71</v>
      </c>
      <c r="M16" s="16" t="s">
        <v>70</v>
      </c>
      <c r="N16" s="16" t="s">
        <v>71</v>
      </c>
      <c r="O16" s="16" t="s">
        <v>70</v>
      </c>
      <c r="P16" s="17" t="s">
        <v>71</v>
      </c>
      <c r="Q16" s="12"/>
      <c r="R16" s="12"/>
      <c r="S16" s="12"/>
    </row>
    <row r="17" spans="1:19" ht="16.5" customHeight="1" x14ac:dyDescent="0.45">
      <c r="A17" s="274"/>
      <c r="B17" s="240"/>
      <c r="C17" s="240"/>
      <c r="D17" s="240"/>
      <c r="E17" s="240"/>
      <c r="F17" s="293"/>
      <c r="G17" s="18"/>
      <c r="H17" s="18"/>
      <c r="I17" s="18"/>
      <c r="J17" s="18"/>
      <c r="K17" s="18"/>
      <c r="L17" s="18"/>
      <c r="M17" s="16"/>
      <c r="N17" s="16"/>
      <c r="O17" s="16"/>
      <c r="P17" s="17"/>
      <c r="Q17" s="12"/>
      <c r="R17" s="12"/>
      <c r="S17" s="12"/>
    </row>
    <row r="18" spans="1:19" ht="16.5" customHeight="1" x14ac:dyDescent="0.45">
      <c r="A18" s="311"/>
      <c r="B18" s="235"/>
      <c r="C18" s="235"/>
      <c r="D18" s="235"/>
      <c r="E18" s="235"/>
      <c r="F18" s="282"/>
      <c r="G18" s="18" t="s">
        <v>72</v>
      </c>
      <c r="H18" s="18" t="s">
        <v>73</v>
      </c>
      <c r="I18" s="18" t="s">
        <v>72</v>
      </c>
      <c r="J18" s="18" t="s">
        <v>73</v>
      </c>
      <c r="K18" s="18" t="s">
        <v>72</v>
      </c>
      <c r="L18" s="18" t="s">
        <v>73</v>
      </c>
      <c r="M18" s="16" t="s">
        <v>72</v>
      </c>
      <c r="N18" s="16" t="s">
        <v>73</v>
      </c>
      <c r="O18" s="16" t="s">
        <v>72</v>
      </c>
      <c r="P18" s="17" t="s">
        <v>73</v>
      </c>
      <c r="Q18" s="12"/>
      <c r="R18" s="12"/>
      <c r="S18" s="12"/>
    </row>
    <row r="19" spans="1:19" ht="54" customHeight="1" x14ac:dyDescent="0.45">
      <c r="A19" s="320" t="s">
        <v>74</v>
      </c>
      <c r="B19" s="212"/>
      <c r="C19" s="212"/>
      <c r="D19" s="212"/>
      <c r="E19" s="212"/>
      <c r="F19" s="215"/>
      <c r="G19" s="18"/>
      <c r="H19" s="18"/>
      <c r="I19" s="18"/>
      <c r="J19" s="18"/>
      <c r="K19" s="18"/>
      <c r="L19" s="18"/>
      <c r="M19" s="16"/>
      <c r="N19" s="16"/>
      <c r="O19" s="16"/>
      <c r="P19" s="17"/>
      <c r="Q19" s="12"/>
      <c r="R19" s="12"/>
      <c r="S19" s="12"/>
    </row>
    <row r="20" spans="1:19" ht="30.75" customHeight="1" x14ac:dyDescent="0.45">
      <c r="A20" s="320" t="s">
        <v>75</v>
      </c>
      <c r="B20" s="212"/>
      <c r="C20" s="212"/>
      <c r="D20" s="212"/>
      <c r="E20" s="212"/>
      <c r="F20" s="215"/>
      <c r="G20" s="19"/>
      <c r="H20" s="19"/>
      <c r="I20" s="16"/>
      <c r="J20" s="16"/>
      <c r="K20" s="16"/>
      <c r="L20" s="16"/>
      <c r="M20" s="16"/>
      <c r="N20" s="20"/>
      <c r="O20" s="21"/>
      <c r="P20" s="22"/>
      <c r="Q20" s="12"/>
      <c r="R20" s="12"/>
      <c r="S20" s="12"/>
    </row>
    <row r="21" spans="1:19" ht="39" customHeight="1" x14ac:dyDescent="0.45">
      <c r="A21" s="320" t="s">
        <v>76</v>
      </c>
      <c r="B21" s="212"/>
      <c r="C21" s="212"/>
      <c r="D21" s="212"/>
      <c r="E21" s="212"/>
      <c r="F21" s="215"/>
      <c r="G21" s="19"/>
      <c r="H21" s="19"/>
      <c r="I21" s="16"/>
      <c r="J21" s="16"/>
      <c r="K21" s="16"/>
      <c r="L21" s="16"/>
      <c r="M21" s="16"/>
      <c r="N21" s="20"/>
      <c r="O21" s="21"/>
      <c r="P21" s="22"/>
      <c r="Q21" s="12"/>
      <c r="R21" s="12"/>
      <c r="S21" s="12"/>
    </row>
    <row r="22" spans="1:19" ht="36.75" customHeight="1" x14ac:dyDescent="0.45">
      <c r="A22" s="320" t="s">
        <v>77</v>
      </c>
      <c r="B22" s="212"/>
      <c r="C22" s="212"/>
      <c r="D22" s="212"/>
      <c r="E22" s="212"/>
      <c r="F22" s="215"/>
      <c r="G22" s="19"/>
      <c r="H22" s="19"/>
      <c r="I22" s="16"/>
      <c r="J22" s="16"/>
      <c r="K22" s="16"/>
      <c r="L22" s="16"/>
      <c r="M22" s="16"/>
      <c r="N22" s="20"/>
      <c r="O22" s="21"/>
      <c r="P22" s="22"/>
      <c r="Q22" s="12"/>
      <c r="R22" s="12"/>
      <c r="S22" s="12"/>
    </row>
    <row r="23" spans="1:19" ht="45" customHeight="1" x14ac:dyDescent="0.45">
      <c r="A23" s="320" t="s">
        <v>78</v>
      </c>
      <c r="B23" s="212"/>
      <c r="C23" s="212"/>
      <c r="D23" s="212"/>
      <c r="E23" s="212"/>
      <c r="F23" s="215"/>
      <c r="G23" s="19"/>
      <c r="H23" s="19"/>
      <c r="I23" s="16"/>
      <c r="J23" s="16"/>
      <c r="K23" s="16"/>
      <c r="L23" s="16"/>
      <c r="M23" s="16"/>
      <c r="N23" s="20"/>
      <c r="O23" s="21"/>
      <c r="P23" s="22"/>
      <c r="Q23" s="12"/>
      <c r="R23" s="12"/>
      <c r="S23" s="12"/>
    </row>
    <row r="24" spans="1:19" ht="54" customHeight="1" x14ac:dyDescent="0.45">
      <c r="A24" s="320" t="s">
        <v>79</v>
      </c>
      <c r="B24" s="212"/>
      <c r="C24" s="212"/>
      <c r="D24" s="212"/>
      <c r="E24" s="212"/>
      <c r="F24" s="215"/>
      <c r="G24" s="19"/>
      <c r="H24" s="19"/>
      <c r="I24" s="16"/>
      <c r="J24" s="16"/>
      <c r="K24" s="16"/>
      <c r="L24" s="16"/>
      <c r="M24" s="16"/>
      <c r="N24" s="20"/>
      <c r="O24" s="21"/>
      <c r="P24" s="22"/>
      <c r="Q24" s="12"/>
      <c r="R24" s="12"/>
      <c r="S24" s="12"/>
    </row>
    <row r="25" spans="1:19" ht="42" customHeight="1" x14ac:dyDescent="0.45">
      <c r="A25" s="320" t="s">
        <v>80</v>
      </c>
      <c r="B25" s="212"/>
      <c r="C25" s="212"/>
      <c r="D25" s="212"/>
      <c r="E25" s="212"/>
      <c r="F25" s="215"/>
      <c r="G25" s="19"/>
      <c r="H25" s="19"/>
      <c r="I25" s="16"/>
      <c r="J25" s="16"/>
      <c r="K25" s="16"/>
      <c r="L25" s="16"/>
      <c r="M25" s="16"/>
      <c r="N25" s="20"/>
      <c r="O25" s="21"/>
      <c r="P25" s="22"/>
      <c r="Q25" s="12"/>
      <c r="R25" s="12"/>
      <c r="S25" s="12"/>
    </row>
    <row r="26" spans="1:19" ht="57.75" customHeight="1" x14ac:dyDescent="0.45">
      <c r="A26" s="320" t="s">
        <v>81</v>
      </c>
      <c r="B26" s="212"/>
      <c r="C26" s="212"/>
      <c r="D26" s="212"/>
      <c r="E26" s="212"/>
      <c r="F26" s="215"/>
      <c r="G26" s="19"/>
      <c r="H26" s="19"/>
      <c r="I26" s="16"/>
      <c r="J26" s="16"/>
      <c r="K26" s="16"/>
      <c r="L26" s="16"/>
      <c r="M26" s="16"/>
      <c r="N26" s="20"/>
      <c r="O26" s="21"/>
      <c r="P26" s="22"/>
      <c r="Q26" s="12"/>
      <c r="R26" s="12"/>
      <c r="S26" s="12"/>
    </row>
    <row r="27" spans="1:19" ht="37.5" customHeight="1" x14ac:dyDescent="0.45">
      <c r="A27" s="320" t="s">
        <v>82</v>
      </c>
      <c r="B27" s="212"/>
      <c r="C27" s="212"/>
      <c r="D27" s="212"/>
      <c r="E27" s="212"/>
      <c r="F27" s="215"/>
      <c r="G27" s="19"/>
      <c r="H27" s="19"/>
      <c r="I27" s="16"/>
      <c r="J27" s="16"/>
      <c r="K27" s="16"/>
      <c r="L27" s="16"/>
      <c r="M27" s="16"/>
      <c r="N27" s="20"/>
      <c r="O27" s="21"/>
      <c r="P27" s="22"/>
      <c r="Q27" s="12"/>
      <c r="R27" s="12"/>
      <c r="S27" s="12"/>
    </row>
    <row r="28" spans="1:19" ht="41.25" customHeight="1" x14ac:dyDescent="0.45">
      <c r="A28" s="320" t="s">
        <v>83</v>
      </c>
      <c r="B28" s="212"/>
      <c r="C28" s="212"/>
      <c r="D28" s="212"/>
      <c r="E28" s="212"/>
      <c r="F28" s="215"/>
      <c r="G28" s="19"/>
      <c r="H28" s="19"/>
      <c r="I28" s="16"/>
      <c r="J28" s="16"/>
      <c r="K28" s="16"/>
      <c r="L28" s="16"/>
      <c r="M28" s="16"/>
      <c r="N28" s="20"/>
      <c r="O28" s="21"/>
      <c r="P28" s="22"/>
      <c r="Q28" s="12"/>
      <c r="R28" s="12"/>
      <c r="S28" s="12"/>
    </row>
    <row r="29" spans="1:19" ht="49.5" customHeight="1" x14ac:dyDescent="0.45">
      <c r="A29" s="320" t="s">
        <v>84</v>
      </c>
      <c r="B29" s="212"/>
      <c r="C29" s="212"/>
      <c r="D29" s="212"/>
      <c r="E29" s="212"/>
      <c r="F29" s="215"/>
      <c r="G29" s="19"/>
      <c r="H29" s="19"/>
      <c r="I29" s="16"/>
      <c r="J29" s="16"/>
      <c r="K29" s="16"/>
      <c r="L29" s="16"/>
      <c r="M29" s="16"/>
      <c r="N29" s="20"/>
      <c r="O29" s="21"/>
      <c r="P29" s="22"/>
      <c r="Q29" s="12"/>
      <c r="R29" s="12"/>
      <c r="S29" s="12"/>
    </row>
    <row r="30" spans="1:19" ht="27" customHeight="1" x14ac:dyDescent="0.45">
      <c r="A30" s="320" t="s">
        <v>85</v>
      </c>
      <c r="B30" s="212"/>
      <c r="C30" s="212"/>
      <c r="D30" s="212"/>
      <c r="E30" s="212"/>
      <c r="F30" s="215"/>
      <c r="G30" s="19"/>
      <c r="H30" s="19"/>
      <c r="I30" s="16"/>
      <c r="J30" s="16"/>
      <c r="K30" s="16"/>
      <c r="L30" s="16"/>
      <c r="M30" s="16"/>
      <c r="N30" s="20"/>
      <c r="O30" s="21"/>
      <c r="P30" s="22"/>
      <c r="Q30" s="12"/>
      <c r="R30" s="12"/>
      <c r="S30" s="12"/>
    </row>
    <row r="31" spans="1:19" ht="21.75" customHeight="1" x14ac:dyDescent="0.45">
      <c r="A31" s="318" t="s">
        <v>86</v>
      </c>
      <c r="B31" s="212"/>
      <c r="C31" s="212"/>
      <c r="D31" s="212"/>
      <c r="E31" s="212"/>
      <c r="F31" s="215"/>
      <c r="G31" s="288"/>
      <c r="H31" s="215"/>
      <c r="I31" s="288"/>
      <c r="J31" s="215"/>
      <c r="K31" s="288"/>
      <c r="L31" s="215"/>
      <c r="M31" s="288"/>
      <c r="N31" s="215"/>
      <c r="O31" s="288"/>
      <c r="P31" s="213"/>
      <c r="Q31" s="12"/>
      <c r="R31" s="12"/>
      <c r="S31" s="12"/>
    </row>
    <row r="32" spans="1:19" ht="21" customHeight="1" x14ac:dyDescent="0.45">
      <c r="A32" s="317" t="s">
        <v>87</v>
      </c>
      <c r="B32" s="212"/>
      <c r="C32" s="212"/>
      <c r="D32" s="212"/>
      <c r="E32" s="212"/>
      <c r="F32" s="215"/>
      <c r="G32" s="288"/>
      <c r="H32" s="215"/>
      <c r="I32" s="288"/>
      <c r="J32" s="215"/>
      <c r="K32" s="288"/>
      <c r="L32" s="215"/>
      <c r="M32" s="288"/>
      <c r="N32" s="215"/>
      <c r="O32" s="288"/>
      <c r="P32" s="213"/>
      <c r="Q32" s="12"/>
      <c r="R32" s="12"/>
      <c r="S32" s="12"/>
    </row>
    <row r="33" spans="1:19" ht="15.75" customHeight="1" x14ac:dyDescent="0.45">
      <c r="A33" s="2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4"/>
      <c r="Q33" s="12"/>
      <c r="R33" s="12"/>
      <c r="S33" s="12"/>
    </row>
    <row r="34" spans="1:19" ht="42" customHeight="1" x14ac:dyDescent="0.45">
      <c r="A34" s="319" t="s">
        <v>45</v>
      </c>
      <c r="B34" s="221"/>
      <c r="C34" s="221"/>
      <c r="D34" s="221"/>
      <c r="E34" s="221"/>
      <c r="F34" s="254"/>
      <c r="G34" s="314"/>
      <c r="H34" s="221"/>
      <c r="I34" s="221"/>
      <c r="J34" s="221"/>
      <c r="K34" s="221"/>
      <c r="L34" s="221"/>
      <c r="M34" s="221"/>
      <c r="N34" s="221"/>
      <c r="O34" s="221"/>
      <c r="P34" s="222"/>
      <c r="Q34" s="12"/>
      <c r="R34" s="12"/>
      <c r="S34" s="12"/>
    </row>
    <row r="35" spans="1:19" ht="45.75" customHeight="1" x14ac:dyDescent="0.45">
      <c r="A35" s="274"/>
      <c r="B35" s="240"/>
      <c r="C35" s="240"/>
      <c r="D35" s="240"/>
      <c r="E35" s="240"/>
      <c r="F35" s="293"/>
      <c r="G35" s="300"/>
      <c r="H35" s="240"/>
      <c r="I35" s="240"/>
      <c r="J35" s="240"/>
      <c r="K35" s="240"/>
      <c r="L35" s="240"/>
      <c r="M35" s="240"/>
      <c r="N35" s="240"/>
      <c r="O35" s="240"/>
      <c r="P35" s="263"/>
      <c r="Q35" s="12"/>
      <c r="R35" s="12"/>
      <c r="S35" s="12"/>
    </row>
    <row r="36" spans="1:19" ht="15.75" customHeight="1" x14ac:dyDescent="0.45">
      <c r="A36" s="311"/>
      <c r="B36" s="235"/>
      <c r="C36" s="235"/>
      <c r="D36" s="235"/>
      <c r="E36" s="235"/>
      <c r="F36" s="282"/>
      <c r="G36" s="301"/>
      <c r="H36" s="235"/>
      <c r="I36" s="235"/>
      <c r="J36" s="235"/>
      <c r="K36" s="235"/>
      <c r="L36" s="235"/>
      <c r="M36" s="235"/>
      <c r="N36" s="235"/>
      <c r="O36" s="235"/>
      <c r="P36" s="315"/>
      <c r="Q36" s="12"/>
      <c r="R36" s="12"/>
      <c r="S36" s="12"/>
    </row>
    <row r="37" spans="1:19" ht="15.75" customHeight="1" x14ac:dyDescent="0.45">
      <c r="A37" s="2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4"/>
      <c r="Q37" s="12"/>
      <c r="R37" s="12"/>
      <c r="S37" s="12"/>
    </row>
    <row r="38" spans="1:19" ht="15.75" customHeight="1" x14ac:dyDescent="0.45">
      <c r="A38" s="316" t="s">
        <v>88</v>
      </c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8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5"/>
      <c r="N39" s="26"/>
      <c r="O39" s="26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5"/>
      <c r="N40" s="26"/>
      <c r="O40" s="26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5"/>
      <c r="N41" s="26"/>
      <c r="O41" s="26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5"/>
      <c r="N42" s="26"/>
      <c r="O42" s="26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5"/>
      <c r="N43" s="26"/>
      <c r="O43" s="26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5"/>
      <c r="N44" s="26"/>
      <c r="O44" s="26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005"/>
  <sheetViews>
    <sheetView tabSelected="1" topLeftCell="A25" workbookViewId="0">
      <selection activeCell="A15" sqref="A15:P39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2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41.3984375" customWidth="1"/>
  </cols>
  <sheetData>
    <row r="1" spans="1:17" ht="15" customHeight="1" x14ac:dyDescent="0.45">
      <c r="A1" s="271" t="s">
        <v>89</v>
      </c>
      <c r="B1" s="224"/>
      <c r="C1" s="225"/>
      <c r="D1" s="271" t="s">
        <v>0</v>
      </c>
      <c r="E1" s="224"/>
      <c r="F1" s="224"/>
      <c r="G1" s="224"/>
      <c r="H1" s="224"/>
      <c r="I1" s="224"/>
      <c r="J1" s="224"/>
      <c r="K1" s="224"/>
      <c r="L1" s="225"/>
      <c r="M1" s="275" t="s">
        <v>1</v>
      </c>
      <c r="N1" s="276"/>
      <c r="O1" s="275" t="s">
        <v>90</v>
      </c>
      <c r="P1" s="259"/>
    </row>
    <row r="2" spans="1:17" ht="15" customHeight="1" x14ac:dyDescent="0.45">
      <c r="A2" s="274"/>
      <c r="B2" s="240"/>
      <c r="C2" s="263"/>
      <c r="D2" s="226"/>
      <c r="E2" s="227"/>
      <c r="F2" s="227"/>
      <c r="G2" s="227"/>
      <c r="H2" s="227"/>
      <c r="I2" s="227"/>
      <c r="J2" s="227"/>
      <c r="K2" s="227"/>
      <c r="L2" s="228"/>
      <c r="M2" s="275" t="s">
        <v>3</v>
      </c>
      <c r="N2" s="259"/>
      <c r="O2" s="277">
        <v>1</v>
      </c>
      <c r="P2" s="263"/>
    </row>
    <row r="3" spans="1:17" ht="15.75" customHeight="1" x14ac:dyDescent="0.45">
      <c r="A3" s="274"/>
      <c r="B3" s="240"/>
      <c r="C3" s="263"/>
      <c r="D3" s="278" t="s">
        <v>91</v>
      </c>
      <c r="E3" s="240"/>
      <c r="F3" s="240"/>
      <c r="G3" s="240"/>
      <c r="H3" s="240"/>
      <c r="I3" s="240"/>
      <c r="J3" s="240"/>
      <c r="K3" s="240"/>
      <c r="L3" s="263"/>
      <c r="M3" s="269" t="s">
        <v>5</v>
      </c>
      <c r="N3" s="263"/>
      <c r="O3" s="270" t="s">
        <v>6</v>
      </c>
      <c r="P3" s="259"/>
      <c r="Q3" s="12"/>
    </row>
    <row r="4" spans="1:17" ht="15.75" customHeight="1" x14ac:dyDescent="0.45">
      <c r="A4" s="274"/>
      <c r="B4" s="240"/>
      <c r="C4" s="263"/>
      <c r="D4" s="240"/>
      <c r="E4" s="240"/>
      <c r="F4" s="240"/>
      <c r="G4" s="240"/>
      <c r="H4" s="240"/>
      <c r="I4" s="240"/>
      <c r="J4" s="240"/>
      <c r="K4" s="240"/>
      <c r="L4" s="263"/>
      <c r="M4" s="271" t="s">
        <v>7</v>
      </c>
      <c r="N4" s="225"/>
      <c r="O4" s="272" t="s">
        <v>8</v>
      </c>
      <c r="P4" s="213"/>
      <c r="Q4" s="12"/>
    </row>
    <row r="5" spans="1:17" ht="15.75" customHeight="1" x14ac:dyDescent="0.45">
      <c r="A5" s="226"/>
      <c r="B5" s="227"/>
      <c r="C5" s="228"/>
      <c r="D5" s="227"/>
      <c r="E5" s="227"/>
      <c r="F5" s="227"/>
      <c r="G5" s="227"/>
      <c r="H5" s="227"/>
      <c r="I5" s="227"/>
      <c r="J5" s="227"/>
      <c r="K5" s="227"/>
      <c r="L5" s="228"/>
      <c r="M5" s="226"/>
      <c r="N5" s="228"/>
      <c r="O5" s="273" t="s">
        <v>9</v>
      </c>
      <c r="P5" s="213"/>
      <c r="Q5" s="12"/>
    </row>
    <row r="6" spans="1:17" ht="12" customHeight="1" x14ac:dyDescent="0.45">
      <c r="A6" s="262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63"/>
      <c r="Q6" s="12"/>
    </row>
    <row r="7" spans="1:17" ht="26.25" customHeight="1" x14ac:dyDescent="0.45">
      <c r="A7" s="264" t="s">
        <v>92</v>
      </c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5"/>
      <c r="Q7" s="12"/>
    </row>
    <row r="8" spans="1:17" ht="26.25" customHeight="1" x14ac:dyDescent="0.45">
      <c r="A8" s="226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8"/>
      <c r="Q8" s="12"/>
    </row>
    <row r="9" spans="1:17" ht="36" customHeight="1" x14ac:dyDescent="0.45">
      <c r="A9" s="265" t="s">
        <v>10</v>
      </c>
      <c r="B9" s="230"/>
      <c r="C9" s="230"/>
      <c r="D9" s="230"/>
      <c r="E9" s="230"/>
      <c r="F9" s="261"/>
      <c r="G9" s="266" t="str">
        <f>'DESPEJE DE LINEA'!G7</f>
        <v>SUERO MULTIPEPTIDOS</v>
      </c>
      <c r="H9" s="212"/>
      <c r="I9" s="212"/>
      <c r="J9" s="212"/>
      <c r="K9" s="212"/>
      <c r="L9" s="212"/>
      <c r="M9" s="212"/>
      <c r="N9" s="212"/>
      <c r="O9" s="212"/>
      <c r="P9" s="213"/>
      <c r="Q9" s="12"/>
    </row>
    <row r="10" spans="1:17" ht="36" customHeight="1" x14ac:dyDescent="0.45">
      <c r="A10" s="251" t="s">
        <v>21</v>
      </c>
      <c r="B10" s="212"/>
      <c r="C10" s="212"/>
      <c r="D10" s="212"/>
      <c r="E10" s="212"/>
      <c r="F10" s="215"/>
      <c r="G10" s="266" t="str">
        <f>'DESPEJE DE LINEA'!G8</f>
        <v>NSOC35967-24CO</v>
      </c>
      <c r="H10" s="212"/>
      <c r="I10" s="212"/>
      <c r="J10" s="215"/>
      <c r="K10" s="267" t="s">
        <v>55</v>
      </c>
      <c r="L10" s="215"/>
      <c r="M10" s="29" t="str">
        <f>'DESPEJE DE LINEA'!N8</f>
        <v>252521</v>
      </c>
      <c r="N10" s="268" t="s">
        <v>59</v>
      </c>
      <c r="O10" s="215"/>
      <c r="P10" s="30"/>
      <c r="Q10" s="12"/>
    </row>
    <row r="11" spans="1:17" ht="36" customHeight="1" x14ac:dyDescent="0.45">
      <c r="A11" s="251" t="s">
        <v>56</v>
      </c>
      <c r="B11" s="212"/>
      <c r="C11" s="212"/>
      <c r="D11" s="212"/>
      <c r="E11" s="212"/>
      <c r="F11" s="215"/>
      <c r="G11" s="252" t="str">
        <f>'DESPEJE DE LINEA'!G9</f>
        <v>SOLUCION</v>
      </c>
      <c r="H11" s="243"/>
      <c r="I11" s="243"/>
      <c r="J11" s="244"/>
      <c r="K11" s="253" t="s">
        <v>93</v>
      </c>
      <c r="L11" s="254"/>
      <c r="M11" s="31" t="str">
        <f>'DESPEJE DE LINEA'!N9</f>
        <v>OP-L-123</v>
      </c>
      <c r="N11" s="268" t="s">
        <v>94</v>
      </c>
      <c r="O11" s="215"/>
      <c r="P11" s="32">
        <v>6</v>
      </c>
      <c r="Q11" s="12"/>
    </row>
    <row r="12" spans="1:17" ht="36" customHeight="1" x14ac:dyDescent="0.45">
      <c r="A12" s="260" t="s">
        <v>95</v>
      </c>
      <c r="B12" s="243"/>
      <c r="C12" s="243"/>
      <c r="D12" s="243"/>
      <c r="E12" s="243"/>
      <c r="F12" s="244"/>
      <c r="G12" s="255"/>
      <c r="H12" s="243"/>
      <c r="I12" s="243"/>
      <c r="J12" s="244"/>
      <c r="K12" s="256" t="s">
        <v>96</v>
      </c>
      <c r="L12" s="244"/>
      <c r="M12" s="33">
        <v>833</v>
      </c>
      <c r="N12" s="256" t="s">
        <v>58</v>
      </c>
      <c r="O12" s="244"/>
      <c r="P12" s="34">
        <v>35</v>
      </c>
      <c r="Q12" s="12"/>
    </row>
    <row r="13" spans="1:17" ht="12" customHeight="1" x14ac:dyDescent="0.45">
      <c r="A13" s="257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9"/>
      <c r="Q13" s="12"/>
    </row>
    <row r="14" spans="1:17" ht="31.5" customHeight="1" x14ac:dyDescent="0.45">
      <c r="A14" s="36" t="s">
        <v>97</v>
      </c>
      <c r="B14" s="250" t="s">
        <v>98</v>
      </c>
      <c r="C14" s="230"/>
      <c r="D14" s="230"/>
      <c r="E14" s="230"/>
      <c r="F14" s="261"/>
      <c r="G14" s="250" t="s">
        <v>99</v>
      </c>
      <c r="H14" s="230"/>
      <c r="I14" s="261"/>
      <c r="J14" s="250" t="s">
        <v>12</v>
      </c>
      <c r="K14" s="230"/>
      <c r="L14" s="261"/>
      <c r="M14" s="37" t="s">
        <v>100</v>
      </c>
      <c r="N14" s="250" t="s">
        <v>101</v>
      </c>
      <c r="O14" s="230"/>
      <c r="P14" s="232"/>
      <c r="Q14" s="12"/>
    </row>
    <row r="15" spans="1:17" ht="16.5" customHeight="1" x14ac:dyDescent="0.45">
      <c r="A15" s="38">
        <v>1</v>
      </c>
      <c r="B15" s="249" t="s">
        <v>102</v>
      </c>
      <c r="C15" s="212"/>
      <c r="D15" s="212"/>
      <c r="E15" s="212"/>
      <c r="F15" s="215"/>
      <c r="G15" s="216" t="s">
        <v>103</v>
      </c>
      <c r="H15" s="212"/>
      <c r="I15" s="215"/>
      <c r="J15" s="216" t="s">
        <v>104</v>
      </c>
      <c r="K15" s="212"/>
      <c r="L15" s="215"/>
      <c r="M15" s="39">
        <v>88.793999999999997</v>
      </c>
      <c r="N15" s="211">
        <f t="shared" ref="N15:N39" si="0">(+$P$12*M15/100)*1000</f>
        <v>31077.9</v>
      </c>
      <c r="O15" s="212"/>
      <c r="P15" s="213"/>
      <c r="Q15" s="12"/>
    </row>
    <row r="16" spans="1:17" ht="16.5" customHeight="1" x14ac:dyDescent="0.45">
      <c r="A16" s="38">
        <v>2</v>
      </c>
      <c r="B16" s="249" t="s">
        <v>105</v>
      </c>
      <c r="C16" s="212"/>
      <c r="D16" s="212"/>
      <c r="E16" s="212"/>
      <c r="F16" s="215"/>
      <c r="G16" s="216" t="s">
        <v>106</v>
      </c>
      <c r="H16" s="212"/>
      <c r="I16" s="215"/>
      <c r="J16" s="216" t="s">
        <v>107</v>
      </c>
      <c r="K16" s="212"/>
      <c r="L16" s="215"/>
      <c r="M16" s="40">
        <v>5</v>
      </c>
      <c r="N16" s="211">
        <f t="shared" si="0"/>
        <v>1750</v>
      </c>
      <c r="O16" s="212"/>
      <c r="P16" s="213"/>
      <c r="Q16" s="12"/>
    </row>
    <row r="17" spans="1:17" ht="16.5" customHeight="1" x14ac:dyDescent="0.45">
      <c r="A17" s="38">
        <v>3</v>
      </c>
      <c r="B17" s="249" t="s">
        <v>108</v>
      </c>
      <c r="C17" s="212"/>
      <c r="D17" s="212"/>
      <c r="E17" s="212"/>
      <c r="F17" s="215"/>
      <c r="G17" s="216" t="s">
        <v>109</v>
      </c>
      <c r="H17" s="212"/>
      <c r="I17" s="215"/>
      <c r="J17" s="216" t="s">
        <v>110</v>
      </c>
      <c r="K17" s="212"/>
      <c r="L17" s="215"/>
      <c r="M17" s="40">
        <v>2.5</v>
      </c>
      <c r="N17" s="211">
        <f t="shared" si="0"/>
        <v>875</v>
      </c>
      <c r="O17" s="212"/>
      <c r="P17" s="213"/>
      <c r="Q17" s="12"/>
    </row>
    <row r="18" spans="1:17" ht="16.5" customHeight="1" x14ac:dyDescent="0.45">
      <c r="A18" s="38">
        <v>4</v>
      </c>
      <c r="B18" s="214" t="s">
        <v>111</v>
      </c>
      <c r="C18" s="212"/>
      <c r="D18" s="212"/>
      <c r="E18" s="212"/>
      <c r="F18" s="215"/>
      <c r="G18" s="216" t="s">
        <v>112</v>
      </c>
      <c r="H18" s="212"/>
      <c r="I18" s="215"/>
      <c r="J18" s="216" t="s">
        <v>113</v>
      </c>
      <c r="K18" s="212"/>
      <c r="L18" s="215"/>
      <c r="M18" s="40">
        <v>1</v>
      </c>
      <c r="N18" s="211">
        <f t="shared" si="0"/>
        <v>350</v>
      </c>
      <c r="O18" s="212"/>
      <c r="P18" s="213"/>
      <c r="Q18" s="12"/>
    </row>
    <row r="19" spans="1:17" ht="16.5" customHeight="1" x14ac:dyDescent="0.45">
      <c r="A19" s="38">
        <v>5</v>
      </c>
      <c r="B19" s="214" t="s">
        <v>114</v>
      </c>
      <c r="C19" s="212"/>
      <c r="D19" s="212"/>
      <c r="E19" s="212"/>
      <c r="F19" s="215"/>
      <c r="G19" s="216" t="s">
        <v>115</v>
      </c>
      <c r="H19" s="212"/>
      <c r="I19" s="215"/>
      <c r="J19" s="216">
        <v>250127005</v>
      </c>
      <c r="K19" s="212"/>
      <c r="L19" s="215"/>
      <c r="M19" s="40">
        <v>1</v>
      </c>
      <c r="N19" s="211">
        <f t="shared" si="0"/>
        <v>350</v>
      </c>
      <c r="O19" s="212"/>
      <c r="P19" s="213"/>
      <c r="Q19" s="12"/>
    </row>
    <row r="20" spans="1:17" ht="15" customHeight="1" x14ac:dyDescent="0.45">
      <c r="A20" s="38">
        <v>6</v>
      </c>
      <c r="B20" s="214" t="s">
        <v>116</v>
      </c>
      <c r="C20" s="212"/>
      <c r="D20" s="212"/>
      <c r="E20" s="212"/>
      <c r="F20" s="215"/>
      <c r="G20" s="216" t="s">
        <v>117</v>
      </c>
      <c r="H20" s="212"/>
      <c r="I20" s="215"/>
      <c r="J20" s="216" t="s">
        <v>118</v>
      </c>
      <c r="K20" s="212"/>
      <c r="L20" s="215"/>
      <c r="M20" s="40">
        <v>0.5</v>
      </c>
      <c r="N20" s="211">
        <f t="shared" si="0"/>
        <v>175</v>
      </c>
      <c r="O20" s="212"/>
      <c r="P20" s="213"/>
      <c r="Q20" s="12"/>
    </row>
    <row r="21" spans="1:17" ht="15" customHeight="1" x14ac:dyDescent="0.45">
      <c r="A21" s="38">
        <v>7</v>
      </c>
      <c r="B21" s="214" t="s">
        <v>119</v>
      </c>
      <c r="C21" s="212"/>
      <c r="D21" s="212"/>
      <c r="E21" s="212"/>
      <c r="F21" s="215"/>
      <c r="G21" s="216" t="s">
        <v>120</v>
      </c>
      <c r="H21" s="212"/>
      <c r="I21" s="215"/>
      <c r="J21" s="216"/>
      <c r="K21" s="212"/>
      <c r="L21" s="215"/>
      <c r="M21" s="40">
        <v>0.1</v>
      </c>
      <c r="N21" s="211">
        <f t="shared" si="0"/>
        <v>35</v>
      </c>
      <c r="O21" s="212"/>
      <c r="P21" s="213"/>
      <c r="Q21" s="12"/>
    </row>
    <row r="22" spans="1:17" ht="15" customHeight="1" x14ac:dyDescent="0.45">
      <c r="A22" s="38">
        <v>8</v>
      </c>
      <c r="B22" s="214" t="s">
        <v>121</v>
      </c>
      <c r="C22" s="212"/>
      <c r="D22" s="212"/>
      <c r="E22" s="212"/>
      <c r="F22" s="215"/>
      <c r="G22" s="216" t="s">
        <v>122</v>
      </c>
      <c r="H22" s="212"/>
      <c r="I22" s="215"/>
      <c r="J22" s="216" t="s">
        <v>123</v>
      </c>
      <c r="K22" s="212"/>
      <c r="L22" s="215"/>
      <c r="M22" s="40">
        <v>0.01</v>
      </c>
      <c r="N22" s="211">
        <f t="shared" si="0"/>
        <v>3.5000000000000004</v>
      </c>
      <c r="O22" s="212"/>
      <c r="P22" s="213"/>
      <c r="Q22" s="12"/>
    </row>
    <row r="23" spans="1:17" ht="15" customHeight="1" x14ac:dyDescent="0.45">
      <c r="A23" s="38">
        <v>9</v>
      </c>
      <c r="B23" s="214" t="s">
        <v>124</v>
      </c>
      <c r="C23" s="212"/>
      <c r="D23" s="212"/>
      <c r="E23" s="212"/>
      <c r="F23" s="215"/>
      <c r="G23" s="216" t="s">
        <v>125</v>
      </c>
      <c r="H23" s="212"/>
      <c r="I23" s="215"/>
      <c r="J23" s="216" t="s">
        <v>126</v>
      </c>
      <c r="K23" s="212"/>
      <c r="L23" s="215"/>
      <c r="M23" s="40">
        <v>0.01</v>
      </c>
      <c r="N23" s="211">
        <f t="shared" si="0"/>
        <v>3.5000000000000004</v>
      </c>
      <c r="O23" s="212"/>
      <c r="P23" s="213"/>
      <c r="Q23" s="12"/>
    </row>
    <row r="24" spans="1:17" ht="15" customHeight="1" x14ac:dyDescent="0.45">
      <c r="A24" s="38">
        <v>10</v>
      </c>
      <c r="B24" s="214" t="s">
        <v>127</v>
      </c>
      <c r="C24" s="212"/>
      <c r="D24" s="212"/>
      <c r="E24" s="212"/>
      <c r="F24" s="215"/>
      <c r="G24" s="216" t="s">
        <v>128</v>
      </c>
      <c r="H24" s="212"/>
      <c r="I24" s="215"/>
      <c r="J24" s="216" t="s">
        <v>129</v>
      </c>
      <c r="K24" s="212"/>
      <c r="L24" s="215"/>
      <c r="M24" s="40">
        <v>5.0000000000000001E-3</v>
      </c>
      <c r="N24" s="211">
        <f t="shared" si="0"/>
        <v>1.7500000000000002</v>
      </c>
      <c r="O24" s="212"/>
      <c r="P24" s="213"/>
      <c r="Q24" s="12"/>
    </row>
    <row r="25" spans="1:17" ht="15" customHeight="1" x14ac:dyDescent="0.45">
      <c r="A25" s="38">
        <v>11</v>
      </c>
      <c r="B25" s="214" t="s">
        <v>130</v>
      </c>
      <c r="C25" s="212"/>
      <c r="D25" s="212"/>
      <c r="E25" s="212"/>
      <c r="F25" s="215"/>
      <c r="G25" s="216" t="s">
        <v>131</v>
      </c>
      <c r="H25" s="212"/>
      <c r="I25" s="215"/>
      <c r="J25" s="216" t="s">
        <v>132</v>
      </c>
      <c r="K25" s="212"/>
      <c r="L25" s="215"/>
      <c r="M25" s="40">
        <v>0.03</v>
      </c>
      <c r="N25" s="211">
        <f t="shared" si="0"/>
        <v>10.5</v>
      </c>
      <c r="O25" s="212"/>
      <c r="P25" s="213"/>
      <c r="Q25" s="12"/>
    </row>
    <row r="26" spans="1:17" ht="18" customHeight="1" x14ac:dyDescent="0.45">
      <c r="A26" s="38">
        <v>12</v>
      </c>
      <c r="B26" s="214" t="s">
        <v>133</v>
      </c>
      <c r="C26" s="212"/>
      <c r="D26" s="212"/>
      <c r="E26" s="212"/>
      <c r="F26" s="215"/>
      <c r="G26" s="216" t="s">
        <v>134</v>
      </c>
      <c r="H26" s="212"/>
      <c r="I26" s="215"/>
      <c r="J26" s="216" t="s">
        <v>135</v>
      </c>
      <c r="K26" s="212"/>
      <c r="L26" s="215"/>
      <c r="M26" s="40">
        <v>1E-3</v>
      </c>
      <c r="N26" s="211">
        <f t="shared" si="0"/>
        <v>0.35000000000000003</v>
      </c>
      <c r="O26" s="212"/>
      <c r="P26" s="213"/>
      <c r="Q26" s="12"/>
    </row>
    <row r="27" spans="1:17" ht="29.25" customHeight="1" x14ac:dyDescent="0.45">
      <c r="A27" s="41">
        <v>13</v>
      </c>
      <c r="B27" s="217" t="s">
        <v>136</v>
      </c>
      <c r="C27" s="212"/>
      <c r="D27" s="212"/>
      <c r="E27" s="212"/>
      <c r="F27" s="215"/>
      <c r="G27" s="218" t="s">
        <v>137</v>
      </c>
      <c r="H27" s="212"/>
      <c r="I27" s="215"/>
      <c r="J27" s="218" t="s">
        <v>138</v>
      </c>
      <c r="K27" s="212"/>
      <c r="L27" s="215"/>
      <c r="M27" s="42">
        <v>0.01</v>
      </c>
      <c r="N27" s="248">
        <f t="shared" si="0"/>
        <v>3.5000000000000004</v>
      </c>
      <c r="O27" s="212"/>
      <c r="P27" s="213"/>
      <c r="Q27" s="12"/>
    </row>
    <row r="28" spans="1:17" ht="15" customHeight="1" x14ac:dyDescent="0.45">
      <c r="A28" s="38">
        <v>14</v>
      </c>
      <c r="B28" s="214" t="s">
        <v>139</v>
      </c>
      <c r="C28" s="212"/>
      <c r="D28" s="212"/>
      <c r="E28" s="212"/>
      <c r="F28" s="215"/>
      <c r="G28" s="216" t="s">
        <v>140</v>
      </c>
      <c r="H28" s="212"/>
      <c r="I28" s="215"/>
      <c r="J28" s="216" t="s">
        <v>141</v>
      </c>
      <c r="K28" s="212"/>
      <c r="L28" s="215"/>
      <c r="M28" s="40">
        <v>0.01</v>
      </c>
      <c r="N28" s="211">
        <f t="shared" si="0"/>
        <v>3.5000000000000004</v>
      </c>
      <c r="O28" s="212"/>
      <c r="P28" s="213"/>
      <c r="Q28" s="12"/>
    </row>
    <row r="29" spans="1:17" ht="15" customHeight="1" x14ac:dyDescent="0.45">
      <c r="A29" s="38">
        <v>15</v>
      </c>
      <c r="B29" s="214" t="s">
        <v>142</v>
      </c>
      <c r="C29" s="212"/>
      <c r="D29" s="212"/>
      <c r="E29" s="212"/>
      <c r="F29" s="215"/>
      <c r="G29" s="216" t="s">
        <v>143</v>
      </c>
      <c r="H29" s="212"/>
      <c r="I29" s="215"/>
      <c r="J29" s="216" t="s">
        <v>144</v>
      </c>
      <c r="K29" s="212"/>
      <c r="L29" s="215"/>
      <c r="M29" s="40">
        <v>0.01</v>
      </c>
      <c r="N29" s="211">
        <f t="shared" si="0"/>
        <v>3.5000000000000004</v>
      </c>
      <c r="O29" s="212"/>
      <c r="P29" s="213"/>
      <c r="Q29" s="12"/>
    </row>
    <row r="30" spans="1:17" ht="15" customHeight="1" x14ac:dyDescent="0.45">
      <c r="A30" s="38">
        <v>16</v>
      </c>
      <c r="B30" s="214" t="s">
        <v>145</v>
      </c>
      <c r="C30" s="212"/>
      <c r="D30" s="212"/>
      <c r="E30" s="212"/>
      <c r="F30" s="215"/>
      <c r="G30" s="216" t="s">
        <v>146</v>
      </c>
      <c r="H30" s="212"/>
      <c r="I30" s="215"/>
      <c r="J30" s="216" t="s">
        <v>147</v>
      </c>
      <c r="K30" s="212"/>
      <c r="L30" s="215"/>
      <c r="M30" s="40">
        <v>0.05</v>
      </c>
      <c r="N30" s="211">
        <f t="shared" si="0"/>
        <v>17.5</v>
      </c>
      <c r="O30" s="212"/>
      <c r="P30" s="213"/>
      <c r="Q30" s="12"/>
    </row>
    <row r="31" spans="1:17" ht="15" customHeight="1" x14ac:dyDescent="0.45">
      <c r="A31" s="38">
        <v>17</v>
      </c>
      <c r="B31" s="214" t="s">
        <v>148</v>
      </c>
      <c r="C31" s="212"/>
      <c r="D31" s="212"/>
      <c r="E31" s="212"/>
      <c r="F31" s="215"/>
      <c r="G31" s="216" t="s">
        <v>149</v>
      </c>
      <c r="H31" s="212"/>
      <c r="I31" s="215"/>
      <c r="J31" s="216" t="s">
        <v>150</v>
      </c>
      <c r="K31" s="212"/>
      <c r="L31" s="215"/>
      <c r="M31" s="40">
        <v>0.01</v>
      </c>
      <c r="N31" s="211">
        <f t="shared" si="0"/>
        <v>3.5000000000000004</v>
      </c>
      <c r="O31" s="212"/>
      <c r="P31" s="213"/>
      <c r="Q31" s="12"/>
    </row>
    <row r="32" spans="1:17" ht="15" customHeight="1" x14ac:dyDescent="0.45">
      <c r="A32" s="38">
        <v>18</v>
      </c>
      <c r="B32" s="214" t="s">
        <v>151</v>
      </c>
      <c r="C32" s="212"/>
      <c r="D32" s="212"/>
      <c r="E32" s="212"/>
      <c r="F32" s="215"/>
      <c r="G32" s="216" t="s">
        <v>152</v>
      </c>
      <c r="H32" s="212"/>
      <c r="I32" s="215"/>
      <c r="J32" s="216" t="s">
        <v>153</v>
      </c>
      <c r="K32" s="212"/>
      <c r="L32" s="215"/>
      <c r="M32" s="40">
        <v>0.01</v>
      </c>
      <c r="N32" s="211">
        <f t="shared" si="0"/>
        <v>3.5000000000000004</v>
      </c>
      <c r="O32" s="212"/>
      <c r="P32" s="213"/>
      <c r="Q32" s="12"/>
    </row>
    <row r="33" spans="1:17" ht="15" customHeight="1" x14ac:dyDescent="0.45">
      <c r="A33" s="38">
        <v>19</v>
      </c>
      <c r="B33" s="214" t="s">
        <v>154</v>
      </c>
      <c r="C33" s="212"/>
      <c r="D33" s="212"/>
      <c r="E33" s="212"/>
      <c r="F33" s="215"/>
      <c r="G33" s="216" t="s">
        <v>155</v>
      </c>
      <c r="H33" s="212"/>
      <c r="I33" s="215"/>
      <c r="J33" s="216" t="s">
        <v>156</v>
      </c>
      <c r="K33" s="212"/>
      <c r="L33" s="215"/>
      <c r="M33" s="40">
        <v>0.2</v>
      </c>
      <c r="N33" s="211">
        <f t="shared" si="0"/>
        <v>70</v>
      </c>
      <c r="O33" s="212"/>
      <c r="P33" s="213"/>
      <c r="Q33" s="12"/>
    </row>
    <row r="34" spans="1:17" ht="15" customHeight="1" x14ac:dyDescent="0.45">
      <c r="A34" s="38">
        <v>20</v>
      </c>
      <c r="B34" s="214" t="s">
        <v>157</v>
      </c>
      <c r="C34" s="212"/>
      <c r="D34" s="212"/>
      <c r="E34" s="212"/>
      <c r="F34" s="215"/>
      <c r="G34" s="216" t="s">
        <v>158</v>
      </c>
      <c r="H34" s="212"/>
      <c r="I34" s="215"/>
      <c r="J34" s="216" t="s">
        <v>159</v>
      </c>
      <c r="K34" s="212"/>
      <c r="L34" s="215"/>
      <c r="M34" s="40">
        <v>0.1</v>
      </c>
      <c r="N34" s="211">
        <f t="shared" si="0"/>
        <v>35</v>
      </c>
      <c r="O34" s="212"/>
      <c r="P34" s="213"/>
      <c r="Q34" s="12"/>
    </row>
    <row r="35" spans="1:17" ht="15" customHeight="1" x14ac:dyDescent="0.45">
      <c r="A35" s="38">
        <v>21</v>
      </c>
      <c r="B35" s="214" t="s">
        <v>160</v>
      </c>
      <c r="C35" s="212"/>
      <c r="D35" s="212"/>
      <c r="E35" s="212"/>
      <c r="F35" s="215"/>
      <c r="G35" s="216" t="s">
        <v>161</v>
      </c>
      <c r="H35" s="212"/>
      <c r="I35" s="215"/>
      <c r="J35" s="216" t="s">
        <v>162</v>
      </c>
      <c r="K35" s="212"/>
      <c r="L35" s="215"/>
      <c r="M35" s="40">
        <v>0.2</v>
      </c>
      <c r="N35" s="211">
        <f t="shared" si="0"/>
        <v>70</v>
      </c>
      <c r="O35" s="212"/>
      <c r="P35" s="213"/>
      <c r="Q35" s="12"/>
    </row>
    <row r="36" spans="1:17" ht="15" customHeight="1" x14ac:dyDescent="0.45">
      <c r="A36" s="38">
        <v>22</v>
      </c>
      <c r="B36" s="214" t="s">
        <v>163</v>
      </c>
      <c r="C36" s="212"/>
      <c r="D36" s="212"/>
      <c r="E36" s="212"/>
      <c r="F36" s="215"/>
      <c r="G36" s="216" t="s">
        <v>164</v>
      </c>
      <c r="H36" s="212"/>
      <c r="I36" s="215"/>
      <c r="J36" s="216" t="s">
        <v>165</v>
      </c>
      <c r="K36" s="212"/>
      <c r="L36" s="215"/>
      <c r="M36" s="40">
        <v>0.05</v>
      </c>
      <c r="N36" s="211">
        <f t="shared" si="0"/>
        <v>17.5</v>
      </c>
      <c r="O36" s="212"/>
      <c r="P36" s="213"/>
      <c r="Q36" s="12"/>
    </row>
    <row r="37" spans="1:17" ht="15" customHeight="1" x14ac:dyDescent="0.45">
      <c r="A37" s="38">
        <v>23</v>
      </c>
      <c r="B37" s="214" t="s">
        <v>166</v>
      </c>
      <c r="C37" s="212"/>
      <c r="D37" s="212"/>
      <c r="E37" s="212"/>
      <c r="F37" s="215"/>
      <c r="G37" s="216" t="s">
        <v>167</v>
      </c>
      <c r="H37" s="212"/>
      <c r="I37" s="215"/>
      <c r="J37" s="216">
        <v>20240815</v>
      </c>
      <c r="K37" s="212"/>
      <c r="L37" s="215"/>
      <c r="M37" s="40">
        <v>0.05</v>
      </c>
      <c r="N37" s="211">
        <f t="shared" si="0"/>
        <v>17.5</v>
      </c>
      <c r="O37" s="212"/>
      <c r="P37" s="213"/>
      <c r="Q37" s="12"/>
    </row>
    <row r="38" spans="1:17" ht="15" customHeight="1" x14ac:dyDescent="0.45">
      <c r="A38" s="38">
        <v>24</v>
      </c>
      <c r="B38" s="214" t="s">
        <v>168</v>
      </c>
      <c r="C38" s="212"/>
      <c r="D38" s="212"/>
      <c r="E38" s="212"/>
      <c r="F38" s="215"/>
      <c r="G38" s="216" t="s">
        <v>169</v>
      </c>
      <c r="H38" s="212"/>
      <c r="I38" s="215"/>
      <c r="J38" s="216" t="s">
        <v>170</v>
      </c>
      <c r="K38" s="212"/>
      <c r="L38" s="215"/>
      <c r="M38" s="40">
        <v>0.25</v>
      </c>
      <c r="N38" s="211">
        <f t="shared" si="0"/>
        <v>87.5</v>
      </c>
      <c r="O38" s="212"/>
      <c r="P38" s="213"/>
      <c r="Q38" s="12"/>
    </row>
    <row r="39" spans="1:17" ht="15" customHeight="1" x14ac:dyDescent="0.45">
      <c r="A39" s="38">
        <v>25</v>
      </c>
      <c r="B39" s="214" t="s">
        <v>171</v>
      </c>
      <c r="C39" s="212"/>
      <c r="D39" s="212"/>
      <c r="E39" s="212"/>
      <c r="F39" s="215"/>
      <c r="G39" s="216" t="s">
        <v>172</v>
      </c>
      <c r="H39" s="212"/>
      <c r="I39" s="215"/>
      <c r="J39" s="216" t="s">
        <v>173</v>
      </c>
      <c r="K39" s="212"/>
      <c r="L39" s="215"/>
      <c r="M39" s="40">
        <v>0.1</v>
      </c>
      <c r="N39" s="211">
        <f t="shared" si="0"/>
        <v>35</v>
      </c>
      <c r="O39" s="212"/>
      <c r="P39" s="213"/>
      <c r="Q39" s="12"/>
    </row>
    <row r="40" spans="1:17" ht="21" customHeight="1" x14ac:dyDescent="0.45">
      <c r="A40" s="242" t="s">
        <v>174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4"/>
      <c r="M40" s="43">
        <f>+SUM(M15:M39)</f>
        <v>100.00000000000001</v>
      </c>
      <c r="N40" s="245">
        <f>+SUM(N15:P39)</f>
        <v>35000</v>
      </c>
      <c r="O40" s="243"/>
      <c r="P40" s="246"/>
      <c r="Q40" s="12"/>
    </row>
    <row r="41" spans="1:17" ht="18" customHeight="1" x14ac:dyDescent="0.45">
      <c r="A41" s="247" t="s">
        <v>175</v>
      </c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2"/>
      <c r="Q41" s="12"/>
    </row>
    <row r="42" spans="1:17" ht="51" customHeight="1" x14ac:dyDescent="0.45">
      <c r="A42" s="219" t="s">
        <v>176</v>
      </c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3"/>
      <c r="Q42" s="12"/>
    </row>
    <row r="43" spans="1:17" ht="33" customHeight="1" x14ac:dyDescent="0.45">
      <c r="A43" s="219" t="s">
        <v>177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3"/>
      <c r="Q43" s="12"/>
    </row>
    <row r="44" spans="1:17" ht="30.75" customHeight="1" x14ac:dyDescent="0.45">
      <c r="A44" s="219" t="s">
        <v>178</v>
      </c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3"/>
      <c r="Q44" s="12"/>
    </row>
    <row r="45" spans="1:17" ht="18" customHeight="1" x14ac:dyDescent="0.45">
      <c r="A45" s="220" t="s">
        <v>179</v>
      </c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2"/>
      <c r="Q45" s="12"/>
    </row>
    <row r="46" spans="1:17" ht="34.5" customHeight="1" x14ac:dyDescent="0.45">
      <c r="A46" s="223" t="s">
        <v>45</v>
      </c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5"/>
      <c r="Q46" s="12"/>
    </row>
    <row r="47" spans="1:17" ht="27" customHeight="1" x14ac:dyDescent="0.45">
      <c r="A47" s="226"/>
      <c r="B47" s="227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8"/>
      <c r="Q47" s="12"/>
    </row>
    <row r="48" spans="1:17" ht="19.5" customHeight="1" x14ac:dyDescent="0.45">
      <c r="A48" s="238" t="s">
        <v>180</v>
      </c>
      <c r="B48" s="224"/>
      <c r="C48" s="224"/>
      <c r="D48" s="224"/>
      <c r="E48" s="224"/>
      <c r="F48" s="45"/>
      <c r="G48" s="229"/>
      <c r="H48" s="230"/>
      <c r="I48" s="230"/>
      <c r="J48" s="230"/>
      <c r="K48" s="230"/>
      <c r="L48" s="230"/>
      <c r="M48" s="46"/>
      <c r="N48" s="47" t="s">
        <v>67</v>
      </c>
      <c r="O48" s="231"/>
      <c r="P48" s="232"/>
      <c r="Q48" s="12"/>
    </row>
    <row r="49" spans="1:17" ht="18" customHeight="1" x14ac:dyDescent="0.45">
      <c r="A49" s="239"/>
      <c r="B49" s="240"/>
      <c r="C49" s="240"/>
      <c r="D49" s="240"/>
      <c r="E49" s="240"/>
      <c r="F49" s="2"/>
      <c r="G49" s="236" t="s">
        <v>181</v>
      </c>
      <c r="H49" s="221"/>
      <c r="I49" s="221"/>
      <c r="J49" s="221"/>
      <c r="K49" s="221"/>
      <c r="L49" s="221"/>
      <c r="M49" s="2"/>
      <c r="N49" s="49"/>
      <c r="O49" s="49"/>
      <c r="P49" s="24"/>
      <c r="Q49" s="12"/>
    </row>
    <row r="50" spans="1:17" ht="19.5" customHeight="1" x14ac:dyDescent="0.45">
      <c r="A50" s="241" t="s">
        <v>182</v>
      </c>
      <c r="B50" s="240"/>
      <c r="C50" s="240"/>
      <c r="D50" s="240"/>
      <c r="E50" s="240"/>
      <c r="F50" s="51"/>
      <c r="G50" s="234"/>
      <c r="H50" s="235"/>
      <c r="I50" s="235"/>
      <c r="J50" s="235"/>
      <c r="K50" s="235"/>
      <c r="L50" s="235"/>
      <c r="M50" s="2"/>
      <c r="N50" s="52" t="s">
        <v>67</v>
      </c>
      <c r="O50" s="51"/>
      <c r="P50" s="53"/>
      <c r="Q50" s="12"/>
    </row>
    <row r="51" spans="1:17" ht="33.75" customHeight="1" x14ac:dyDescent="0.45">
      <c r="A51" s="239"/>
      <c r="B51" s="240"/>
      <c r="C51" s="240"/>
      <c r="D51" s="240"/>
      <c r="E51" s="240"/>
      <c r="F51" s="2"/>
      <c r="G51" s="233" t="s">
        <v>183</v>
      </c>
      <c r="H51" s="221"/>
      <c r="I51" s="221"/>
      <c r="J51" s="221"/>
      <c r="K51" s="221"/>
      <c r="L51" s="221"/>
      <c r="M51" s="54"/>
      <c r="N51" s="55"/>
      <c r="O51" s="55"/>
      <c r="P51" s="24"/>
      <c r="Q51" s="12"/>
    </row>
    <row r="52" spans="1:17" ht="19.5" customHeight="1" x14ac:dyDescent="0.45">
      <c r="A52" s="241" t="s">
        <v>184</v>
      </c>
      <c r="B52" s="240"/>
      <c r="C52" s="240"/>
      <c r="D52" s="240"/>
      <c r="E52" s="240"/>
      <c r="F52" s="51"/>
      <c r="G52" s="234"/>
      <c r="H52" s="235"/>
      <c r="I52" s="235"/>
      <c r="J52" s="235"/>
      <c r="K52" s="235"/>
      <c r="L52" s="235"/>
      <c r="M52" s="2"/>
      <c r="N52" s="52" t="s">
        <v>67</v>
      </c>
      <c r="O52" s="51"/>
      <c r="P52" s="53"/>
      <c r="Q52" s="12"/>
    </row>
    <row r="53" spans="1:17" ht="19.5" customHeight="1" x14ac:dyDescent="0.45">
      <c r="A53" s="50"/>
      <c r="B53" s="52"/>
      <c r="C53" s="52"/>
      <c r="D53" s="52"/>
      <c r="E53" s="52"/>
      <c r="F53" s="236" t="s">
        <v>185</v>
      </c>
      <c r="G53" s="221"/>
      <c r="H53" s="221"/>
      <c r="I53" s="221"/>
      <c r="J53" s="221"/>
      <c r="K53" s="221"/>
      <c r="L53" s="221"/>
      <c r="M53" s="2"/>
      <c r="N53" s="52"/>
      <c r="O53" s="52"/>
      <c r="P53" s="56"/>
      <c r="Q53" s="12"/>
    </row>
    <row r="54" spans="1:17" ht="19.5" customHeight="1" x14ac:dyDescent="0.45">
      <c r="A54" s="23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8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</row>
    <row r="235" spans="1:17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</row>
    <row r="236" spans="1:17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</row>
    <row r="237" spans="1:17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</row>
    <row r="238" spans="1:17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</row>
    <row r="239" spans="1:17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</row>
    <row r="240" spans="1:17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</row>
    <row r="241" spans="1:17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</row>
    <row r="242" spans="1:17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</row>
    <row r="243" spans="1:17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</row>
    <row r="244" spans="1:17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</row>
    <row r="245" spans="1:17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</row>
    <row r="246" spans="1:17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5"/>
      <c r="N246" s="26"/>
      <c r="O246" s="26"/>
      <c r="P246" s="12"/>
      <c r="Q246" s="12"/>
    </row>
    <row r="247" spans="1:17" ht="15.75" customHeight="1" x14ac:dyDescent="0.4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25"/>
      <c r="N247" s="26"/>
      <c r="O247" s="26"/>
      <c r="P247" s="12"/>
      <c r="Q247" s="12"/>
    </row>
    <row r="248" spans="1:17" ht="15.75" customHeight="1" x14ac:dyDescent="0.4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25"/>
      <c r="N248" s="26"/>
      <c r="O248" s="26"/>
      <c r="P248" s="12"/>
      <c r="Q248" s="12"/>
    </row>
    <row r="249" spans="1:17" ht="15.75" customHeight="1" x14ac:dyDescent="0.4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25"/>
      <c r="N249" s="26"/>
      <c r="O249" s="26"/>
      <c r="P249" s="12"/>
      <c r="Q249" s="12"/>
    </row>
    <row r="250" spans="1:17" ht="15.75" customHeight="1" x14ac:dyDescent="0.4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25"/>
      <c r="N250" s="26"/>
      <c r="O250" s="26"/>
      <c r="P250" s="12"/>
      <c r="Q250" s="12"/>
    </row>
    <row r="251" spans="1:17" ht="15.75" customHeight="1" x14ac:dyDescent="0.4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25"/>
      <c r="N251" s="26"/>
      <c r="O251" s="26"/>
      <c r="P251" s="12"/>
      <c r="Q251" s="12"/>
    </row>
    <row r="252" spans="1:17" ht="15.75" customHeight="1" x14ac:dyDescent="0.4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25"/>
      <c r="N252" s="26"/>
      <c r="O252" s="26"/>
      <c r="P252" s="12"/>
      <c r="Q252" s="12"/>
    </row>
    <row r="253" spans="1:17" ht="15.75" customHeight="1" x14ac:dyDescent="0.4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25"/>
      <c r="N253" s="26"/>
      <c r="O253" s="26"/>
      <c r="P253" s="12"/>
      <c r="Q253" s="12"/>
    </row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</sheetData>
  <mergeCells count="154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G38:I38"/>
    <mergeCell ref="J38:L38"/>
    <mergeCell ref="N38:P38"/>
    <mergeCell ref="B36:F36"/>
    <mergeCell ref="G36:I36"/>
    <mergeCell ref="J36:L36"/>
    <mergeCell ref="B37:F37"/>
    <mergeCell ref="G37:I37"/>
    <mergeCell ref="J37:L37"/>
    <mergeCell ref="B38:F38"/>
    <mergeCell ref="B39:F39"/>
    <mergeCell ref="G39:I39"/>
    <mergeCell ref="J39:L39"/>
    <mergeCell ref="N39:P39"/>
    <mergeCell ref="A40:L40"/>
    <mergeCell ref="N40:P40"/>
    <mergeCell ref="A41:P41"/>
    <mergeCell ref="A42:P42"/>
    <mergeCell ref="A43:P43"/>
    <mergeCell ref="A44:P44"/>
    <mergeCell ref="A45:P45"/>
    <mergeCell ref="A46:P47"/>
    <mergeCell ref="G48:L48"/>
    <mergeCell ref="O48:P48"/>
    <mergeCell ref="G51:L51"/>
    <mergeCell ref="G52:L52"/>
    <mergeCell ref="F53:L53"/>
    <mergeCell ref="A54:P54"/>
    <mergeCell ref="A48:E48"/>
    <mergeCell ref="A49:E49"/>
    <mergeCell ref="G49:L49"/>
    <mergeCell ref="A50:E50"/>
    <mergeCell ref="G50:L50"/>
    <mergeCell ref="A51:E51"/>
    <mergeCell ref="A52:E52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N37:P37"/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4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71"/>
      <c r="B1" s="224"/>
      <c r="C1" s="285"/>
      <c r="D1" s="312" t="s">
        <v>0</v>
      </c>
      <c r="E1" s="224"/>
      <c r="F1" s="224"/>
      <c r="G1" s="224"/>
      <c r="H1" s="224"/>
      <c r="I1" s="224"/>
      <c r="J1" s="224"/>
      <c r="K1" s="224"/>
      <c r="L1" s="285"/>
      <c r="M1" s="294" t="s">
        <v>1</v>
      </c>
      <c r="N1" s="261"/>
      <c r="O1" s="294" t="s">
        <v>186</v>
      </c>
      <c r="P1" s="232"/>
      <c r="Q1" s="12"/>
      <c r="R1" s="12"/>
      <c r="S1" s="12"/>
      <c r="T1" s="12"/>
      <c r="U1" s="12"/>
    </row>
    <row r="2" spans="1:21" ht="21" customHeight="1" x14ac:dyDescent="0.45">
      <c r="A2" s="274"/>
      <c r="B2" s="240"/>
      <c r="C2" s="293"/>
      <c r="D2" s="301"/>
      <c r="E2" s="235"/>
      <c r="F2" s="235"/>
      <c r="G2" s="235"/>
      <c r="H2" s="235"/>
      <c r="I2" s="235"/>
      <c r="J2" s="235"/>
      <c r="K2" s="235"/>
      <c r="L2" s="282"/>
      <c r="M2" s="302" t="s">
        <v>3</v>
      </c>
      <c r="N2" s="282"/>
      <c r="O2" s="303">
        <v>1</v>
      </c>
      <c r="P2" s="222"/>
      <c r="Q2" s="12"/>
      <c r="R2" s="12"/>
      <c r="S2" s="12"/>
      <c r="T2" s="12"/>
      <c r="U2" s="12"/>
    </row>
    <row r="3" spans="1:21" ht="18.75" customHeight="1" x14ac:dyDescent="0.5">
      <c r="A3" s="274"/>
      <c r="B3" s="240"/>
      <c r="C3" s="293"/>
      <c r="D3" s="304" t="s">
        <v>187</v>
      </c>
      <c r="E3" s="221"/>
      <c r="F3" s="221"/>
      <c r="G3" s="221"/>
      <c r="H3" s="221"/>
      <c r="I3" s="221"/>
      <c r="J3" s="221"/>
      <c r="K3" s="221"/>
      <c r="L3" s="221"/>
      <c r="M3" s="302" t="s">
        <v>5</v>
      </c>
      <c r="N3" s="282"/>
      <c r="O3" s="267" t="s">
        <v>6</v>
      </c>
      <c r="P3" s="213"/>
      <c r="Q3" s="57"/>
      <c r="R3" s="57"/>
      <c r="S3" s="57"/>
      <c r="T3" s="57"/>
      <c r="U3" s="57"/>
    </row>
    <row r="4" spans="1:21" ht="15.75" customHeight="1" x14ac:dyDescent="0.45">
      <c r="A4" s="274"/>
      <c r="B4" s="240"/>
      <c r="C4" s="293"/>
      <c r="D4" s="300"/>
      <c r="E4" s="240"/>
      <c r="F4" s="240"/>
      <c r="G4" s="240"/>
      <c r="H4" s="240"/>
      <c r="I4" s="240"/>
      <c r="J4" s="240"/>
      <c r="K4" s="240"/>
      <c r="L4" s="240"/>
      <c r="M4" s="253" t="s">
        <v>7</v>
      </c>
      <c r="N4" s="254"/>
      <c r="O4" s="272" t="s">
        <v>8</v>
      </c>
      <c r="P4" s="213"/>
      <c r="Q4" s="12"/>
      <c r="R4" s="12"/>
      <c r="S4" s="12"/>
      <c r="T4" s="12"/>
      <c r="U4" s="12"/>
    </row>
    <row r="5" spans="1:21" ht="15.75" customHeight="1" x14ac:dyDescent="0.45">
      <c r="A5" s="311"/>
      <c r="B5" s="235"/>
      <c r="C5" s="282"/>
      <c r="D5" s="301"/>
      <c r="E5" s="235"/>
      <c r="F5" s="235"/>
      <c r="G5" s="235"/>
      <c r="H5" s="235"/>
      <c r="I5" s="235"/>
      <c r="J5" s="235"/>
      <c r="K5" s="235"/>
      <c r="L5" s="235"/>
      <c r="M5" s="301"/>
      <c r="N5" s="282"/>
      <c r="O5" s="273" t="s">
        <v>9</v>
      </c>
      <c r="P5" s="213"/>
      <c r="Q5" s="12"/>
      <c r="R5" s="12"/>
      <c r="S5" s="12"/>
      <c r="T5" s="12"/>
      <c r="U5" s="12"/>
    </row>
    <row r="6" spans="1:21" ht="12" customHeight="1" x14ac:dyDescent="0.45">
      <c r="A6" s="340"/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315"/>
      <c r="Q6" s="12"/>
      <c r="R6" s="12"/>
      <c r="S6" s="12"/>
      <c r="T6" s="12"/>
      <c r="U6" s="12"/>
    </row>
    <row r="7" spans="1:21" ht="36" customHeight="1" x14ac:dyDescent="0.45">
      <c r="A7" s="310" t="s">
        <v>10</v>
      </c>
      <c r="B7" s="235"/>
      <c r="C7" s="235"/>
      <c r="D7" s="235"/>
      <c r="E7" s="282"/>
      <c r="F7" s="266" t="str">
        <f>OP!G9</f>
        <v>SUERO MULTIPEPTIDOS</v>
      </c>
      <c r="G7" s="212"/>
      <c r="H7" s="212"/>
      <c r="I7" s="212"/>
      <c r="J7" s="212"/>
      <c r="K7" s="212"/>
      <c r="L7" s="212"/>
      <c r="M7" s="212"/>
      <c r="N7" s="212"/>
      <c r="O7" s="212"/>
      <c r="P7" s="213"/>
      <c r="Q7" s="12"/>
      <c r="R7" s="12"/>
      <c r="S7" s="12"/>
      <c r="T7" s="12"/>
      <c r="U7" s="12"/>
    </row>
    <row r="8" spans="1:21" ht="36" customHeight="1" x14ac:dyDescent="0.45">
      <c r="A8" s="317" t="s">
        <v>55</v>
      </c>
      <c r="B8" s="212"/>
      <c r="C8" s="212"/>
      <c r="D8" s="212"/>
      <c r="E8" s="215"/>
      <c r="F8" s="298" t="str">
        <f>OP!M10</f>
        <v>252521</v>
      </c>
      <c r="G8" s="215"/>
      <c r="H8" s="302" t="s">
        <v>188</v>
      </c>
      <c r="I8" s="235"/>
      <c r="J8" s="235"/>
      <c r="K8" s="235"/>
      <c r="L8" s="291"/>
      <c r="M8" s="246"/>
      <c r="N8" s="268" t="s">
        <v>189</v>
      </c>
      <c r="O8" s="215"/>
      <c r="P8" s="58"/>
      <c r="Q8" s="12"/>
      <c r="R8" s="12"/>
      <c r="S8" s="12"/>
      <c r="T8" s="12"/>
      <c r="U8" s="12"/>
    </row>
    <row r="9" spans="1:21" ht="36" customHeight="1" x14ac:dyDescent="0.45">
      <c r="A9" s="333" t="s">
        <v>190</v>
      </c>
      <c r="B9" s="243"/>
      <c r="C9" s="243"/>
      <c r="D9" s="243"/>
      <c r="E9" s="244"/>
      <c r="F9" s="266" t="str">
        <f>OP!M11</f>
        <v>OP-L-123</v>
      </c>
      <c r="G9" s="213"/>
      <c r="H9" s="299" t="s">
        <v>191</v>
      </c>
      <c r="I9" s="243"/>
      <c r="J9" s="243"/>
      <c r="K9" s="244"/>
      <c r="L9" s="299"/>
      <c r="M9" s="244"/>
      <c r="N9" s="334" t="s">
        <v>192</v>
      </c>
      <c r="O9" s="227"/>
      <c r="P9" s="59"/>
      <c r="Q9" s="12"/>
      <c r="R9" s="12"/>
      <c r="S9" s="12"/>
      <c r="T9" s="12"/>
      <c r="U9" s="12"/>
    </row>
    <row r="10" spans="1:21" ht="12" customHeight="1" x14ac:dyDescent="0.5">
      <c r="A10" s="335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63"/>
      <c r="Q10" s="57"/>
      <c r="R10" s="57"/>
      <c r="S10" s="57"/>
      <c r="T10" s="57"/>
      <c r="U10" s="57"/>
    </row>
    <row r="11" spans="1:21" ht="21" customHeight="1" x14ac:dyDescent="0.45">
      <c r="A11" s="330" t="s">
        <v>193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5"/>
      <c r="N11" s="286" t="s">
        <v>194</v>
      </c>
      <c r="O11" s="215"/>
      <c r="P11" s="17" t="s">
        <v>195</v>
      </c>
      <c r="Q11" s="12"/>
      <c r="R11" s="12"/>
      <c r="S11" s="12"/>
      <c r="T11" s="12"/>
      <c r="U11" s="12"/>
    </row>
    <row r="12" spans="1:21" ht="36.75" customHeight="1" x14ac:dyDescent="0.45">
      <c r="A12" s="219" t="s">
        <v>196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5"/>
      <c r="N12" s="280"/>
      <c r="O12" s="215"/>
      <c r="P12" s="60"/>
      <c r="Q12" s="12"/>
      <c r="R12" s="12"/>
      <c r="S12" s="12"/>
      <c r="T12" s="12"/>
      <c r="U12" s="12"/>
    </row>
    <row r="13" spans="1:21" ht="12" customHeight="1" x14ac:dyDescent="0.45">
      <c r="A13" s="44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2"/>
      <c r="O13" s="62"/>
      <c r="P13" s="63"/>
      <c r="Q13" s="12"/>
      <c r="R13" s="12"/>
      <c r="S13" s="12"/>
      <c r="T13" s="12"/>
      <c r="U13" s="12"/>
    </row>
    <row r="14" spans="1:21" ht="18.75" customHeight="1" x14ac:dyDescent="0.45">
      <c r="A14" s="331" t="s">
        <v>197</v>
      </c>
      <c r="B14" s="243"/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6"/>
      <c r="Q14" s="12"/>
      <c r="R14" s="12"/>
      <c r="S14" s="12"/>
      <c r="T14" s="12"/>
      <c r="U14" s="12"/>
    </row>
    <row r="15" spans="1:21" ht="24.75" customHeight="1" x14ac:dyDescent="0.45">
      <c r="A15" s="332" t="s">
        <v>198</v>
      </c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2"/>
      <c r="Q15" s="64"/>
      <c r="R15" s="64"/>
      <c r="S15" s="64"/>
      <c r="T15" s="64"/>
      <c r="U15" s="64"/>
    </row>
    <row r="16" spans="1:21" ht="27" customHeight="1" x14ac:dyDescent="0.45">
      <c r="A16" s="317" t="s">
        <v>199</v>
      </c>
      <c r="B16" s="215"/>
      <c r="C16" s="268" t="s">
        <v>200</v>
      </c>
      <c r="D16" s="212"/>
      <c r="E16" s="212"/>
      <c r="F16" s="212"/>
      <c r="G16" s="215"/>
      <c r="H16" s="268" t="s">
        <v>100</v>
      </c>
      <c r="I16" s="212"/>
      <c r="J16" s="215"/>
      <c r="K16" s="268" t="s">
        <v>101</v>
      </c>
      <c r="L16" s="215"/>
      <c r="M16" s="268" t="s">
        <v>12</v>
      </c>
      <c r="N16" s="215"/>
      <c r="O16" s="268" t="s">
        <v>201</v>
      </c>
      <c r="P16" s="213"/>
      <c r="Q16" s="64"/>
      <c r="R16" s="64"/>
      <c r="S16" s="64"/>
      <c r="T16" s="64"/>
      <c r="U16" s="64"/>
    </row>
    <row r="17" spans="1:21" ht="20.25" customHeight="1" x14ac:dyDescent="0.45">
      <c r="A17" s="327" t="str">
        <f>+OP!G15</f>
        <v>MPAGUALI01</v>
      </c>
      <c r="B17" s="215"/>
      <c r="C17" s="329" t="str">
        <f>OP!B15</f>
        <v>AGUA DESIONIZADA</v>
      </c>
      <c r="D17" s="235"/>
      <c r="E17" s="235"/>
      <c r="F17" s="235"/>
      <c r="G17" s="282"/>
      <c r="H17" s="324">
        <f>OP!M15</f>
        <v>88.793999999999997</v>
      </c>
      <c r="I17" s="235"/>
      <c r="J17" s="282"/>
      <c r="K17" s="325">
        <f>OP!N15</f>
        <v>31077.9</v>
      </c>
      <c r="L17" s="215"/>
      <c r="M17" s="280" t="str">
        <f>OP!J15</f>
        <v>AD-252521</v>
      </c>
      <c r="N17" s="215"/>
      <c r="O17" s="280"/>
      <c r="P17" s="213"/>
      <c r="Q17" s="64"/>
      <c r="R17" s="328"/>
      <c r="S17" s="240"/>
      <c r="T17" s="240"/>
      <c r="U17" s="66"/>
    </row>
    <row r="18" spans="1:21" ht="20.25" customHeight="1" x14ac:dyDescent="0.45">
      <c r="A18" s="327" t="str">
        <f>+OP!G16</f>
        <v>MPNIACSO01</v>
      </c>
      <c r="B18" s="215"/>
      <c r="C18" s="329" t="str">
        <f>OP!B16</f>
        <v>NIACINAMIDA</v>
      </c>
      <c r="D18" s="235"/>
      <c r="E18" s="235"/>
      <c r="F18" s="235"/>
      <c r="G18" s="282"/>
      <c r="H18" s="324">
        <f>OP!M16</f>
        <v>5</v>
      </c>
      <c r="I18" s="235"/>
      <c r="J18" s="282"/>
      <c r="K18" s="325">
        <f>OP!N16</f>
        <v>1750</v>
      </c>
      <c r="L18" s="215"/>
      <c r="M18" s="280" t="str">
        <f>OP!J16</f>
        <v>LYPH250726</v>
      </c>
      <c r="N18" s="215"/>
      <c r="O18" s="280"/>
      <c r="P18" s="213"/>
      <c r="Q18" s="64"/>
      <c r="R18" s="328"/>
      <c r="S18" s="240"/>
      <c r="T18" s="240"/>
      <c r="U18" s="67"/>
    </row>
    <row r="19" spans="1:21" ht="20.25" customHeight="1" x14ac:dyDescent="0.45">
      <c r="A19" s="327" t="str">
        <f>+OP!G17</f>
        <v>MPPROPLI01</v>
      </c>
      <c r="B19" s="215"/>
      <c r="C19" s="329" t="str">
        <f>OP!B17</f>
        <v>PROPILENGLICOL</v>
      </c>
      <c r="D19" s="235"/>
      <c r="E19" s="235"/>
      <c r="F19" s="235"/>
      <c r="G19" s="282"/>
      <c r="H19" s="324">
        <f>OP!M17</f>
        <v>2.5</v>
      </c>
      <c r="I19" s="235"/>
      <c r="J19" s="282"/>
      <c r="K19" s="325">
        <f>OP!N17</f>
        <v>875</v>
      </c>
      <c r="L19" s="215"/>
      <c r="M19" s="280" t="str">
        <f>OP!J17</f>
        <v>D357P4J1B3</v>
      </c>
      <c r="N19" s="215"/>
      <c r="O19" s="280"/>
      <c r="P19" s="213"/>
      <c r="Q19" s="64"/>
      <c r="R19" s="328"/>
      <c r="S19" s="240"/>
      <c r="T19" s="240"/>
      <c r="U19" s="67"/>
    </row>
    <row r="20" spans="1:21" ht="20.25" customHeight="1" x14ac:dyDescent="0.45">
      <c r="A20" s="327" t="str">
        <f>+OP!G18</f>
        <v>MPGLUCSO01</v>
      </c>
      <c r="B20" s="215"/>
      <c r="C20" s="326" t="str">
        <f>OP!B18</f>
        <v>GLUCOSAMINA (NAG)</v>
      </c>
      <c r="D20" s="235"/>
      <c r="E20" s="235"/>
      <c r="F20" s="235"/>
      <c r="G20" s="282"/>
      <c r="H20" s="324">
        <f>OP!M18</f>
        <v>1</v>
      </c>
      <c r="I20" s="235"/>
      <c r="J20" s="282"/>
      <c r="K20" s="325">
        <f>OP!N18</f>
        <v>350</v>
      </c>
      <c r="L20" s="215"/>
      <c r="M20" s="280" t="str">
        <f>OP!J18</f>
        <v>YT-20251213</v>
      </c>
      <c r="N20" s="215"/>
      <c r="O20" s="280"/>
      <c r="P20" s="213"/>
      <c r="Q20" s="64"/>
      <c r="R20" s="328"/>
      <c r="S20" s="240"/>
      <c r="T20" s="240"/>
      <c r="U20" s="67"/>
    </row>
    <row r="21" spans="1:21" ht="20.25" customHeight="1" x14ac:dyDescent="0.45">
      <c r="A21" s="327" t="str">
        <f>+OP!G19</f>
        <v>MPBIOFELI01</v>
      </c>
      <c r="B21" s="215"/>
      <c r="C21" s="326" t="str">
        <f>OP!B19</f>
        <v>BIOSURE FE</v>
      </c>
      <c r="D21" s="235"/>
      <c r="E21" s="235"/>
      <c r="F21" s="235"/>
      <c r="G21" s="282"/>
      <c r="H21" s="324">
        <f>OP!M19</f>
        <v>1</v>
      </c>
      <c r="I21" s="235"/>
      <c r="J21" s="282"/>
      <c r="K21" s="325">
        <f>OP!N19</f>
        <v>350</v>
      </c>
      <c r="L21" s="215"/>
      <c r="M21" s="280">
        <f>OP!J19</f>
        <v>250127005</v>
      </c>
      <c r="N21" s="215"/>
      <c r="O21" s="280"/>
      <c r="P21" s="213"/>
      <c r="Q21" s="64"/>
      <c r="R21" s="328"/>
      <c r="S21" s="240"/>
      <c r="T21" s="240"/>
      <c r="U21" s="67"/>
    </row>
    <row r="22" spans="1:21" ht="20.25" customHeight="1" x14ac:dyDescent="0.45">
      <c r="A22" s="327" t="str">
        <f>+OP!G20</f>
        <v>MPGLUCSO02</v>
      </c>
      <c r="B22" s="215"/>
      <c r="C22" s="326" t="str">
        <f>OP!B20</f>
        <v>GLUCONOLACTONA</v>
      </c>
      <c r="D22" s="235"/>
      <c r="E22" s="235"/>
      <c r="F22" s="235"/>
      <c r="G22" s="282"/>
      <c r="H22" s="324">
        <f>OP!M20</f>
        <v>0.5</v>
      </c>
      <c r="I22" s="235"/>
      <c r="J22" s="282"/>
      <c r="K22" s="325">
        <f>OP!N20</f>
        <v>175</v>
      </c>
      <c r="L22" s="215"/>
      <c r="M22" s="280" t="str">
        <f>OP!J20</f>
        <v>YT-G20250419</v>
      </c>
      <c r="N22" s="215"/>
      <c r="O22" s="280"/>
      <c r="P22" s="213"/>
      <c r="Q22" s="64"/>
      <c r="R22" s="328"/>
      <c r="S22" s="240"/>
      <c r="T22" s="240"/>
      <c r="U22" s="67"/>
    </row>
    <row r="23" spans="1:21" ht="20.25" customHeight="1" x14ac:dyDescent="0.45">
      <c r="A23" s="327" t="str">
        <f>+OP!G21</f>
        <v>MPCOTRSO01</v>
      </c>
      <c r="B23" s="215"/>
      <c r="C23" s="326" t="str">
        <f>OP!B21</f>
        <v>COPPER TRIPEPTIDE 1</v>
      </c>
      <c r="D23" s="235"/>
      <c r="E23" s="235"/>
      <c r="F23" s="235"/>
      <c r="G23" s="282"/>
      <c r="H23" s="324">
        <f>OP!M21</f>
        <v>0.1</v>
      </c>
      <c r="I23" s="235"/>
      <c r="J23" s="282"/>
      <c r="K23" s="325">
        <f>OP!N21</f>
        <v>35</v>
      </c>
      <c r="L23" s="215"/>
      <c r="M23" s="280">
        <f>OP!J21</f>
        <v>0</v>
      </c>
      <c r="N23" s="215"/>
      <c r="O23" s="280"/>
      <c r="P23" s="213"/>
      <c r="Q23" s="64"/>
      <c r="R23" s="328"/>
      <c r="S23" s="240"/>
      <c r="T23" s="240"/>
      <c r="U23" s="67"/>
    </row>
    <row r="24" spans="1:21" ht="20.25" customHeight="1" x14ac:dyDescent="0.45">
      <c r="A24" s="327" t="str">
        <f>+OP!G22</f>
        <v>MPPALTRISO02</v>
      </c>
      <c r="B24" s="215"/>
      <c r="C24" s="326" t="str">
        <f>OP!B22</f>
        <v>PALMITOYL TRIPEPTIDE 1</v>
      </c>
      <c r="D24" s="235"/>
      <c r="E24" s="235"/>
      <c r="F24" s="235"/>
      <c r="G24" s="282"/>
      <c r="H24" s="324">
        <f>OP!M22</f>
        <v>0.01</v>
      </c>
      <c r="I24" s="235"/>
      <c r="J24" s="282"/>
      <c r="K24" s="325">
        <f>OP!N22</f>
        <v>3.5000000000000004</v>
      </c>
      <c r="L24" s="215"/>
      <c r="M24" s="280" t="str">
        <f>OP!J22</f>
        <v>LYPH250603</v>
      </c>
      <c r="N24" s="215"/>
      <c r="O24" s="280"/>
      <c r="P24" s="213"/>
      <c r="Q24" s="64"/>
      <c r="R24" s="328"/>
      <c r="S24" s="240"/>
      <c r="T24" s="240"/>
      <c r="U24" s="67"/>
    </row>
    <row r="25" spans="1:21" ht="20.25" customHeight="1" x14ac:dyDescent="0.45">
      <c r="A25" s="327" t="str">
        <f>+OP!G23</f>
        <v>MPPALTESO01</v>
      </c>
      <c r="B25" s="215"/>
      <c r="C25" s="326" t="str">
        <f>OP!B23</f>
        <v>PALMITOYL TETRAPEPTIDE 7</v>
      </c>
      <c r="D25" s="235"/>
      <c r="E25" s="235"/>
      <c r="F25" s="235"/>
      <c r="G25" s="282"/>
      <c r="H25" s="324">
        <f>OP!M23</f>
        <v>0.01</v>
      </c>
      <c r="I25" s="235"/>
      <c r="J25" s="282"/>
      <c r="K25" s="325">
        <f>OP!N23</f>
        <v>3.5000000000000004</v>
      </c>
      <c r="L25" s="215"/>
      <c r="M25" s="280" t="str">
        <f>OP!J23</f>
        <v>LYPH250702</v>
      </c>
      <c r="N25" s="215"/>
      <c r="O25" s="280"/>
      <c r="P25" s="213"/>
      <c r="Q25" s="64"/>
      <c r="R25" s="328"/>
      <c r="S25" s="240"/>
      <c r="T25" s="240"/>
      <c r="U25" s="67"/>
    </row>
    <row r="26" spans="1:21" ht="20.25" customHeight="1" x14ac:dyDescent="0.45">
      <c r="A26" s="327" t="str">
        <f>+OP!G24</f>
        <v>MPPAPESO01</v>
      </c>
      <c r="B26" s="215"/>
      <c r="C26" s="326" t="str">
        <f>OP!B24</f>
        <v>PALMITOYL PENTAPEPTIDE 4</v>
      </c>
      <c r="D26" s="235"/>
      <c r="E26" s="235"/>
      <c r="F26" s="235"/>
      <c r="G26" s="282"/>
      <c r="H26" s="324">
        <f>OP!M24</f>
        <v>5.0000000000000001E-3</v>
      </c>
      <c r="I26" s="235"/>
      <c r="J26" s="282"/>
      <c r="K26" s="325">
        <f>OP!N24</f>
        <v>1.7500000000000002</v>
      </c>
      <c r="L26" s="215"/>
      <c r="M26" s="280" t="str">
        <f>OP!J24</f>
        <v>YT-20250310</v>
      </c>
      <c r="N26" s="215"/>
      <c r="O26" s="280"/>
      <c r="P26" s="213"/>
      <c r="Q26" s="64"/>
      <c r="R26" s="328"/>
      <c r="S26" s="240"/>
      <c r="T26" s="240"/>
      <c r="U26" s="67"/>
    </row>
    <row r="27" spans="1:21" ht="20.25" customHeight="1" x14ac:dyDescent="0.45">
      <c r="A27" s="327" t="str">
        <f>+OP!G25</f>
        <v>MPACHESO01</v>
      </c>
      <c r="B27" s="215"/>
      <c r="C27" s="326" t="str">
        <f>OP!B25</f>
        <v>ACETYL HEXAPEPTIDE 8</v>
      </c>
      <c r="D27" s="235"/>
      <c r="E27" s="235"/>
      <c r="F27" s="235"/>
      <c r="G27" s="282"/>
      <c r="H27" s="324">
        <f>OP!M25</f>
        <v>0.03</v>
      </c>
      <c r="I27" s="235"/>
      <c r="J27" s="282"/>
      <c r="K27" s="325">
        <f>OP!N25</f>
        <v>10.5</v>
      </c>
      <c r="L27" s="215"/>
      <c r="M27" s="280" t="str">
        <f>OP!J25</f>
        <v>YT-AH20250320</v>
      </c>
      <c r="N27" s="215"/>
      <c r="O27" s="280"/>
      <c r="P27" s="213"/>
      <c r="Q27" s="64"/>
      <c r="R27" s="328"/>
      <c r="S27" s="240"/>
      <c r="T27" s="240"/>
      <c r="U27" s="67"/>
    </row>
    <row r="28" spans="1:21" ht="20.25" customHeight="1" x14ac:dyDescent="0.45">
      <c r="A28" s="327" t="str">
        <f>+OP!G26</f>
        <v>MPACTESO01</v>
      </c>
      <c r="B28" s="215"/>
      <c r="C28" s="326" t="str">
        <f>OP!B26</f>
        <v>ACETYL TETRAPEPTIDE 5</v>
      </c>
      <c r="D28" s="235"/>
      <c r="E28" s="235"/>
      <c r="F28" s="235"/>
      <c r="G28" s="282"/>
      <c r="H28" s="324">
        <f>OP!M26</f>
        <v>1E-3</v>
      </c>
      <c r="I28" s="235"/>
      <c r="J28" s="282"/>
      <c r="K28" s="325">
        <f>OP!N26</f>
        <v>0.35000000000000003</v>
      </c>
      <c r="L28" s="215"/>
      <c r="M28" s="280" t="str">
        <f>OP!J26</f>
        <v>YT-PT20250318</v>
      </c>
      <c r="N28" s="215"/>
      <c r="O28" s="280"/>
      <c r="P28" s="213"/>
      <c r="Q28" s="64"/>
      <c r="R28" s="328"/>
      <c r="S28" s="240"/>
      <c r="T28" s="240"/>
      <c r="U28" s="67"/>
    </row>
    <row r="29" spans="1:21" ht="20.25" customHeight="1" x14ac:dyDescent="0.45">
      <c r="A29" s="327" t="str">
        <f>+OP!G27</f>
        <v>MPDIBEDISO01</v>
      </c>
      <c r="B29" s="215"/>
      <c r="C29" s="326" t="str">
        <f>OP!B27</f>
        <v>DIPÉPTIDO DIAMINOBUTIROIL BENZALAMIDA DIACETATO</v>
      </c>
      <c r="D29" s="235"/>
      <c r="E29" s="235"/>
      <c r="F29" s="235"/>
      <c r="G29" s="282"/>
      <c r="H29" s="324">
        <f>OP!M27</f>
        <v>0.01</v>
      </c>
      <c r="I29" s="235"/>
      <c r="J29" s="282"/>
      <c r="K29" s="325">
        <f>OP!N27</f>
        <v>3.5000000000000004</v>
      </c>
      <c r="L29" s="215"/>
      <c r="M29" s="280" t="str">
        <f>OP!J27</f>
        <v>LYPH250721</v>
      </c>
      <c r="N29" s="215"/>
      <c r="O29" s="280"/>
      <c r="P29" s="213"/>
      <c r="Q29" s="64"/>
      <c r="R29" s="328"/>
      <c r="S29" s="240"/>
      <c r="T29" s="240"/>
      <c r="U29" s="67"/>
    </row>
    <row r="30" spans="1:21" ht="20.25" customHeight="1" x14ac:dyDescent="0.45">
      <c r="A30" s="327" t="str">
        <f>+OP!G28</f>
        <v>MPPOBOSO01</v>
      </c>
      <c r="B30" s="215"/>
      <c r="C30" s="326" t="str">
        <f>OP!B28</f>
        <v>PDRN (SODIUM DNA)</v>
      </c>
      <c r="D30" s="235"/>
      <c r="E30" s="235"/>
      <c r="F30" s="235"/>
      <c r="G30" s="282"/>
      <c r="H30" s="324">
        <f>OP!M28</f>
        <v>0.01</v>
      </c>
      <c r="I30" s="235"/>
      <c r="J30" s="282"/>
      <c r="K30" s="325">
        <f>OP!N28</f>
        <v>3.5000000000000004</v>
      </c>
      <c r="L30" s="215"/>
      <c r="M30" s="280" t="str">
        <f>OP!J28</f>
        <v>T-20250107</v>
      </c>
      <c r="N30" s="215"/>
      <c r="O30" s="280"/>
      <c r="P30" s="213"/>
      <c r="Q30" s="64"/>
      <c r="R30" s="65"/>
      <c r="S30" s="65"/>
      <c r="T30" s="65"/>
      <c r="U30" s="67"/>
    </row>
    <row r="31" spans="1:21" ht="20.25" customHeight="1" x14ac:dyDescent="0.45">
      <c r="A31" s="327" t="str">
        <f>+OP!G29</f>
        <v>MPADENSO01</v>
      </c>
      <c r="B31" s="215"/>
      <c r="C31" s="326" t="str">
        <f>OP!B29</f>
        <v>ADENOSINA</v>
      </c>
      <c r="D31" s="235"/>
      <c r="E31" s="235"/>
      <c r="F31" s="235"/>
      <c r="G31" s="282"/>
      <c r="H31" s="324">
        <f>OP!M29</f>
        <v>0.01</v>
      </c>
      <c r="I31" s="235"/>
      <c r="J31" s="282"/>
      <c r="K31" s="325">
        <f>OP!N29</f>
        <v>3.5000000000000004</v>
      </c>
      <c r="L31" s="215"/>
      <c r="M31" s="280" t="str">
        <f>OP!J29</f>
        <v>YT-20250521</v>
      </c>
      <c r="N31" s="215"/>
      <c r="O31" s="280"/>
      <c r="P31" s="213"/>
      <c r="Q31" s="64"/>
      <c r="R31" s="65"/>
      <c r="S31" s="65"/>
      <c r="T31" s="65"/>
      <c r="U31" s="67"/>
    </row>
    <row r="32" spans="1:21" ht="20.25" customHeight="1" x14ac:dyDescent="0.45">
      <c r="A32" s="327" t="str">
        <f>+OP!G30</f>
        <v>MPGLICSO01</v>
      </c>
      <c r="B32" s="215"/>
      <c r="C32" s="326" t="str">
        <f>OP!B30</f>
        <v>GLICINA</v>
      </c>
      <c r="D32" s="235"/>
      <c r="E32" s="235"/>
      <c r="F32" s="235"/>
      <c r="G32" s="282"/>
      <c r="H32" s="324">
        <f>OP!M30</f>
        <v>0.05</v>
      </c>
      <c r="I32" s="235"/>
      <c r="J32" s="282"/>
      <c r="K32" s="325">
        <f>OP!N30</f>
        <v>17.5</v>
      </c>
      <c r="L32" s="215"/>
      <c r="M32" s="280" t="str">
        <f>OP!J30</f>
        <v>YT-20220925</v>
      </c>
      <c r="N32" s="215"/>
      <c r="O32" s="280"/>
      <c r="P32" s="213"/>
      <c r="Q32" s="64"/>
      <c r="R32" s="65"/>
      <c r="S32" s="65"/>
      <c r="T32" s="65"/>
      <c r="U32" s="67"/>
    </row>
    <row r="33" spans="1:21" ht="20.25" customHeight="1" x14ac:dyDescent="0.45">
      <c r="A33" s="327" t="str">
        <f>+OP!G31</f>
        <v>MPGLUTSO01</v>
      </c>
      <c r="B33" s="215"/>
      <c r="C33" s="326" t="str">
        <f>OP!B31</f>
        <v>GLUTATION</v>
      </c>
      <c r="D33" s="235"/>
      <c r="E33" s="235"/>
      <c r="F33" s="235"/>
      <c r="G33" s="282"/>
      <c r="H33" s="324">
        <f>OP!M31</f>
        <v>0.01</v>
      </c>
      <c r="I33" s="235"/>
      <c r="J33" s="282"/>
      <c r="K33" s="325">
        <f>OP!N31</f>
        <v>3.5000000000000004</v>
      </c>
      <c r="L33" s="215"/>
      <c r="M33" s="280" t="str">
        <f>OP!J31</f>
        <v>YT-20250406</v>
      </c>
      <c r="N33" s="215"/>
      <c r="O33" s="280"/>
      <c r="P33" s="213"/>
      <c r="Q33" s="64"/>
      <c r="R33" s="65"/>
      <c r="S33" s="65"/>
      <c r="T33" s="65"/>
      <c r="U33" s="67"/>
    </row>
    <row r="34" spans="1:21" ht="20.25" customHeight="1" x14ac:dyDescent="0.45">
      <c r="A34" s="327" t="str">
        <f>+OP!G32</f>
        <v>MPPALTRISO01</v>
      </c>
      <c r="B34" s="215"/>
      <c r="C34" s="326" t="str">
        <f>OP!B32</f>
        <v>PALMITOYL TRIPEPTIDE 5</v>
      </c>
      <c r="D34" s="235"/>
      <c r="E34" s="235"/>
      <c r="F34" s="235"/>
      <c r="G34" s="282"/>
      <c r="H34" s="324">
        <f>OP!M32</f>
        <v>0.01</v>
      </c>
      <c r="I34" s="235"/>
      <c r="J34" s="282"/>
      <c r="K34" s="325">
        <f>OP!N32</f>
        <v>3.5000000000000004</v>
      </c>
      <c r="L34" s="215"/>
      <c r="M34" s="280" t="str">
        <f>OP!J32</f>
        <v>YT-PT20250419</v>
      </c>
      <c r="N34" s="215"/>
      <c r="O34" s="280"/>
      <c r="P34" s="213"/>
      <c r="Q34" s="64"/>
      <c r="R34" s="65"/>
      <c r="S34" s="65"/>
      <c r="T34" s="65"/>
      <c r="U34" s="67"/>
    </row>
    <row r="35" spans="1:21" ht="20.25" customHeight="1" x14ac:dyDescent="0.45">
      <c r="A35" s="327" t="str">
        <f>+OP!G33</f>
        <v>MPACHISO01</v>
      </c>
      <c r="B35" s="215"/>
      <c r="C35" s="326" t="str">
        <f>OP!B33</f>
        <v>ACIDO HIALURONICO 50KD</v>
      </c>
      <c r="D35" s="235"/>
      <c r="E35" s="235"/>
      <c r="F35" s="235"/>
      <c r="G35" s="282"/>
      <c r="H35" s="324">
        <f>OP!M33</f>
        <v>0.2</v>
      </c>
      <c r="I35" s="235"/>
      <c r="J35" s="282"/>
      <c r="K35" s="325">
        <f>OP!N33</f>
        <v>70</v>
      </c>
      <c r="L35" s="215"/>
      <c r="M35" s="280" t="str">
        <f>OP!J33</f>
        <v>YT-HA20250622</v>
      </c>
      <c r="N35" s="215"/>
      <c r="O35" s="280"/>
      <c r="P35" s="213"/>
      <c r="Q35" s="64"/>
      <c r="R35" s="65"/>
      <c r="S35" s="65"/>
      <c r="T35" s="65"/>
      <c r="U35" s="67"/>
    </row>
    <row r="36" spans="1:21" ht="20.25" customHeight="1" x14ac:dyDescent="0.45">
      <c r="A36" s="327" t="str">
        <f>+OP!G34</f>
        <v>MPACHISO03</v>
      </c>
      <c r="B36" s="215"/>
      <c r="C36" s="326" t="str">
        <f>OP!B34</f>
        <v>ACIDO HIALURONICO 1500KD</v>
      </c>
      <c r="D36" s="235"/>
      <c r="E36" s="235"/>
      <c r="F36" s="235"/>
      <c r="G36" s="282"/>
      <c r="H36" s="324">
        <f>OP!M34</f>
        <v>0.1</v>
      </c>
      <c r="I36" s="235"/>
      <c r="J36" s="282"/>
      <c r="K36" s="325">
        <f>OP!N34</f>
        <v>35</v>
      </c>
      <c r="L36" s="215"/>
      <c r="M36" s="280" t="str">
        <f>OP!J34</f>
        <v>YT-HA20250326</v>
      </c>
      <c r="N36" s="215"/>
      <c r="O36" s="280"/>
      <c r="P36" s="213"/>
      <c r="Q36" s="64"/>
      <c r="R36" s="65"/>
      <c r="S36" s="65"/>
      <c r="T36" s="65"/>
      <c r="U36" s="67"/>
    </row>
    <row r="37" spans="1:21" ht="20.25" customHeight="1" x14ac:dyDescent="0.45">
      <c r="A37" s="327" t="str">
        <f>+OP!G35</f>
        <v>MPACHISO02</v>
      </c>
      <c r="B37" s="215"/>
      <c r="C37" s="326" t="str">
        <f>OP!B35</f>
        <v>ACIDO HIALURONICO 300KD</v>
      </c>
      <c r="D37" s="235"/>
      <c r="E37" s="235"/>
      <c r="F37" s="235"/>
      <c r="G37" s="282"/>
      <c r="H37" s="324">
        <f>OP!M35</f>
        <v>0.2</v>
      </c>
      <c r="I37" s="235"/>
      <c r="J37" s="282"/>
      <c r="K37" s="325">
        <f>OP!N35</f>
        <v>70</v>
      </c>
      <c r="L37" s="215"/>
      <c r="M37" s="280" t="str">
        <f>OP!J35</f>
        <v>YT-20241203</v>
      </c>
      <c r="N37" s="215"/>
      <c r="O37" s="280"/>
      <c r="P37" s="213"/>
      <c r="Q37" s="64"/>
      <c r="R37" s="65"/>
      <c r="S37" s="65"/>
      <c r="T37" s="65"/>
      <c r="U37" s="67"/>
    </row>
    <row r="38" spans="1:21" ht="20.25" customHeight="1" x14ac:dyDescent="0.45">
      <c r="A38" s="327" t="str">
        <f>+OP!G36</f>
        <v>MPPECOSO01</v>
      </c>
      <c r="B38" s="215"/>
      <c r="C38" s="326" t="str">
        <f>OP!B36</f>
        <v>PEPTIDOS DE COLAGENO POLVO</v>
      </c>
      <c r="D38" s="235"/>
      <c r="E38" s="235"/>
      <c r="F38" s="235"/>
      <c r="G38" s="282"/>
      <c r="H38" s="324">
        <f>OP!M36</f>
        <v>0.05</v>
      </c>
      <c r="I38" s="235"/>
      <c r="J38" s="282"/>
      <c r="K38" s="325">
        <f>OP!N36</f>
        <v>17.5</v>
      </c>
      <c r="L38" s="215"/>
      <c r="M38" s="280" t="str">
        <f>OP!J36</f>
        <v>YT202507325</v>
      </c>
      <c r="N38" s="215"/>
      <c r="O38" s="280"/>
      <c r="P38" s="213"/>
      <c r="Q38" s="64"/>
      <c r="R38" s="65"/>
      <c r="S38" s="65"/>
      <c r="T38" s="65"/>
      <c r="U38" s="67"/>
    </row>
    <row r="39" spans="1:21" ht="20.25" customHeight="1" x14ac:dyDescent="0.45">
      <c r="A39" s="327" t="str">
        <f>+OP!G37</f>
        <v>MPEDDISO01</v>
      </c>
      <c r="B39" s="215"/>
      <c r="C39" s="326" t="str">
        <f>OP!B37</f>
        <v>EDTA DISODICO</v>
      </c>
      <c r="D39" s="235"/>
      <c r="E39" s="235"/>
      <c r="F39" s="235"/>
      <c r="G39" s="282"/>
      <c r="H39" s="324">
        <f>OP!M37</f>
        <v>0.05</v>
      </c>
      <c r="I39" s="235"/>
      <c r="J39" s="282"/>
      <c r="K39" s="325">
        <f>OP!N37</f>
        <v>17.5</v>
      </c>
      <c r="L39" s="215"/>
      <c r="M39" s="280">
        <f>OP!J37</f>
        <v>20240815</v>
      </c>
      <c r="N39" s="215"/>
      <c r="O39" s="280"/>
      <c r="P39" s="213"/>
      <c r="Q39" s="64"/>
      <c r="R39" s="65"/>
      <c r="S39" s="65"/>
      <c r="T39" s="65"/>
      <c r="U39" s="67"/>
    </row>
    <row r="40" spans="1:21" ht="20.25" customHeight="1" x14ac:dyDescent="0.45">
      <c r="A40" s="327" t="str">
        <f>+OP!G38</f>
        <v>MPGRANLI01</v>
      </c>
      <c r="B40" s="215"/>
      <c r="C40" s="326" t="str">
        <f>OP!B38</f>
        <v>GRANSIL VX 419</v>
      </c>
      <c r="D40" s="235"/>
      <c r="E40" s="235"/>
      <c r="F40" s="235"/>
      <c r="G40" s="282"/>
      <c r="H40" s="324">
        <f>OP!M38</f>
        <v>0.25</v>
      </c>
      <c r="I40" s="235"/>
      <c r="J40" s="282"/>
      <c r="K40" s="325">
        <f>OP!N38</f>
        <v>87.5</v>
      </c>
      <c r="L40" s="215"/>
      <c r="M40" s="280" t="str">
        <f>OP!J38</f>
        <v>980305S1125</v>
      </c>
      <c r="N40" s="215"/>
      <c r="O40" s="280"/>
      <c r="P40" s="213"/>
      <c r="Q40" s="64"/>
      <c r="R40" s="65"/>
      <c r="S40" s="65"/>
      <c r="T40" s="65"/>
      <c r="U40" s="67"/>
    </row>
    <row r="41" spans="1:21" ht="20.25" customHeight="1" x14ac:dyDescent="0.45">
      <c r="A41" s="327" t="str">
        <f>+OP!G39</f>
        <v>MPTRIELO01</v>
      </c>
      <c r="B41" s="215"/>
      <c r="C41" s="326" t="str">
        <f>OP!B39</f>
        <v>TRIETANOLAMINA 85%</v>
      </c>
      <c r="D41" s="235"/>
      <c r="E41" s="235"/>
      <c r="F41" s="235"/>
      <c r="G41" s="282"/>
      <c r="H41" s="324">
        <f>OP!M39</f>
        <v>0.1</v>
      </c>
      <c r="I41" s="235"/>
      <c r="J41" s="282"/>
      <c r="K41" s="325">
        <f>OP!N39</f>
        <v>35</v>
      </c>
      <c r="L41" s="215"/>
      <c r="M41" s="280" t="str">
        <f>OP!J39</f>
        <v>DIR-152124</v>
      </c>
      <c r="N41" s="215"/>
      <c r="O41" s="280"/>
      <c r="P41" s="213"/>
      <c r="Q41" s="64"/>
      <c r="R41" s="65"/>
      <c r="S41" s="65"/>
      <c r="T41" s="65"/>
      <c r="U41" s="67"/>
    </row>
    <row r="42" spans="1:21" ht="42.75" customHeight="1" x14ac:dyDescent="0.45">
      <c r="A42" s="342" t="s">
        <v>202</v>
      </c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63"/>
      <c r="Q42" s="68"/>
      <c r="R42" s="69"/>
      <c r="S42" s="67"/>
      <c r="T42" s="67"/>
      <c r="U42" s="67"/>
    </row>
    <row r="43" spans="1:21" ht="38.25" customHeight="1" x14ac:dyDescent="0.45">
      <c r="A43" s="226"/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8"/>
      <c r="Q43" s="12"/>
      <c r="R43" s="12"/>
      <c r="S43" s="12"/>
      <c r="T43" s="12"/>
      <c r="U43" s="12"/>
    </row>
    <row r="44" spans="1:21" ht="12" customHeight="1" x14ac:dyDescent="0.45">
      <c r="A44" s="335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63"/>
      <c r="Q44" s="12"/>
      <c r="R44" s="12"/>
      <c r="S44" s="12"/>
      <c r="T44" s="12"/>
      <c r="U44" s="12"/>
    </row>
    <row r="45" spans="1:21" ht="36" customHeight="1" x14ac:dyDescent="0.45">
      <c r="A45" s="346" t="s">
        <v>203</v>
      </c>
      <c r="B45" s="230"/>
      <c r="C45" s="261"/>
      <c r="D45" s="343"/>
      <c r="E45" s="230"/>
      <c r="F45" s="230"/>
      <c r="G45" s="230"/>
      <c r="H45" s="70"/>
      <c r="I45" s="70"/>
      <c r="J45" s="70"/>
      <c r="K45" s="344" t="s">
        <v>204</v>
      </c>
      <c r="L45" s="261"/>
      <c r="M45" s="345"/>
      <c r="N45" s="230"/>
      <c r="O45" s="230"/>
      <c r="P45" s="232"/>
      <c r="Q45" s="12"/>
      <c r="R45" s="12"/>
      <c r="S45" s="12"/>
      <c r="T45" s="12"/>
      <c r="U45" s="12"/>
    </row>
    <row r="46" spans="1:21" ht="36" customHeight="1" x14ac:dyDescent="0.45">
      <c r="A46" s="330" t="s">
        <v>205</v>
      </c>
      <c r="B46" s="212"/>
      <c r="C46" s="215"/>
      <c r="D46" s="71"/>
      <c r="E46" s="71"/>
      <c r="F46" s="71"/>
      <c r="G46" s="71"/>
      <c r="H46" s="61"/>
      <c r="I46" s="61"/>
      <c r="J46" s="61"/>
      <c r="K46" s="341" t="s">
        <v>205</v>
      </c>
      <c r="L46" s="215"/>
      <c r="M46" s="280"/>
      <c r="N46" s="212"/>
      <c r="O46" s="212"/>
      <c r="P46" s="213"/>
      <c r="Q46" s="12"/>
      <c r="R46" s="12"/>
      <c r="S46" s="12"/>
      <c r="T46" s="12"/>
      <c r="U46" s="12"/>
    </row>
    <row r="47" spans="1:21" ht="36" customHeight="1" x14ac:dyDescent="0.45">
      <c r="A47" s="336" t="s">
        <v>206</v>
      </c>
      <c r="B47" s="243"/>
      <c r="C47" s="244"/>
      <c r="D47" s="337"/>
      <c r="E47" s="243"/>
      <c r="F47" s="243"/>
      <c r="G47" s="243"/>
      <c r="H47" s="243"/>
      <c r="I47" s="243"/>
      <c r="J47" s="244"/>
      <c r="K47" s="338" t="s">
        <v>206</v>
      </c>
      <c r="L47" s="244"/>
      <c r="M47" s="339"/>
      <c r="N47" s="243"/>
      <c r="O47" s="243"/>
      <c r="P47" s="246"/>
      <c r="Q47" s="12"/>
      <c r="R47" s="12"/>
      <c r="S47" s="12"/>
      <c r="T47" s="12"/>
      <c r="U47" s="12"/>
    </row>
    <row r="48" spans="1:21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72"/>
      <c r="L48" s="72"/>
      <c r="M48" s="25"/>
      <c r="N48" s="26"/>
      <c r="O48" s="26"/>
      <c r="P48" s="12"/>
      <c r="Q48" s="12"/>
      <c r="R48" s="12"/>
      <c r="S48" s="12"/>
      <c r="T48" s="12"/>
      <c r="U48" s="12"/>
    </row>
    <row r="49" spans="1:21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  <c r="T49" s="12"/>
      <c r="U49" s="12"/>
    </row>
    <row r="50" spans="1:21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  <c r="T50" s="12"/>
      <c r="U50" s="12"/>
    </row>
    <row r="51" spans="1:21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  <c r="T51" s="12"/>
      <c r="U51" s="12"/>
    </row>
    <row r="52" spans="1:21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  <c r="T52" s="12"/>
      <c r="U52" s="12"/>
    </row>
    <row r="53" spans="1:21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  <c r="T53" s="12"/>
      <c r="U53" s="12"/>
    </row>
    <row r="54" spans="1:21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  <c r="T54" s="12"/>
      <c r="U54" s="12"/>
    </row>
    <row r="55" spans="1:21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  <c r="T55" s="12"/>
      <c r="U55" s="12"/>
    </row>
    <row r="56" spans="1:21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  <c r="T56" s="12"/>
      <c r="U56" s="12"/>
    </row>
    <row r="57" spans="1:21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  <c r="T57" s="12"/>
      <c r="U57" s="12"/>
    </row>
    <row r="58" spans="1:21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  <c r="T58" s="12"/>
      <c r="U58" s="12"/>
    </row>
    <row r="59" spans="1:21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  <c r="T59" s="12"/>
      <c r="U59" s="12"/>
    </row>
    <row r="60" spans="1:21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  <c r="T60" s="12"/>
      <c r="U60" s="12"/>
    </row>
    <row r="61" spans="1:21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  <c r="T61" s="12"/>
      <c r="U61" s="12"/>
    </row>
    <row r="62" spans="1:21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  <c r="T62" s="12"/>
      <c r="U62" s="12"/>
    </row>
    <row r="63" spans="1:21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  <c r="T63" s="12"/>
      <c r="U63" s="12"/>
    </row>
    <row r="64" spans="1:21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  <c r="T64" s="12"/>
      <c r="U64" s="12"/>
    </row>
    <row r="65" spans="1:21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  <c r="T65" s="12"/>
      <c r="U65" s="12"/>
    </row>
    <row r="66" spans="1:21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  <c r="T66" s="12"/>
      <c r="U66" s="12"/>
    </row>
    <row r="67" spans="1:21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  <c r="T67" s="12"/>
      <c r="U67" s="12"/>
    </row>
    <row r="68" spans="1:21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  <c r="T68" s="12"/>
      <c r="U68" s="12"/>
    </row>
    <row r="69" spans="1:21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  <c r="T69" s="12"/>
      <c r="U69" s="12"/>
    </row>
    <row r="70" spans="1:21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  <c r="T70" s="12"/>
      <c r="U70" s="12"/>
    </row>
    <row r="71" spans="1:21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  <c r="T71" s="12"/>
      <c r="U71" s="12"/>
    </row>
    <row r="72" spans="1:21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  <c r="T72" s="12"/>
      <c r="U72" s="12"/>
    </row>
    <row r="73" spans="1:21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  <c r="T73" s="12"/>
      <c r="U73" s="12"/>
    </row>
    <row r="74" spans="1:21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  <c r="T74" s="12"/>
      <c r="U74" s="12"/>
    </row>
    <row r="75" spans="1:21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  <c r="T75" s="12"/>
      <c r="U75" s="12"/>
    </row>
    <row r="76" spans="1:21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  <c r="T76" s="12"/>
      <c r="U76" s="12"/>
    </row>
    <row r="77" spans="1:21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  <c r="T77" s="12"/>
      <c r="U77" s="12"/>
    </row>
    <row r="78" spans="1:21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  <c r="T78" s="12"/>
      <c r="U78" s="12"/>
    </row>
    <row r="79" spans="1:21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  <c r="T79" s="12"/>
      <c r="U79" s="12"/>
    </row>
    <row r="80" spans="1:21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  <c r="T80" s="12"/>
      <c r="U80" s="12"/>
    </row>
    <row r="81" spans="1:21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  <c r="T81" s="12"/>
      <c r="U81" s="12"/>
    </row>
    <row r="82" spans="1:21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  <c r="T82" s="12"/>
      <c r="U82" s="12"/>
    </row>
    <row r="83" spans="1:21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  <c r="T83" s="12"/>
      <c r="U83" s="12"/>
    </row>
    <row r="84" spans="1:21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  <c r="T84" s="12"/>
      <c r="U84" s="12"/>
    </row>
    <row r="85" spans="1:21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  <c r="T85" s="12"/>
      <c r="U85" s="12"/>
    </row>
    <row r="86" spans="1:21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  <c r="T86" s="12"/>
      <c r="U86" s="12"/>
    </row>
    <row r="87" spans="1:21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  <c r="T87" s="12"/>
      <c r="U87" s="12"/>
    </row>
    <row r="88" spans="1:21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  <c r="T88" s="12"/>
      <c r="U88" s="12"/>
    </row>
    <row r="89" spans="1:21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  <c r="T89" s="12"/>
      <c r="U89" s="12"/>
    </row>
    <row r="90" spans="1:21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  <c r="T90" s="12"/>
      <c r="U90" s="12"/>
    </row>
    <row r="91" spans="1:21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  <c r="T91" s="12"/>
      <c r="U91" s="12"/>
    </row>
    <row r="92" spans="1:21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  <c r="T92" s="12"/>
      <c r="U92" s="12"/>
    </row>
    <row r="93" spans="1:21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  <c r="T93" s="12"/>
      <c r="U93" s="12"/>
    </row>
    <row r="94" spans="1:21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  <c r="T94" s="12"/>
      <c r="U94" s="12"/>
    </row>
    <row r="95" spans="1:21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  <c r="T95" s="12"/>
      <c r="U95" s="12"/>
    </row>
    <row r="96" spans="1:21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  <c r="T96" s="12"/>
      <c r="U96" s="12"/>
    </row>
    <row r="97" spans="1:21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  <c r="T97" s="12"/>
      <c r="U97" s="12"/>
    </row>
    <row r="98" spans="1:21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  <c r="T98" s="12"/>
      <c r="U98" s="12"/>
    </row>
    <row r="99" spans="1:21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  <c r="T99" s="12"/>
      <c r="U99" s="12"/>
    </row>
    <row r="100" spans="1:21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  <c r="T100" s="12"/>
      <c r="U100" s="12"/>
    </row>
    <row r="101" spans="1:21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  <c r="T101" s="12"/>
      <c r="U101" s="12"/>
    </row>
    <row r="102" spans="1:21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  <c r="T102" s="12"/>
      <c r="U102" s="12"/>
    </row>
    <row r="103" spans="1:21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  <c r="T103" s="12"/>
      <c r="U103" s="12"/>
    </row>
    <row r="104" spans="1:21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  <c r="T104" s="12"/>
      <c r="U104" s="12"/>
    </row>
    <row r="105" spans="1:21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  <c r="T105" s="12"/>
      <c r="U105" s="12"/>
    </row>
    <row r="106" spans="1:21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  <c r="T106" s="12"/>
      <c r="U106" s="12"/>
    </row>
    <row r="107" spans="1:21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  <c r="T107" s="12"/>
      <c r="U107" s="12"/>
    </row>
    <row r="108" spans="1:21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  <c r="T108" s="12"/>
      <c r="U108" s="12"/>
    </row>
    <row r="109" spans="1:21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  <c r="T109" s="12"/>
      <c r="U109" s="12"/>
    </row>
    <row r="110" spans="1:21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  <c r="T110" s="12"/>
      <c r="U110" s="12"/>
    </row>
    <row r="111" spans="1:21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  <c r="T111" s="12"/>
      <c r="U111" s="12"/>
    </row>
    <row r="112" spans="1:21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  <c r="T112" s="12"/>
      <c r="U112" s="12"/>
    </row>
    <row r="113" spans="1:21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  <c r="T113" s="12"/>
      <c r="U113" s="12"/>
    </row>
    <row r="114" spans="1:21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  <c r="T114" s="12"/>
      <c r="U114" s="12"/>
    </row>
    <row r="115" spans="1:21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  <c r="T115" s="12"/>
      <c r="U115" s="12"/>
    </row>
    <row r="116" spans="1:21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  <c r="T116" s="12"/>
      <c r="U116" s="12"/>
    </row>
    <row r="117" spans="1:21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  <c r="T117" s="12"/>
      <c r="U117" s="12"/>
    </row>
    <row r="118" spans="1:21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  <c r="T118" s="12"/>
      <c r="U118" s="12"/>
    </row>
    <row r="119" spans="1:21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  <c r="T119" s="12"/>
      <c r="U119" s="12"/>
    </row>
    <row r="120" spans="1:21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  <c r="T120" s="12"/>
      <c r="U120" s="12"/>
    </row>
    <row r="121" spans="1:21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  <c r="T121" s="12"/>
      <c r="U121" s="12"/>
    </row>
    <row r="122" spans="1:21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  <c r="T122" s="12"/>
      <c r="U122" s="12"/>
    </row>
    <row r="123" spans="1:21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  <c r="T123" s="12"/>
      <c r="U123" s="12"/>
    </row>
    <row r="124" spans="1:21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  <c r="T124" s="12"/>
      <c r="U124" s="12"/>
    </row>
    <row r="125" spans="1:21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  <c r="T125" s="12"/>
      <c r="U125" s="12"/>
    </row>
    <row r="126" spans="1:21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  <c r="T126" s="12"/>
      <c r="U126" s="12"/>
    </row>
    <row r="127" spans="1:21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  <c r="T127" s="12"/>
      <c r="U127" s="12"/>
    </row>
    <row r="128" spans="1:21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  <c r="T128" s="12"/>
      <c r="U128" s="12"/>
    </row>
    <row r="129" spans="1:21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  <c r="T129" s="12"/>
      <c r="U129" s="12"/>
    </row>
    <row r="130" spans="1:21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  <c r="T130" s="12"/>
      <c r="U130" s="12"/>
    </row>
    <row r="131" spans="1:21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  <c r="T131" s="12"/>
      <c r="U131" s="12"/>
    </row>
    <row r="132" spans="1:21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  <c r="T132" s="12"/>
      <c r="U132" s="12"/>
    </row>
    <row r="133" spans="1:21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  <c r="T133" s="12"/>
      <c r="U133" s="12"/>
    </row>
    <row r="134" spans="1:21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  <c r="T134" s="12"/>
      <c r="U134" s="12"/>
    </row>
    <row r="135" spans="1:21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  <c r="T135" s="12"/>
      <c r="U135" s="12"/>
    </row>
    <row r="136" spans="1:21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  <c r="T136" s="12"/>
      <c r="U136" s="12"/>
    </row>
    <row r="137" spans="1:21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  <c r="T137" s="12"/>
      <c r="U137" s="12"/>
    </row>
    <row r="138" spans="1:21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  <c r="T138" s="12"/>
      <c r="U138" s="12"/>
    </row>
    <row r="139" spans="1:21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  <c r="T139" s="12"/>
      <c r="U139" s="12"/>
    </row>
    <row r="140" spans="1:21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  <c r="T140" s="12"/>
      <c r="U140" s="12"/>
    </row>
    <row r="141" spans="1:21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  <c r="T141" s="12"/>
      <c r="U141" s="12"/>
    </row>
    <row r="142" spans="1:21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  <c r="T142" s="12"/>
      <c r="U142" s="12"/>
    </row>
    <row r="143" spans="1:21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  <c r="T143" s="12"/>
      <c r="U143" s="12"/>
    </row>
    <row r="144" spans="1:21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  <c r="T144" s="12"/>
      <c r="U144" s="12"/>
    </row>
    <row r="145" spans="1:21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  <c r="T145" s="12"/>
      <c r="U145" s="12"/>
    </row>
    <row r="146" spans="1:21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  <c r="T146" s="12"/>
      <c r="U146" s="12"/>
    </row>
    <row r="147" spans="1:21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  <c r="T147" s="12"/>
      <c r="U147" s="12"/>
    </row>
    <row r="148" spans="1:21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  <c r="T148" s="12"/>
      <c r="U148" s="12"/>
    </row>
    <row r="149" spans="1:21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  <c r="T149" s="12"/>
      <c r="U149" s="12"/>
    </row>
    <row r="150" spans="1:21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  <c r="T150" s="12"/>
      <c r="U150" s="12"/>
    </row>
    <row r="151" spans="1:21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  <c r="T151" s="12"/>
      <c r="U151" s="12"/>
    </row>
    <row r="152" spans="1:21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  <c r="T152" s="12"/>
      <c r="U152" s="12"/>
    </row>
    <row r="153" spans="1:21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  <c r="T153" s="12"/>
      <c r="U153" s="12"/>
    </row>
    <row r="154" spans="1:21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  <c r="T154" s="12"/>
      <c r="U154" s="12"/>
    </row>
    <row r="155" spans="1:21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  <c r="T155" s="12"/>
      <c r="U155" s="12"/>
    </row>
    <row r="156" spans="1:21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  <c r="T156" s="12"/>
      <c r="U156" s="12"/>
    </row>
    <row r="157" spans="1:21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  <c r="T157" s="12"/>
      <c r="U157" s="12"/>
    </row>
    <row r="158" spans="1:21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  <c r="T158" s="12"/>
      <c r="U158" s="12"/>
    </row>
    <row r="159" spans="1:21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  <c r="T159" s="12"/>
      <c r="U159" s="12"/>
    </row>
    <row r="160" spans="1:21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  <c r="T160" s="12"/>
      <c r="U160" s="12"/>
    </row>
    <row r="161" spans="1:21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  <c r="T161" s="12"/>
      <c r="U161" s="12"/>
    </row>
    <row r="162" spans="1:21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  <c r="T162" s="12"/>
      <c r="U162" s="12"/>
    </row>
    <row r="163" spans="1:21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  <c r="T163" s="12"/>
      <c r="U163" s="12"/>
    </row>
    <row r="164" spans="1:21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  <c r="T164" s="12"/>
      <c r="U164" s="12"/>
    </row>
    <row r="165" spans="1:21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  <c r="T165" s="12"/>
      <c r="U165" s="12"/>
    </row>
    <row r="166" spans="1:21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  <c r="T166" s="12"/>
      <c r="U166" s="12"/>
    </row>
    <row r="167" spans="1:21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  <c r="T167" s="12"/>
      <c r="U167" s="12"/>
    </row>
    <row r="168" spans="1:21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  <c r="T168" s="12"/>
      <c r="U168" s="12"/>
    </row>
    <row r="169" spans="1:21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  <c r="T169" s="12"/>
      <c r="U169" s="12"/>
    </row>
    <row r="170" spans="1:21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  <c r="T170" s="12"/>
      <c r="U170" s="12"/>
    </row>
    <row r="171" spans="1:21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  <c r="T171" s="12"/>
      <c r="U171" s="12"/>
    </row>
    <row r="172" spans="1:21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  <c r="T172" s="12"/>
      <c r="U172" s="12"/>
    </row>
    <row r="173" spans="1:21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  <c r="T173" s="12"/>
      <c r="U173" s="12"/>
    </row>
    <row r="174" spans="1:21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  <c r="T174" s="12"/>
      <c r="U174" s="12"/>
    </row>
    <row r="175" spans="1:21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  <c r="T175" s="12"/>
      <c r="U175" s="12"/>
    </row>
    <row r="176" spans="1:21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  <c r="T176" s="12"/>
      <c r="U176" s="12"/>
    </row>
    <row r="177" spans="1:21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  <c r="T177" s="12"/>
      <c r="U177" s="12"/>
    </row>
    <row r="178" spans="1:21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  <c r="T178" s="12"/>
      <c r="U178" s="12"/>
    </row>
    <row r="179" spans="1:21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  <c r="T179" s="12"/>
      <c r="U179" s="12"/>
    </row>
    <row r="180" spans="1:21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  <c r="T180" s="12"/>
      <c r="U180" s="12"/>
    </row>
    <row r="181" spans="1:21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  <c r="T181" s="12"/>
      <c r="U181" s="12"/>
    </row>
    <row r="182" spans="1:21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  <c r="T182" s="12"/>
      <c r="U182" s="12"/>
    </row>
    <row r="183" spans="1:21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  <c r="T183" s="12"/>
      <c r="U183" s="12"/>
    </row>
    <row r="184" spans="1:21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  <c r="T184" s="12"/>
      <c r="U184" s="12"/>
    </row>
    <row r="185" spans="1:21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  <c r="T185" s="12"/>
      <c r="U185" s="12"/>
    </row>
    <row r="186" spans="1:21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  <c r="T186" s="12"/>
      <c r="U186" s="12"/>
    </row>
    <row r="187" spans="1:21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  <c r="T187" s="12"/>
      <c r="U187" s="12"/>
    </row>
    <row r="188" spans="1:21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  <c r="T188" s="12"/>
      <c r="U188" s="12"/>
    </row>
    <row r="189" spans="1:21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  <c r="T189" s="12"/>
      <c r="U189" s="12"/>
    </row>
    <row r="190" spans="1:21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  <c r="T190" s="12"/>
      <c r="U190" s="12"/>
    </row>
    <row r="191" spans="1:21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  <c r="T191" s="12"/>
      <c r="U191" s="12"/>
    </row>
    <row r="192" spans="1:21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  <c r="T192" s="12"/>
      <c r="U192" s="12"/>
    </row>
    <row r="193" spans="1:21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  <c r="T193" s="12"/>
      <c r="U193" s="12"/>
    </row>
    <row r="194" spans="1:21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  <c r="T194" s="12"/>
      <c r="U194" s="12"/>
    </row>
    <row r="195" spans="1:21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  <c r="T195" s="12"/>
      <c r="U195" s="12"/>
    </row>
    <row r="196" spans="1:21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  <c r="T196" s="12"/>
      <c r="U196" s="12"/>
    </row>
    <row r="197" spans="1:21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  <c r="T197" s="12"/>
      <c r="U197" s="12"/>
    </row>
    <row r="198" spans="1:21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  <c r="T198" s="12"/>
      <c r="U198" s="12"/>
    </row>
    <row r="199" spans="1:21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  <c r="T199" s="12"/>
      <c r="U199" s="12"/>
    </row>
    <row r="200" spans="1:21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  <c r="T200" s="12"/>
      <c r="U200" s="12"/>
    </row>
    <row r="201" spans="1:21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  <c r="T201" s="12"/>
      <c r="U201" s="12"/>
    </row>
    <row r="202" spans="1:21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  <c r="T202" s="12"/>
      <c r="U202" s="12"/>
    </row>
    <row r="203" spans="1:21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  <c r="T203" s="12"/>
      <c r="U203" s="12"/>
    </row>
    <row r="204" spans="1:21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  <c r="T204" s="12"/>
      <c r="U204" s="12"/>
    </row>
    <row r="205" spans="1:21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  <c r="T205" s="12"/>
      <c r="U205" s="12"/>
    </row>
    <row r="206" spans="1:21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  <c r="T206" s="12"/>
      <c r="U206" s="12"/>
    </row>
    <row r="207" spans="1:21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  <c r="T207" s="12"/>
      <c r="U207" s="12"/>
    </row>
    <row r="208" spans="1:21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  <c r="T208" s="12"/>
      <c r="U208" s="12"/>
    </row>
    <row r="209" spans="1:21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  <c r="T209" s="12"/>
      <c r="U209" s="12"/>
    </row>
    <row r="210" spans="1:21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  <c r="T210" s="12"/>
      <c r="U210" s="12"/>
    </row>
    <row r="211" spans="1:21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  <c r="T211" s="12"/>
      <c r="U211" s="12"/>
    </row>
    <row r="212" spans="1:21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  <c r="T212" s="12"/>
      <c r="U212" s="12"/>
    </row>
    <row r="213" spans="1:21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  <c r="T213" s="12"/>
      <c r="U213" s="12"/>
    </row>
    <row r="214" spans="1:21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  <c r="T214" s="12"/>
      <c r="U214" s="12"/>
    </row>
    <row r="215" spans="1:21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  <c r="T215" s="12"/>
      <c r="U215" s="12"/>
    </row>
    <row r="216" spans="1:21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  <c r="T216" s="12"/>
      <c r="U216" s="12"/>
    </row>
    <row r="217" spans="1:21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  <c r="T217" s="12"/>
      <c r="U217" s="12"/>
    </row>
    <row r="218" spans="1:21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  <c r="T218" s="12"/>
      <c r="U218" s="12"/>
    </row>
    <row r="219" spans="1:21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  <c r="T219" s="12"/>
      <c r="U219" s="12"/>
    </row>
    <row r="220" spans="1:21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  <c r="T220" s="12"/>
      <c r="U220" s="12"/>
    </row>
    <row r="221" spans="1:21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  <c r="T221" s="12"/>
      <c r="U221" s="12"/>
    </row>
    <row r="222" spans="1:21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  <c r="T222" s="12"/>
      <c r="U222" s="12"/>
    </row>
    <row r="223" spans="1:21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  <c r="T223" s="12"/>
      <c r="U223" s="12"/>
    </row>
    <row r="224" spans="1:21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  <c r="T224" s="12"/>
      <c r="U224" s="12"/>
    </row>
    <row r="225" spans="1:21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  <c r="T225" s="12"/>
      <c r="U225" s="12"/>
    </row>
    <row r="226" spans="1:21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  <c r="T226" s="12"/>
      <c r="U226" s="12"/>
    </row>
    <row r="227" spans="1:21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  <c r="T227" s="12"/>
      <c r="U227" s="12"/>
    </row>
    <row r="228" spans="1:21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  <c r="T228" s="12"/>
      <c r="U228" s="12"/>
    </row>
    <row r="229" spans="1:21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  <c r="T229" s="12"/>
      <c r="U229" s="12"/>
    </row>
    <row r="230" spans="1:21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  <c r="T230" s="12"/>
      <c r="U230" s="12"/>
    </row>
    <row r="231" spans="1:21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  <c r="T231" s="12"/>
      <c r="U231" s="12"/>
    </row>
    <row r="232" spans="1:21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  <c r="T232" s="12"/>
      <c r="U232" s="12"/>
    </row>
    <row r="233" spans="1:21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  <c r="T233" s="12"/>
      <c r="U233" s="12"/>
    </row>
    <row r="234" spans="1:21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  <c r="T234" s="12"/>
      <c r="U234" s="12"/>
    </row>
    <row r="235" spans="1:21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  <c r="T235" s="12"/>
      <c r="U235" s="12"/>
    </row>
    <row r="236" spans="1:21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  <c r="T236" s="12"/>
      <c r="U236" s="12"/>
    </row>
    <row r="237" spans="1:21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  <c r="T237" s="12"/>
      <c r="U237" s="12"/>
    </row>
    <row r="238" spans="1:21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  <c r="T238" s="12"/>
      <c r="U238" s="12"/>
    </row>
    <row r="239" spans="1:21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  <c r="R239" s="12"/>
      <c r="S239" s="12"/>
      <c r="T239" s="12"/>
      <c r="U239" s="12"/>
    </row>
    <row r="240" spans="1:21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  <c r="R240" s="12"/>
      <c r="S240" s="12"/>
      <c r="T240" s="12"/>
      <c r="U240" s="12"/>
    </row>
    <row r="241" spans="1:21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  <c r="R241" s="12"/>
      <c r="S241" s="12"/>
      <c r="T241" s="12"/>
      <c r="U241" s="12"/>
    </row>
    <row r="242" spans="1:21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  <c r="R242" s="12"/>
      <c r="S242" s="12"/>
      <c r="T242" s="12"/>
      <c r="U242" s="12"/>
    </row>
    <row r="243" spans="1:21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  <c r="R243" s="12"/>
      <c r="S243" s="12"/>
      <c r="T243" s="12"/>
      <c r="U243" s="12"/>
    </row>
    <row r="244" spans="1:21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  <c r="R244" s="12"/>
      <c r="S244" s="12"/>
      <c r="T244" s="12"/>
      <c r="U244" s="12"/>
    </row>
    <row r="245" spans="1:21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  <c r="R245" s="12"/>
      <c r="S245" s="12"/>
      <c r="T245" s="12"/>
      <c r="U245" s="12"/>
    </row>
    <row r="246" spans="1:21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5"/>
      <c r="N246" s="26"/>
      <c r="O246" s="26"/>
      <c r="P246" s="12"/>
      <c r="Q246" s="12"/>
      <c r="R246" s="12"/>
      <c r="S246" s="12"/>
      <c r="T246" s="12"/>
      <c r="U246" s="12"/>
    </row>
    <row r="247" spans="1:21" ht="15.75" customHeight="1" x14ac:dyDescent="0.4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25"/>
      <c r="N247" s="26"/>
      <c r="O247" s="26"/>
      <c r="P247" s="12"/>
      <c r="Q247" s="12"/>
      <c r="R247" s="12"/>
      <c r="S247" s="12"/>
      <c r="T247" s="12"/>
      <c r="U247" s="12"/>
    </row>
    <row r="248" spans="1:21" ht="15.75" customHeight="1" x14ac:dyDescent="0.45"/>
    <row r="249" spans="1:21" ht="15.75" customHeight="1" x14ac:dyDescent="0.45"/>
    <row r="250" spans="1:21" ht="15.75" customHeight="1" x14ac:dyDescent="0.45"/>
    <row r="251" spans="1:21" ht="15.75" customHeight="1" x14ac:dyDescent="0.45"/>
    <row r="252" spans="1:21" ht="15.75" customHeight="1" x14ac:dyDescent="0.45"/>
    <row r="253" spans="1:21" ht="15.75" customHeight="1" x14ac:dyDescent="0.45"/>
    <row r="254" spans="1:21" ht="15.75" customHeight="1" x14ac:dyDescent="0.45"/>
    <row r="255" spans="1:21" ht="15.75" customHeight="1" x14ac:dyDescent="0.45"/>
    <row r="256" spans="1:21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</sheetData>
  <mergeCells count="214">
    <mergeCell ref="C34:G34"/>
    <mergeCell ref="H34:J34"/>
    <mergeCell ref="K34:L34"/>
    <mergeCell ref="M34:N34"/>
    <mergeCell ref="O34:P34"/>
    <mergeCell ref="H35:J35"/>
    <mergeCell ref="O35:P35"/>
    <mergeCell ref="C35:G35"/>
    <mergeCell ref="C36:G36"/>
    <mergeCell ref="H36:J36"/>
    <mergeCell ref="K36:L36"/>
    <mergeCell ref="M36:N36"/>
    <mergeCell ref="O36:P36"/>
    <mergeCell ref="K35:L35"/>
    <mergeCell ref="M35:N35"/>
    <mergeCell ref="C37:G37"/>
    <mergeCell ref="K46:L46"/>
    <mergeCell ref="M46:P46"/>
    <mergeCell ref="M41:N41"/>
    <mergeCell ref="O41:P41"/>
    <mergeCell ref="A42:P43"/>
    <mergeCell ref="A44:P44"/>
    <mergeCell ref="D45:G45"/>
    <mergeCell ref="K45:L45"/>
    <mergeCell ref="M45:P45"/>
    <mergeCell ref="M37:N37"/>
    <mergeCell ref="O37:P37"/>
    <mergeCell ref="M38:N38"/>
    <mergeCell ref="O38:P38"/>
    <mergeCell ref="M39:N39"/>
    <mergeCell ref="O39:P39"/>
    <mergeCell ref="H37:J37"/>
    <mergeCell ref="K37:L37"/>
    <mergeCell ref="C38:G38"/>
    <mergeCell ref="H38:J38"/>
    <mergeCell ref="K38:L38"/>
    <mergeCell ref="H39:J39"/>
    <mergeCell ref="K39:L39"/>
    <mergeCell ref="A45:C45"/>
    <mergeCell ref="K31:L31"/>
    <mergeCell ref="M31:N31"/>
    <mergeCell ref="K32:L32"/>
    <mergeCell ref="M32:N32"/>
    <mergeCell ref="O32:P32"/>
    <mergeCell ref="K33:L33"/>
    <mergeCell ref="M33:N33"/>
    <mergeCell ref="O33:P33"/>
    <mergeCell ref="A30:B30"/>
    <mergeCell ref="C30:G30"/>
    <mergeCell ref="H30:J30"/>
    <mergeCell ref="K30:L30"/>
    <mergeCell ref="M30:N30"/>
    <mergeCell ref="O30:P30"/>
    <mergeCell ref="A31:B31"/>
    <mergeCell ref="O31:P31"/>
    <mergeCell ref="C31:G31"/>
    <mergeCell ref="H31:J31"/>
    <mergeCell ref="A32:B32"/>
    <mergeCell ref="C32:G32"/>
    <mergeCell ref="H32:J32"/>
    <mergeCell ref="C33:G33"/>
    <mergeCell ref="H33:J33"/>
    <mergeCell ref="A46:C46"/>
    <mergeCell ref="A47:C47"/>
    <mergeCell ref="D47:J47"/>
    <mergeCell ref="K47:L47"/>
    <mergeCell ref="M47:P4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K28:L28"/>
    <mergeCell ref="M28:N28"/>
    <mergeCell ref="O28:P28"/>
    <mergeCell ref="R28:T28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29:B29"/>
    <mergeCell ref="C29:G29"/>
    <mergeCell ref="H29:J29"/>
    <mergeCell ref="K29:L29"/>
    <mergeCell ref="M29:N29"/>
    <mergeCell ref="O29:P29"/>
    <mergeCell ref="R29:T29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A40:B40"/>
    <mergeCell ref="A41:B41"/>
    <mergeCell ref="A33:B33"/>
    <mergeCell ref="A34:B34"/>
    <mergeCell ref="A35:B35"/>
    <mergeCell ref="A36:B36"/>
    <mergeCell ref="A37:B37"/>
    <mergeCell ref="A38:B38"/>
    <mergeCell ref="A39:B39"/>
    <mergeCell ref="H41:J41"/>
    <mergeCell ref="K41:L41"/>
    <mergeCell ref="C39:G39"/>
    <mergeCell ref="C40:G40"/>
    <mergeCell ref="H40:J40"/>
    <mergeCell ref="K40:L40"/>
    <mergeCell ref="M40:N40"/>
    <mergeCell ref="O40:P40"/>
    <mergeCell ref="C41:G4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01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 x14ac:dyDescent="0.45">
      <c r="A1" s="271"/>
      <c r="B1" s="224"/>
      <c r="C1" s="285"/>
      <c r="D1" s="312" t="s">
        <v>0</v>
      </c>
      <c r="E1" s="224"/>
      <c r="F1" s="224"/>
      <c r="G1" s="224"/>
      <c r="H1" s="224"/>
      <c r="I1" s="224"/>
      <c r="J1" s="224"/>
      <c r="K1" s="224"/>
      <c r="L1" s="285"/>
      <c r="M1" s="294" t="s">
        <v>1</v>
      </c>
      <c r="N1" s="261"/>
      <c r="O1" s="294" t="s">
        <v>207</v>
      </c>
      <c r="P1" s="232"/>
    </row>
    <row r="2" spans="1:19" ht="15" customHeight="1" x14ac:dyDescent="0.45">
      <c r="A2" s="274"/>
      <c r="B2" s="240"/>
      <c r="C2" s="293"/>
      <c r="D2" s="301"/>
      <c r="E2" s="235"/>
      <c r="F2" s="235"/>
      <c r="G2" s="235"/>
      <c r="H2" s="235"/>
      <c r="I2" s="235"/>
      <c r="J2" s="235"/>
      <c r="K2" s="235"/>
      <c r="L2" s="282"/>
      <c r="M2" s="302" t="s">
        <v>3</v>
      </c>
      <c r="N2" s="282"/>
      <c r="O2" s="303">
        <v>1</v>
      </c>
      <c r="P2" s="222"/>
    </row>
    <row r="3" spans="1:19" ht="15" customHeight="1" x14ac:dyDescent="0.45">
      <c r="A3" s="274"/>
      <c r="B3" s="240"/>
      <c r="C3" s="293"/>
      <c r="D3" s="373" t="s">
        <v>208</v>
      </c>
      <c r="E3" s="221"/>
      <c r="F3" s="221"/>
      <c r="G3" s="221"/>
      <c r="H3" s="221"/>
      <c r="I3" s="221"/>
      <c r="J3" s="221"/>
      <c r="K3" s="221"/>
      <c r="L3" s="222"/>
      <c r="M3" s="302" t="s">
        <v>5</v>
      </c>
      <c r="N3" s="282"/>
      <c r="O3" s="267" t="s">
        <v>6</v>
      </c>
      <c r="P3" s="213"/>
    </row>
    <row r="4" spans="1:19" ht="15" customHeight="1" x14ac:dyDescent="0.45">
      <c r="A4" s="274"/>
      <c r="B4" s="240"/>
      <c r="C4" s="293"/>
      <c r="D4" s="300"/>
      <c r="E4" s="240"/>
      <c r="F4" s="240"/>
      <c r="G4" s="240"/>
      <c r="H4" s="240"/>
      <c r="I4" s="240"/>
      <c r="J4" s="240"/>
      <c r="K4" s="240"/>
      <c r="L4" s="263"/>
      <c r="M4" s="253" t="s">
        <v>7</v>
      </c>
      <c r="N4" s="254"/>
      <c r="O4" s="272" t="s">
        <v>8</v>
      </c>
      <c r="P4" s="213"/>
    </row>
    <row r="5" spans="1:19" ht="15.75" customHeight="1" x14ac:dyDescent="0.45">
      <c r="A5" s="311"/>
      <c r="B5" s="235"/>
      <c r="C5" s="282"/>
      <c r="D5" s="301"/>
      <c r="E5" s="235"/>
      <c r="F5" s="235"/>
      <c r="G5" s="235"/>
      <c r="H5" s="235"/>
      <c r="I5" s="235"/>
      <c r="J5" s="235"/>
      <c r="K5" s="235"/>
      <c r="L5" s="315"/>
      <c r="M5" s="301"/>
      <c r="N5" s="282"/>
      <c r="O5" s="273" t="s">
        <v>9</v>
      </c>
      <c r="P5" s="213"/>
      <c r="Q5" s="12"/>
      <c r="R5" s="12"/>
      <c r="S5" s="12"/>
    </row>
    <row r="6" spans="1:19" ht="12" customHeight="1" x14ac:dyDescent="0.5">
      <c r="A6" s="366"/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9"/>
      <c r="Q6" s="57"/>
      <c r="R6" s="57"/>
      <c r="S6" s="57"/>
    </row>
    <row r="7" spans="1:19" ht="36" customHeight="1" x14ac:dyDescent="0.45">
      <c r="A7" s="367" t="s">
        <v>10</v>
      </c>
      <c r="B7" s="230"/>
      <c r="C7" s="230"/>
      <c r="D7" s="230"/>
      <c r="E7" s="261"/>
      <c r="F7" s="266" t="str">
        <f>DISPENSACIÓN!F7</f>
        <v>SUERO MULTIPEPTIDOS</v>
      </c>
      <c r="G7" s="212"/>
      <c r="H7" s="212"/>
      <c r="I7" s="212"/>
      <c r="J7" s="212"/>
      <c r="K7" s="212"/>
      <c r="L7" s="212"/>
      <c r="M7" s="212"/>
      <c r="N7" s="212"/>
      <c r="O7" s="212"/>
      <c r="P7" s="213"/>
      <c r="Q7" s="12"/>
      <c r="R7" s="12"/>
      <c r="S7" s="12"/>
    </row>
    <row r="8" spans="1:19" ht="36" customHeight="1" x14ac:dyDescent="0.45">
      <c r="A8" s="372" t="s">
        <v>209</v>
      </c>
      <c r="B8" s="221"/>
      <c r="C8" s="221"/>
      <c r="D8" s="221"/>
      <c r="E8" s="254"/>
      <c r="F8" s="368" t="str">
        <f>DISPENSACIÓN!F8</f>
        <v>252521</v>
      </c>
      <c r="G8" s="215"/>
      <c r="H8" s="369" t="s">
        <v>210</v>
      </c>
      <c r="I8" s="212"/>
      <c r="J8" s="212"/>
      <c r="K8" s="215"/>
      <c r="L8" s="73"/>
      <c r="M8" s="370" t="s">
        <v>211</v>
      </c>
      <c r="N8" s="215"/>
      <c r="O8" s="371"/>
      <c r="P8" s="213"/>
      <c r="Q8" s="12"/>
      <c r="R8" s="12"/>
      <c r="S8" s="12"/>
    </row>
    <row r="9" spans="1:19" ht="36" customHeight="1" x14ac:dyDescent="0.45">
      <c r="A9" s="361" t="s">
        <v>212</v>
      </c>
      <c r="B9" s="227"/>
      <c r="C9" s="227"/>
      <c r="D9" s="227"/>
      <c r="E9" s="290"/>
      <c r="F9" s="362" t="str">
        <f>DISPENSACIÓN!F9</f>
        <v>OP-L-123</v>
      </c>
      <c r="G9" s="254"/>
      <c r="H9" s="363" t="s">
        <v>213</v>
      </c>
      <c r="I9" s="243"/>
      <c r="J9" s="243"/>
      <c r="K9" s="244"/>
      <c r="L9" s="74"/>
      <c r="M9" s="364" t="s">
        <v>214</v>
      </c>
      <c r="N9" s="244"/>
      <c r="O9" s="365"/>
      <c r="P9" s="246"/>
      <c r="Q9" s="12"/>
      <c r="R9" s="12"/>
      <c r="S9" s="12"/>
    </row>
    <row r="10" spans="1:19" ht="12" customHeight="1" x14ac:dyDescent="0.45">
      <c r="A10" s="257"/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  <c r="Q10" s="12"/>
      <c r="R10" s="12"/>
      <c r="S10" s="12"/>
    </row>
    <row r="11" spans="1:19" ht="39" customHeight="1" x14ac:dyDescent="0.45">
      <c r="A11" s="360" t="s">
        <v>215</v>
      </c>
      <c r="B11" s="235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82"/>
      <c r="N11" s="323" t="s">
        <v>194</v>
      </c>
      <c r="O11" s="282"/>
      <c r="P11" s="75" t="s">
        <v>195</v>
      </c>
      <c r="Q11" s="12"/>
      <c r="R11" s="12"/>
      <c r="S11" s="12"/>
    </row>
    <row r="12" spans="1:19" ht="45" customHeight="1" x14ac:dyDescent="0.45">
      <c r="A12" s="219" t="s">
        <v>216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5"/>
      <c r="N12" s="280"/>
      <c r="O12" s="215"/>
      <c r="P12" s="60"/>
      <c r="Q12" s="12"/>
      <c r="R12" s="12"/>
      <c r="S12" s="12"/>
    </row>
    <row r="13" spans="1:19" ht="12" customHeight="1" x14ac:dyDescent="0.45">
      <c r="A13" s="350"/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8"/>
      <c r="Q13" s="12"/>
      <c r="R13" s="12"/>
      <c r="S13" s="12"/>
    </row>
    <row r="14" spans="1:19" ht="36" customHeight="1" x14ac:dyDescent="0.45">
      <c r="A14" s="351" t="s">
        <v>217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2"/>
      <c r="Q14" s="12"/>
      <c r="R14" s="12"/>
      <c r="S14" s="12"/>
    </row>
    <row r="15" spans="1:19" ht="15.4" x14ac:dyDescent="0.45">
      <c r="A15" s="352"/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2"/>
      <c r="Q15" s="12"/>
      <c r="R15" s="12"/>
      <c r="S15" s="12"/>
    </row>
    <row r="16" spans="1:19" ht="108" customHeight="1" x14ac:dyDescent="0.45">
      <c r="A16" s="378" t="s">
        <v>218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3"/>
      <c r="Q16" s="12"/>
      <c r="R16" s="12"/>
      <c r="S16" s="12"/>
    </row>
    <row r="17" spans="1:19" ht="114" customHeight="1" x14ac:dyDescent="0.45">
      <c r="A17" s="379" t="s">
        <v>219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3"/>
      <c r="Q17" s="12"/>
      <c r="R17" s="12"/>
      <c r="S17" s="12"/>
    </row>
    <row r="18" spans="1:19" ht="88.5" customHeight="1" x14ac:dyDescent="0.45">
      <c r="A18" s="378" t="s">
        <v>220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3"/>
      <c r="Q18" s="12"/>
      <c r="R18" s="12"/>
      <c r="S18" s="12"/>
    </row>
    <row r="19" spans="1:19" ht="107.25" customHeight="1" x14ac:dyDescent="0.45">
      <c r="A19" s="378" t="s">
        <v>221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3"/>
      <c r="Q19" s="12"/>
      <c r="R19" s="12"/>
      <c r="S19" s="12"/>
    </row>
    <row r="20" spans="1:19" ht="167.25" customHeight="1" x14ac:dyDescent="0.45">
      <c r="A20" s="380" t="s">
        <v>222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3"/>
      <c r="Q20" s="12"/>
      <c r="R20" s="12"/>
      <c r="S20" s="12"/>
    </row>
    <row r="21" spans="1:19" ht="51" customHeight="1" x14ac:dyDescent="0.45">
      <c r="A21" s="359" t="s">
        <v>223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6"/>
      <c r="Q21" s="12"/>
      <c r="R21" s="12"/>
      <c r="S21" s="12"/>
    </row>
    <row r="22" spans="1:19" ht="12" customHeight="1" x14ac:dyDescent="0.45">
      <c r="A22" s="374"/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63"/>
      <c r="Q22" s="12"/>
      <c r="R22" s="12"/>
      <c r="S22" s="12"/>
    </row>
    <row r="23" spans="1:19" ht="60.75" customHeight="1" x14ac:dyDescent="0.45">
      <c r="A23" s="375" t="s">
        <v>224</v>
      </c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6"/>
      <c r="Q23" s="12"/>
      <c r="R23" s="12"/>
      <c r="S23" s="12"/>
    </row>
    <row r="24" spans="1:19" ht="30.75" customHeight="1" x14ac:dyDescent="0.45">
      <c r="A24" s="376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9"/>
      <c r="Q24" s="12"/>
      <c r="R24" s="12"/>
      <c r="S24" s="12"/>
    </row>
    <row r="25" spans="1:19" ht="27.75" customHeight="1" x14ac:dyDescent="0.45">
      <c r="A25" s="377" t="s">
        <v>225</v>
      </c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5"/>
      <c r="Q25" s="12"/>
      <c r="R25" s="12"/>
      <c r="S25" s="12"/>
    </row>
    <row r="26" spans="1:19" ht="27.75" customHeight="1" x14ac:dyDescent="0.45">
      <c r="A26" s="226"/>
      <c r="B26" s="227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8"/>
      <c r="Q26" s="12"/>
      <c r="R26" s="12"/>
      <c r="S26" s="12"/>
    </row>
    <row r="27" spans="1:19" ht="12" customHeight="1" x14ac:dyDescent="0.5">
      <c r="A27" s="257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9"/>
      <c r="Q27" s="57"/>
      <c r="R27" s="57"/>
      <c r="S27" s="57"/>
    </row>
    <row r="28" spans="1:19" ht="36" customHeight="1" x14ac:dyDescent="0.45">
      <c r="A28" s="353" t="s">
        <v>226</v>
      </c>
      <c r="B28" s="230"/>
      <c r="C28" s="261"/>
      <c r="D28" s="357"/>
      <c r="E28" s="230"/>
      <c r="F28" s="230"/>
      <c r="G28" s="230"/>
      <c r="H28" s="77"/>
      <c r="I28" s="77"/>
      <c r="J28" s="77"/>
      <c r="K28" s="358" t="s">
        <v>204</v>
      </c>
      <c r="L28" s="261"/>
      <c r="M28" s="357"/>
      <c r="N28" s="230"/>
      <c r="O28" s="230"/>
      <c r="P28" s="232"/>
      <c r="Q28" s="12"/>
      <c r="R28" s="12"/>
      <c r="S28" s="12"/>
    </row>
    <row r="29" spans="1:19" ht="36" customHeight="1" x14ac:dyDescent="0.45">
      <c r="A29" s="354" t="s">
        <v>205</v>
      </c>
      <c r="B29" s="212"/>
      <c r="C29" s="215"/>
      <c r="D29" s="78"/>
      <c r="E29" s="78"/>
      <c r="F29" s="78"/>
      <c r="G29" s="78"/>
      <c r="H29" s="79"/>
      <c r="I29" s="79"/>
      <c r="J29" s="79"/>
      <c r="K29" s="355" t="s">
        <v>205</v>
      </c>
      <c r="L29" s="215"/>
      <c r="M29" s="356"/>
      <c r="N29" s="212"/>
      <c r="O29" s="212"/>
      <c r="P29" s="213"/>
      <c r="Q29" s="12"/>
      <c r="R29" s="12"/>
      <c r="S29" s="12"/>
    </row>
    <row r="30" spans="1:19" ht="36" customHeight="1" x14ac:dyDescent="0.45">
      <c r="A30" s="347" t="s">
        <v>206</v>
      </c>
      <c r="B30" s="243"/>
      <c r="C30" s="244"/>
      <c r="D30" s="348"/>
      <c r="E30" s="243"/>
      <c r="F30" s="243"/>
      <c r="G30" s="243"/>
      <c r="H30" s="243"/>
      <c r="I30" s="243"/>
      <c r="J30" s="244"/>
      <c r="K30" s="349" t="s">
        <v>206</v>
      </c>
      <c r="L30" s="244"/>
      <c r="M30" s="348"/>
      <c r="N30" s="243"/>
      <c r="O30" s="243"/>
      <c r="P30" s="246"/>
      <c r="Q30" s="12"/>
      <c r="R30" s="12"/>
      <c r="S30" s="12"/>
    </row>
    <row r="31" spans="1:19" ht="18.75" customHeight="1" x14ac:dyDescent="0.45">
      <c r="A31" s="80"/>
      <c r="B31" s="80"/>
      <c r="C31" s="80"/>
      <c r="D31" s="81"/>
      <c r="E31" s="81"/>
      <c r="F31" s="81"/>
      <c r="G31" s="81"/>
      <c r="H31" s="81"/>
      <c r="I31" s="81"/>
      <c r="J31" s="81"/>
      <c r="K31" s="80"/>
      <c r="L31" s="80"/>
      <c r="M31" s="81"/>
      <c r="N31" s="81"/>
      <c r="O31" s="81"/>
      <c r="P31" s="81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5"/>
      <c r="N32" s="26"/>
      <c r="O32" s="26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5"/>
      <c r="N33" s="26"/>
      <c r="O33" s="26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5"/>
      <c r="N34" s="26"/>
      <c r="O34" s="26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5"/>
      <c r="N35" s="26"/>
      <c r="O35" s="26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5"/>
      <c r="N36" s="26"/>
      <c r="O36" s="26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5"/>
      <c r="N37" s="26"/>
      <c r="O37" s="26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5"/>
      <c r="N38" s="26"/>
      <c r="O38" s="26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5"/>
      <c r="N39" s="26"/>
      <c r="O39" s="26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5"/>
      <c r="N40" s="26"/>
      <c r="O40" s="26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5"/>
      <c r="N41" s="26"/>
      <c r="O41" s="26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5"/>
      <c r="N42" s="26"/>
      <c r="O42" s="26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5"/>
      <c r="N43" s="26"/>
      <c r="O43" s="26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5"/>
      <c r="N44" s="26"/>
      <c r="O44" s="26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55">
    <mergeCell ref="A22:P22"/>
    <mergeCell ref="A23:P23"/>
    <mergeCell ref="A24:P24"/>
    <mergeCell ref="A25:P26"/>
    <mergeCell ref="A16:P16"/>
    <mergeCell ref="A17:P17"/>
    <mergeCell ref="A18:P18"/>
    <mergeCell ref="A19:P19"/>
    <mergeCell ref="A20:P20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30:C30"/>
    <mergeCell ref="D30:J30"/>
    <mergeCell ref="K30:L30"/>
    <mergeCell ref="M30:P30"/>
    <mergeCell ref="A13:P13"/>
    <mergeCell ref="A14:P14"/>
    <mergeCell ref="A15:P15"/>
    <mergeCell ref="A28:C28"/>
    <mergeCell ref="A29:C29"/>
    <mergeCell ref="K29:L29"/>
    <mergeCell ref="M29:P29"/>
    <mergeCell ref="A27:P27"/>
    <mergeCell ref="D28:G28"/>
    <mergeCell ref="K28:L28"/>
    <mergeCell ref="M28:P28"/>
    <mergeCell ref="A21:P2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2"/>
      <c r="B1" s="386"/>
      <c r="C1" s="254"/>
      <c r="D1" s="253" t="s">
        <v>0</v>
      </c>
      <c r="E1" s="221"/>
      <c r="F1" s="221"/>
      <c r="G1" s="221"/>
      <c r="H1" s="254"/>
      <c r="I1" s="9" t="s">
        <v>1</v>
      </c>
      <c r="J1" s="267" t="s">
        <v>227</v>
      </c>
      <c r="K1" s="215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7.25" customHeight="1" x14ac:dyDescent="0.45">
      <c r="A2" s="82"/>
      <c r="B2" s="300"/>
      <c r="C2" s="293"/>
      <c r="D2" s="300"/>
      <c r="E2" s="240"/>
      <c r="F2" s="240"/>
      <c r="G2" s="240"/>
      <c r="H2" s="293"/>
      <c r="I2" s="9" t="s">
        <v>3</v>
      </c>
      <c r="J2" s="313">
        <v>1</v>
      </c>
      <c r="K2" s="215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8" customHeight="1" x14ac:dyDescent="0.45">
      <c r="A3" s="82"/>
      <c r="B3" s="300"/>
      <c r="C3" s="293"/>
      <c r="D3" s="301"/>
      <c r="E3" s="235"/>
      <c r="F3" s="235"/>
      <c r="G3" s="235"/>
      <c r="H3" s="282"/>
      <c r="I3" s="9" t="s">
        <v>5</v>
      </c>
      <c r="J3" s="267" t="s">
        <v>6</v>
      </c>
      <c r="K3" s="215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.75" customHeight="1" x14ac:dyDescent="0.45">
      <c r="A4" s="83" t="s">
        <v>228</v>
      </c>
      <c r="B4" s="300"/>
      <c r="C4" s="293"/>
      <c r="D4" s="253" t="s">
        <v>229</v>
      </c>
      <c r="E4" s="221"/>
      <c r="F4" s="221"/>
      <c r="G4" s="221"/>
      <c r="H4" s="254"/>
      <c r="I4" s="387" t="s">
        <v>7</v>
      </c>
      <c r="J4" s="267" t="s">
        <v>230</v>
      </c>
      <c r="K4" s="215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1" customHeight="1" x14ac:dyDescent="0.45">
      <c r="A5" s="83"/>
      <c r="B5" s="301"/>
      <c r="C5" s="282"/>
      <c r="D5" s="301"/>
      <c r="E5" s="235"/>
      <c r="F5" s="235"/>
      <c r="G5" s="235"/>
      <c r="H5" s="282"/>
      <c r="I5" s="384"/>
      <c r="J5" s="273" t="s">
        <v>231</v>
      </c>
      <c r="K5" s="215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45.75" customHeight="1" x14ac:dyDescent="0.45">
      <c r="A6" s="82"/>
      <c r="B6" s="267" t="s">
        <v>232</v>
      </c>
      <c r="C6" s="215"/>
      <c r="D6" s="280" t="str">
        <f>'INSTRUCTIVO FAB'!F7</f>
        <v>SUERO MULTIPEPTIDOS</v>
      </c>
      <c r="E6" s="212"/>
      <c r="F6" s="213"/>
      <c r="G6" s="267" t="s">
        <v>233</v>
      </c>
      <c r="H6" s="215"/>
      <c r="I6" s="388"/>
      <c r="J6" s="212"/>
      <c r="K6" s="215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7.75" customHeight="1" x14ac:dyDescent="0.45">
      <c r="A7" s="82"/>
      <c r="B7" s="267" t="s">
        <v>234</v>
      </c>
      <c r="C7" s="215"/>
      <c r="D7" s="266" t="str">
        <f>'INSTRUCTIVO FAB'!F9</f>
        <v>OP-L-123</v>
      </c>
      <c r="E7" s="212"/>
      <c r="F7" s="215"/>
      <c r="G7" s="267" t="s">
        <v>235</v>
      </c>
      <c r="H7" s="215"/>
      <c r="I7" s="266"/>
      <c r="J7" s="212"/>
      <c r="K7" s="215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7.75" customHeight="1" x14ac:dyDescent="0.45">
      <c r="A8" s="82"/>
      <c r="B8" s="267" t="s">
        <v>236</v>
      </c>
      <c r="C8" s="215"/>
      <c r="D8" s="298" t="str">
        <f>'INSTRUCTIVO FAB'!F8</f>
        <v>252521</v>
      </c>
      <c r="E8" s="212"/>
      <c r="F8" s="215"/>
      <c r="G8" s="267" t="s">
        <v>237</v>
      </c>
      <c r="H8" s="215"/>
      <c r="I8" s="266" t="str">
        <f>OP!G11</f>
        <v>SOLUCION</v>
      </c>
      <c r="J8" s="212"/>
      <c r="K8" s="215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33.75" customHeight="1" x14ac:dyDescent="0.45">
      <c r="A9" s="82"/>
      <c r="B9" s="267" t="s">
        <v>238</v>
      </c>
      <c r="C9" s="215"/>
      <c r="D9" s="295">
        <f>OP!P12</f>
        <v>35</v>
      </c>
      <c r="E9" s="212"/>
      <c r="F9" s="215"/>
      <c r="G9" s="267" t="s">
        <v>239</v>
      </c>
      <c r="H9" s="215"/>
      <c r="I9" s="385"/>
      <c r="J9" s="212"/>
      <c r="K9" s="215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7.75" customHeight="1" x14ac:dyDescent="0.45">
      <c r="A10" s="82"/>
      <c r="B10" s="267" t="s">
        <v>240</v>
      </c>
      <c r="C10" s="212"/>
      <c r="D10" s="212"/>
      <c r="E10" s="212"/>
      <c r="F10" s="212"/>
      <c r="G10" s="212"/>
      <c r="H10" s="212"/>
      <c r="I10" s="212"/>
      <c r="J10" s="212"/>
      <c r="K10" s="215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9.25" customHeight="1" x14ac:dyDescent="0.45">
      <c r="A11" s="82"/>
      <c r="B11" s="253" t="s">
        <v>241</v>
      </c>
      <c r="C11" s="254"/>
      <c r="D11" s="253" t="s">
        <v>242</v>
      </c>
      <c r="E11" s="221"/>
      <c r="F11" s="221"/>
      <c r="G11" s="221"/>
      <c r="H11" s="254"/>
      <c r="I11" s="267" t="s">
        <v>243</v>
      </c>
      <c r="J11" s="212"/>
      <c r="K11" s="215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.75" customHeight="1" x14ac:dyDescent="0.45">
      <c r="A12" s="82"/>
      <c r="B12" s="301"/>
      <c r="C12" s="282"/>
      <c r="D12" s="301"/>
      <c r="E12" s="235"/>
      <c r="F12" s="235"/>
      <c r="G12" s="235"/>
      <c r="H12" s="282"/>
      <c r="I12" s="9" t="s">
        <v>244</v>
      </c>
      <c r="J12" s="9" t="s">
        <v>72</v>
      </c>
      <c r="K12" s="9" t="s">
        <v>73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95.25" customHeight="1" x14ac:dyDescent="0.45">
      <c r="A13" s="82"/>
      <c r="B13" s="267" t="s">
        <v>245</v>
      </c>
      <c r="C13" s="215"/>
      <c r="D13" s="280" t="s">
        <v>246</v>
      </c>
      <c r="E13" s="212"/>
      <c r="F13" s="212"/>
      <c r="G13" s="212"/>
      <c r="H13" s="215"/>
      <c r="I13" s="10"/>
      <c r="J13" s="21"/>
      <c r="K13" s="21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80.25" customHeight="1" x14ac:dyDescent="0.45">
      <c r="A14" s="82"/>
      <c r="B14" s="267" t="s">
        <v>247</v>
      </c>
      <c r="C14" s="215"/>
      <c r="D14" s="267" t="s">
        <v>248</v>
      </c>
      <c r="E14" s="212"/>
      <c r="F14" s="212"/>
      <c r="G14" s="212"/>
      <c r="H14" s="215"/>
      <c r="I14" s="10"/>
      <c r="J14" s="21"/>
      <c r="K14" s="21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75.75" customHeight="1" x14ac:dyDescent="0.45">
      <c r="A15" s="82"/>
      <c r="B15" s="381" t="s">
        <v>249</v>
      </c>
      <c r="C15" s="215"/>
      <c r="D15" s="266" t="s">
        <v>250</v>
      </c>
      <c r="E15" s="212"/>
      <c r="F15" s="212"/>
      <c r="G15" s="212"/>
      <c r="H15" s="215"/>
      <c r="I15" s="10"/>
      <c r="J15" s="21"/>
      <c r="K15" s="21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84" customHeight="1" x14ac:dyDescent="0.45">
      <c r="A16" s="82"/>
      <c r="B16" s="267" t="s">
        <v>251</v>
      </c>
      <c r="C16" s="215"/>
      <c r="D16" s="266" t="s">
        <v>252</v>
      </c>
      <c r="E16" s="212"/>
      <c r="F16" s="212"/>
      <c r="G16" s="212"/>
      <c r="H16" s="215"/>
      <c r="I16" s="10"/>
      <c r="J16" s="21"/>
      <c r="K16" s="21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26.25" customHeight="1" x14ac:dyDescent="0.45">
      <c r="A17" s="82"/>
      <c r="B17" s="266" t="s">
        <v>253</v>
      </c>
      <c r="C17" s="212"/>
      <c r="D17" s="212"/>
      <c r="E17" s="212"/>
      <c r="F17" s="212"/>
      <c r="G17" s="212"/>
      <c r="H17" s="212"/>
      <c r="I17" s="212"/>
      <c r="J17" s="212"/>
      <c r="K17" s="215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22.5" customHeight="1" x14ac:dyDescent="0.45">
      <c r="A18" s="82"/>
      <c r="B18" s="382" t="s">
        <v>31</v>
      </c>
      <c r="C18" s="389"/>
      <c r="D18" s="221"/>
      <c r="E18" s="221"/>
      <c r="F18" s="221"/>
      <c r="G18" s="221"/>
      <c r="H18" s="221"/>
      <c r="I18" s="221"/>
      <c r="J18" s="221"/>
      <c r="K18" s="254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22.5" customHeight="1" x14ac:dyDescent="0.45">
      <c r="A19" s="82"/>
      <c r="B19" s="383"/>
      <c r="C19" s="300"/>
      <c r="D19" s="240"/>
      <c r="E19" s="240"/>
      <c r="F19" s="240"/>
      <c r="G19" s="240"/>
      <c r="H19" s="240"/>
      <c r="I19" s="240"/>
      <c r="J19" s="240"/>
      <c r="K19" s="293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383"/>
      <c r="C20" s="300"/>
      <c r="D20" s="240"/>
      <c r="E20" s="240"/>
      <c r="F20" s="240"/>
      <c r="G20" s="240"/>
      <c r="H20" s="240"/>
      <c r="I20" s="240"/>
      <c r="J20" s="240"/>
      <c r="K20" s="293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63" customHeight="1" x14ac:dyDescent="0.45">
      <c r="A21" s="82"/>
      <c r="B21" s="383"/>
      <c r="C21" s="300"/>
      <c r="D21" s="240"/>
      <c r="E21" s="240"/>
      <c r="F21" s="240"/>
      <c r="G21" s="240"/>
      <c r="H21" s="240"/>
      <c r="I21" s="240"/>
      <c r="J21" s="240"/>
      <c r="K21" s="293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3" customHeight="1" x14ac:dyDescent="0.45">
      <c r="A22" s="82"/>
      <c r="B22" s="384"/>
      <c r="C22" s="301"/>
      <c r="D22" s="235"/>
      <c r="E22" s="235"/>
      <c r="F22" s="235"/>
      <c r="G22" s="235"/>
      <c r="H22" s="235"/>
      <c r="I22" s="235"/>
      <c r="J22" s="235"/>
      <c r="K22" s="2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0" customHeight="1" x14ac:dyDescent="0.45">
      <c r="A23" s="82"/>
      <c r="B23" s="267" t="s">
        <v>254</v>
      </c>
      <c r="C23" s="212"/>
      <c r="D23" s="212"/>
      <c r="E23" s="212"/>
      <c r="F23" s="212"/>
      <c r="G23" s="212"/>
      <c r="H23" s="212"/>
      <c r="I23" s="212"/>
      <c r="J23" s="212"/>
      <c r="K23" s="215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0" customHeight="1" x14ac:dyDescent="0.45">
      <c r="A24" s="82"/>
      <c r="B24" s="9"/>
      <c r="C24" s="267" t="s">
        <v>255</v>
      </c>
      <c r="D24" s="215"/>
      <c r="E24" s="9"/>
      <c r="F24" s="267" t="s">
        <v>256</v>
      </c>
      <c r="G24" s="215"/>
      <c r="H24" s="267"/>
      <c r="I24" s="215"/>
      <c r="J24" s="267" t="s">
        <v>257</v>
      </c>
      <c r="K24" s="215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3" customHeight="1" x14ac:dyDescent="0.45">
      <c r="A25" s="82"/>
      <c r="B25" s="267"/>
      <c r="C25" s="212"/>
      <c r="D25" s="212"/>
      <c r="E25" s="212"/>
      <c r="F25" s="212"/>
      <c r="G25" s="212"/>
      <c r="H25" s="212"/>
      <c r="I25" s="212"/>
      <c r="J25" s="212"/>
      <c r="K25" s="215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30.75" customHeight="1" x14ac:dyDescent="0.45">
      <c r="A26" s="82"/>
      <c r="B26" s="267" t="s">
        <v>86</v>
      </c>
      <c r="C26" s="215"/>
      <c r="D26" s="267"/>
      <c r="E26" s="212"/>
      <c r="F26" s="215"/>
      <c r="G26" s="16" t="s">
        <v>258</v>
      </c>
      <c r="H26" s="267"/>
      <c r="I26" s="212"/>
      <c r="J26" s="212"/>
      <c r="K26" s="215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30" customHeight="1" x14ac:dyDescent="0.45">
      <c r="A27" s="82"/>
      <c r="B27" s="267" t="s">
        <v>259</v>
      </c>
      <c r="C27" s="215"/>
      <c r="D27" s="267"/>
      <c r="E27" s="212"/>
      <c r="F27" s="215"/>
      <c r="G27" s="9" t="s">
        <v>259</v>
      </c>
      <c r="H27" s="267"/>
      <c r="I27" s="212"/>
      <c r="J27" s="212"/>
      <c r="K27" s="215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4.75" customHeight="1" x14ac:dyDescent="0.45">
      <c r="A28" s="82"/>
      <c r="B28" s="267" t="s">
        <v>67</v>
      </c>
      <c r="C28" s="215"/>
      <c r="D28" s="267"/>
      <c r="E28" s="212"/>
      <c r="F28" s="215"/>
      <c r="G28" s="9" t="s">
        <v>67</v>
      </c>
      <c r="H28" s="267"/>
      <c r="I28" s="212"/>
      <c r="J28" s="212"/>
      <c r="K28" s="215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71"/>
      <c r="B1" s="224"/>
      <c r="C1" s="285"/>
      <c r="D1" s="312" t="s">
        <v>0</v>
      </c>
      <c r="E1" s="224"/>
      <c r="F1" s="224"/>
      <c r="G1" s="224"/>
      <c r="H1" s="224"/>
      <c r="I1" s="224"/>
      <c r="J1" s="224"/>
      <c r="K1" s="224"/>
      <c r="L1" s="285"/>
      <c r="M1" s="294" t="s">
        <v>1</v>
      </c>
      <c r="N1" s="261"/>
      <c r="O1" s="294" t="s">
        <v>260</v>
      </c>
      <c r="P1" s="232"/>
      <c r="Q1" s="12"/>
      <c r="R1" s="12"/>
      <c r="S1" s="12"/>
    </row>
    <row r="2" spans="1:19" ht="18.75" customHeight="1" x14ac:dyDescent="0.45">
      <c r="A2" s="274"/>
      <c r="B2" s="240"/>
      <c r="C2" s="293"/>
      <c r="D2" s="301"/>
      <c r="E2" s="235"/>
      <c r="F2" s="235"/>
      <c r="G2" s="235"/>
      <c r="H2" s="235"/>
      <c r="I2" s="235"/>
      <c r="J2" s="235"/>
      <c r="K2" s="235"/>
      <c r="L2" s="282"/>
      <c r="M2" s="302" t="s">
        <v>3</v>
      </c>
      <c r="N2" s="282"/>
      <c r="O2" s="303">
        <v>1</v>
      </c>
      <c r="P2" s="222"/>
      <c r="Q2" s="12"/>
      <c r="R2" s="12"/>
      <c r="S2" s="12"/>
    </row>
    <row r="3" spans="1:19" ht="17.25" customHeight="1" x14ac:dyDescent="0.45">
      <c r="A3" s="274"/>
      <c r="B3" s="240"/>
      <c r="C3" s="293"/>
      <c r="D3" s="304" t="s">
        <v>261</v>
      </c>
      <c r="E3" s="221"/>
      <c r="F3" s="221"/>
      <c r="G3" s="221"/>
      <c r="H3" s="221"/>
      <c r="I3" s="221"/>
      <c r="J3" s="221"/>
      <c r="K3" s="221"/>
      <c r="L3" s="221"/>
      <c r="M3" s="302" t="s">
        <v>5</v>
      </c>
      <c r="N3" s="282"/>
      <c r="O3" s="267" t="s">
        <v>6</v>
      </c>
      <c r="P3" s="213"/>
      <c r="Q3" s="12"/>
      <c r="R3" s="12"/>
      <c r="S3" s="12"/>
    </row>
    <row r="4" spans="1:19" ht="17.25" customHeight="1" x14ac:dyDescent="0.45">
      <c r="A4" s="274"/>
      <c r="B4" s="240"/>
      <c r="C4" s="293"/>
      <c r="D4" s="300"/>
      <c r="E4" s="240"/>
      <c r="F4" s="240"/>
      <c r="G4" s="240"/>
      <c r="H4" s="240"/>
      <c r="I4" s="240"/>
      <c r="J4" s="240"/>
      <c r="K4" s="240"/>
      <c r="L4" s="240"/>
      <c r="M4" s="253" t="s">
        <v>7</v>
      </c>
      <c r="N4" s="254"/>
      <c r="O4" s="272" t="s">
        <v>8</v>
      </c>
      <c r="P4" s="213"/>
      <c r="Q4" s="12"/>
      <c r="R4" s="12"/>
      <c r="S4" s="12"/>
    </row>
    <row r="5" spans="1:19" ht="17.25" customHeight="1" x14ac:dyDescent="0.45">
      <c r="A5" s="274"/>
      <c r="B5" s="240"/>
      <c r="C5" s="293"/>
      <c r="D5" s="300"/>
      <c r="E5" s="240"/>
      <c r="F5" s="240"/>
      <c r="G5" s="240"/>
      <c r="H5" s="240"/>
      <c r="I5" s="240"/>
      <c r="J5" s="240"/>
      <c r="K5" s="240"/>
      <c r="L5" s="240"/>
      <c r="M5" s="301"/>
      <c r="N5" s="282"/>
      <c r="O5" s="273" t="s">
        <v>9</v>
      </c>
      <c r="P5" s="213"/>
      <c r="Q5" s="12"/>
      <c r="R5" s="12"/>
      <c r="S5" s="12"/>
    </row>
    <row r="6" spans="1:19" ht="27.75" customHeight="1" x14ac:dyDescent="0.45">
      <c r="A6" s="419" t="s">
        <v>10</v>
      </c>
      <c r="B6" s="212"/>
      <c r="C6" s="212"/>
      <c r="D6" s="212"/>
      <c r="E6" s="215"/>
      <c r="F6" s="266" t="str">
        <f>'COC GRANEL'!D6</f>
        <v>SUERO MULTIPEPTIDOS</v>
      </c>
      <c r="G6" s="212"/>
      <c r="H6" s="212"/>
      <c r="I6" s="212"/>
      <c r="J6" s="212"/>
      <c r="K6" s="212"/>
      <c r="L6" s="212"/>
      <c r="M6" s="212"/>
      <c r="N6" s="212"/>
      <c r="O6" s="212"/>
      <c r="P6" s="213"/>
      <c r="Q6" s="12"/>
      <c r="R6" s="12"/>
      <c r="S6" s="12"/>
    </row>
    <row r="7" spans="1:19" ht="24" customHeight="1" x14ac:dyDescent="0.45">
      <c r="A7" s="424" t="s">
        <v>55</v>
      </c>
      <c r="B7" s="221"/>
      <c r="C7" s="221"/>
      <c r="D7" s="221"/>
      <c r="E7" s="254"/>
      <c r="F7" s="420" t="str">
        <f>'COC GRANEL'!D8</f>
        <v>252521</v>
      </c>
      <c r="G7" s="254"/>
      <c r="H7" s="421" t="s">
        <v>262</v>
      </c>
      <c r="I7" s="254"/>
      <c r="J7" s="373" t="str">
        <f>'COC GRANEL'!D7</f>
        <v>OP-L-123</v>
      </c>
      <c r="K7" s="221"/>
      <c r="L7" s="254"/>
      <c r="M7" s="422" t="s">
        <v>16</v>
      </c>
      <c r="N7" s="254"/>
      <c r="O7" s="423" t="str">
        <f>'LISTA CHEQUEO'!F9</f>
        <v>30 mL</v>
      </c>
      <c r="P7" s="222"/>
      <c r="Q7" s="12"/>
      <c r="R7" s="12"/>
      <c r="S7" s="12"/>
    </row>
    <row r="8" spans="1:19" ht="28.5" customHeight="1" x14ac:dyDescent="0.45">
      <c r="A8" s="330" t="s">
        <v>263</v>
      </c>
      <c r="B8" s="212"/>
      <c r="C8" s="212"/>
      <c r="D8" s="212"/>
      <c r="E8" s="215"/>
      <c r="F8" s="425">
        <f>OP!M12</f>
        <v>833</v>
      </c>
      <c r="G8" s="215"/>
      <c r="H8" s="341" t="s">
        <v>264</v>
      </c>
      <c r="I8" s="212"/>
      <c r="J8" s="388"/>
      <c r="K8" s="212"/>
      <c r="L8" s="212"/>
      <c r="M8" s="341" t="s">
        <v>265</v>
      </c>
      <c r="N8" s="212"/>
      <c r="O8" s="268"/>
      <c r="P8" s="213"/>
      <c r="Q8" s="12"/>
      <c r="R8" s="12"/>
      <c r="S8" s="12"/>
    </row>
    <row r="9" spans="1:19" ht="36.75" customHeight="1" x14ac:dyDescent="0.45">
      <c r="A9" s="330" t="s">
        <v>266</v>
      </c>
      <c r="B9" s="212"/>
      <c r="C9" s="212"/>
      <c r="D9" s="212"/>
      <c r="E9" s="215"/>
      <c r="F9" s="430"/>
      <c r="G9" s="215"/>
      <c r="H9" s="341" t="s">
        <v>267</v>
      </c>
      <c r="I9" s="215"/>
      <c r="J9" s="267"/>
      <c r="K9" s="212"/>
      <c r="L9" s="215"/>
      <c r="M9" s="341" t="s">
        <v>192</v>
      </c>
      <c r="N9" s="215"/>
      <c r="O9" s="268"/>
      <c r="P9" s="213"/>
      <c r="Q9" s="12"/>
      <c r="R9" s="12"/>
      <c r="S9" s="12"/>
    </row>
    <row r="10" spans="1:19" ht="19.5" customHeight="1" x14ac:dyDescent="0.45">
      <c r="A10" s="330" t="s">
        <v>193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5"/>
      <c r="N10" s="286" t="s">
        <v>194</v>
      </c>
      <c r="O10" s="215"/>
      <c r="P10" s="17" t="s">
        <v>195</v>
      </c>
      <c r="Q10" s="12"/>
      <c r="R10" s="12"/>
      <c r="S10" s="12"/>
    </row>
    <row r="11" spans="1:19" ht="29.25" customHeight="1" x14ac:dyDescent="0.45">
      <c r="A11" s="219" t="s">
        <v>196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5"/>
      <c r="N11" s="280"/>
      <c r="O11" s="215"/>
      <c r="P11" s="60"/>
      <c r="Q11" s="12"/>
      <c r="R11" s="12"/>
      <c r="S11" s="12"/>
    </row>
    <row r="12" spans="1:19" ht="19.5" customHeight="1" x14ac:dyDescent="0.45">
      <c r="A12" s="429" t="s">
        <v>268</v>
      </c>
      <c r="B12" s="235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315"/>
      <c r="Q12" s="85"/>
      <c r="R12" s="85"/>
      <c r="S12" s="85"/>
    </row>
    <row r="13" spans="1:19" ht="29.25" customHeight="1" x14ac:dyDescent="0.45">
      <c r="A13" s="429" t="s">
        <v>269</v>
      </c>
      <c r="B13" s="235"/>
      <c r="C13" s="390" t="s">
        <v>12</v>
      </c>
      <c r="D13" s="212"/>
      <c r="E13" s="215"/>
      <c r="F13" s="390" t="s">
        <v>270</v>
      </c>
      <c r="G13" s="212"/>
      <c r="H13" s="212"/>
      <c r="I13" s="212"/>
      <c r="J13" s="212"/>
      <c r="K13" s="212"/>
      <c r="L13" s="212"/>
      <c r="M13" s="390" t="s">
        <v>271</v>
      </c>
      <c r="N13" s="215"/>
      <c r="O13" s="413" t="s">
        <v>272</v>
      </c>
      <c r="P13" s="315"/>
      <c r="Q13" s="85"/>
      <c r="R13" s="85"/>
      <c r="S13" s="85"/>
    </row>
    <row r="14" spans="1:19" ht="29.25" customHeight="1" x14ac:dyDescent="0.45">
      <c r="A14" s="427" t="s">
        <v>273</v>
      </c>
      <c r="B14" s="212"/>
      <c r="C14" s="426" t="s">
        <v>274</v>
      </c>
      <c r="D14" s="212"/>
      <c r="E14" s="212"/>
      <c r="F14" s="426" t="s">
        <v>275</v>
      </c>
      <c r="G14" s="212"/>
      <c r="H14" s="212"/>
      <c r="I14" s="212"/>
      <c r="J14" s="212"/>
      <c r="K14" s="212"/>
      <c r="L14" s="215"/>
      <c r="M14" s="428">
        <f>+F8</f>
        <v>833</v>
      </c>
      <c r="N14" s="215"/>
      <c r="O14" s="390"/>
      <c r="P14" s="213"/>
      <c r="Q14" s="85"/>
      <c r="R14" s="85"/>
      <c r="S14" s="85"/>
    </row>
    <row r="15" spans="1:19" ht="29.25" customHeight="1" x14ac:dyDescent="0.45">
      <c r="A15" s="427" t="s">
        <v>276</v>
      </c>
      <c r="B15" s="212"/>
      <c r="C15" s="426" t="s">
        <v>274</v>
      </c>
      <c r="D15" s="212"/>
      <c r="E15" s="212"/>
      <c r="F15" s="426" t="s">
        <v>277</v>
      </c>
      <c r="G15" s="212"/>
      <c r="H15" s="212"/>
      <c r="I15" s="212"/>
      <c r="J15" s="212"/>
      <c r="K15" s="212"/>
      <c r="L15" s="215"/>
      <c r="M15" s="428">
        <f>+F8</f>
        <v>833</v>
      </c>
      <c r="N15" s="215"/>
      <c r="O15" s="390"/>
      <c r="P15" s="213"/>
      <c r="Q15" s="85"/>
      <c r="R15" s="85"/>
      <c r="S15" s="85"/>
    </row>
    <row r="16" spans="1:19" ht="29.25" customHeight="1" x14ac:dyDescent="0.45">
      <c r="A16" s="427" t="s">
        <v>278</v>
      </c>
      <c r="B16" s="212"/>
      <c r="C16" s="426" t="s">
        <v>274</v>
      </c>
      <c r="D16" s="212"/>
      <c r="E16" s="212"/>
      <c r="F16" s="426" t="s">
        <v>279</v>
      </c>
      <c r="G16" s="212"/>
      <c r="H16" s="212"/>
      <c r="I16" s="212"/>
      <c r="J16" s="212"/>
      <c r="K16" s="212"/>
      <c r="L16" s="215"/>
      <c r="M16" s="428">
        <f>+F8</f>
        <v>833</v>
      </c>
      <c r="N16" s="215"/>
      <c r="O16" s="390"/>
      <c r="P16" s="213"/>
      <c r="Q16" s="85"/>
      <c r="R16" s="85"/>
      <c r="S16" s="85"/>
    </row>
    <row r="17" spans="1:19" ht="29.25" customHeight="1" x14ac:dyDescent="0.45">
      <c r="A17" s="427" t="s">
        <v>280</v>
      </c>
      <c r="B17" s="212"/>
      <c r="C17" s="426" t="s">
        <v>274</v>
      </c>
      <c r="D17" s="212"/>
      <c r="E17" s="212"/>
      <c r="F17" s="426" t="s">
        <v>281</v>
      </c>
      <c r="G17" s="212"/>
      <c r="H17" s="212"/>
      <c r="I17" s="212"/>
      <c r="J17" s="212"/>
      <c r="K17" s="212"/>
      <c r="L17" s="215"/>
      <c r="M17" s="428">
        <f>+F8</f>
        <v>833</v>
      </c>
      <c r="N17" s="215"/>
      <c r="O17" s="390"/>
      <c r="P17" s="213"/>
      <c r="Q17" s="85"/>
      <c r="R17" s="85"/>
      <c r="S17" s="85"/>
    </row>
    <row r="18" spans="1:19" ht="29.25" customHeight="1" x14ac:dyDescent="0.45">
      <c r="A18" s="391"/>
      <c r="B18" s="215"/>
      <c r="C18" s="413"/>
      <c r="D18" s="235"/>
      <c r="E18" s="282"/>
      <c r="F18" s="416"/>
      <c r="G18" s="235"/>
      <c r="H18" s="235"/>
      <c r="I18" s="235"/>
      <c r="J18" s="235"/>
      <c r="K18" s="235"/>
      <c r="L18" s="282"/>
      <c r="M18" s="390"/>
      <c r="N18" s="215"/>
      <c r="O18" s="390"/>
      <c r="P18" s="213"/>
      <c r="Q18" s="85"/>
      <c r="R18" s="85"/>
      <c r="S18" s="85"/>
    </row>
    <row r="19" spans="1:19" ht="21" customHeight="1" x14ac:dyDescent="0.45">
      <c r="A19" s="391" t="s">
        <v>282</v>
      </c>
      <c r="B19" s="212"/>
      <c r="C19" s="212"/>
      <c r="D19" s="212"/>
      <c r="E19" s="212"/>
      <c r="F19" s="215"/>
      <c r="G19" s="86" t="s">
        <v>194</v>
      </c>
      <c r="H19" s="393"/>
      <c r="I19" s="212"/>
      <c r="J19" s="215"/>
      <c r="K19" s="87" t="s">
        <v>195</v>
      </c>
      <c r="L19" s="88"/>
      <c r="M19" s="88" t="s">
        <v>283</v>
      </c>
      <c r="N19" s="393"/>
      <c r="O19" s="212"/>
      <c r="P19" s="213"/>
      <c r="Q19" s="85"/>
      <c r="R19" s="85"/>
      <c r="S19" s="85"/>
    </row>
    <row r="20" spans="1:19" ht="21" customHeight="1" x14ac:dyDescent="0.45">
      <c r="A20" s="391" t="s">
        <v>284</v>
      </c>
      <c r="B20" s="215"/>
      <c r="C20" s="394"/>
      <c r="D20" s="212"/>
      <c r="E20" s="212"/>
      <c r="F20" s="212"/>
      <c r="G20" s="215"/>
      <c r="H20" s="393" t="s">
        <v>285</v>
      </c>
      <c r="I20" s="215"/>
      <c r="J20" s="394"/>
      <c r="K20" s="212"/>
      <c r="L20" s="212"/>
      <c r="M20" s="215"/>
      <c r="N20" s="87" t="s">
        <v>286</v>
      </c>
      <c r="O20" s="393"/>
      <c r="P20" s="213"/>
      <c r="Q20" s="85"/>
      <c r="R20" s="85"/>
      <c r="S20" s="85"/>
    </row>
    <row r="21" spans="1:19" ht="16.5" customHeight="1" x14ac:dyDescent="0.45">
      <c r="A21" s="391" t="s">
        <v>287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3"/>
      <c r="Q21" s="85"/>
      <c r="R21" s="85"/>
      <c r="S21" s="85"/>
    </row>
    <row r="22" spans="1:19" ht="24.75" customHeight="1" x14ac:dyDescent="0.45">
      <c r="A22" s="322" t="s">
        <v>288</v>
      </c>
      <c r="B22" s="235"/>
      <c r="C22" s="235"/>
      <c r="D22" s="235"/>
      <c r="E22" s="282"/>
      <c r="F22" s="396"/>
      <c r="G22" s="235"/>
      <c r="H22" s="235"/>
      <c r="I22" s="235"/>
      <c r="J22" s="235"/>
      <c r="K22" s="235"/>
      <c r="L22" s="323" t="s">
        <v>289</v>
      </c>
      <c r="M22" s="282"/>
      <c r="N22" s="397"/>
      <c r="O22" s="235"/>
      <c r="P22" s="315"/>
      <c r="Q22" s="85"/>
      <c r="R22" s="85"/>
      <c r="S22" s="85"/>
    </row>
    <row r="23" spans="1:19" ht="24.75" customHeight="1" x14ac:dyDescent="0.45">
      <c r="A23" s="317" t="s">
        <v>290</v>
      </c>
      <c r="B23" s="212"/>
      <c r="C23" s="212"/>
      <c r="D23" s="212"/>
      <c r="E23" s="215"/>
      <c r="F23" s="395"/>
      <c r="G23" s="212"/>
      <c r="H23" s="212"/>
      <c r="I23" s="212"/>
      <c r="J23" s="212"/>
      <c r="K23" s="212"/>
      <c r="L23" s="268" t="s">
        <v>291</v>
      </c>
      <c r="M23" s="215"/>
      <c r="N23" s="398"/>
      <c r="O23" s="212"/>
      <c r="P23" s="213"/>
      <c r="Q23" s="85"/>
      <c r="R23" s="85"/>
      <c r="S23" s="85"/>
    </row>
    <row r="24" spans="1:19" ht="24.75" customHeight="1" x14ac:dyDescent="0.45">
      <c r="A24" s="391" t="s">
        <v>292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3"/>
      <c r="Q24" s="85"/>
      <c r="R24" s="85"/>
      <c r="S24" s="85"/>
    </row>
    <row r="25" spans="1:19" ht="24.75" customHeight="1" x14ac:dyDescent="0.45">
      <c r="A25" s="399" t="s">
        <v>293</v>
      </c>
      <c r="B25" s="254"/>
      <c r="C25" s="417" t="s">
        <v>294</v>
      </c>
      <c r="D25" s="293"/>
      <c r="E25" s="418" t="s">
        <v>86</v>
      </c>
      <c r="F25" s="240"/>
      <c r="G25" s="293"/>
      <c r="H25" s="418" t="s">
        <v>295</v>
      </c>
      <c r="I25" s="240"/>
      <c r="J25" s="293"/>
      <c r="K25" s="89" t="s">
        <v>296</v>
      </c>
      <c r="L25" s="90" t="s">
        <v>297</v>
      </c>
      <c r="M25" s="90" t="s">
        <v>298</v>
      </c>
      <c r="N25" s="413" t="s">
        <v>299</v>
      </c>
      <c r="O25" s="282"/>
      <c r="P25" s="91" t="s">
        <v>300</v>
      </c>
      <c r="Q25" s="85"/>
      <c r="R25" s="85"/>
      <c r="S25" s="85"/>
    </row>
    <row r="26" spans="1:19" ht="24.75" customHeight="1" x14ac:dyDescent="0.45">
      <c r="A26" s="311"/>
      <c r="B26" s="282"/>
      <c r="C26" s="390"/>
      <c r="D26" s="215"/>
      <c r="E26" s="390"/>
      <c r="F26" s="212"/>
      <c r="G26" s="215"/>
      <c r="H26" s="390"/>
      <c r="I26" s="212"/>
      <c r="J26" s="215"/>
      <c r="K26" s="86"/>
      <c r="L26" s="92"/>
      <c r="M26" s="93"/>
      <c r="N26" s="414"/>
      <c r="O26" s="244"/>
      <c r="P26" s="94"/>
      <c r="Q26" s="85"/>
      <c r="R26" s="85"/>
      <c r="S26" s="85"/>
    </row>
    <row r="27" spans="1:19" ht="24.75" customHeight="1" x14ac:dyDescent="0.45">
      <c r="A27" s="415" t="s">
        <v>301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2"/>
      <c r="Q27" s="85"/>
      <c r="R27" s="85"/>
      <c r="S27" s="85"/>
    </row>
    <row r="28" spans="1:19" ht="24.75" customHeight="1" x14ac:dyDescent="0.45">
      <c r="A28" s="391" t="s">
        <v>67</v>
      </c>
      <c r="B28" s="215"/>
      <c r="C28" s="390" t="s">
        <v>294</v>
      </c>
      <c r="D28" s="215"/>
      <c r="E28" s="390" t="s">
        <v>86</v>
      </c>
      <c r="F28" s="212"/>
      <c r="G28" s="215"/>
      <c r="H28" s="390" t="s">
        <v>302</v>
      </c>
      <c r="I28" s="212"/>
      <c r="J28" s="215"/>
      <c r="K28" s="86" t="s">
        <v>303</v>
      </c>
      <c r="L28" s="86" t="s">
        <v>304</v>
      </c>
      <c r="M28" s="86" t="s">
        <v>305</v>
      </c>
      <c r="N28" s="390" t="s">
        <v>306</v>
      </c>
      <c r="O28" s="215"/>
      <c r="P28" s="95" t="s">
        <v>307</v>
      </c>
      <c r="Q28" s="85"/>
      <c r="R28" s="85"/>
      <c r="S28" s="85"/>
    </row>
    <row r="29" spans="1:19" ht="24.75" customHeight="1" x14ac:dyDescent="0.45">
      <c r="A29" s="400"/>
      <c r="B29" s="215"/>
      <c r="C29" s="390"/>
      <c r="D29" s="215"/>
      <c r="E29" s="390"/>
      <c r="F29" s="212"/>
      <c r="G29" s="215"/>
      <c r="H29" s="390"/>
      <c r="I29" s="212"/>
      <c r="J29" s="215"/>
      <c r="K29" s="86"/>
      <c r="L29" s="86"/>
      <c r="M29" s="86"/>
      <c r="N29" s="390"/>
      <c r="O29" s="215"/>
      <c r="P29" s="95"/>
      <c r="Q29" s="85"/>
      <c r="R29" s="85"/>
      <c r="S29" s="85"/>
    </row>
    <row r="30" spans="1:19" ht="24.75" customHeight="1" x14ac:dyDescent="0.45">
      <c r="A30" s="400"/>
      <c r="B30" s="215"/>
      <c r="C30" s="390"/>
      <c r="D30" s="215"/>
      <c r="E30" s="390"/>
      <c r="F30" s="212"/>
      <c r="G30" s="215"/>
      <c r="H30" s="390"/>
      <c r="I30" s="212"/>
      <c r="J30" s="215"/>
      <c r="K30" s="86"/>
      <c r="L30" s="86"/>
      <c r="M30" s="86"/>
      <c r="N30" s="390"/>
      <c r="O30" s="215"/>
      <c r="P30" s="95"/>
      <c r="Q30" s="85"/>
      <c r="R30" s="85"/>
      <c r="S30" s="85"/>
    </row>
    <row r="31" spans="1:19" ht="24.75" customHeight="1" x14ac:dyDescent="0.45">
      <c r="A31" s="400"/>
      <c r="B31" s="215"/>
      <c r="C31" s="390"/>
      <c r="D31" s="215"/>
      <c r="E31" s="390"/>
      <c r="F31" s="212"/>
      <c r="G31" s="215"/>
      <c r="H31" s="390"/>
      <c r="I31" s="212"/>
      <c r="J31" s="215"/>
      <c r="K31" s="86"/>
      <c r="L31" s="86"/>
      <c r="M31" s="86"/>
      <c r="N31" s="390"/>
      <c r="O31" s="215"/>
      <c r="P31" s="95"/>
      <c r="Q31" s="85"/>
      <c r="R31" s="85"/>
      <c r="S31" s="85"/>
    </row>
    <row r="32" spans="1:19" ht="24.75" customHeight="1" x14ac:dyDescent="0.45">
      <c r="A32" s="400"/>
      <c r="B32" s="215"/>
      <c r="C32" s="390"/>
      <c r="D32" s="215"/>
      <c r="E32" s="390"/>
      <c r="F32" s="212"/>
      <c r="G32" s="215"/>
      <c r="H32" s="390"/>
      <c r="I32" s="212"/>
      <c r="J32" s="215"/>
      <c r="K32" s="86"/>
      <c r="L32" s="86"/>
      <c r="M32" s="86"/>
      <c r="N32" s="390"/>
      <c r="O32" s="215"/>
      <c r="P32" s="95"/>
      <c r="Q32" s="85"/>
      <c r="R32" s="85"/>
      <c r="S32" s="85"/>
    </row>
    <row r="33" spans="1:19" ht="24.75" customHeight="1" x14ac:dyDescent="0.45">
      <c r="A33" s="400"/>
      <c r="B33" s="215"/>
      <c r="C33" s="390"/>
      <c r="D33" s="215"/>
      <c r="E33" s="390"/>
      <c r="F33" s="212"/>
      <c r="G33" s="215"/>
      <c r="H33" s="390"/>
      <c r="I33" s="212"/>
      <c r="J33" s="215"/>
      <c r="K33" s="86"/>
      <c r="L33" s="86"/>
      <c r="M33" s="86"/>
      <c r="N33" s="390"/>
      <c r="O33" s="215"/>
      <c r="P33" s="95"/>
      <c r="Q33" s="85"/>
      <c r="R33" s="85"/>
      <c r="S33" s="85"/>
    </row>
    <row r="34" spans="1:19" ht="24.75" customHeight="1" x14ac:dyDescent="0.45">
      <c r="A34" s="400"/>
      <c r="B34" s="215"/>
      <c r="C34" s="390"/>
      <c r="D34" s="215"/>
      <c r="E34" s="390"/>
      <c r="F34" s="212"/>
      <c r="G34" s="215"/>
      <c r="H34" s="390"/>
      <c r="I34" s="212"/>
      <c r="J34" s="215"/>
      <c r="K34" s="86"/>
      <c r="L34" s="86"/>
      <c r="M34" s="86"/>
      <c r="N34" s="390"/>
      <c r="O34" s="215"/>
      <c r="P34" s="95"/>
      <c r="Q34" s="85"/>
      <c r="R34" s="85"/>
      <c r="S34" s="85"/>
    </row>
    <row r="35" spans="1:19" ht="24.75" customHeight="1" x14ac:dyDescent="0.45">
      <c r="A35" s="391" t="s">
        <v>308</v>
      </c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5"/>
      <c r="P35" s="95"/>
      <c r="Q35" s="85"/>
      <c r="R35" s="85"/>
      <c r="S35" s="85"/>
    </row>
    <row r="36" spans="1:19" ht="24.75" customHeight="1" x14ac:dyDescent="0.45">
      <c r="A36" s="391" t="s">
        <v>309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5"/>
      <c r="P36" s="95"/>
      <c r="Q36" s="85"/>
      <c r="R36" s="85"/>
      <c r="S36" s="85"/>
    </row>
    <row r="37" spans="1:19" ht="24.75" customHeight="1" x14ac:dyDescent="0.45">
      <c r="A37" s="401" t="s">
        <v>310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4"/>
      <c r="P37" s="94"/>
      <c r="Q37" s="85"/>
      <c r="R37" s="85"/>
      <c r="S37" s="85"/>
    </row>
    <row r="38" spans="1:19" ht="24.75" customHeight="1" x14ac:dyDescent="0.45">
      <c r="A38" s="402" t="s">
        <v>311</v>
      </c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9"/>
      <c r="Q38" s="85"/>
      <c r="R38" s="85"/>
      <c r="S38" s="85"/>
    </row>
    <row r="39" spans="1:19" ht="24.75" customHeight="1" x14ac:dyDescent="0.45">
      <c r="A39" s="403" t="s">
        <v>312</v>
      </c>
      <c r="B39" s="224"/>
      <c r="C39" s="224"/>
      <c r="D39" s="224"/>
      <c r="E39" s="404"/>
      <c r="F39" s="224"/>
      <c r="G39" s="224"/>
      <c r="H39" s="224"/>
      <c r="I39" s="224"/>
      <c r="J39" s="224"/>
      <c r="K39" s="224"/>
      <c r="L39" s="405" t="s">
        <v>313</v>
      </c>
      <c r="M39" s="224"/>
      <c r="N39" s="406"/>
      <c r="O39" s="230"/>
      <c r="P39" s="232"/>
      <c r="Q39" s="85"/>
      <c r="R39" s="85"/>
      <c r="S39" s="85"/>
    </row>
    <row r="40" spans="1:19" ht="24.75" customHeight="1" x14ac:dyDescent="0.45">
      <c r="A40" s="411" t="s">
        <v>314</v>
      </c>
      <c r="B40" s="240"/>
      <c r="C40" s="240"/>
      <c r="D40" s="240"/>
      <c r="E40" s="407"/>
      <c r="F40" s="212"/>
      <c r="G40" s="212"/>
      <c r="H40" s="212"/>
      <c r="I40" s="212"/>
      <c r="J40" s="212"/>
      <c r="K40" s="212"/>
      <c r="L40" s="408" t="s">
        <v>315</v>
      </c>
      <c r="M40" s="240"/>
      <c r="N40" s="407"/>
      <c r="O40" s="212"/>
      <c r="P40" s="213"/>
      <c r="Q40" s="85"/>
      <c r="R40" s="85"/>
      <c r="S40" s="85"/>
    </row>
    <row r="41" spans="1:19" ht="24.75" customHeight="1" x14ac:dyDescent="0.45">
      <c r="A41" s="412" t="s">
        <v>316</v>
      </c>
      <c r="B41" s="227"/>
      <c r="C41" s="227"/>
      <c r="D41" s="227"/>
      <c r="E41" s="409"/>
      <c r="F41" s="227"/>
      <c r="G41" s="227"/>
      <c r="H41" s="227"/>
      <c r="I41" s="227"/>
      <c r="J41" s="227"/>
      <c r="K41" s="227"/>
      <c r="L41" s="410" t="s">
        <v>317</v>
      </c>
      <c r="M41" s="227"/>
      <c r="N41" s="409"/>
      <c r="O41" s="227"/>
      <c r="P41" s="228"/>
      <c r="Q41" s="85"/>
      <c r="R41" s="85"/>
      <c r="S41" s="85"/>
    </row>
    <row r="42" spans="1:19" ht="24.75" customHeight="1" x14ac:dyDescent="0.45">
      <c r="A42" s="392" t="s">
        <v>202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5"/>
      <c r="Q42" s="85"/>
      <c r="R42" s="85"/>
      <c r="S42" s="85"/>
    </row>
    <row r="43" spans="1:19" ht="17.25" customHeight="1" x14ac:dyDescent="0.45">
      <c r="A43" s="226"/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8"/>
      <c r="Q43" s="85"/>
      <c r="R43" s="85"/>
      <c r="S43" s="85"/>
    </row>
    <row r="44" spans="1:19" ht="27.75" customHeight="1" x14ac:dyDescent="0.45">
      <c r="A44" s="346" t="s">
        <v>318</v>
      </c>
      <c r="B44" s="230"/>
      <c r="C44" s="261"/>
      <c r="D44" s="343"/>
      <c r="E44" s="230"/>
      <c r="F44" s="230"/>
      <c r="G44" s="230"/>
      <c r="H44" s="70"/>
      <c r="I44" s="70"/>
      <c r="J44" s="70"/>
      <c r="K44" s="344" t="s">
        <v>319</v>
      </c>
      <c r="L44" s="261"/>
      <c r="M44" s="345"/>
      <c r="N44" s="230"/>
      <c r="O44" s="230"/>
      <c r="P44" s="232"/>
      <c r="Q44" s="85"/>
      <c r="R44" s="85"/>
      <c r="S44" s="85"/>
    </row>
    <row r="45" spans="1:19" ht="24.75" customHeight="1" x14ac:dyDescent="0.45">
      <c r="A45" s="330" t="s">
        <v>205</v>
      </c>
      <c r="B45" s="212"/>
      <c r="C45" s="215"/>
      <c r="D45" s="71"/>
      <c r="E45" s="71"/>
      <c r="F45" s="71"/>
      <c r="G45" s="71"/>
      <c r="H45" s="61"/>
      <c r="I45" s="61"/>
      <c r="J45" s="61"/>
      <c r="K45" s="341" t="s">
        <v>205</v>
      </c>
      <c r="L45" s="215"/>
      <c r="M45" s="280"/>
      <c r="N45" s="212"/>
      <c r="O45" s="212"/>
      <c r="P45" s="213"/>
      <c r="Q45" s="85"/>
      <c r="R45" s="85"/>
      <c r="S45" s="85"/>
    </row>
    <row r="46" spans="1:19" ht="24.75" customHeight="1" x14ac:dyDescent="0.45">
      <c r="A46" s="336" t="s">
        <v>206</v>
      </c>
      <c r="B46" s="243"/>
      <c r="C46" s="244"/>
      <c r="D46" s="337"/>
      <c r="E46" s="243"/>
      <c r="F46" s="243"/>
      <c r="G46" s="243"/>
      <c r="H46" s="243"/>
      <c r="I46" s="243"/>
      <c r="J46" s="244"/>
      <c r="K46" s="338" t="s">
        <v>206</v>
      </c>
      <c r="L46" s="244"/>
      <c r="M46" s="337"/>
      <c r="N46" s="243"/>
      <c r="O46" s="243"/>
      <c r="P46" s="246"/>
      <c r="Q46" s="85"/>
      <c r="R46" s="85"/>
      <c r="S46" s="85"/>
    </row>
    <row r="47" spans="1:19" ht="24.75" customHeight="1" x14ac:dyDescent="0.45">
      <c r="A47" s="80"/>
      <c r="B47" s="80"/>
      <c r="C47" s="80"/>
      <c r="D47" s="81"/>
      <c r="E47" s="81"/>
      <c r="F47" s="81"/>
      <c r="G47" s="81"/>
      <c r="H47" s="81"/>
      <c r="I47" s="81"/>
      <c r="J47" s="81"/>
      <c r="K47" s="80"/>
      <c r="L47" s="80"/>
      <c r="M47" s="81"/>
      <c r="N47" s="81"/>
      <c r="O47" s="81"/>
      <c r="P47" s="81"/>
      <c r="Q47" s="85"/>
      <c r="R47" s="85"/>
      <c r="S47" s="85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5"/>
      <c r="N246" s="26"/>
      <c r="O246" s="26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71"/>
      <c r="B1" s="224"/>
      <c r="C1" s="285"/>
      <c r="D1" s="312" t="s">
        <v>0</v>
      </c>
      <c r="E1" s="224"/>
      <c r="F1" s="224"/>
      <c r="G1" s="224"/>
      <c r="H1" s="224"/>
      <c r="I1" s="224"/>
      <c r="J1" s="224"/>
      <c r="K1" s="224"/>
      <c r="L1" s="285"/>
      <c r="M1" s="294" t="s">
        <v>1</v>
      </c>
      <c r="N1" s="261"/>
      <c r="O1" s="294" t="s">
        <v>320</v>
      </c>
      <c r="P1" s="232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74"/>
      <c r="B2" s="240"/>
      <c r="C2" s="293"/>
      <c r="D2" s="301"/>
      <c r="E2" s="235"/>
      <c r="F2" s="235"/>
      <c r="G2" s="235"/>
      <c r="H2" s="235"/>
      <c r="I2" s="235"/>
      <c r="J2" s="235"/>
      <c r="K2" s="235"/>
      <c r="L2" s="282"/>
      <c r="M2" s="302" t="s">
        <v>3</v>
      </c>
      <c r="N2" s="282"/>
      <c r="O2" s="303">
        <v>1</v>
      </c>
      <c r="P2" s="222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74"/>
      <c r="B3" s="240"/>
      <c r="C3" s="293"/>
      <c r="D3" s="304" t="s">
        <v>321</v>
      </c>
      <c r="E3" s="221"/>
      <c r="F3" s="221"/>
      <c r="G3" s="221"/>
      <c r="H3" s="221"/>
      <c r="I3" s="221"/>
      <c r="J3" s="221"/>
      <c r="K3" s="221"/>
      <c r="L3" s="254"/>
      <c r="M3" s="302" t="s">
        <v>5</v>
      </c>
      <c r="N3" s="282"/>
      <c r="O3" s="267" t="s">
        <v>6</v>
      </c>
      <c r="P3" s="213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74"/>
      <c r="B4" s="240"/>
      <c r="C4" s="293"/>
      <c r="D4" s="300"/>
      <c r="E4" s="240"/>
      <c r="F4" s="240"/>
      <c r="G4" s="240"/>
      <c r="H4" s="240"/>
      <c r="I4" s="240"/>
      <c r="J4" s="240"/>
      <c r="K4" s="240"/>
      <c r="L4" s="293"/>
      <c r="M4" s="253" t="s">
        <v>7</v>
      </c>
      <c r="N4" s="254"/>
      <c r="O4" s="272" t="s">
        <v>8</v>
      </c>
      <c r="P4" s="213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311"/>
      <c r="B5" s="235"/>
      <c r="C5" s="282"/>
      <c r="D5" s="301"/>
      <c r="E5" s="235"/>
      <c r="F5" s="235"/>
      <c r="G5" s="235"/>
      <c r="H5" s="235"/>
      <c r="I5" s="235"/>
      <c r="J5" s="235"/>
      <c r="K5" s="235"/>
      <c r="L5" s="282"/>
      <c r="M5" s="301"/>
      <c r="N5" s="282"/>
      <c r="O5" s="273" t="s">
        <v>9</v>
      </c>
      <c r="P5" s="213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28"/>
      <c r="B6" s="96"/>
      <c r="C6" s="96"/>
      <c r="D6" s="6"/>
      <c r="E6" s="6"/>
      <c r="F6" s="6"/>
      <c r="G6" s="6"/>
      <c r="H6" s="6"/>
      <c r="I6" s="6"/>
      <c r="J6" s="6"/>
      <c r="K6" s="6"/>
      <c r="L6" s="6"/>
      <c r="M6" s="48"/>
      <c r="N6" s="48"/>
      <c r="O6" s="97"/>
      <c r="P6" s="98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51" t="s">
        <v>10</v>
      </c>
      <c r="B7" s="212"/>
      <c r="C7" s="212"/>
      <c r="D7" s="212"/>
      <c r="E7" s="215"/>
      <c r="F7" s="266" t="str">
        <f>'ORDEN ENVASADO'!F6</f>
        <v>SUERO MULTIPEPTIDOS</v>
      </c>
      <c r="G7" s="212"/>
      <c r="H7" s="212"/>
      <c r="I7" s="212"/>
      <c r="J7" s="212"/>
      <c r="K7" s="212"/>
      <c r="L7" s="212"/>
      <c r="M7" s="212"/>
      <c r="N7" s="212"/>
      <c r="O7" s="212"/>
      <c r="P7" s="213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37" t="s">
        <v>55</v>
      </c>
      <c r="B8" s="221"/>
      <c r="C8" s="221"/>
      <c r="D8" s="221"/>
      <c r="E8" s="254"/>
      <c r="F8" s="420" t="str">
        <f>'ORDEN ENVASADO'!F7</f>
        <v>252521</v>
      </c>
      <c r="G8" s="254"/>
      <c r="H8" s="253" t="s">
        <v>262</v>
      </c>
      <c r="I8" s="254"/>
      <c r="J8" s="373" t="str">
        <f>'ORDEN ENVASADO'!J7</f>
        <v>OP-L-123</v>
      </c>
      <c r="K8" s="221"/>
      <c r="L8" s="254"/>
      <c r="M8" s="304" t="s">
        <v>16</v>
      </c>
      <c r="N8" s="254"/>
      <c r="O8" s="423" t="str">
        <f>'LISTA CHEQUEO'!F9</f>
        <v>30 mL</v>
      </c>
      <c r="P8" s="222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17" t="s">
        <v>266</v>
      </c>
      <c r="B9" s="212"/>
      <c r="C9" s="212"/>
      <c r="D9" s="212"/>
      <c r="E9" s="215"/>
      <c r="F9" s="430"/>
      <c r="G9" s="215"/>
      <c r="H9" s="268" t="s">
        <v>264</v>
      </c>
      <c r="I9" s="212"/>
      <c r="J9" s="388"/>
      <c r="K9" s="212"/>
      <c r="L9" s="212"/>
      <c r="M9" s="268" t="s">
        <v>265</v>
      </c>
      <c r="N9" s="212"/>
      <c r="O9" s="268"/>
      <c r="P9" s="213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17" t="s">
        <v>322</v>
      </c>
      <c r="B10" s="212"/>
      <c r="C10" s="212"/>
      <c r="D10" s="212"/>
      <c r="E10" s="215"/>
      <c r="F10" s="430"/>
      <c r="G10" s="215"/>
      <c r="H10" s="268" t="s">
        <v>323</v>
      </c>
      <c r="I10" s="215"/>
      <c r="J10" s="267"/>
      <c r="K10" s="212"/>
      <c r="L10" s="215"/>
      <c r="M10" s="268" t="s">
        <v>192</v>
      </c>
      <c r="N10" s="215"/>
      <c r="O10" s="268"/>
      <c r="P10" s="213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30" t="s">
        <v>193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5"/>
      <c r="N11" s="286" t="s">
        <v>194</v>
      </c>
      <c r="O11" s="215"/>
      <c r="P11" s="17" t="s">
        <v>195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20" t="s">
        <v>196</v>
      </c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54"/>
      <c r="N12" s="440"/>
      <c r="O12" s="254"/>
      <c r="P12" s="99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91" t="s">
        <v>324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3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30" t="s">
        <v>325</v>
      </c>
      <c r="B14" s="212"/>
      <c r="C14" s="215"/>
      <c r="D14" s="341" t="s">
        <v>326</v>
      </c>
      <c r="E14" s="212"/>
      <c r="F14" s="215"/>
      <c r="G14" s="341" t="s">
        <v>327</v>
      </c>
      <c r="H14" s="215"/>
      <c r="I14" s="341" t="s">
        <v>328</v>
      </c>
      <c r="J14" s="212"/>
      <c r="K14" s="212"/>
      <c r="L14" s="215"/>
      <c r="M14" s="341" t="s">
        <v>329</v>
      </c>
      <c r="N14" s="215"/>
      <c r="O14" s="341" t="s">
        <v>330</v>
      </c>
      <c r="P14" s="213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432" t="s">
        <v>331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3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322" t="s">
        <v>332</v>
      </c>
      <c r="B16" s="235"/>
      <c r="C16" s="282"/>
      <c r="D16" s="268" t="s">
        <v>333</v>
      </c>
      <c r="E16" s="212"/>
      <c r="F16" s="212"/>
      <c r="G16" s="212"/>
      <c r="H16" s="212"/>
      <c r="I16" s="212"/>
      <c r="J16" s="212"/>
      <c r="K16" s="212"/>
      <c r="L16" s="215"/>
      <c r="M16" s="397" t="s">
        <v>86</v>
      </c>
      <c r="N16" s="282"/>
      <c r="O16" s="323" t="s">
        <v>87</v>
      </c>
      <c r="P16" s="315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33" t="s">
        <v>334</v>
      </c>
      <c r="B17" s="221"/>
      <c r="C17" s="254"/>
      <c r="D17" s="268"/>
      <c r="E17" s="212"/>
      <c r="F17" s="212"/>
      <c r="G17" s="212"/>
      <c r="H17" s="212"/>
      <c r="I17" s="212"/>
      <c r="J17" s="212"/>
      <c r="K17" s="212"/>
      <c r="L17" s="215"/>
      <c r="M17" s="434"/>
      <c r="N17" s="254"/>
      <c r="O17" s="436"/>
      <c r="P17" s="213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33" t="s">
        <v>335</v>
      </c>
      <c r="B18" s="221"/>
      <c r="C18" s="254"/>
      <c r="D18" s="268"/>
      <c r="E18" s="212"/>
      <c r="F18" s="212"/>
      <c r="G18" s="212"/>
      <c r="H18" s="212"/>
      <c r="I18" s="212"/>
      <c r="J18" s="212"/>
      <c r="K18" s="212"/>
      <c r="L18" s="215"/>
      <c r="M18" s="435"/>
      <c r="N18" s="254"/>
      <c r="O18" s="434"/>
      <c r="P18" s="222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432" t="s">
        <v>336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3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432" t="s">
        <v>337</v>
      </c>
      <c r="B20" s="215"/>
      <c r="C20" s="286" t="s">
        <v>67</v>
      </c>
      <c r="D20" s="212"/>
      <c r="E20" s="215"/>
      <c r="F20" s="286" t="s">
        <v>322</v>
      </c>
      <c r="G20" s="215"/>
      <c r="H20" s="286" t="s">
        <v>323</v>
      </c>
      <c r="I20" s="215"/>
      <c r="J20" s="286" t="s">
        <v>338</v>
      </c>
      <c r="K20" s="212"/>
      <c r="L20" s="215"/>
      <c r="M20" s="286" t="s">
        <v>339</v>
      </c>
      <c r="N20" s="215"/>
      <c r="O20" s="286" t="s">
        <v>340</v>
      </c>
      <c r="P20" s="213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17" t="s">
        <v>341</v>
      </c>
      <c r="B21" s="215"/>
      <c r="C21" s="268"/>
      <c r="D21" s="212"/>
      <c r="E21" s="215"/>
      <c r="F21" s="431" t="s">
        <v>342</v>
      </c>
      <c r="G21" s="215"/>
      <c r="H21" s="431" t="s">
        <v>342</v>
      </c>
      <c r="I21" s="215"/>
      <c r="J21" s="268"/>
      <c r="K21" s="212"/>
      <c r="L21" s="215"/>
      <c r="M21" s="268"/>
      <c r="N21" s="215"/>
      <c r="O21" s="268"/>
      <c r="P21" s="213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17" t="s">
        <v>343</v>
      </c>
      <c r="B22" s="215"/>
      <c r="C22" s="268"/>
      <c r="D22" s="212"/>
      <c r="E22" s="215"/>
      <c r="F22" s="431" t="s">
        <v>342</v>
      </c>
      <c r="G22" s="215"/>
      <c r="H22" s="431" t="s">
        <v>342</v>
      </c>
      <c r="I22" s="215"/>
      <c r="J22" s="268"/>
      <c r="K22" s="212"/>
      <c r="L22" s="215"/>
      <c r="M22" s="268"/>
      <c r="N22" s="215"/>
      <c r="O22" s="268"/>
      <c r="P22" s="213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17" t="s">
        <v>344</v>
      </c>
      <c r="B23" s="215"/>
      <c r="C23" s="268"/>
      <c r="D23" s="212"/>
      <c r="E23" s="215"/>
      <c r="F23" s="431" t="s">
        <v>342</v>
      </c>
      <c r="G23" s="215"/>
      <c r="H23" s="431" t="s">
        <v>342</v>
      </c>
      <c r="I23" s="215"/>
      <c r="J23" s="268"/>
      <c r="K23" s="212"/>
      <c r="L23" s="215"/>
      <c r="M23" s="268"/>
      <c r="N23" s="215"/>
      <c r="O23" s="268"/>
      <c r="P23" s="213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17" t="s">
        <v>345</v>
      </c>
      <c r="B24" s="215"/>
      <c r="C24" s="268"/>
      <c r="D24" s="212"/>
      <c r="E24" s="215"/>
      <c r="F24" s="431" t="s">
        <v>342</v>
      </c>
      <c r="G24" s="215"/>
      <c r="H24" s="431" t="s">
        <v>342</v>
      </c>
      <c r="I24" s="215"/>
      <c r="J24" s="268"/>
      <c r="K24" s="212"/>
      <c r="L24" s="215"/>
      <c r="M24" s="268"/>
      <c r="N24" s="215"/>
      <c r="O24" s="268"/>
      <c r="P24" s="213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17" t="s">
        <v>346</v>
      </c>
      <c r="B25" s="215"/>
      <c r="C25" s="268"/>
      <c r="D25" s="212"/>
      <c r="E25" s="215"/>
      <c r="F25" s="431" t="s">
        <v>342</v>
      </c>
      <c r="G25" s="215"/>
      <c r="H25" s="431" t="s">
        <v>342</v>
      </c>
      <c r="I25" s="215"/>
      <c r="J25" s="268"/>
      <c r="K25" s="212"/>
      <c r="L25" s="215"/>
      <c r="M25" s="268"/>
      <c r="N25" s="215"/>
      <c r="O25" s="268"/>
      <c r="P25" s="213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432" t="s">
        <v>347</v>
      </c>
      <c r="B26" s="215"/>
      <c r="C26" s="287"/>
      <c r="D26" s="212"/>
      <c r="E26" s="215"/>
      <c r="F26" s="398" t="s">
        <v>286</v>
      </c>
      <c r="G26" s="215"/>
      <c r="H26" s="268"/>
      <c r="I26" s="215"/>
      <c r="J26" s="286" t="s">
        <v>348</v>
      </c>
      <c r="K26" s="212"/>
      <c r="L26" s="215"/>
      <c r="M26" s="280"/>
      <c r="N26" s="215"/>
      <c r="O26" s="341" t="s">
        <v>286</v>
      </c>
      <c r="P26" s="213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37" t="s">
        <v>349</v>
      </c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2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17" t="s">
        <v>350</v>
      </c>
      <c r="B28" s="212"/>
      <c r="C28" s="212"/>
      <c r="D28" s="212"/>
      <c r="E28" s="212"/>
      <c r="F28" s="212"/>
      <c r="G28" s="215"/>
      <c r="H28" s="268"/>
      <c r="I28" s="212"/>
      <c r="J28" s="212"/>
      <c r="K28" s="212"/>
      <c r="L28" s="212"/>
      <c r="M28" s="212"/>
      <c r="N28" s="212"/>
      <c r="O28" s="212"/>
      <c r="P28" s="213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17" t="s">
        <v>351</v>
      </c>
      <c r="B29" s="212"/>
      <c r="C29" s="212"/>
      <c r="D29" s="212"/>
      <c r="E29" s="212"/>
      <c r="F29" s="212"/>
      <c r="G29" s="215"/>
      <c r="H29" s="268"/>
      <c r="I29" s="212"/>
      <c r="J29" s="212"/>
      <c r="K29" s="212"/>
      <c r="L29" s="212"/>
      <c r="M29" s="212"/>
      <c r="N29" s="212"/>
      <c r="O29" s="212"/>
      <c r="P29" s="213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17" t="s">
        <v>352</v>
      </c>
      <c r="B30" s="212"/>
      <c r="C30" s="212"/>
      <c r="D30" s="212"/>
      <c r="E30" s="212"/>
      <c r="F30" s="212"/>
      <c r="G30" s="215"/>
      <c r="H30" s="268"/>
      <c r="I30" s="212"/>
      <c r="J30" s="212"/>
      <c r="K30" s="212"/>
      <c r="L30" s="212"/>
      <c r="M30" s="212"/>
      <c r="N30" s="212"/>
      <c r="O30" s="212"/>
      <c r="P30" s="213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22" t="s">
        <v>265</v>
      </c>
      <c r="B31" s="235"/>
      <c r="C31" s="235"/>
      <c r="D31" s="235"/>
      <c r="E31" s="235"/>
      <c r="F31" s="235"/>
      <c r="G31" s="282"/>
      <c r="H31" s="268"/>
      <c r="I31" s="212"/>
      <c r="J31" s="212"/>
      <c r="K31" s="212"/>
      <c r="L31" s="212"/>
      <c r="M31" s="212"/>
      <c r="N31" s="212"/>
      <c r="O31" s="212"/>
      <c r="P31" s="213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17" t="s">
        <v>322</v>
      </c>
      <c r="B32" s="212"/>
      <c r="C32" s="212"/>
      <c r="D32" s="212"/>
      <c r="E32" s="212"/>
      <c r="F32" s="212"/>
      <c r="G32" s="215"/>
      <c r="H32" s="268"/>
      <c r="I32" s="212"/>
      <c r="J32" s="212"/>
      <c r="K32" s="212"/>
      <c r="L32" s="212"/>
      <c r="M32" s="212"/>
      <c r="N32" s="212"/>
      <c r="O32" s="212"/>
      <c r="P32" s="213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17" t="s">
        <v>323</v>
      </c>
      <c r="B33" s="212"/>
      <c r="C33" s="212"/>
      <c r="D33" s="212"/>
      <c r="E33" s="212"/>
      <c r="F33" s="212"/>
      <c r="G33" s="215"/>
      <c r="H33" s="268"/>
      <c r="I33" s="212"/>
      <c r="J33" s="212"/>
      <c r="K33" s="212"/>
      <c r="L33" s="212"/>
      <c r="M33" s="212"/>
      <c r="N33" s="212"/>
      <c r="O33" s="212"/>
      <c r="P33" s="213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17" t="s">
        <v>284</v>
      </c>
      <c r="B34" s="212"/>
      <c r="C34" s="212"/>
      <c r="D34" s="212"/>
      <c r="E34" s="212"/>
      <c r="F34" s="212"/>
      <c r="G34" s="215"/>
      <c r="H34" s="268"/>
      <c r="I34" s="212"/>
      <c r="J34" s="212"/>
      <c r="K34" s="212"/>
      <c r="L34" s="212"/>
      <c r="M34" s="212"/>
      <c r="N34" s="212"/>
      <c r="O34" s="212"/>
      <c r="P34" s="213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17" t="s">
        <v>285</v>
      </c>
      <c r="B35" s="212"/>
      <c r="C35" s="212"/>
      <c r="D35" s="212"/>
      <c r="E35" s="212"/>
      <c r="F35" s="212"/>
      <c r="G35" s="212"/>
      <c r="H35" s="268"/>
      <c r="I35" s="212"/>
      <c r="J35" s="212"/>
      <c r="K35" s="212"/>
      <c r="L35" s="215"/>
      <c r="M35" s="268" t="s">
        <v>67</v>
      </c>
      <c r="N35" s="215"/>
      <c r="O35" s="268"/>
      <c r="P35" s="213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39" t="s">
        <v>45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2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74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63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11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315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30" t="s">
        <v>353</v>
      </c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5"/>
      <c r="M39" s="16" t="s">
        <v>286</v>
      </c>
      <c r="N39" s="280"/>
      <c r="O39" s="212"/>
      <c r="P39" s="213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38" t="s">
        <v>354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100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43"/>
      <c r="B1" s="254"/>
      <c r="C1" s="443" t="s">
        <v>0</v>
      </c>
      <c r="D1" s="221"/>
      <c r="E1" s="221"/>
      <c r="F1" s="221"/>
      <c r="G1" s="254"/>
      <c r="H1" s="101" t="s">
        <v>1</v>
      </c>
      <c r="I1" s="101" t="s">
        <v>355</v>
      </c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24" customHeight="1" x14ac:dyDescent="0.45">
      <c r="A2" s="300"/>
      <c r="B2" s="293"/>
      <c r="C2" s="300"/>
      <c r="D2" s="240"/>
      <c r="E2" s="240"/>
      <c r="F2" s="240"/>
      <c r="G2" s="293"/>
      <c r="H2" s="101" t="s">
        <v>3</v>
      </c>
      <c r="I2" s="102">
        <v>1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4" customHeight="1" x14ac:dyDescent="0.45">
      <c r="A3" s="300"/>
      <c r="B3" s="293"/>
      <c r="C3" s="301"/>
      <c r="D3" s="235"/>
      <c r="E3" s="235"/>
      <c r="F3" s="235"/>
      <c r="G3" s="282"/>
      <c r="H3" s="101" t="s">
        <v>5</v>
      </c>
      <c r="I3" s="101" t="s">
        <v>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30" customHeight="1" x14ac:dyDescent="0.45">
      <c r="A4" s="300"/>
      <c r="B4" s="293"/>
      <c r="C4" s="443" t="s">
        <v>356</v>
      </c>
      <c r="D4" s="221"/>
      <c r="E4" s="221"/>
      <c r="F4" s="221"/>
      <c r="G4" s="254"/>
      <c r="H4" s="101" t="s">
        <v>7</v>
      </c>
      <c r="I4" s="101" t="s">
        <v>357</v>
      </c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2.5" customHeight="1" x14ac:dyDescent="0.45">
      <c r="A5" s="301"/>
      <c r="B5" s="282"/>
      <c r="C5" s="301"/>
      <c r="D5" s="235"/>
      <c r="E5" s="235"/>
      <c r="F5" s="235"/>
      <c r="G5" s="282"/>
      <c r="H5" s="101"/>
      <c r="I5" s="103" t="s">
        <v>358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4.25" customHeight="1" x14ac:dyDescent="0.45">
      <c r="A6" s="104"/>
      <c r="B6" s="104"/>
      <c r="C6" s="104"/>
      <c r="D6" s="104"/>
      <c r="E6" s="104"/>
      <c r="F6" s="104"/>
      <c r="G6" s="104"/>
      <c r="H6" s="104"/>
      <c r="I6" s="104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4.25" customHeight="1" x14ac:dyDescent="0.5">
      <c r="A7" s="105"/>
      <c r="B7" s="105"/>
      <c r="C7" s="105"/>
      <c r="D7" s="105"/>
      <c r="E7" s="105"/>
      <c r="F7" s="105"/>
      <c r="G7" s="105"/>
      <c r="H7" s="105"/>
      <c r="I7" s="105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2.5" customHeight="1" x14ac:dyDescent="0.45">
      <c r="A8" s="445"/>
      <c r="B8" s="443" t="s">
        <v>0</v>
      </c>
      <c r="C8" s="221"/>
      <c r="D8" s="221"/>
      <c r="E8" s="221"/>
      <c r="F8" s="254"/>
      <c r="G8" s="101" t="s">
        <v>1</v>
      </c>
      <c r="H8" s="444" t="s">
        <v>355</v>
      </c>
      <c r="I8" s="215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4" customHeight="1" x14ac:dyDescent="0.45">
      <c r="A9" s="300"/>
      <c r="B9" s="300"/>
      <c r="C9" s="240"/>
      <c r="D9" s="240"/>
      <c r="E9" s="240"/>
      <c r="F9" s="293"/>
      <c r="G9" s="101" t="s">
        <v>3</v>
      </c>
      <c r="H9" s="446">
        <v>1</v>
      </c>
      <c r="I9" s="215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4" customHeight="1" x14ac:dyDescent="0.45">
      <c r="A10" s="300"/>
      <c r="B10" s="301"/>
      <c r="C10" s="235"/>
      <c r="D10" s="235"/>
      <c r="E10" s="235"/>
      <c r="F10" s="282"/>
      <c r="G10" s="101" t="s">
        <v>5</v>
      </c>
      <c r="H10" s="444" t="s">
        <v>6</v>
      </c>
      <c r="I10" s="215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1" customHeight="1" x14ac:dyDescent="0.45">
      <c r="A11" s="300"/>
      <c r="B11" s="443" t="s">
        <v>356</v>
      </c>
      <c r="C11" s="221"/>
      <c r="D11" s="221"/>
      <c r="E11" s="221"/>
      <c r="F11" s="254"/>
      <c r="G11" s="447" t="s">
        <v>7</v>
      </c>
      <c r="H11" s="444" t="s">
        <v>357</v>
      </c>
      <c r="I11" s="215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" customHeight="1" x14ac:dyDescent="0.45">
      <c r="A12" s="301"/>
      <c r="B12" s="301"/>
      <c r="C12" s="235"/>
      <c r="D12" s="235"/>
      <c r="E12" s="235"/>
      <c r="F12" s="282"/>
      <c r="G12" s="384"/>
      <c r="H12" s="448" t="s">
        <v>358</v>
      </c>
      <c r="I12" s="215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54" customHeight="1" x14ac:dyDescent="0.45">
      <c r="A13" s="107" t="s">
        <v>359</v>
      </c>
      <c r="B13" s="441"/>
      <c r="C13" s="212"/>
      <c r="D13" s="212"/>
      <c r="E13" s="212"/>
      <c r="F13" s="212"/>
      <c r="G13" s="212"/>
      <c r="H13" s="212"/>
      <c r="I13" s="215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57" customHeight="1" x14ac:dyDescent="0.45">
      <c r="A14" s="107" t="s">
        <v>360</v>
      </c>
      <c r="B14" s="441"/>
      <c r="C14" s="212"/>
      <c r="D14" s="212"/>
      <c r="E14" s="212"/>
      <c r="F14" s="215"/>
      <c r="G14" s="107" t="s">
        <v>206</v>
      </c>
      <c r="H14" s="442"/>
      <c r="I14" s="215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63.75" customHeight="1" x14ac:dyDescent="0.45">
      <c r="A15" s="107" t="s">
        <v>361</v>
      </c>
      <c r="B15" s="441"/>
      <c r="C15" s="212"/>
      <c r="D15" s="212"/>
      <c r="E15" s="212"/>
      <c r="F15" s="215"/>
      <c r="G15" s="107" t="s">
        <v>362</v>
      </c>
      <c r="H15" s="441"/>
      <c r="I15" s="215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66.75" customHeight="1" x14ac:dyDescent="0.45">
      <c r="A16" s="107" t="s">
        <v>363</v>
      </c>
      <c r="B16" s="441"/>
      <c r="C16" s="212"/>
      <c r="D16" s="212"/>
      <c r="E16" s="212"/>
      <c r="F16" s="215"/>
      <c r="G16" s="107" t="s">
        <v>362</v>
      </c>
      <c r="H16" s="441"/>
      <c r="I16" s="215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63.75" customHeight="1" x14ac:dyDescent="0.45">
      <c r="A17" s="107" t="s">
        <v>364</v>
      </c>
      <c r="B17" s="441"/>
      <c r="C17" s="212"/>
      <c r="D17" s="212"/>
      <c r="E17" s="212"/>
      <c r="F17" s="212"/>
      <c r="G17" s="212"/>
      <c r="H17" s="212"/>
      <c r="I17" s="215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46.5" customHeight="1" x14ac:dyDescent="0.45">
      <c r="A18" s="107" t="s">
        <v>226</v>
      </c>
      <c r="B18" s="441"/>
      <c r="C18" s="212"/>
      <c r="D18" s="212"/>
      <c r="E18" s="212"/>
      <c r="F18" s="215"/>
      <c r="G18" s="107" t="s">
        <v>286</v>
      </c>
      <c r="H18" s="442"/>
      <c r="I18" s="215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48" customHeight="1" x14ac:dyDescent="0.45">
      <c r="A19" s="107" t="s">
        <v>204</v>
      </c>
      <c r="B19" s="441"/>
      <c r="C19" s="212"/>
      <c r="D19" s="212"/>
      <c r="E19" s="212"/>
      <c r="F19" s="215"/>
      <c r="G19" s="107" t="s">
        <v>286</v>
      </c>
      <c r="H19" s="442"/>
      <c r="I19" s="215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4.25" customHeight="1" x14ac:dyDescent="0.45">
      <c r="A20" s="82"/>
      <c r="B20" s="82"/>
      <c r="C20" s="82"/>
      <c r="D20" s="82"/>
      <c r="E20" s="82"/>
      <c r="F20" s="82"/>
      <c r="G20" s="82"/>
      <c r="H20" s="449"/>
      <c r="I20" s="240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2.5" customHeight="1" x14ac:dyDescent="0.45">
      <c r="A21" s="445"/>
      <c r="B21" s="443" t="s">
        <v>0</v>
      </c>
      <c r="C21" s="221"/>
      <c r="D21" s="221"/>
      <c r="E21" s="221"/>
      <c r="F21" s="254"/>
      <c r="G21" s="101" t="s">
        <v>1</v>
      </c>
      <c r="H21" s="444" t="s">
        <v>355</v>
      </c>
      <c r="I21" s="215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3.25" customHeight="1" x14ac:dyDescent="0.45">
      <c r="A22" s="300"/>
      <c r="B22" s="300"/>
      <c r="C22" s="240"/>
      <c r="D22" s="240"/>
      <c r="E22" s="240"/>
      <c r="F22" s="293"/>
      <c r="G22" s="101" t="s">
        <v>3</v>
      </c>
      <c r="H22" s="446">
        <v>1</v>
      </c>
      <c r="I22" s="215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7.75" customHeight="1" x14ac:dyDescent="0.45">
      <c r="A23" s="300"/>
      <c r="B23" s="301"/>
      <c r="C23" s="235"/>
      <c r="D23" s="235"/>
      <c r="E23" s="235"/>
      <c r="F23" s="282"/>
      <c r="G23" s="101" t="s">
        <v>5</v>
      </c>
      <c r="H23" s="444" t="s">
        <v>6</v>
      </c>
      <c r="I23" s="215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27.75" customHeight="1" x14ac:dyDescent="0.45">
      <c r="A24" s="300"/>
      <c r="B24" s="443" t="s">
        <v>356</v>
      </c>
      <c r="C24" s="221"/>
      <c r="D24" s="221"/>
      <c r="E24" s="221"/>
      <c r="F24" s="254"/>
      <c r="G24" s="447" t="s">
        <v>7</v>
      </c>
      <c r="H24" s="444" t="s">
        <v>357</v>
      </c>
      <c r="I24" s="215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4.5" customHeight="1" x14ac:dyDescent="0.45">
      <c r="A25" s="301"/>
      <c r="B25" s="301"/>
      <c r="C25" s="235"/>
      <c r="D25" s="235"/>
      <c r="E25" s="235"/>
      <c r="F25" s="282"/>
      <c r="G25" s="384"/>
      <c r="H25" s="448" t="s">
        <v>358</v>
      </c>
      <c r="I25" s="215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63.75" customHeight="1" x14ac:dyDescent="0.45">
      <c r="A26" s="107" t="s">
        <v>359</v>
      </c>
      <c r="B26" s="441"/>
      <c r="C26" s="212"/>
      <c r="D26" s="212"/>
      <c r="E26" s="212"/>
      <c r="F26" s="212"/>
      <c r="G26" s="212"/>
      <c r="H26" s="212"/>
      <c r="I26" s="215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8" customHeight="1" x14ac:dyDescent="0.45">
      <c r="A27" s="107" t="s">
        <v>360</v>
      </c>
      <c r="B27" s="441"/>
      <c r="C27" s="212"/>
      <c r="D27" s="212"/>
      <c r="E27" s="212"/>
      <c r="F27" s="215"/>
      <c r="G27" s="107" t="s">
        <v>206</v>
      </c>
      <c r="H27" s="442"/>
      <c r="I27" s="215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57.75" customHeight="1" x14ac:dyDescent="0.45">
      <c r="A28" s="107" t="s">
        <v>361</v>
      </c>
      <c r="B28" s="441"/>
      <c r="C28" s="212"/>
      <c r="D28" s="212"/>
      <c r="E28" s="212"/>
      <c r="F28" s="215"/>
      <c r="G28" s="107" t="s">
        <v>362</v>
      </c>
      <c r="H28" s="441"/>
      <c r="I28" s="215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7" customHeight="1" x14ac:dyDescent="0.45">
      <c r="A29" s="107" t="s">
        <v>363</v>
      </c>
      <c r="B29" s="441"/>
      <c r="C29" s="212"/>
      <c r="D29" s="212"/>
      <c r="E29" s="212"/>
      <c r="F29" s="215"/>
      <c r="G29" s="107" t="s">
        <v>362</v>
      </c>
      <c r="H29" s="441"/>
      <c r="I29" s="215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49.5" customHeight="1" x14ac:dyDescent="0.45">
      <c r="A30" s="107" t="s">
        <v>364</v>
      </c>
      <c r="B30" s="441"/>
      <c r="C30" s="212"/>
      <c r="D30" s="212"/>
      <c r="E30" s="212"/>
      <c r="F30" s="212"/>
      <c r="G30" s="212"/>
      <c r="H30" s="212"/>
      <c r="I30" s="215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2.75" customHeight="1" x14ac:dyDescent="0.45">
      <c r="A31" s="107" t="s">
        <v>226</v>
      </c>
      <c r="B31" s="441"/>
      <c r="C31" s="212"/>
      <c r="D31" s="212"/>
      <c r="E31" s="212"/>
      <c r="F31" s="215"/>
      <c r="G31" s="107" t="s">
        <v>286</v>
      </c>
      <c r="H31" s="442"/>
      <c r="I31" s="215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8" customHeight="1" x14ac:dyDescent="0.45">
      <c r="A32" s="107" t="s">
        <v>204</v>
      </c>
      <c r="B32" s="441"/>
      <c r="C32" s="212"/>
      <c r="D32" s="212"/>
      <c r="E32" s="212"/>
      <c r="F32" s="215"/>
      <c r="G32" s="107" t="s">
        <v>286</v>
      </c>
      <c r="H32" s="442"/>
      <c r="I32" s="215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4.25" customHeight="1" x14ac:dyDescent="0.4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24.75" customHeight="1" x14ac:dyDescent="0.45">
      <c r="A34" s="445"/>
      <c r="B34" s="443" t="s">
        <v>0</v>
      </c>
      <c r="C34" s="221"/>
      <c r="D34" s="221"/>
      <c r="E34" s="221"/>
      <c r="F34" s="254"/>
      <c r="G34" s="101" t="s">
        <v>1</v>
      </c>
      <c r="H34" s="444" t="s">
        <v>355</v>
      </c>
      <c r="I34" s="215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21.75" customHeight="1" x14ac:dyDescent="0.45">
      <c r="A35" s="300"/>
      <c r="B35" s="300"/>
      <c r="C35" s="240"/>
      <c r="D35" s="240"/>
      <c r="E35" s="240"/>
      <c r="F35" s="293"/>
      <c r="G35" s="101" t="s">
        <v>3</v>
      </c>
      <c r="H35" s="446">
        <v>1</v>
      </c>
      <c r="I35" s="215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25.5" customHeight="1" x14ac:dyDescent="0.45">
      <c r="A36" s="300"/>
      <c r="B36" s="301"/>
      <c r="C36" s="235"/>
      <c r="D36" s="235"/>
      <c r="E36" s="235"/>
      <c r="F36" s="282"/>
      <c r="G36" s="101" t="s">
        <v>5</v>
      </c>
      <c r="H36" s="444" t="s">
        <v>6</v>
      </c>
      <c r="I36" s="215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7.75" customHeight="1" x14ac:dyDescent="0.45">
      <c r="A37" s="300"/>
      <c r="B37" s="443" t="s">
        <v>356</v>
      </c>
      <c r="C37" s="221"/>
      <c r="D37" s="221"/>
      <c r="E37" s="221"/>
      <c r="F37" s="254"/>
      <c r="G37" s="447" t="s">
        <v>7</v>
      </c>
      <c r="H37" s="444" t="s">
        <v>357</v>
      </c>
      <c r="I37" s="215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0.75" customHeight="1" x14ac:dyDescent="0.45">
      <c r="A38" s="301"/>
      <c r="B38" s="301"/>
      <c r="C38" s="235"/>
      <c r="D38" s="235"/>
      <c r="E38" s="235"/>
      <c r="F38" s="282"/>
      <c r="G38" s="384"/>
      <c r="H38" s="448" t="s">
        <v>358</v>
      </c>
      <c r="I38" s="215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54" customHeight="1" x14ac:dyDescent="0.45">
      <c r="A39" s="107" t="s">
        <v>359</v>
      </c>
      <c r="B39" s="441"/>
      <c r="C39" s="212"/>
      <c r="D39" s="212"/>
      <c r="E39" s="212"/>
      <c r="F39" s="212"/>
      <c r="G39" s="212"/>
      <c r="H39" s="212"/>
      <c r="I39" s="215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48.75" customHeight="1" x14ac:dyDescent="0.45">
      <c r="A40" s="107" t="s">
        <v>360</v>
      </c>
      <c r="B40" s="441"/>
      <c r="C40" s="212"/>
      <c r="D40" s="212"/>
      <c r="E40" s="212"/>
      <c r="F40" s="215"/>
      <c r="G40" s="107" t="s">
        <v>206</v>
      </c>
      <c r="H40" s="442"/>
      <c r="I40" s="215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52.5" customHeight="1" x14ac:dyDescent="0.45">
      <c r="A41" s="107" t="s">
        <v>361</v>
      </c>
      <c r="B41" s="441"/>
      <c r="C41" s="212"/>
      <c r="D41" s="212"/>
      <c r="E41" s="212"/>
      <c r="F41" s="215"/>
      <c r="G41" s="107" t="s">
        <v>362</v>
      </c>
      <c r="H41" s="441"/>
      <c r="I41" s="215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54.75" customHeight="1" x14ac:dyDescent="0.45">
      <c r="A42" s="107" t="s">
        <v>363</v>
      </c>
      <c r="B42" s="441"/>
      <c r="C42" s="212"/>
      <c r="D42" s="212"/>
      <c r="E42" s="212"/>
      <c r="F42" s="215"/>
      <c r="G42" s="107" t="s">
        <v>362</v>
      </c>
      <c r="H42" s="441"/>
      <c r="I42" s="215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57.75" customHeight="1" x14ac:dyDescent="0.45">
      <c r="A43" s="107" t="s">
        <v>364</v>
      </c>
      <c r="B43" s="441"/>
      <c r="C43" s="212"/>
      <c r="D43" s="212"/>
      <c r="E43" s="212"/>
      <c r="F43" s="212"/>
      <c r="G43" s="212"/>
      <c r="H43" s="212"/>
      <c r="I43" s="215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54" customHeight="1" x14ac:dyDescent="0.45">
      <c r="A44" s="107" t="s">
        <v>226</v>
      </c>
      <c r="B44" s="441"/>
      <c r="C44" s="212"/>
      <c r="D44" s="212"/>
      <c r="E44" s="212"/>
      <c r="F44" s="215"/>
      <c r="G44" s="107" t="s">
        <v>286</v>
      </c>
      <c r="H44" s="442"/>
      <c r="I44" s="215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54" customHeight="1" x14ac:dyDescent="0.45">
      <c r="A45" s="107" t="s">
        <v>204</v>
      </c>
      <c r="B45" s="441"/>
      <c r="C45" s="212"/>
      <c r="D45" s="212"/>
      <c r="E45" s="212"/>
      <c r="F45" s="215"/>
      <c r="G45" s="107" t="s">
        <v>286</v>
      </c>
      <c r="H45" s="442"/>
      <c r="I45" s="215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4.25" customHeight="1" x14ac:dyDescent="0.45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4.25" customHeight="1" x14ac:dyDescent="0.4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4.25" customHeight="1" x14ac:dyDescent="0.4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4.25" customHeight="1" x14ac:dyDescent="0.4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4.25" customHeight="1" x14ac:dyDescent="0.4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4.25" customHeight="1" x14ac:dyDescent="0.4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4.25" customHeight="1" x14ac:dyDescent="0.4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4.25" customHeight="1" x14ac:dyDescent="0.4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4.25" customHeight="1" x14ac:dyDescent="0.4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4.25" customHeight="1" x14ac:dyDescent="0.4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4.25" customHeight="1" x14ac:dyDescent="0.4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4.25" customHeight="1" x14ac:dyDescent="0.4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4.25" customHeight="1" x14ac:dyDescent="0.4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4.25" customHeight="1" x14ac:dyDescent="0.4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4.25" customHeight="1" x14ac:dyDescent="0.4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4.25" customHeight="1" x14ac:dyDescent="0.4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4.25" customHeight="1" x14ac:dyDescent="0.4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4.25" customHeight="1" x14ac:dyDescent="0.4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4.25" customHeight="1" x14ac:dyDescent="0.4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4.25" customHeight="1" x14ac:dyDescent="0.4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4.25" customHeight="1" x14ac:dyDescent="0.4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4.25" customHeight="1" x14ac:dyDescent="0.4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4.25" customHeight="1" x14ac:dyDescent="0.4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4.25" customHeight="1" x14ac:dyDescent="0.4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4.25" customHeight="1" x14ac:dyDescent="0.4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4.25" customHeight="1" x14ac:dyDescent="0.4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4.25" customHeight="1" x14ac:dyDescent="0.4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4.25" customHeight="1" x14ac:dyDescent="0.4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4.25" customHeight="1" x14ac:dyDescent="0.4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4.25" customHeight="1" x14ac:dyDescent="0.4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4.25" customHeight="1" x14ac:dyDescent="0.4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4.25" customHeight="1" x14ac:dyDescent="0.4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4.25" customHeight="1" x14ac:dyDescent="0.4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4.25" customHeight="1" x14ac:dyDescent="0.4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4.25" customHeight="1" x14ac:dyDescent="0.4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4.25" customHeight="1" x14ac:dyDescent="0.4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4.25" customHeight="1" x14ac:dyDescent="0.4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4.25" customHeight="1" x14ac:dyDescent="0.4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4.25" customHeight="1" x14ac:dyDescent="0.4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4.25" customHeight="1" x14ac:dyDescent="0.4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4.25" customHeight="1" x14ac:dyDescent="0.4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4.25" customHeight="1" x14ac:dyDescent="0.4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4.25" customHeight="1" x14ac:dyDescent="0.4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4.25" customHeight="1" x14ac:dyDescent="0.4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4.25" customHeight="1" x14ac:dyDescent="0.4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4.25" customHeight="1" x14ac:dyDescent="0.4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4.25" customHeight="1" x14ac:dyDescent="0.4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4.25" customHeight="1" x14ac:dyDescent="0.4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4.25" customHeight="1" x14ac:dyDescent="0.4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4.25" customHeight="1" x14ac:dyDescent="0.4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4.25" customHeight="1" x14ac:dyDescent="0.4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4.25" customHeight="1" x14ac:dyDescent="0.4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4.25" customHeight="1" x14ac:dyDescent="0.4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4.25" customHeight="1" x14ac:dyDescent="0.4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4.25" customHeight="1" x14ac:dyDescent="0.4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4.25" customHeight="1" x14ac:dyDescent="0.4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4.25" customHeight="1" x14ac:dyDescent="0.4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4.25" customHeight="1" x14ac:dyDescent="0.4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4.25" customHeight="1" x14ac:dyDescent="0.4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4.25" customHeight="1" x14ac:dyDescent="0.4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4.25" customHeight="1" x14ac:dyDescent="0.4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4.25" customHeight="1" x14ac:dyDescent="0.4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4.25" customHeight="1" x14ac:dyDescent="0.4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4.25" customHeight="1" x14ac:dyDescent="0.4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4.25" customHeight="1" x14ac:dyDescent="0.4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4.25" customHeight="1" x14ac:dyDescent="0.4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4.25" customHeight="1" x14ac:dyDescent="0.4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4.25" customHeight="1" x14ac:dyDescent="0.4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4.25" customHeight="1" x14ac:dyDescent="0.4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4.25" customHeight="1" x14ac:dyDescent="0.4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4.2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4.25" customHeight="1" x14ac:dyDescent="0.4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4.25" customHeight="1" x14ac:dyDescent="0.4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4.25" customHeight="1" x14ac:dyDescent="0.4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4.25" customHeight="1" x14ac:dyDescent="0.4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4.25" customHeight="1" x14ac:dyDescent="0.4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4.25" customHeight="1" x14ac:dyDescent="0.4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4.25" customHeight="1" x14ac:dyDescent="0.4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4.25" customHeight="1" x14ac:dyDescent="0.4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4.25" customHeight="1" x14ac:dyDescent="0.4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4.25" customHeight="1" x14ac:dyDescent="0.4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4.25" customHeight="1" x14ac:dyDescent="0.4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4.25" customHeight="1" x14ac:dyDescent="0.4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4.25" customHeight="1" x14ac:dyDescent="0.4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4.2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4.25" customHeight="1" x14ac:dyDescent="0.4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4.25" customHeight="1" x14ac:dyDescent="0.4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4.25" customHeight="1" x14ac:dyDescent="0.4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4.25" customHeight="1" x14ac:dyDescent="0.4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4.25" customHeight="1" x14ac:dyDescent="0.4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4.25" customHeight="1" x14ac:dyDescent="0.4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4.25" customHeight="1" x14ac:dyDescent="0.4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4.25" customHeight="1" x14ac:dyDescent="0.4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4.25" customHeight="1" x14ac:dyDescent="0.4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4.25" customHeight="1" x14ac:dyDescent="0.4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4.25" customHeight="1" x14ac:dyDescent="0.4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4.25" customHeight="1" x14ac:dyDescent="0.4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4.25" customHeight="1" x14ac:dyDescent="0.4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4.2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4.25" customHeight="1" x14ac:dyDescent="0.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4.25" customHeight="1" x14ac:dyDescent="0.4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4.25" customHeight="1" x14ac:dyDescent="0.4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4.25" customHeight="1" x14ac:dyDescent="0.4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4.25" customHeight="1" x14ac:dyDescent="0.4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4.25" customHeight="1" x14ac:dyDescent="0.4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4.25" customHeight="1" x14ac:dyDescent="0.4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4.25" customHeight="1" x14ac:dyDescent="0.4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4.25" customHeight="1" x14ac:dyDescent="0.4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4.25" customHeight="1" x14ac:dyDescent="0.4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4.25" customHeight="1" x14ac:dyDescent="0.4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4.25" customHeight="1" x14ac:dyDescent="0.4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4.25" customHeight="1" x14ac:dyDescent="0.4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4.2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4.25" customHeight="1" x14ac:dyDescent="0.4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4.25" customHeight="1" x14ac:dyDescent="0.4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4.25" customHeight="1" x14ac:dyDescent="0.4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4.25" customHeight="1" x14ac:dyDescent="0.4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4.25" customHeight="1" x14ac:dyDescent="0.4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4.25" customHeight="1" x14ac:dyDescent="0.4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4.25" customHeight="1" x14ac:dyDescent="0.4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4.25" customHeight="1" x14ac:dyDescent="0.4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4.25" customHeight="1" x14ac:dyDescent="0.4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4.25" customHeight="1" x14ac:dyDescent="0.4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4.25" customHeight="1" x14ac:dyDescent="0.4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4.25" customHeight="1" x14ac:dyDescent="0.4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4.25" customHeight="1" x14ac:dyDescent="0.4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4.2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4.25" customHeight="1" x14ac:dyDescent="0.4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4.25" customHeight="1" x14ac:dyDescent="0.4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4.25" customHeight="1" x14ac:dyDescent="0.4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4.25" customHeight="1" x14ac:dyDescent="0.4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4.25" customHeight="1" x14ac:dyDescent="0.4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4.25" customHeight="1" x14ac:dyDescent="0.4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4.25" customHeight="1" x14ac:dyDescent="0.4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4.25" customHeight="1" x14ac:dyDescent="0.4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4.25" customHeight="1" x14ac:dyDescent="0.4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4.25" customHeight="1" x14ac:dyDescent="0.4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4.25" customHeight="1" x14ac:dyDescent="0.4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4.25" customHeight="1" x14ac:dyDescent="0.4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4.25" customHeight="1" x14ac:dyDescent="0.4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4.2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4.25" customHeight="1" x14ac:dyDescent="0.4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4.25" customHeight="1" x14ac:dyDescent="0.4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4.25" customHeight="1" x14ac:dyDescent="0.4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4.25" customHeight="1" x14ac:dyDescent="0.4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4.25" customHeight="1" x14ac:dyDescent="0.4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4.25" customHeight="1" x14ac:dyDescent="0.4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4.25" customHeight="1" x14ac:dyDescent="0.4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4.25" customHeight="1" x14ac:dyDescent="0.4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4.25" customHeight="1" x14ac:dyDescent="0.4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4.25" customHeight="1" x14ac:dyDescent="0.4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4.25" customHeight="1" x14ac:dyDescent="0.4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4.25" customHeight="1" x14ac:dyDescent="0.4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4.25" customHeight="1" x14ac:dyDescent="0.4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4.2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4.25" customHeight="1" x14ac:dyDescent="0.4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4.25" customHeight="1" x14ac:dyDescent="0.4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4.25" customHeight="1" x14ac:dyDescent="0.4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4.25" customHeight="1" x14ac:dyDescent="0.4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4.25" customHeight="1" x14ac:dyDescent="0.4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4.25" customHeight="1" x14ac:dyDescent="0.4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4.25" customHeight="1" x14ac:dyDescent="0.4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4.25" customHeight="1" x14ac:dyDescent="0.4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4.25" customHeight="1" x14ac:dyDescent="0.4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4.25" customHeight="1" x14ac:dyDescent="0.4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4.25" customHeight="1" x14ac:dyDescent="0.4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4.25" customHeight="1" x14ac:dyDescent="0.4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4.25" customHeight="1" x14ac:dyDescent="0.4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4.2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4.25" customHeight="1" x14ac:dyDescent="0.4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4.25" customHeight="1" x14ac:dyDescent="0.4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4.25" customHeight="1" x14ac:dyDescent="0.4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4.25" customHeight="1" x14ac:dyDescent="0.4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4.25" customHeight="1" x14ac:dyDescent="0.4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4.25" customHeight="1" x14ac:dyDescent="0.4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4.25" customHeight="1" x14ac:dyDescent="0.4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4.25" customHeight="1" x14ac:dyDescent="0.4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4.25" customHeight="1" x14ac:dyDescent="0.4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4.25" customHeight="1" x14ac:dyDescent="0.4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4.25" customHeight="1" x14ac:dyDescent="0.4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4.25" customHeight="1" x14ac:dyDescent="0.4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4.25" customHeight="1" x14ac:dyDescent="0.4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4.2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4.2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4.2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4.2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4.2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4.2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4.2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4.2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4.2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4.2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4.2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4.2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4.2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4.2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4.2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4.2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4.2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4.2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4.2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4.2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4.2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4.2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4.2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4.2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4.2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4.2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4.2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4.2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4.2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4.2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4.2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4.2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4.2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4.2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4.2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4.2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4.2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4.2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4.2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4.2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4.2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4.2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4.2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4.2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4.2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4.2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4.2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4.2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4.2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4.2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4.2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4.2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4.2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4.2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4.2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4.2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4.2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4.2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4.2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4.2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4.2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4.2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4.2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4.2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4.2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4.2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4.2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4.2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4.2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4.2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4.2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4.2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4.2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4.2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4.2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4.2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4.2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4.2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4.2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4.2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4.2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4.2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4.2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4.2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4.2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4.2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4.2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4.2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4.2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4.2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4.2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4.2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4.2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4.2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4.2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4.2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4.2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4.2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4.2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4.2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4.2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4.2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4.2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4.2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4.2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4.2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4.2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4.2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4.2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4.2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4.2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4.2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4.2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4.2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4.2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4.2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4.2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4.2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4.2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4.2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4.2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4.2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4.2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4.2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4.2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4.2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4.2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4.2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4.2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4.2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4.2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4.2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4.2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4.2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4.2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4.2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4.2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4.2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4.2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4.2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4.2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4.2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4.2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4.2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4.2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4.2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4.2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4.2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4.2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4.2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4.2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4.2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4.2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4.2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4.2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4.2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4.2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4.2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4.2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4.2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4.2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4.2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4.2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4.2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4.2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4.2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4.2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4.2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4.2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4.2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4.2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4.2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4.2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4.2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4.2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4.2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4.2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4.2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4.2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4.2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4.2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4.2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4.2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4.2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4.2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4.2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4.2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4.2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4.2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4.2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4.2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4.2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4.2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4.2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4.2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4.2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4.2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4.2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4.2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4.2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4.2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4.2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4.2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4.2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4.2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4.2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4.2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4.2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4.2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4.2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4.2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4.2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4.2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4.2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4.2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4.2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4.2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4.2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4.2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4.2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4.2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4.2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4.2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4.2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4.2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4.2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4.2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4.2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4.2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4.2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4.2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4.2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4.2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4.2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4.2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4.2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4.2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4.2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4.2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4.2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4.2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4.2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4.2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4.2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4.2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4.2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4.2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4.2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4.2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4.2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4.2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4.2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4.2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4.2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4.2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4.2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4.2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4.2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4.2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4.2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4.2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4.2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4.2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4.2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4.2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4.2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4.2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4.2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4.2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4.2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4.2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4.2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4.2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4.2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4.2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4.2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4.2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4.2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4.2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4.2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4.2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4.2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4.2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4.2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4.2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4.2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4.2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4.2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4.2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4.2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4.2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4.2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4.2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4.2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4.2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4.2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4.2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4.2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4.2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4.2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4.2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4.2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4.2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4.2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4.2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4.2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4.2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4.2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4.2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4.2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4.2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4.2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4.2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4.2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4.2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4.2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4.2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4.2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4.2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4.2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4.2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4.2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4.2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4.2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4.2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4.2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4.2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4.2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4.2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4.2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4.2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4.2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4.2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4.2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4.2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4.2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4.2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4.2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4.2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4.2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4.2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4.2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4.2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4.2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4.2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4.2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4.2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4.2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4.2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4.2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4.2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4.2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4.2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4.2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4.2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4.2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4.2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4.2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4.2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4.2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4.2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4.2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4.2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4.2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4.2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4.2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4.2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4.2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4.2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4.2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4.2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4.2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4.2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4.2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4.2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4.2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4.2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4.2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4.2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4.2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4.2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4.2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4.2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4.2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4.2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4.2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4.2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4.2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4.2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4.2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4.2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4.2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4.2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4.2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4.2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4.2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4.2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4.2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4.2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4.2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4.2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4.2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4.2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4.2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4.2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4.2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4.2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4.2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4.2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4.2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4.2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4.2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4.2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4.2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4.2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4.2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4.2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4.2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4.2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4.2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4.2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4.2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4.2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4.2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4.2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4.2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4.2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4.2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4.2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4.2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4.2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4.2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4.2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4.2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4.2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4.2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4.2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4.2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4.2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4.2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4.2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4.2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4.2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4.2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4.2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4.2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4.2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4.2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4.2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4.2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4.2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4.2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4.2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4.2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4.2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4.2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4.2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4.2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4.2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4.2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4.2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4.2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4.2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4.2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4.2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4.2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4.2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4.2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4.2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4.2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4.2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4.2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4.2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4.2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4.2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4.2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4.2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4.2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4.2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4.2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4.2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4.2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4.2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4.2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4.2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4.2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4.2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4.2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4.2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4.2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4.2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4.2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4.2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4.2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4.2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4.2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4.2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4.2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4.2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4.2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4.2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4.2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4.2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4.2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4.2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4.2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4.2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4.2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4.2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4.2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4.2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4.2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4.2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4.2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4.2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4.2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4.2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4.2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4.2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4.2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4.2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4.2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4.2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4.2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4.2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4.2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4.2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4.2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4.2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4.2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4.2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4.2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4.2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4.2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4.2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4.2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4.2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4.2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4.2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4.2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4.2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4.2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4.2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4.2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4.2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4.2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4.2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4.2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4.2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4.2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4.2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4.2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4.2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4.2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4.2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4.2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4.2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4.2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4.2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4.2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4.2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4.2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4.2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4.2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4.2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4.2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4.2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4.2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4.2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4.2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4.2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4.2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4.2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4.2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4.2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4.2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4.2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4.2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4.2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4.2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4.2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4.2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4.2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4.2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4.2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4.2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4.2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4.2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4.2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4.2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4.2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4.2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4.2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4.2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4.2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4.2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4.2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4.2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4.2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4.2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4.2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4.2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4.2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4.2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4.2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4.2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4.2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4.2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4.2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4.2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4.2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4.2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4.2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4.2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4.2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4.2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4.2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4.2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4.2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4.2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4.2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4.2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4.2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4.2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4.2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4.2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4.2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4.2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4.2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4.2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4.2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4.2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4.2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4.2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4.2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4.2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4.2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4.2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4.2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4.2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4.2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4.2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4.2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4.2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4.2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4.2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4.2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4.2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4.2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4.2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4.2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4.2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4.2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4.2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4.2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4.2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4.2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4.2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4.2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4.2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4.2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4.2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4.2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4.2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4.2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4.2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4.2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4.2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4.2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4.2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4.2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4.2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4.2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4.2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4.2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4.2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4.2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4.2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4.2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4.2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4.2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4.2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4.2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4.2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4.2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4.2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4.2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4.2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4.2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4.2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4.2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4.2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4.2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4.2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4.2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4.2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4.2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4.2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4.2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4.2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4.2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4.2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4.2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4.2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4.2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4.2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4.2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4.2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4.2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4.2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4.2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4.2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4.2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4.2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4.2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4.2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4.2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4.2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4.2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4.2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4.2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4.2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4.2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4.2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4.2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4.2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4.2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4.2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4.2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4.2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4.2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4.2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4.2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4.2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4.2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4.2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4.2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4.2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4.2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4.2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4.2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4.2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4.2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4.2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4.2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4.2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05"/>
      <c r="B1" s="443"/>
      <c r="C1" s="254"/>
      <c r="D1" s="443" t="s">
        <v>0</v>
      </c>
      <c r="E1" s="221"/>
      <c r="F1" s="221"/>
      <c r="G1" s="221"/>
      <c r="H1" s="221"/>
      <c r="I1" s="221"/>
      <c r="J1" s="254"/>
      <c r="K1" s="101" t="s">
        <v>1</v>
      </c>
      <c r="L1" s="444" t="s">
        <v>365</v>
      </c>
      <c r="M1" s="21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9.5" customHeight="1" x14ac:dyDescent="0.5">
      <c r="A2" s="105"/>
      <c r="B2" s="300"/>
      <c r="C2" s="293"/>
      <c r="D2" s="300"/>
      <c r="E2" s="240"/>
      <c r="F2" s="240"/>
      <c r="G2" s="240"/>
      <c r="H2" s="240"/>
      <c r="I2" s="240"/>
      <c r="J2" s="293"/>
      <c r="K2" s="101" t="s">
        <v>3</v>
      </c>
      <c r="L2" s="446">
        <v>1</v>
      </c>
      <c r="M2" s="21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18" customHeight="1" x14ac:dyDescent="0.5">
      <c r="A3" s="105"/>
      <c r="B3" s="300"/>
      <c r="C3" s="293"/>
      <c r="D3" s="301"/>
      <c r="E3" s="235"/>
      <c r="F3" s="235"/>
      <c r="G3" s="235"/>
      <c r="H3" s="235"/>
      <c r="I3" s="235"/>
      <c r="J3" s="282"/>
      <c r="K3" s="101" t="s">
        <v>5</v>
      </c>
      <c r="L3" s="444" t="s">
        <v>6</v>
      </c>
      <c r="M3" s="21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24.75" customHeight="1" x14ac:dyDescent="0.5">
      <c r="A4" s="105"/>
      <c r="B4" s="300"/>
      <c r="C4" s="293"/>
      <c r="D4" s="443" t="s">
        <v>366</v>
      </c>
      <c r="E4" s="221"/>
      <c r="F4" s="221"/>
      <c r="G4" s="221"/>
      <c r="H4" s="221"/>
      <c r="I4" s="221"/>
      <c r="J4" s="254"/>
      <c r="K4" s="447" t="s">
        <v>7</v>
      </c>
      <c r="L4" s="444" t="s">
        <v>230</v>
      </c>
      <c r="M4" s="21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24.75" customHeight="1" x14ac:dyDescent="0.5">
      <c r="A5" s="105"/>
      <c r="B5" s="301"/>
      <c r="C5" s="282"/>
      <c r="D5" s="301"/>
      <c r="E5" s="235"/>
      <c r="F5" s="235"/>
      <c r="G5" s="235"/>
      <c r="H5" s="235"/>
      <c r="I5" s="235"/>
      <c r="J5" s="282"/>
      <c r="K5" s="384"/>
      <c r="L5" s="448" t="s">
        <v>231</v>
      </c>
      <c r="M5" s="21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30.75" customHeight="1" x14ac:dyDescent="0.5">
      <c r="A6" s="105"/>
      <c r="B6" s="441" t="s">
        <v>367</v>
      </c>
      <c r="C6" s="215"/>
      <c r="D6" s="266" t="str">
        <f>'ORDEN ENVASADO'!F6</f>
        <v>SUERO MULTIPEPTIDOS</v>
      </c>
      <c r="E6" s="212"/>
      <c r="F6" s="212"/>
      <c r="G6" s="212"/>
      <c r="H6" s="212"/>
      <c r="I6" s="213"/>
      <c r="J6" s="441" t="s">
        <v>368</v>
      </c>
      <c r="K6" s="215"/>
      <c r="L6" s="457"/>
      <c r="M6" s="21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38.25" customHeight="1" x14ac:dyDescent="0.5">
      <c r="A7" s="105"/>
      <c r="B7" s="441" t="s">
        <v>369</v>
      </c>
      <c r="C7" s="215"/>
      <c r="D7" s="458" t="str">
        <f>ACONDICIONAMIENTO!F8</f>
        <v>252521</v>
      </c>
      <c r="E7" s="215"/>
      <c r="F7" s="444" t="s">
        <v>370</v>
      </c>
      <c r="G7" s="215"/>
      <c r="H7" s="461" t="str">
        <f>ACONDICIONAMIENTO!J8</f>
        <v>OP-L-123</v>
      </c>
      <c r="I7" s="215"/>
      <c r="J7" s="441" t="s">
        <v>239</v>
      </c>
      <c r="K7" s="215"/>
      <c r="L7" s="459"/>
      <c r="M7" s="21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30" customHeight="1" x14ac:dyDescent="0.5">
      <c r="A8" s="105"/>
      <c r="B8" s="441" t="s">
        <v>24</v>
      </c>
      <c r="C8" s="215"/>
      <c r="D8" s="460" t="str">
        <f>OP!G11</f>
        <v>SOLUCION</v>
      </c>
      <c r="E8" s="212"/>
      <c r="F8" s="212"/>
      <c r="G8" s="212"/>
      <c r="H8" s="212"/>
      <c r="I8" s="215"/>
      <c r="J8" s="441" t="s">
        <v>371</v>
      </c>
      <c r="K8" s="215"/>
      <c r="L8" s="460"/>
      <c r="M8" s="21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24.75" customHeight="1" x14ac:dyDescent="0.5">
      <c r="A9" s="105"/>
      <c r="B9" s="455" t="s">
        <v>372</v>
      </c>
      <c r="C9" s="240"/>
      <c r="D9" s="240"/>
      <c r="E9" s="456"/>
      <c r="F9" s="235"/>
      <c r="G9" s="110"/>
      <c r="H9" s="110" t="s">
        <v>373</v>
      </c>
      <c r="I9" s="110"/>
      <c r="J9" s="110"/>
      <c r="K9" s="110"/>
      <c r="L9" s="110"/>
      <c r="M9" s="11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6.5" customHeight="1" x14ac:dyDescent="0.5">
      <c r="A10" s="105"/>
      <c r="B10" s="112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36" customHeight="1" x14ac:dyDescent="0.5">
      <c r="A11" s="105"/>
      <c r="B11" s="441" t="s">
        <v>374</v>
      </c>
      <c r="C11" s="215"/>
      <c r="D11" s="441" t="s">
        <v>242</v>
      </c>
      <c r="E11" s="212"/>
      <c r="F11" s="215"/>
      <c r="G11" s="441" t="s">
        <v>375</v>
      </c>
      <c r="H11" s="215"/>
      <c r="I11" s="441" t="s">
        <v>243</v>
      </c>
      <c r="J11" s="215"/>
      <c r="K11" s="107" t="s">
        <v>376</v>
      </c>
      <c r="L11" s="441" t="s">
        <v>377</v>
      </c>
      <c r="M11" s="21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31.5" customHeight="1" x14ac:dyDescent="0.5">
      <c r="A12" s="105"/>
      <c r="B12" s="454" t="s">
        <v>378</v>
      </c>
      <c r="C12" s="113" t="s">
        <v>379</v>
      </c>
      <c r="D12" s="470" t="s">
        <v>380</v>
      </c>
      <c r="E12" s="235"/>
      <c r="F12" s="282"/>
      <c r="G12" s="465" t="s">
        <v>381</v>
      </c>
      <c r="H12" s="282"/>
      <c r="I12" s="471"/>
      <c r="J12" s="282"/>
      <c r="K12" s="115"/>
      <c r="L12" s="441"/>
      <c r="M12" s="21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31.5" customHeight="1" x14ac:dyDescent="0.5">
      <c r="A13" s="105"/>
      <c r="B13" s="300"/>
      <c r="C13" s="101" t="s">
        <v>382</v>
      </c>
      <c r="D13" s="472" t="s">
        <v>383</v>
      </c>
      <c r="E13" s="235"/>
      <c r="F13" s="282"/>
      <c r="G13" s="463" t="s">
        <v>381</v>
      </c>
      <c r="H13" s="215"/>
      <c r="I13" s="441"/>
      <c r="J13" s="215"/>
      <c r="K13" s="107"/>
      <c r="L13" s="441"/>
      <c r="M13" s="21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52.5" customHeight="1" x14ac:dyDescent="0.5">
      <c r="A14" s="105"/>
      <c r="B14" s="301"/>
      <c r="C14" s="106" t="s">
        <v>384</v>
      </c>
      <c r="D14" s="469" t="str">
        <f>'COC GRANEL'!D13</f>
        <v>Líquido fluido de textura suave homogénea y sin partículas extrañas</v>
      </c>
      <c r="E14" s="212"/>
      <c r="F14" s="215"/>
      <c r="G14" s="463" t="s">
        <v>381</v>
      </c>
      <c r="H14" s="215"/>
      <c r="I14" s="441"/>
      <c r="J14" s="215"/>
      <c r="K14" s="107"/>
      <c r="L14" s="441"/>
      <c r="M14" s="21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31.5" customHeight="1" x14ac:dyDescent="0.5">
      <c r="A15" s="105"/>
      <c r="B15" s="464" t="s">
        <v>385</v>
      </c>
      <c r="C15" s="114" t="s">
        <v>251</v>
      </c>
      <c r="D15" s="468" t="str">
        <f>'COC GRANEL'!D16</f>
        <v>5,5 - 6,5</v>
      </c>
      <c r="E15" s="235"/>
      <c r="F15" s="282"/>
      <c r="G15" s="463" t="s">
        <v>386</v>
      </c>
      <c r="H15" s="215"/>
      <c r="I15" s="441"/>
      <c r="J15" s="215"/>
      <c r="K15" s="107"/>
      <c r="L15" s="441"/>
      <c r="M15" s="21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31.5" customHeight="1" x14ac:dyDescent="0.5">
      <c r="A16" s="105"/>
      <c r="B16" s="383"/>
      <c r="C16" s="108" t="s">
        <v>249</v>
      </c>
      <c r="D16" s="469" t="str">
        <f>'COC GRANEL'!D15</f>
        <v>0,950 - 1,100 g/cm³</v>
      </c>
      <c r="E16" s="212"/>
      <c r="F16" s="215"/>
      <c r="G16" s="463" t="s">
        <v>386</v>
      </c>
      <c r="H16" s="215"/>
      <c r="I16" s="441"/>
      <c r="J16" s="215"/>
      <c r="K16" s="107"/>
      <c r="L16" s="441"/>
      <c r="M16" s="21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31.5" customHeight="1" x14ac:dyDescent="0.5">
      <c r="A17" s="105"/>
      <c r="B17" s="383"/>
      <c r="C17" s="116" t="s">
        <v>247</v>
      </c>
      <c r="D17" s="461" t="s">
        <v>387</v>
      </c>
      <c r="E17" s="212"/>
      <c r="F17" s="215"/>
      <c r="G17" s="463" t="s">
        <v>386</v>
      </c>
      <c r="H17" s="215"/>
      <c r="I17" s="441"/>
      <c r="J17" s="215"/>
      <c r="K17" s="107"/>
      <c r="L17" s="441"/>
      <c r="M17" s="21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31.5" customHeight="1" x14ac:dyDescent="0.5">
      <c r="A18" s="105"/>
      <c r="B18" s="464" t="s">
        <v>388</v>
      </c>
      <c r="C18" s="117" t="s">
        <v>389</v>
      </c>
      <c r="D18" s="465" t="s">
        <v>390</v>
      </c>
      <c r="E18" s="235"/>
      <c r="F18" s="282"/>
      <c r="G18" s="461" t="s">
        <v>391</v>
      </c>
      <c r="H18" s="215"/>
      <c r="I18" s="441"/>
      <c r="J18" s="215"/>
      <c r="K18" s="107"/>
      <c r="L18" s="441"/>
      <c r="M18" s="215"/>
      <c r="N18" s="118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31.5" customHeight="1" x14ac:dyDescent="0.5">
      <c r="A19" s="105"/>
      <c r="B19" s="383"/>
      <c r="C19" s="117" t="s">
        <v>392</v>
      </c>
      <c r="D19" s="463" t="s">
        <v>393</v>
      </c>
      <c r="E19" s="212"/>
      <c r="F19" s="215"/>
      <c r="G19" s="461" t="s">
        <v>391</v>
      </c>
      <c r="H19" s="215"/>
      <c r="I19" s="441"/>
      <c r="J19" s="215"/>
      <c r="K19" s="107"/>
      <c r="L19" s="441"/>
      <c r="M19" s="215"/>
      <c r="N19" s="118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31.5" customHeight="1" x14ac:dyDescent="0.5">
      <c r="A20" s="105"/>
      <c r="B20" s="383"/>
      <c r="C20" s="117" t="s">
        <v>394</v>
      </c>
      <c r="D20" s="463" t="s">
        <v>393</v>
      </c>
      <c r="E20" s="212"/>
      <c r="F20" s="215"/>
      <c r="G20" s="461" t="s">
        <v>391</v>
      </c>
      <c r="H20" s="215"/>
      <c r="I20" s="108"/>
      <c r="J20" s="119"/>
      <c r="K20" s="107"/>
      <c r="L20" s="441"/>
      <c r="M20" s="215"/>
      <c r="N20" s="118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31.5" customHeight="1" x14ac:dyDescent="0.5">
      <c r="A21" s="105"/>
      <c r="B21" s="383"/>
      <c r="C21" s="120" t="s">
        <v>395</v>
      </c>
      <c r="D21" s="466" t="s">
        <v>393</v>
      </c>
      <c r="E21" s="221"/>
      <c r="F21" s="254"/>
      <c r="G21" s="467" t="s">
        <v>391</v>
      </c>
      <c r="H21" s="254"/>
      <c r="I21" s="445"/>
      <c r="J21" s="254"/>
      <c r="K21" s="121"/>
      <c r="L21" s="441"/>
      <c r="M21" s="215"/>
      <c r="N21" s="118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30" customHeight="1" x14ac:dyDescent="0.5">
      <c r="A22" s="105"/>
      <c r="B22" s="462" t="s">
        <v>396</v>
      </c>
      <c r="C22" s="215"/>
      <c r="D22" s="457"/>
      <c r="E22" s="212"/>
      <c r="F22" s="215"/>
      <c r="G22" s="441" t="s">
        <v>397</v>
      </c>
      <c r="H22" s="215"/>
      <c r="I22" s="460"/>
      <c r="J22" s="212"/>
      <c r="K22" s="212"/>
      <c r="L22" s="212"/>
      <c r="M22" s="215"/>
      <c r="N22" s="118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30" customHeight="1" x14ac:dyDescent="0.5">
      <c r="A23" s="105"/>
      <c r="B23" s="445" t="s">
        <v>202</v>
      </c>
      <c r="C23" s="254"/>
      <c r="D23" s="453"/>
      <c r="E23" s="221"/>
      <c r="F23" s="221"/>
      <c r="G23" s="221"/>
      <c r="H23" s="221"/>
      <c r="I23" s="221"/>
      <c r="J23" s="221"/>
      <c r="K23" s="221"/>
      <c r="L23" s="221"/>
      <c r="M23" s="254"/>
      <c r="N23" s="118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9.5" customHeight="1" x14ac:dyDescent="0.5">
      <c r="A24" s="105"/>
      <c r="B24" s="300"/>
      <c r="C24" s="293"/>
      <c r="D24" s="300"/>
      <c r="E24" s="240"/>
      <c r="F24" s="240"/>
      <c r="G24" s="240"/>
      <c r="H24" s="240"/>
      <c r="I24" s="240"/>
      <c r="J24" s="240"/>
      <c r="K24" s="240"/>
      <c r="L24" s="240"/>
      <c r="M24" s="293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30" customHeight="1" x14ac:dyDescent="0.5">
      <c r="A25" s="105"/>
      <c r="B25" s="301"/>
      <c r="C25" s="282"/>
      <c r="D25" s="301"/>
      <c r="E25" s="235"/>
      <c r="F25" s="235"/>
      <c r="G25" s="235"/>
      <c r="H25" s="235"/>
      <c r="I25" s="235"/>
      <c r="J25" s="235"/>
      <c r="K25" s="235"/>
      <c r="L25" s="235"/>
      <c r="M25" s="282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30" customHeight="1" x14ac:dyDescent="0.5">
      <c r="A26" s="105"/>
      <c r="B26" s="441" t="s">
        <v>398</v>
      </c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30" customHeight="1" x14ac:dyDescent="0.5">
      <c r="A27" s="105"/>
      <c r="B27" s="441" t="s">
        <v>399</v>
      </c>
      <c r="C27" s="215"/>
      <c r="D27" s="450"/>
      <c r="E27" s="212"/>
      <c r="F27" s="212"/>
      <c r="G27" s="215"/>
      <c r="H27" s="441" t="s">
        <v>400</v>
      </c>
      <c r="I27" s="215"/>
      <c r="J27" s="451"/>
      <c r="K27" s="212"/>
      <c r="L27" s="212"/>
      <c r="M27" s="21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30" customHeight="1" x14ac:dyDescent="0.5">
      <c r="A28" s="105"/>
      <c r="B28" s="441" t="s">
        <v>205</v>
      </c>
      <c r="C28" s="215"/>
      <c r="D28" s="450"/>
      <c r="E28" s="212"/>
      <c r="F28" s="212"/>
      <c r="G28" s="215"/>
      <c r="H28" s="441" t="s">
        <v>205</v>
      </c>
      <c r="I28" s="215"/>
      <c r="J28" s="451"/>
      <c r="K28" s="212"/>
      <c r="L28" s="212"/>
      <c r="M28" s="21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30" customHeight="1" x14ac:dyDescent="0.5">
      <c r="A29" s="105"/>
      <c r="B29" s="441" t="s">
        <v>206</v>
      </c>
      <c r="C29" s="215"/>
      <c r="D29" s="450"/>
      <c r="E29" s="212"/>
      <c r="F29" s="212"/>
      <c r="G29" s="215"/>
      <c r="H29" s="441" t="s">
        <v>206</v>
      </c>
      <c r="I29" s="215"/>
      <c r="J29" s="451"/>
      <c r="K29" s="212"/>
      <c r="L29" s="212"/>
      <c r="M29" s="21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30" customHeight="1" x14ac:dyDescent="0.5">
      <c r="A30" s="105"/>
      <c r="B30" s="452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30" customHeight="1" x14ac:dyDescent="0.5">
      <c r="A31" s="105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5.75" customHeight="1" x14ac:dyDescent="0.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5.75" customHeight="1" x14ac:dyDescent="0.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5.75" customHeight="1" x14ac:dyDescent="0.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5.75" customHeight="1" x14ac:dyDescent="0.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5.75" customHeight="1" x14ac:dyDescent="0.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5.75" customHeight="1" x14ac:dyDescent="0.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5.75" customHeight="1" x14ac:dyDescent="0.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5.75" customHeight="1" x14ac:dyDescent="0.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5.75" customHeight="1" x14ac:dyDescent="0.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5.75" customHeight="1" x14ac:dyDescent="0.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5.75" customHeight="1" x14ac:dyDescent="0.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5.75" customHeight="1" x14ac:dyDescent="0.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5.75" customHeight="1" x14ac:dyDescent="0.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5.75" customHeight="1" x14ac:dyDescent="0.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5.75" customHeight="1" x14ac:dyDescent="0.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5.75" customHeight="1" x14ac:dyDescent="0.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5.75" customHeight="1" x14ac:dyDescent="0.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5.75" customHeight="1" x14ac:dyDescent="0.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5.75" customHeight="1" x14ac:dyDescent="0.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5.75" customHeight="1" x14ac:dyDescent="0.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5.75" customHeight="1" x14ac:dyDescent="0.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5.75" customHeight="1" x14ac:dyDescent="0.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5.75" customHeight="1" x14ac:dyDescent="0.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5.75" customHeight="1" x14ac:dyDescent="0.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5.75" customHeight="1" x14ac:dyDescent="0.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5.75" customHeight="1" x14ac:dyDescent="0.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5.75" customHeight="1" x14ac:dyDescent="0.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5.75" customHeight="1" x14ac:dyDescent="0.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5.75" customHeight="1" x14ac:dyDescent="0.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5.75" customHeight="1" x14ac:dyDescent="0.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5.75" customHeight="1" x14ac:dyDescent="0.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5.75" customHeight="1" x14ac:dyDescent="0.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5.75" customHeight="1" x14ac:dyDescent="0.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5.75" customHeight="1" x14ac:dyDescent="0.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5.75" customHeight="1" x14ac:dyDescent="0.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5.75" customHeight="1" x14ac:dyDescent="0.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5.75" customHeight="1" x14ac:dyDescent="0.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5.75" customHeight="1" x14ac:dyDescent="0.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5.75" customHeight="1" x14ac:dyDescent="0.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5.75" customHeight="1" x14ac:dyDescent="0.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5.75" customHeight="1" x14ac:dyDescent="0.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5.75" customHeight="1" x14ac:dyDescent="0.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5.75" customHeight="1" x14ac:dyDescent="0.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5.75" customHeight="1" x14ac:dyDescent="0.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5.75" customHeight="1" x14ac:dyDescent="0.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5.75" customHeight="1" x14ac:dyDescent="0.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5.75" customHeight="1" x14ac:dyDescent="0.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5.75" customHeight="1" x14ac:dyDescent="0.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5.75" customHeight="1" x14ac:dyDescent="0.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5.75" customHeight="1" x14ac:dyDescent="0.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5.75" customHeight="1" x14ac:dyDescent="0.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5.75" customHeight="1" x14ac:dyDescent="0.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5.75" customHeight="1" x14ac:dyDescent="0.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5.75" customHeight="1" x14ac:dyDescent="0.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5.75" customHeight="1" x14ac:dyDescent="0.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5.75" customHeight="1" x14ac:dyDescent="0.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5.75" customHeight="1" x14ac:dyDescent="0.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5.75" customHeight="1" x14ac:dyDescent="0.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5.75" customHeight="1" x14ac:dyDescent="0.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5.75" customHeight="1" x14ac:dyDescent="0.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5.75" customHeight="1" x14ac:dyDescent="0.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5.75" customHeight="1" x14ac:dyDescent="0.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5.75" customHeight="1" x14ac:dyDescent="0.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5.75" customHeight="1" x14ac:dyDescent="0.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5.75" customHeight="1" x14ac:dyDescent="0.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5.75" customHeight="1" x14ac:dyDescent="0.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5.75" customHeight="1" x14ac:dyDescent="0.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5.75" customHeight="1" x14ac:dyDescent="0.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5.75" customHeight="1" x14ac:dyDescent="0.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5.75" customHeight="1" x14ac:dyDescent="0.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5.75" customHeight="1" x14ac:dyDescent="0.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5.75" customHeight="1" x14ac:dyDescent="0.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5.75" customHeight="1" x14ac:dyDescent="0.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5.75" customHeight="1" x14ac:dyDescent="0.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5.75" customHeight="1" x14ac:dyDescent="0.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5.75" customHeight="1" x14ac:dyDescent="0.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5.75" customHeight="1" x14ac:dyDescent="0.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5.75" customHeight="1" x14ac:dyDescent="0.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5.75" customHeight="1" x14ac:dyDescent="0.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5.75" customHeight="1" x14ac:dyDescent="0.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5.75" customHeight="1" x14ac:dyDescent="0.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5.75" customHeight="1" x14ac:dyDescent="0.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5.75" customHeight="1" x14ac:dyDescent="0.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5.75" customHeight="1" x14ac:dyDescent="0.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5.75" customHeight="1" x14ac:dyDescent="0.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5.75" customHeight="1" x14ac:dyDescent="0.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5.75" customHeight="1" x14ac:dyDescent="0.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5.75" customHeight="1" x14ac:dyDescent="0.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5.75" customHeight="1" x14ac:dyDescent="0.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5.75" customHeight="1" x14ac:dyDescent="0.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5.75" customHeight="1" x14ac:dyDescent="0.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5.75" customHeight="1" x14ac:dyDescent="0.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5.75" customHeight="1" x14ac:dyDescent="0.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5.75" customHeight="1" x14ac:dyDescent="0.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5.75" customHeight="1" x14ac:dyDescent="0.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5.75" customHeight="1" x14ac:dyDescent="0.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5.75" customHeight="1" x14ac:dyDescent="0.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5.75" customHeight="1" x14ac:dyDescent="0.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5.75" customHeight="1" x14ac:dyDescent="0.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5.75" customHeight="1" x14ac:dyDescent="0.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5.75" customHeight="1" x14ac:dyDescent="0.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5.75" customHeight="1" x14ac:dyDescent="0.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5.75" customHeight="1" x14ac:dyDescent="0.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5.75" customHeight="1" x14ac:dyDescent="0.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5.75" customHeight="1" x14ac:dyDescent="0.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5.75" customHeight="1" x14ac:dyDescent="0.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5.75" customHeight="1" x14ac:dyDescent="0.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5.75" customHeight="1" x14ac:dyDescent="0.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5.75" customHeight="1" x14ac:dyDescent="0.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5.75" customHeight="1" x14ac:dyDescent="0.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5.75" customHeight="1" x14ac:dyDescent="0.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5.75" customHeight="1" x14ac:dyDescent="0.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5.75" customHeight="1" x14ac:dyDescent="0.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5.75" customHeight="1" x14ac:dyDescent="0.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5.75" customHeight="1" x14ac:dyDescent="0.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5.75" customHeight="1" x14ac:dyDescent="0.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5.75" customHeight="1" x14ac:dyDescent="0.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5.75" customHeight="1" x14ac:dyDescent="0.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5.75" customHeight="1" x14ac:dyDescent="0.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5.75" customHeight="1" x14ac:dyDescent="0.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5.75" customHeight="1" x14ac:dyDescent="0.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5.75" customHeight="1" x14ac:dyDescent="0.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5.75" customHeight="1" x14ac:dyDescent="0.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5.75" customHeight="1" x14ac:dyDescent="0.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5.75" customHeight="1" x14ac:dyDescent="0.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5.75" customHeight="1" x14ac:dyDescent="0.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5.75" customHeight="1" x14ac:dyDescent="0.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5.75" customHeight="1" x14ac:dyDescent="0.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5.75" customHeight="1" x14ac:dyDescent="0.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5.75" customHeight="1" x14ac:dyDescent="0.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5.75" customHeight="1" x14ac:dyDescent="0.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5.75" customHeight="1" x14ac:dyDescent="0.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5.75" customHeight="1" x14ac:dyDescent="0.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5.75" customHeight="1" x14ac:dyDescent="0.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5.75" customHeight="1" x14ac:dyDescent="0.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5.75" customHeight="1" x14ac:dyDescent="0.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5.75" customHeight="1" x14ac:dyDescent="0.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5.75" customHeight="1" x14ac:dyDescent="0.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5.75" customHeight="1" x14ac:dyDescent="0.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5.75" customHeight="1" x14ac:dyDescent="0.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5.75" customHeight="1" x14ac:dyDescent="0.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5.75" customHeight="1" x14ac:dyDescent="0.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5.75" customHeight="1" x14ac:dyDescent="0.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5.75" customHeight="1" x14ac:dyDescent="0.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5.75" customHeight="1" x14ac:dyDescent="0.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5.75" customHeight="1" x14ac:dyDescent="0.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5.75" customHeight="1" x14ac:dyDescent="0.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5.75" customHeight="1" x14ac:dyDescent="0.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5.75" customHeight="1" x14ac:dyDescent="0.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5.75" customHeight="1" x14ac:dyDescent="0.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5.75" customHeight="1" x14ac:dyDescent="0.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5.75" customHeight="1" x14ac:dyDescent="0.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5.75" customHeight="1" x14ac:dyDescent="0.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5.75" customHeight="1" x14ac:dyDescent="0.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5.75" customHeight="1" x14ac:dyDescent="0.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5.75" customHeight="1" x14ac:dyDescent="0.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5.75" customHeight="1" x14ac:dyDescent="0.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5.75" customHeight="1" x14ac:dyDescent="0.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5.75" customHeight="1" x14ac:dyDescent="0.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5.75" customHeight="1" x14ac:dyDescent="0.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5.75" customHeight="1" x14ac:dyDescent="0.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5.75" customHeight="1" x14ac:dyDescent="0.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5.75" customHeight="1" x14ac:dyDescent="0.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5.75" customHeight="1" x14ac:dyDescent="0.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5.75" customHeight="1" x14ac:dyDescent="0.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5.75" customHeight="1" x14ac:dyDescent="0.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5.75" customHeight="1" x14ac:dyDescent="0.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5.75" customHeight="1" x14ac:dyDescent="0.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5.75" customHeight="1" x14ac:dyDescent="0.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5.75" customHeight="1" x14ac:dyDescent="0.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5.75" customHeight="1" x14ac:dyDescent="0.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5.75" customHeight="1" x14ac:dyDescent="0.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5.75" customHeight="1" x14ac:dyDescent="0.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5.75" customHeight="1" x14ac:dyDescent="0.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5.75" customHeight="1" x14ac:dyDescent="0.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5.75" customHeight="1" x14ac:dyDescent="0.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5.75" customHeight="1" x14ac:dyDescent="0.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5.75" customHeight="1" x14ac:dyDescent="0.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5.75" customHeight="1" x14ac:dyDescent="0.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5.75" customHeight="1" x14ac:dyDescent="0.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5.75" customHeight="1" x14ac:dyDescent="0.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5.75" customHeight="1" x14ac:dyDescent="0.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5.75" customHeight="1" x14ac:dyDescent="0.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5.75" customHeight="1" x14ac:dyDescent="0.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5.75" customHeight="1" x14ac:dyDescent="0.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5.75" customHeight="1" x14ac:dyDescent="0.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5.75" customHeight="1" x14ac:dyDescent="0.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5.75" customHeight="1" x14ac:dyDescent="0.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5.75" customHeight="1" x14ac:dyDescent="0.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 x14ac:dyDescent="0.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5.75" customHeight="1" x14ac:dyDescent="0.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5.75" customHeight="1" x14ac:dyDescent="0.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5.75" customHeight="1" x14ac:dyDescent="0.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5.75" customHeight="1" x14ac:dyDescent="0.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5.75" customHeight="1" x14ac:dyDescent="0.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5.75" customHeight="1" x14ac:dyDescent="0.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5.75" customHeight="1" x14ac:dyDescent="0.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5.75" customHeight="1" x14ac:dyDescent="0.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5.75" customHeight="1" x14ac:dyDescent="0.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5.75" customHeight="1" x14ac:dyDescent="0.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5.75" customHeight="1" x14ac:dyDescent="0.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5.75" customHeight="1" x14ac:dyDescent="0.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5.75" customHeight="1" x14ac:dyDescent="0.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5.75" customHeight="1" x14ac:dyDescent="0.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5.75" customHeight="1" x14ac:dyDescent="0.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5.75" customHeight="1" x14ac:dyDescent="0.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5.75" customHeight="1" x14ac:dyDescent="0.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5.75" customHeight="1" x14ac:dyDescent="0.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5.75" customHeight="1" x14ac:dyDescent="0.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5.75" customHeight="1" x14ac:dyDescent="0.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5.75" customHeight="1" x14ac:dyDescent="0.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5.75" customHeight="1" x14ac:dyDescent="0.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5.75" customHeight="1" x14ac:dyDescent="0.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5.75" customHeight="1" x14ac:dyDescent="0.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5.75" customHeight="1" x14ac:dyDescent="0.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5.75" customHeight="1" x14ac:dyDescent="0.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5.75" customHeight="1" x14ac:dyDescent="0.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5.75" customHeight="1" x14ac:dyDescent="0.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5.75" customHeight="1" x14ac:dyDescent="0.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5.75" customHeight="1" x14ac:dyDescent="0.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5.75" customHeight="1" x14ac:dyDescent="0.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5.75" customHeight="1" x14ac:dyDescent="0.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5.75" customHeight="1" x14ac:dyDescent="0.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5.75" customHeight="1" x14ac:dyDescent="0.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5.75" customHeight="1" x14ac:dyDescent="0.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5.75" customHeight="1" x14ac:dyDescent="0.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5.75" customHeight="1" x14ac:dyDescent="0.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5.75" customHeight="1" x14ac:dyDescent="0.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5.75" customHeight="1" x14ac:dyDescent="0.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5.75" customHeight="1" x14ac:dyDescent="0.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5.75" customHeight="1" x14ac:dyDescent="0.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5.75" customHeight="1" x14ac:dyDescent="0.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5.75" customHeight="1" x14ac:dyDescent="0.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5.75" customHeight="1" x14ac:dyDescent="0.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5.75" customHeight="1" x14ac:dyDescent="0.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5.75" customHeight="1" x14ac:dyDescent="0.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5.75" customHeight="1" x14ac:dyDescent="0.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5.75" customHeight="1" x14ac:dyDescent="0.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5.75" customHeight="1" x14ac:dyDescent="0.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5.75" customHeight="1" x14ac:dyDescent="0.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5.75" customHeight="1" x14ac:dyDescent="0.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5.75" customHeight="1" x14ac:dyDescent="0.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5.75" customHeight="1" x14ac:dyDescent="0.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5.75" customHeight="1" x14ac:dyDescent="0.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5.75" customHeight="1" x14ac:dyDescent="0.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5.75" customHeight="1" x14ac:dyDescent="0.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5.75" customHeight="1" x14ac:dyDescent="0.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5.75" customHeight="1" x14ac:dyDescent="0.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5.75" customHeight="1" x14ac:dyDescent="0.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5.75" customHeight="1" x14ac:dyDescent="0.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5.75" customHeight="1" x14ac:dyDescent="0.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5.75" customHeight="1" x14ac:dyDescent="0.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5.75" customHeight="1" x14ac:dyDescent="0.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5.75" customHeight="1" x14ac:dyDescent="0.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5.75" customHeight="1" x14ac:dyDescent="0.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5.75" customHeight="1" x14ac:dyDescent="0.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5.75" customHeight="1" x14ac:dyDescent="0.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5.75" customHeight="1" x14ac:dyDescent="0.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5.75" customHeight="1" x14ac:dyDescent="0.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5.75" customHeight="1" x14ac:dyDescent="0.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5.75" customHeight="1" x14ac:dyDescent="0.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5.75" customHeight="1" x14ac:dyDescent="0.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5.75" customHeight="1" x14ac:dyDescent="0.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5.75" customHeight="1" x14ac:dyDescent="0.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5.75" customHeight="1" x14ac:dyDescent="0.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5.75" customHeight="1" x14ac:dyDescent="0.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5.75" customHeight="1" x14ac:dyDescent="0.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5.75" customHeight="1" x14ac:dyDescent="0.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5.75" customHeight="1" x14ac:dyDescent="0.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5.75" customHeight="1" x14ac:dyDescent="0.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5.75" customHeight="1" x14ac:dyDescent="0.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5.75" customHeight="1" x14ac:dyDescent="0.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5.75" customHeight="1" x14ac:dyDescent="0.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5.75" customHeight="1" x14ac:dyDescent="0.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5.75" customHeight="1" x14ac:dyDescent="0.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5.75" customHeight="1" x14ac:dyDescent="0.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5.75" customHeight="1" x14ac:dyDescent="0.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5.75" customHeight="1" x14ac:dyDescent="0.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5.75" customHeight="1" x14ac:dyDescent="0.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5.75" customHeight="1" x14ac:dyDescent="0.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5.75" customHeight="1" x14ac:dyDescent="0.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5.75" customHeight="1" x14ac:dyDescent="0.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5.75" customHeight="1" x14ac:dyDescent="0.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5.75" customHeight="1" x14ac:dyDescent="0.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5.75" customHeight="1" x14ac:dyDescent="0.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5.75" customHeight="1" x14ac:dyDescent="0.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5.75" customHeight="1" x14ac:dyDescent="0.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5.75" customHeight="1" x14ac:dyDescent="0.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5.75" customHeight="1" x14ac:dyDescent="0.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5.75" customHeight="1" x14ac:dyDescent="0.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5.75" customHeight="1" x14ac:dyDescent="0.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5.75" customHeight="1" x14ac:dyDescent="0.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5.75" customHeight="1" x14ac:dyDescent="0.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5.75" customHeight="1" x14ac:dyDescent="0.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5.75" customHeight="1" x14ac:dyDescent="0.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5.75" customHeight="1" x14ac:dyDescent="0.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5.75" customHeight="1" x14ac:dyDescent="0.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5.75" customHeight="1" x14ac:dyDescent="0.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5.75" customHeight="1" x14ac:dyDescent="0.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5.75" customHeight="1" x14ac:dyDescent="0.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5.75" customHeight="1" x14ac:dyDescent="0.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5.75" customHeight="1" x14ac:dyDescent="0.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5.75" customHeight="1" x14ac:dyDescent="0.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5.75" customHeight="1" x14ac:dyDescent="0.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5.75" customHeight="1" x14ac:dyDescent="0.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5.75" customHeight="1" x14ac:dyDescent="0.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5.75" customHeight="1" x14ac:dyDescent="0.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5.75" customHeight="1" x14ac:dyDescent="0.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5.75" customHeight="1" x14ac:dyDescent="0.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5.75" customHeight="1" x14ac:dyDescent="0.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5.75" customHeight="1" x14ac:dyDescent="0.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5.75" customHeight="1" x14ac:dyDescent="0.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5.75" customHeight="1" x14ac:dyDescent="0.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5.75" customHeight="1" x14ac:dyDescent="0.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5.75" customHeight="1" x14ac:dyDescent="0.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5.75" customHeight="1" x14ac:dyDescent="0.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5.75" customHeight="1" x14ac:dyDescent="0.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5.75" customHeight="1" x14ac:dyDescent="0.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5.75" customHeight="1" x14ac:dyDescent="0.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5.75" customHeight="1" x14ac:dyDescent="0.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5.75" customHeight="1" x14ac:dyDescent="0.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5.75" customHeight="1" x14ac:dyDescent="0.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5.75" customHeight="1" x14ac:dyDescent="0.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5.75" customHeight="1" x14ac:dyDescent="0.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5.75" customHeight="1" x14ac:dyDescent="0.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5.75" customHeight="1" x14ac:dyDescent="0.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5.75" customHeight="1" x14ac:dyDescent="0.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5.75" customHeight="1" x14ac:dyDescent="0.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5.75" customHeight="1" x14ac:dyDescent="0.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5.75" customHeight="1" x14ac:dyDescent="0.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5.75" customHeight="1" x14ac:dyDescent="0.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5.75" customHeight="1" x14ac:dyDescent="0.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5.75" customHeight="1" x14ac:dyDescent="0.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5.75" customHeight="1" x14ac:dyDescent="0.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5.75" customHeight="1" x14ac:dyDescent="0.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5.75" customHeight="1" x14ac:dyDescent="0.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5.75" customHeight="1" x14ac:dyDescent="0.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5.75" customHeight="1" x14ac:dyDescent="0.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5.75" customHeight="1" x14ac:dyDescent="0.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5.75" customHeight="1" x14ac:dyDescent="0.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5.75" customHeight="1" x14ac:dyDescent="0.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5.75" customHeight="1" x14ac:dyDescent="0.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5.75" customHeight="1" x14ac:dyDescent="0.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5.75" customHeight="1" x14ac:dyDescent="0.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5.75" customHeight="1" x14ac:dyDescent="0.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5.75" customHeight="1" x14ac:dyDescent="0.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5.75" customHeight="1" x14ac:dyDescent="0.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5.75" customHeight="1" x14ac:dyDescent="0.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5.75" customHeight="1" x14ac:dyDescent="0.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5.75" customHeight="1" x14ac:dyDescent="0.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5.75" customHeight="1" x14ac:dyDescent="0.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5.75" customHeight="1" x14ac:dyDescent="0.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5.75" customHeight="1" x14ac:dyDescent="0.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5.75" customHeight="1" x14ac:dyDescent="0.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5.75" customHeight="1" x14ac:dyDescent="0.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5.75" customHeight="1" x14ac:dyDescent="0.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5.75" customHeight="1" x14ac:dyDescent="0.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5.75" customHeight="1" x14ac:dyDescent="0.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5.75" customHeight="1" x14ac:dyDescent="0.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5.75" customHeight="1" x14ac:dyDescent="0.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5.75" customHeight="1" x14ac:dyDescent="0.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5.75" customHeight="1" x14ac:dyDescent="0.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5.75" customHeight="1" x14ac:dyDescent="0.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5.75" customHeight="1" x14ac:dyDescent="0.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5.75" customHeight="1" x14ac:dyDescent="0.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5.75" customHeight="1" x14ac:dyDescent="0.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5.75" customHeight="1" x14ac:dyDescent="0.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5.75" customHeight="1" x14ac:dyDescent="0.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5.75" customHeight="1" x14ac:dyDescent="0.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5.75" customHeight="1" x14ac:dyDescent="0.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5.75" customHeight="1" x14ac:dyDescent="0.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5.75" customHeight="1" x14ac:dyDescent="0.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5.75" customHeight="1" x14ac:dyDescent="0.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5.75" customHeight="1" x14ac:dyDescent="0.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5.75" customHeight="1" x14ac:dyDescent="0.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5.75" customHeight="1" x14ac:dyDescent="0.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5.75" customHeight="1" x14ac:dyDescent="0.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5.75" customHeight="1" x14ac:dyDescent="0.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5.75" customHeight="1" x14ac:dyDescent="0.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5.75" customHeight="1" x14ac:dyDescent="0.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5.75" customHeight="1" x14ac:dyDescent="0.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5.75" customHeight="1" x14ac:dyDescent="0.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5.75" customHeight="1" x14ac:dyDescent="0.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5.75" customHeight="1" x14ac:dyDescent="0.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5.75" customHeight="1" x14ac:dyDescent="0.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5.75" customHeight="1" x14ac:dyDescent="0.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5.75" customHeight="1" x14ac:dyDescent="0.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5.75" customHeight="1" x14ac:dyDescent="0.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5.75" customHeight="1" x14ac:dyDescent="0.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5.75" customHeight="1" x14ac:dyDescent="0.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5.75" customHeight="1" x14ac:dyDescent="0.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5.75" customHeight="1" x14ac:dyDescent="0.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5.75" customHeight="1" x14ac:dyDescent="0.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5.75" customHeight="1" x14ac:dyDescent="0.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5.75" customHeight="1" x14ac:dyDescent="0.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5.75" customHeight="1" x14ac:dyDescent="0.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5.75" customHeight="1" x14ac:dyDescent="0.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5.75" customHeight="1" x14ac:dyDescent="0.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5.75" customHeight="1" x14ac:dyDescent="0.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5.75" customHeight="1" x14ac:dyDescent="0.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5.75" customHeight="1" x14ac:dyDescent="0.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5.75" customHeight="1" x14ac:dyDescent="0.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5.75" customHeight="1" x14ac:dyDescent="0.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5.75" customHeight="1" x14ac:dyDescent="0.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5.75" customHeight="1" x14ac:dyDescent="0.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5.75" customHeight="1" x14ac:dyDescent="0.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5.75" customHeight="1" x14ac:dyDescent="0.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5.75" customHeight="1" x14ac:dyDescent="0.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5.75" customHeight="1" x14ac:dyDescent="0.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5.75" customHeight="1" x14ac:dyDescent="0.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5.75" customHeight="1" x14ac:dyDescent="0.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5.75" customHeight="1" x14ac:dyDescent="0.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5.75" customHeight="1" x14ac:dyDescent="0.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5.75" customHeight="1" x14ac:dyDescent="0.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5.75" customHeight="1" x14ac:dyDescent="0.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5.75" customHeight="1" x14ac:dyDescent="0.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5.75" customHeight="1" x14ac:dyDescent="0.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5.75" customHeight="1" x14ac:dyDescent="0.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5.75" customHeight="1" x14ac:dyDescent="0.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5.75" customHeight="1" x14ac:dyDescent="0.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5.75" customHeight="1" x14ac:dyDescent="0.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5.75" customHeight="1" x14ac:dyDescent="0.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5.75" customHeight="1" x14ac:dyDescent="0.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5.75" customHeight="1" x14ac:dyDescent="0.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5.75" customHeight="1" x14ac:dyDescent="0.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5.75" customHeight="1" x14ac:dyDescent="0.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5.75" customHeight="1" x14ac:dyDescent="0.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5.75" customHeight="1" x14ac:dyDescent="0.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5.75" customHeight="1" x14ac:dyDescent="0.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5.75" customHeight="1" x14ac:dyDescent="0.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5.75" customHeight="1" x14ac:dyDescent="0.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5.75" customHeight="1" x14ac:dyDescent="0.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5.75" customHeight="1" x14ac:dyDescent="0.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5.75" customHeight="1" x14ac:dyDescent="0.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5.75" customHeight="1" x14ac:dyDescent="0.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5.75" customHeight="1" x14ac:dyDescent="0.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5.75" customHeight="1" x14ac:dyDescent="0.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5.75" customHeight="1" x14ac:dyDescent="0.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5.75" customHeight="1" x14ac:dyDescent="0.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5.75" customHeight="1" x14ac:dyDescent="0.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5.75" customHeight="1" x14ac:dyDescent="0.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5.75" customHeight="1" x14ac:dyDescent="0.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5.75" customHeight="1" x14ac:dyDescent="0.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5.75" customHeight="1" x14ac:dyDescent="0.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5.75" customHeight="1" x14ac:dyDescent="0.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5.75" customHeight="1" x14ac:dyDescent="0.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5.75" customHeight="1" x14ac:dyDescent="0.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5.75" customHeight="1" x14ac:dyDescent="0.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5.75" customHeight="1" x14ac:dyDescent="0.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5.75" customHeight="1" x14ac:dyDescent="0.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5.75" customHeight="1" x14ac:dyDescent="0.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5.75" customHeight="1" x14ac:dyDescent="0.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5.75" customHeight="1" x14ac:dyDescent="0.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5.75" customHeight="1" x14ac:dyDescent="0.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5.75" customHeight="1" x14ac:dyDescent="0.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5.75" customHeight="1" x14ac:dyDescent="0.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5.75" customHeight="1" x14ac:dyDescent="0.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5.75" customHeight="1" x14ac:dyDescent="0.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5.75" customHeight="1" x14ac:dyDescent="0.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5.75" customHeight="1" x14ac:dyDescent="0.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5.75" customHeight="1" x14ac:dyDescent="0.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5.75" customHeight="1" x14ac:dyDescent="0.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5.75" customHeight="1" x14ac:dyDescent="0.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5.75" customHeight="1" x14ac:dyDescent="0.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5.75" customHeight="1" x14ac:dyDescent="0.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5.75" customHeight="1" x14ac:dyDescent="0.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5.75" customHeight="1" x14ac:dyDescent="0.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5.75" customHeight="1" x14ac:dyDescent="0.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5.75" customHeight="1" x14ac:dyDescent="0.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5.75" customHeight="1" x14ac:dyDescent="0.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5.75" customHeight="1" x14ac:dyDescent="0.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5.75" customHeight="1" x14ac:dyDescent="0.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5.75" customHeight="1" x14ac:dyDescent="0.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5.75" customHeight="1" x14ac:dyDescent="0.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5.75" customHeight="1" x14ac:dyDescent="0.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5.75" customHeight="1" x14ac:dyDescent="0.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5.75" customHeight="1" x14ac:dyDescent="0.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5.75" customHeight="1" x14ac:dyDescent="0.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5.75" customHeight="1" x14ac:dyDescent="0.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5.75" customHeight="1" x14ac:dyDescent="0.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5.75" customHeight="1" x14ac:dyDescent="0.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5.75" customHeight="1" x14ac:dyDescent="0.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5.75" customHeight="1" x14ac:dyDescent="0.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5.75" customHeight="1" x14ac:dyDescent="0.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5.75" customHeight="1" x14ac:dyDescent="0.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5.75" customHeight="1" x14ac:dyDescent="0.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5.75" customHeight="1" x14ac:dyDescent="0.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5.75" customHeight="1" x14ac:dyDescent="0.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5.75" customHeight="1" x14ac:dyDescent="0.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5.75" customHeight="1" x14ac:dyDescent="0.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5.75" customHeight="1" x14ac:dyDescent="0.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5.75" customHeight="1" x14ac:dyDescent="0.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5.75" customHeight="1" x14ac:dyDescent="0.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5.75" customHeight="1" x14ac:dyDescent="0.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5.75" customHeight="1" x14ac:dyDescent="0.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5.75" customHeight="1" x14ac:dyDescent="0.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5.75" customHeight="1" x14ac:dyDescent="0.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5.75" customHeight="1" x14ac:dyDescent="0.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5.75" customHeight="1" x14ac:dyDescent="0.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5.75" customHeight="1" x14ac:dyDescent="0.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5.75" customHeight="1" x14ac:dyDescent="0.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5.75" customHeight="1" x14ac:dyDescent="0.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5.75" customHeight="1" x14ac:dyDescent="0.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5.75" customHeight="1" x14ac:dyDescent="0.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5.75" customHeight="1" x14ac:dyDescent="0.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5.75" customHeight="1" x14ac:dyDescent="0.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5.75" customHeight="1" x14ac:dyDescent="0.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5.75" customHeight="1" x14ac:dyDescent="0.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5.75" customHeight="1" x14ac:dyDescent="0.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5.75" customHeight="1" x14ac:dyDescent="0.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5.75" customHeight="1" x14ac:dyDescent="0.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5.75" customHeight="1" x14ac:dyDescent="0.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5.75" customHeight="1" x14ac:dyDescent="0.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5.75" customHeight="1" x14ac:dyDescent="0.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5.75" customHeight="1" x14ac:dyDescent="0.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5.75" customHeight="1" x14ac:dyDescent="0.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5.75" customHeight="1" x14ac:dyDescent="0.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5.75" customHeight="1" x14ac:dyDescent="0.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5.75" customHeight="1" x14ac:dyDescent="0.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5.75" customHeight="1" x14ac:dyDescent="0.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5.75" customHeight="1" x14ac:dyDescent="0.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5.75" customHeight="1" x14ac:dyDescent="0.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5.75" customHeight="1" x14ac:dyDescent="0.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5.75" customHeight="1" x14ac:dyDescent="0.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5.75" customHeight="1" x14ac:dyDescent="0.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5.75" customHeight="1" x14ac:dyDescent="0.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5.75" customHeight="1" x14ac:dyDescent="0.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5.75" customHeight="1" x14ac:dyDescent="0.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5.75" customHeight="1" x14ac:dyDescent="0.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5.75" customHeight="1" x14ac:dyDescent="0.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5.75" customHeight="1" x14ac:dyDescent="0.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5.75" customHeight="1" x14ac:dyDescent="0.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5.75" customHeight="1" x14ac:dyDescent="0.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5.75" customHeight="1" x14ac:dyDescent="0.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5.75" customHeight="1" x14ac:dyDescent="0.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5.75" customHeight="1" x14ac:dyDescent="0.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5.75" customHeight="1" x14ac:dyDescent="0.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5.75" customHeight="1" x14ac:dyDescent="0.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5.75" customHeight="1" x14ac:dyDescent="0.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5.75" customHeight="1" x14ac:dyDescent="0.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5.75" customHeight="1" x14ac:dyDescent="0.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5.75" customHeight="1" x14ac:dyDescent="0.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5.75" customHeight="1" x14ac:dyDescent="0.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5.75" customHeight="1" x14ac:dyDescent="0.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5.75" customHeight="1" x14ac:dyDescent="0.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5.75" customHeight="1" x14ac:dyDescent="0.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5.75" customHeight="1" x14ac:dyDescent="0.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5.75" customHeight="1" x14ac:dyDescent="0.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5.75" customHeight="1" x14ac:dyDescent="0.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5.75" customHeight="1" x14ac:dyDescent="0.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5.75" customHeight="1" x14ac:dyDescent="0.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5.75" customHeight="1" x14ac:dyDescent="0.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5.75" customHeight="1" x14ac:dyDescent="0.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5.75" customHeight="1" x14ac:dyDescent="0.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5.75" customHeight="1" x14ac:dyDescent="0.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5.75" customHeight="1" x14ac:dyDescent="0.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5.75" customHeight="1" x14ac:dyDescent="0.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5.75" customHeight="1" x14ac:dyDescent="0.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5.75" customHeight="1" x14ac:dyDescent="0.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5.75" customHeight="1" x14ac:dyDescent="0.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5.75" customHeight="1" x14ac:dyDescent="0.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5.75" customHeight="1" x14ac:dyDescent="0.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5.75" customHeight="1" x14ac:dyDescent="0.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5.75" customHeight="1" x14ac:dyDescent="0.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5.75" customHeight="1" x14ac:dyDescent="0.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5.75" customHeight="1" x14ac:dyDescent="0.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5.75" customHeight="1" x14ac:dyDescent="0.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5.75" customHeight="1" x14ac:dyDescent="0.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5.75" customHeight="1" x14ac:dyDescent="0.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5.75" customHeight="1" x14ac:dyDescent="0.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5.75" customHeight="1" x14ac:dyDescent="0.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5.75" customHeight="1" x14ac:dyDescent="0.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5.75" customHeight="1" x14ac:dyDescent="0.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5.75" customHeight="1" x14ac:dyDescent="0.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5.75" customHeight="1" x14ac:dyDescent="0.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5.75" customHeight="1" x14ac:dyDescent="0.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5.75" customHeight="1" x14ac:dyDescent="0.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5.75" customHeight="1" x14ac:dyDescent="0.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5.75" customHeight="1" x14ac:dyDescent="0.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5.75" customHeight="1" x14ac:dyDescent="0.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5.75" customHeight="1" x14ac:dyDescent="0.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5.75" customHeight="1" x14ac:dyDescent="0.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5.75" customHeight="1" x14ac:dyDescent="0.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5.75" customHeight="1" x14ac:dyDescent="0.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5.75" customHeight="1" x14ac:dyDescent="0.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5.75" customHeight="1" x14ac:dyDescent="0.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5.75" customHeight="1" x14ac:dyDescent="0.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5.75" customHeight="1" x14ac:dyDescent="0.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5.75" customHeight="1" x14ac:dyDescent="0.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5.75" customHeight="1" x14ac:dyDescent="0.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5.75" customHeight="1" x14ac:dyDescent="0.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5.75" customHeight="1" x14ac:dyDescent="0.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5.75" customHeight="1" x14ac:dyDescent="0.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5.75" customHeight="1" x14ac:dyDescent="0.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5.75" customHeight="1" x14ac:dyDescent="0.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5.75" customHeight="1" x14ac:dyDescent="0.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5.75" customHeight="1" x14ac:dyDescent="0.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5.75" customHeight="1" x14ac:dyDescent="0.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5.75" customHeight="1" x14ac:dyDescent="0.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5.75" customHeight="1" x14ac:dyDescent="0.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5.75" customHeight="1" x14ac:dyDescent="0.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5.75" customHeight="1" x14ac:dyDescent="0.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5.75" customHeight="1" x14ac:dyDescent="0.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5.75" customHeight="1" x14ac:dyDescent="0.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5.75" customHeight="1" x14ac:dyDescent="0.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5.75" customHeight="1" x14ac:dyDescent="0.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5.75" customHeight="1" x14ac:dyDescent="0.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5.75" customHeight="1" x14ac:dyDescent="0.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5.75" customHeight="1" x14ac:dyDescent="0.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5.75" customHeight="1" x14ac:dyDescent="0.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5.75" customHeight="1" x14ac:dyDescent="0.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5.75" customHeight="1" x14ac:dyDescent="0.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5.75" customHeight="1" x14ac:dyDescent="0.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5.75" customHeight="1" x14ac:dyDescent="0.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5.75" customHeight="1" x14ac:dyDescent="0.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5.75" customHeight="1" x14ac:dyDescent="0.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5.75" customHeight="1" x14ac:dyDescent="0.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5.75" customHeight="1" x14ac:dyDescent="0.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5.75" customHeight="1" x14ac:dyDescent="0.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5.75" customHeight="1" x14ac:dyDescent="0.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5.75" customHeight="1" x14ac:dyDescent="0.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5.75" customHeight="1" x14ac:dyDescent="0.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5.75" customHeight="1" x14ac:dyDescent="0.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5.75" customHeight="1" x14ac:dyDescent="0.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5.75" customHeight="1" x14ac:dyDescent="0.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5.75" customHeight="1" x14ac:dyDescent="0.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5.75" customHeight="1" x14ac:dyDescent="0.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5.75" customHeight="1" x14ac:dyDescent="0.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5.75" customHeight="1" x14ac:dyDescent="0.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5.75" customHeight="1" x14ac:dyDescent="0.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5.75" customHeight="1" x14ac:dyDescent="0.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5.75" customHeight="1" x14ac:dyDescent="0.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5.75" customHeight="1" x14ac:dyDescent="0.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5.75" customHeight="1" x14ac:dyDescent="0.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5.75" customHeight="1" x14ac:dyDescent="0.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5.75" customHeight="1" x14ac:dyDescent="0.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5.75" customHeight="1" x14ac:dyDescent="0.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5.75" customHeight="1" x14ac:dyDescent="0.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5.75" customHeight="1" x14ac:dyDescent="0.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5.75" customHeight="1" x14ac:dyDescent="0.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5.75" customHeight="1" x14ac:dyDescent="0.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5.75" customHeight="1" x14ac:dyDescent="0.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5.75" customHeight="1" x14ac:dyDescent="0.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5.75" customHeight="1" x14ac:dyDescent="0.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5.75" customHeight="1" x14ac:dyDescent="0.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5.75" customHeight="1" x14ac:dyDescent="0.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5.75" customHeight="1" x14ac:dyDescent="0.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5.75" customHeight="1" x14ac:dyDescent="0.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5.75" customHeight="1" x14ac:dyDescent="0.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5.75" customHeight="1" x14ac:dyDescent="0.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5.75" customHeight="1" x14ac:dyDescent="0.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5.75" customHeight="1" x14ac:dyDescent="0.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5.75" customHeight="1" x14ac:dyDescent="0.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5.75" customHeight="1" x14ac:dyDescent="0.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5.75" customHeight="1" x14ac:dyDescent="0.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5.75" customHeight="1" x14ac:dyDescent="0.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5.75" customHeight="1" x14ac:dyDescent="0.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5.75" customHeight="1" x14ac:dyDescent="0.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5.75" customHeight="1" x14ac:dyDescent="0.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5.75" customHeight="1" x14ac:dyDescent="0.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5.75" customHeight="1" x14ac:dyDescent="0.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5.75" customHeight="1" x14ac:dyDescent="0.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5.75" customHeight="1" x14ac:dyDescent="0.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5.75" customHeight="1" x14ac:dyDescent="0.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5.75" customHeight="1" x14ac:dyDescent="0.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5.75" customHeight="1" x14ac:dyDescent="0.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5.75" customHeight="1" x14ac:dyDescent="0.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5.75" customHeight="1" x14ac:dyDescent="0.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5.75" customHeight="1" x14ac:dyDescent="0.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5.75" customHeight="1" x14ac:dyDescent="0.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5.75" customHeight="1" x14ac:dyDescent="0.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5.75" customHeight="1" x14ac:dyDescent="0.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5.75" customHeight="1" x14ac:dyDescent="0.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5.75" customHeight="1" x14ac:dyDescent="0.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5.75" customHeight="1" x14ac:dyDescent="0.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5.75" customHeight="1" x14ac:dyDescent="0.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5.75" customHeight="1" x14ac:dyDescent="0.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5.75" customHeight="1" x14ac:dyDescent="0.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5.75" customHeight="1" x14ac:dyDescent="0.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5.75" customHeight="1" x14ac:dyDescent="0.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5.75" customHeight="1" x14ac:dyDescent="0.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5.75" customHeight="1" x14ac:dyDescent="0.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5.75" customHeight="1" x14ac:dyDescent="0.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5.75" customHeight="1" x14ac:dyDescent="0.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5.75" customHeight="1" x14ac:dyDescent="0.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5.75" customHeight="1" x14ac:dyDescent="0.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5.75" customHeight="1" x14ac:dyDescent="0.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5.75" customHeight="1" x14ac:dyDescent="0.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5.75" customHeight="1" x14ac:dyDescent="0.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5.75" customHeight="1" x14ac:dyDescent="0.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5.75" customHeight="1" x14ac:dyDescent="0.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5.75" customHeight="1" x14ac:dyDescent="0.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5.75" customHeight="1" x14ac:dyDescent="0.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5.75" customHeight="1" x14ac:dyDescent="0.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5.75" customHeight="1" x14ac:dyDescent="0.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5.75" customHeight="1" x14ac:dyDescent="0.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5.75" customHeight="1" x14ac:dyDescent="0.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5.75" customHeight="1" x14ac:dyDescent="0.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5.75" customHeight="1" x14ac:dyDescent="0.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5.75" customHeight="1" x14ac:dyDescent="0.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5.75" customHeight="1" x14ac:dyDescent="0.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5.75" customHeight="1" x14ac:dyDescent="0.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5.75" customHeight="1" x14ac:dyDescent="0.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5.75" customHeight="1" x14ac:dyDescent="0.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5.75" customHeight="1" x14ac:dyDescent="0.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5.75" customHeight="1" x14ac:dyDescent="0.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5.75" customHeight="1" x14ac:dyDescent="0.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5.75" customHeight="1" x14ac:dyDescent="0.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5.75" customHeight="1" x14ac:dyDescent="0.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5.75" customHeight="1" x14ac:dyDescent="0.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5.75" customHeight="1" x14ac:dyDescent="0.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5.75" customHeight="1" x14ac:dyDescent="0.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5.75" customHeight="1" x14ac:dyDescent="0.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5.75" customHeight="1" x14ac:dyDescent="0.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5.75" customHeight="1" x14ac:dyDescent="0.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5.75" customHeight="1" x14ac:dyDescent="0.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5.75" customHeight="1" x14ac:dyDescent="0.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5.75" customHeight="1" x14ac:dyDescent="0.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5.75" customHeight="1" x14ac:dyDescent="0.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5.75" customHeight="1" x14ac:dyDescent="0.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5.75" customHeight="1" x14ac:dyDescent="0.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5.75" customHeight="1" x14ac:dyDescent="0.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5.75" customHeight="1" x14ac:dyDescent="0.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5.75" customHeight="1" x14ac:dyDescent="0.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5.75" customHeight="1" x14ac:dyDescent="0.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5.75" customHeight="1" x14ac:dyDescent="0.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5.75" customHeight="1" x14ac:dyDescent="0.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5.75" customHeight="1" x14ac:dyDescent="0.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5.75" customHeight="1" x14ac:dyDescent="0.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5.75" customHeight="1" x14ac:dyDescent="0.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5.75" customHeight="1" x14ac:dyDescent="0.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5.75" customHeight="1" x14ac:dyDescent="0.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5.75" customHeight="1" x14ac:dyDescent="0.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5.75" customHeight="1" x14ac:dyDescent="0.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5.75" customHeight="1" x14ac:dyDescent="0.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5.75" customHeight="1" x14ac:dyDescent="0.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5.75" customHeight="1" x14ac:dyDescent="0.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5.75" customHeight="1" x14ac:dyDescent="0.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5.75" customHeight="1" x14ac:dyDescent="0.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5.75" customHeight="1" x14ac:dyDescent="0.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5.75" customHeight="1" x14ac:dyDescent="0.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5.75" customHeight="1" x14ac:dyDescent="0.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5.75" customHeight="1" x14ac:dyDescent="0.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5.75" customHeight="1" x14ac:dyDescent="0.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5.75" customHeight="1" x14ac:dyDescent="0.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5.75" customHeight="1" x14ac:dyDescent="0.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5.75" customHeight="1" x14ac:dyDescent="0.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5.75" customHeight="1" x14ac:dyDescent="0.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5.75" customHeight="1" x14ac:dyDescent="0.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5.75" customHeight="1" x14ac:dyDescent="0.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5.75" customHeight="1" x14ac:dyDescent="0.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5.75" customHeight="1" x14ac:dyDescent="0.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5.75" customHeight="1" x14ac:dyDescent="0.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5.75" customHeight="1" x14ac:dyDescent="0.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5.75" customHeight="1" x14ac:dyDescent="0.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5.75" customHeight="1" x14ac:dyDescent="0.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5.75" customHeight="1" x14ac:dyDescent="0.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5.75" customHeight="1" x14ac:dyDescent="0.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5.75" customHeight="1" x14ac:dyDescent="0.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5.75" customHeight="1" x14ac:dyDescent="0.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5.75" customHeight="1" x14ac:dyDescent="0.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5.75" customHeight="1" x14ac:dyDescent="0.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5.75" customHeight="1" x14ac:dyDescent="0.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5.75" customHeight="1" x14ac:dyDescent="0.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5.75" customHeight="1" x14ac:dyDescent="0.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5.75" customHeight="1" x14ac:dyDescent="0.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5.75" customHeight="1" x14ac:dyDescent="0.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5.75" customHeight="1" x14ac:dyDescent="0.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5.75" customHeight="1" x14ac:dyDescent="0.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5.75" customHeight="1" x14ac:dyDescent="0.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5.75" customHeight="1" x14ac:dyDescent="0.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5.75" customHeight="1" x14ac:dyDescent="0.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5.75" customHeight="1" x14ac:dyDescent="0.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5.75" customHeight="1" x14ac:dyDescent="0.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5.75" customHeight="1" x14ac:dyDescent="0.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5.75" customHeight="1" x14ac:dyDescent="0.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5.75" customHeight="1" x14ac:dyDescent="0.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5.75" customHeight="1" x14ac:dyDescent="0.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5.75" customHeight="1" x14ac:dyDescent="0.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5.75" customHeight="1" x14ac:dyDescent="0.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5.75" customHeight="1" x14ac:dyDescent="0.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5.75" customHeight="1" x14ac:dyDescent="0.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5.75" customHeight="1" x14ac:dyDescent="0.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5.75" customHeight="1" x14ac:dyDescent="0.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5.75" customHeight="1" x14ac:dyDescent="0.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5.75" customHeight="1" x14ac:dyDescent="0.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5.75" customHeight="1" x14ac:dyDescent="0.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5.75" customHeight="1" x14ac:dyDescent="0.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5.75" customHeight="1" x14ac:dyDescent="0.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5.75" customHeight="1" x14ac:dyDescent="0.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5.75" customHeight="1" x14ac:dyDescent="0.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5.75" customHeight="1" x14ac:dyDescent="0.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5.75" customHeight="1" x14ac:dyDescent="0.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5.75" customHeight="1" x14ac:dyDescent="0.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5.75" customHeight="1" x14ac:dyDescent="0.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5.75" customHeight="1" x14ac:dyDescent="0.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5.75" customHeight="1" x14ac:dyDescent="0.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5.75" customHeight="1" x14ac:dyDescent="0.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5.75" customHeight="1" x14ac:dyDescent="0.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5.75" customHeight="1" x14ac:dyDescent="0.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5.75" customHeight="1" x14ac:dyDescent="0.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5.75" customHeight="1" x14ac:dyDescent="0.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5.75" customHeight="1" x14ac:dyDescent="0.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5.75" customHeight="1" x14ac:dyDescent="0.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5.75" customHeight="1" x14ac:dyDescent="0.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5.75" customHeight="1" x14ac:dyDescent="0.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5.75" customHeight="1" x14ac:dyDescent="0.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5.75" customHeight="1" x14ac:dyDescent="0.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5.75" customHeight="1" x14ac:dyDescent="0.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5.75" customHeight="1" x14ac:dyDescent="0.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5.75" customHeight="1" x14ac:dyDescent="0.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5.75" customHeight="1" x14ac:dyDescent="0.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5.75" customHeight="1" x14ac:dyDescent="0.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5.75" customHeight="1" x14ac:dyDescent="0.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5.75" customHeight="1" x14ac:dyDescent="0.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5.75" customHeight="1" x14ac:dyDescent="0.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5.75" customHeight="1" x14ac:dyDescent="0.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5.75" customHeight="1" x14ac:dyDescent="0.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5.75" customHeight="1" x14ac:dyDescent="0.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5.75" customHeight="1" x14ac:dyDescent="0.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5.75" customHeight="1" x14ac:dyDescent="0.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5.75" customHeight="1" x14ac:dyDescent="0.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5.75" customHeight="1" x14ac:dyDescent="0.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5.75" customHeight="1" x14ac:dyDescent="0.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5.75" customHeight="1" x14ac:dyDescent="0.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5.75" customHeight="1" x14ac:dyDescent="0.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5.75" customHeight="1" x14ac:dyDescent="0.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5.75" customHeight="1" x14ac:dyDescent="0.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5.75" customHeight="1" x14ac:dyDescent="0.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5.75" customHeight="1" x14ac:dyDescent="0.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5.75" customHeight="1" x14ac:dyDescent="0.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5.75" customHeight="1" x14ac:dyDescent="0.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5.75" customHeight="1" x14ac:dyDescent="0.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5.75" customHeight="1" x14ac:dyDescent="0.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5.75" customHeight="1" x14ac:dyDescent="0.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5.75" customHeight="1" x14ac:dyDescent="0.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5.75" customHeight="1" x14ac:dyDescent="0.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5.75" customHeight="1" x14ac:dyDescent="0.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5.75" customHeight="1" x14ac:dyDescent="0.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5.75" customHeight="1" x14ac:dyDescent="0.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5.75" customHeight="1" x14ac:dyDescent="0.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5.75" customHeight="1" x14ac:dyDescent="0.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5.75" customHeight="1" x14ac:dyDescent="0.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5.75" customHeight="1" x14ac:dyDescent="0.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5.75" customHeight="1" x14ac:dyDescent="0.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5.75" customHeight="1" x14ac:dyDescent="0.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5.75" customHeight="1" x14ac:dyDescent="0.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5.75" customHeight="1" x14ac:dyDescent="0.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5.75" customHeight="1" x14ac:dyDescent="0.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5.75" customHeight="1" x14ac:dyDescent="0.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5.75" customHeight="1" x14ac:dyDescent="0.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5.75" customHeight="1" x14ac:dyDescent="0.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5.75" customHeight="1" x14ac:dyDescent="0.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5.75" customHeight="1" x14ac:dyDescent="0.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5.75" customHeight="1" x14ac:dyDescent="0.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5.75" customHeight="1" x14ac:dyDescent="0.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5.75" customHeight="1" x14ac:dyDescent="0.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5.75" customHeight="1" x14ac:dyDescent="0.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5.75" customHeight="1" x14ac:dyDescent="0.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5.75" customHeight="1" x14ac:dyDescent="0.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5.75" customHeight="1" x14ac:dyDescent="0.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5.75" customHeight="1" x14ac:dyDescent="0.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5.75" customHeight="1" x14ac:dyDescent="0.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5.75" customHeight="1" x14ac:dyDescent="0.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5.75" customHeight="1" x14ac:dyDescent="0.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5.75" customHeight="1" x14ac:dyDescent="0.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5.75" customHeight="1" x14ac:dyDescent="0.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5.75" customHeight="1" x14ac:dyDescent="0.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5.75" customHeight="1" x14ac:dyDescent="0.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5.75" customHeight="1" x14ac:dyDescent="0.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5.75" customHeight="1" x14ac:dyDescent="0.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5.75" customHeight="1" x14ac:dyDescent="0.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5.75" customHeight="1" x14ac:dyDescent="0.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5.75" customHeight="1" x14ac:dyDescent="0.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5.75" customHeight="1" x14ac:dyDescent="0.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5.75" customHeight="1" x14ac:dyDescent="0.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5.75" customHeight="1" x14ac:dyDescent="0.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5.75" customHeight="1" x14ac:dyDescent="0.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5.75" customHeight="1" x14ac:dyDescent="0.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5.75" customHeight="1" x14ac:dyDescent="0.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5.75" customHeight="1" x14ac:dyDescent="0.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5.75" customHeight="1" x14ac:dyDescent="0.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5.75" customHeight="1" x14ac:dyDescent="0.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5.75" customHeight="1" x14ac:dyDescent="0.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5.75" customHeight="1" x14ac:dyDescent="0.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5.75" customHeight="1" x14ac:dyDescent="0.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5.75" customHeight="1" x14ac:dyDescent="0.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5.75" customHeight="1" x14ac:dyDescent="0.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5.75" customHeight="1" x14ac:dyDescent="0.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5.75" customHeight="1" x14ac:dyDescent="0.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5.75" customHeight="1" x14ac:dyDescent="0.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5.75" customHeight="1" x14ac:dyDescent="0.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5.75" customHeight="1" x14ac:dyDescent="0.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5.75" customHeight="1" x14ac:dyDescent="0.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5.75" customHeight="1" x14ac:dyDescent="0.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5.75" customHeight="1" x14ac:dyDescent="0.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5.75" customHeight="1" x14ac:dyDescent="0.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5.75" customHeight="1" x14ac:dyDescent="0.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5.75" customHeight="1" x14ac:dyDescent="0.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5.75" customHeight="1" x14ac:dyDescent="0.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5.75" customHeight="1" x14ac:dyDescent="0.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5.75" customHeight="1" x14ac:dyDescent="0.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5.75" customHeight="1" x14ac:dyDescent="0.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5.75" customHeight="1" x14ac:dyDescent="0.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5.75" customHeight="1" x14ac:dyDescent="0.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5.75" customHeight="1" x14ac:dyDescent="0.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5.75" customHeight="1" x14ac:dyDescent="0.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5.75" customHeight="1" x14ac:dyDescent="0.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5.75" customHeight="1" x14ac:dyDescent="0.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5.75" customHeight="1" x14ac:dyDescent="0.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5.75" customHeight="1" x14ac:dyDescent="0.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5.75" customHeight="1" x14ac:dyDescent="0.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5.75" customHeight="1" x14ac:dyDescent="0.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5.75" customHeight="1" x14ac:dyDescent="0.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5.75" customHeight="1" x14ac:dyDescent="0.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5.75" customHeight="1" x14ac:dyDescent="0.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5.75" customHeight="1" x14ac:dyDescent="0.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5.75" customHeight="1" x14ac:dyDescent="0.5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5.75" customHeight="1" x14ac:dyDescent="0.5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5.75" customHeight="1" x14ac:dyDescent="0.5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5.75" customHeight="1" x14ac:dyDescent="0.5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5.75" customHeight="1" x14ac:dyDescent="0.5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5.75" customHeight="1" x14ac:dyDescent="0.5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5.75" customHeight="1" x14ac:dyDescent="0.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5.75" customHeight="1" x14ac:dyDescent="0.5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5.75" customHeight="1" x14ac:dyDescent="0.5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5.75" customHeight="1" x14ac:dyDescent="0.5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5.75" customHeight="1" x14ac:dyDescent="0.5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5.75" customHeight="1" x14ac:dyDescent="0.5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5.75" customHeight="1" x14ac:dyDescent="0.5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5.75" customHeight="1" x14ac:dyDescent="0.5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5.75" customHeight="1" x14ac:dyDescent="0.5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5.75" customHeight="1" x14ac:dyDescent="0.5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5.75" customHeight="1" x14ac:dyDescent="0.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5.75" customHeight="1" x14ac:dyDescent="0.5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5.75" customHeight="1" x14ac:dyDescent="0.5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5.75" customHeight="1" x14ac:dyDescent="0.5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5.75" customHeight="1" x14ac:dyDescent="0.5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5.75" customHeight="1" x14ac:dyDescent="0.5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5.75" customHeight="1" x14ac:dyDescent="0.5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5.75" customHeight="1" x14ac:dyDescent="0.5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5.75" customHeight="1" x14ac:dyDescent="0.5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5.75" customHeight="1" x14ac:dyDescent="0.5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5.75" customHeight="1" x14ac:dyDescent="0.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5.75" customHeight="1" x14ac:dyDescent="0.5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5.75" customHeight="1" x14ac:dyDescent="0.5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5.75" customHeight="1" x14ac:dyDescent="0.5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5.75" customHeight="1" x14ac:dyDescent="0.5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5.75" customHeight="1" x14ac:dyDescent="0.5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5.75" customHeight="1" x14ac:dyDescent="0.5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5.75" customHeight="1" x14ac:dyDescent="0.5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5.75" customHeight="1" x14ac:dyDescent="0.5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5.75" customHeight="1" x14ac:dyDescent="0.5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5.75" customHeight="1" x14ac:dyDescent="0.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5.75" customHeight="1" x14ac:dyDescent="0.5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5.75" customHeight="1" x14ac:dyDescent="0.5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5.75" customHeight="1" x14ac:dyDescent="0.5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5.75" customHeight="1" x14ac:dyDescent="0.5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5.75" customHeight="1" x14ac:dyDescent="0.5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5.75" customHeight="1" x14ac:dyDescent="0.5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5.75" customHeight="1" x14ac:dyDescent="0.5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5.75" customHeight="1" x14ac:dyDescent="0.5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5.75" customHeight="1" x14ac:dyDescent="0.5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5.75" customHeight="1" x14ac:dyDescent="0.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ht="15.75" customHeight="1" x14ac:dyDescent="0.5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ht="15.75" customHeight="1" x14ac:dyDescent="0.5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ht="15.75" customHeight="1" x14ac:dyDescent="0.5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 ht="15.75" customHeight="1" x14ac:dyDescent="0.5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spans="1:26" ht="15.75" customHeight="1" x14ac:dyDescent="0.5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3"/>
      <c r="B1" s="443"/>
      <c r="C1" s="254"/>
      <c r="D1" s="443" t="s">
        <v>0</v>
      </c>
      <c r="E1" s="221"/>
      <c r="F1" s="221"/>
      <c r="G1" s="221"/>
      <c r="H1" s="221"/>
      <c r="I1" s="254"/>
      <c r="J1" s="101" t="s">
        <v>1</v>
      </c>
      <c r="K1" s="101" t="s">
        <v>401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300"/>
      <c r="C2" s="293"/>
      <c r="D2" s="300"/>
      <c r="E2" s="240"/>
      <c r="F2" s="240"/>
      <c r="G2" s="240"/>
      <c r="H2" s="240"/>
      <c r="I2" s="293"/>
      <c r="J2" s="101" t="s">
        <v>3</v>
      </c>
      <c r="K2" s="102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300"/>
      <c r="C3" s="293"/>
      <c r="D3" s="301"/>
      <c r="E3" s="235"/>
      <c r="F3" s="235"/>
      <c r="G3" s="235"/>
      <c r="H3" s="235"/>
      <c r="I3" s="282"/>
      <c r="J3" s="101" t="s">
        <v>5</v>
      </c>
      <c r="K3" s="101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21" customHeight="1" x14ac:dyDescent="0.45">
      <c r="A4" s="82"/>
      <c r="B4" s="300"/>
      <c r="C4" s="293"/>
      <c r="D4" s="443" t="s">
        <v>402</v>
      </c>
      <c r="E4" s="221"/>
      <c r="F4" s="221"/>
      <c r="G4" s="221"/>
      <c r="H4" s="221"/>
      <c r="I4" s="254"/>
      <c r="J4" s="447" t="s">
        <v>7</v>
      </c>
      <c r="K4" s="101" t="s">
        <v>230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8" customHeight="1" x14ac:dyDescent="0.45">
      <c r="A5" s="82"/>
      <c r="B5" s="301"/>
      <c r="C5" s="282"/>
      <c r="D5" s="301"/>
      <c r="E5" s="235"/>
      <c r="F5" s="235"/>
      <c r="G5" s="235"/>
      <c r="H5" s="235"/>
      <c r="I5" s="282"/>
      <c r="J5" s="384"/>
      <c r="K5" s="103" t="s">
        <v>231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6"/>
      <c r="C6" s="96"/>
      <c r="D6" s="96"/>
      <c r="E6" s="96"/>
      <c r="F6" s="96"/>
      <c r="G6" s="96"/>
      <c r="H6" s="96"/>
      <c r="I6" s="96"/>
      <c r="J6" s="96"/>
      <c r="K6" s="12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2"/>
      <c r="C7" s="12"/>
      <c r="D7" s="12"/>
      <c r="E7" s="12"/>
      <c r="F7" s="12"/>
      <c r="G7" s="12"/>
      <c r="H7" s="12"/>
      <c r="I7" s="12"/>
      <c r="J7" s="12"/>
      <c r="K7" s="1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07" t="s">
        <v>10</v>
      </c>
      <c r="C8" s="266" t="str">
        <f>'COA PT'!D6</f>
        <v>SUERO MULTIPEPTIDOS</v>
      </c>
      <c r="D8" s="212"/>
      <c r="E8" s="212"/>
      <c r="F8" s="213"/>
      <c r="G8" s="107" t="s">
        <v>21</v>
      </c>
      <c r="H8" s="460" t="str">
        <f>OP!G10</f>
        <v>NSOC35967-24CO</v>
      </c>
      <c r="I8" s="212"/>
      <c r="J8" s="212"/>
      <c r="K8" s="215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2.75" customHeight="1" x14ac:dyDescent="0.45">
      <c r="A9" s="82"/>
      <c r="B9" s="107" t="s">
        <v>262</v>
      </c>
      <c r="C9" s="461" t="str">
        <f>'COA PT'!H7</f>
        <v>OP-L-123</v>
      </c>
      <c r="D9" s="212"/>
      <c r="E9" s="212"/>
      <c r="F9" s="215"/>
      <c r="G9" s="107" t="s">
        <v>59</v>
      </c>
      <c r="H9" s="479"/>
      <c r="I9" s="212"/>
      <c r="J9" s="212"/>
      <c r="K9" s="215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4.75" customHeight="1" x14ac:dyDescent="0.45">
      <c r="A10" s="82"/>
      <c r="B10" s="107" t="s">
        <v>369</v>
      </c>
      <c r="C10" s="458" t="str">
        <f>'COA PT'!D7</f>
        <v>252521</v>
      </c>
      <c r="D10" s="212"/>
      <c r="E10" s="212"/>
      <c r="F10" s="215"/>
      <c r="G10" s="107" t="s">
        <v>16</v>
      </c>
      <c r="H10" s="460" t="str">
        <f>ACONDICIONAMIENTO!O8</f>
        <v>30 mL</v>
      </c>
      <c r="I10" s="212"/>
      <c r="J10" s="212"/>
      <c r="K10" s="215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33.75" customHeight="1" x14ac:dyDescent="0.45">
      <c r="A11" s="82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7.5" customHeight="1" x14ac:dyDescent="0.45">
      <c r="A12" s="82"/>
      <c r="B12" s="441" t="s">
        <v>403</v>
      </c>
      <c r="C12" s="212"/>
      <c r="D12" s="212"/>
      <c r="E12" s="212"/>
      <c r="F12" s="212"/>
      <c r="G12" s="212"/>
      <c r="H12" s="212"/>
      <c r="I12" s="212"/>
      <c r="J12" s="212"/>
      <c r="K12" s="215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2" customHeight="1" x14ac:dyDescent="0.45">
      <c r="A13" s="82"/>
      <c r="B13" s="107" t="s">
        <v>28</v>
      </c>
      <c r="C13" s="441" t="s">
        <v>29</v>
      </c>
      <c r="D13" s="212"/>
      <c r="E13" s="212"/>
      <c r="F13" s="212"/>
      <c r="G13" s="215"/>
      <c r="H13" s="441" t="s">
        <v>30</v>
      </c>
      <c r="I13" s="215"/>
      <c r="J13" s="441" t="s">
        <v>31</v>
      </c>
      <c r="K13" s="215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6" customHeight="1" x14ac:dyDescent="0.45">
      <c r="A14" s="82"/>
      <c r="B14" s="107">
        <v>1</v>
      </c>
      <c r="C14" s="474" t="s">
        <v>404</v>
      </c>
      <c r="D14" s="212"/>
      <c r="E14" s="212"/>
      <c r="F14" s="212"/>
      <c r="G14" s="215"/>
      <c r="H14" s="441"/>
      <c r="I14" s="215"/>
      <c r="J14" s="475"/>
      <c r="K14" s="215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17">
        <v>2</v>
      </c>
      <c r="C15" s="474" t="s">
        <v>405</v>
      </c>
      <c r="D15" s="212"/>
      <c r="E15" s="212"/>
      <c r="F15" s="212"/>
      <c r="G15" s="215"/>
      <c r="H15" s="441"/>
      <c r="I15" s="215"/>
      <c r="J15" s="475"/>
      <c r="K15" s="215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9.75" customHeight="1" x14ac:dyDescent="0.45">
      <c r="A16" s="82"/>
      <c r="B16" s="125">
        <v>3</v>
      </c>
      <c r="C16" s="474" t="s">
        <v>406</v>
      </c>
      <c r="D16" s="212"/>
      <c r="E16" s="212"/>
      <c r="F16" s="212"/>
      <c r="G16" s="215"/>
      <c r="H16" s="108"/>
      <c r="I16" s="126"/>
      <c r="J16" s="475"/>
      <c r="K16" s="215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5.25" customHeight="1" x14ac:dyDescent="0.45">
      <c r="A17" s="82"/>
      <c r="B17" s="125">
        <v>4</v>
      </c>
      <c r="C17" s="474" t="s">
        <v>407</v>
      </c>
      <c r="D17" s="212"/>
      <c r="E17" s="212"/>
      <c r="F17" s="212"/>
      <c r="G17" s="215"/>
      <c r="H17" s="108"/>
      <c r="I17" s="126"/>
      <c r="J17" s="475"/>
      <c r="K17" s="215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35.25" customHeight="1" x14ac:dyDescent="0.45">
      <c r="A18" s="82"/>
      <c r="B18" s="125">
        <v>5</v>
      </c>
      <c r="C18" s="474" t="s">
        <v>408</v>
      </c>
      <c r="D18" s="212"/>
      <c r="E18" s="212"/>
      <c r="F18" s="212"/>
      <c r="G18" s="215"/>
      <c r="H18" s="108"/>
      <c r="I18" s="126"/>
      <c r="J18" s="124"/>
      <c r="K18" s="127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33.75" customHeight="1" x14ac:dyDescent="0.45">
      <c r="A19" s="82"/>
      <c r="B19" s="125">
        <v>6</v>
      </c>
      <c r="C19" s="474" t="s">
        <v>409</v>
      </c>
      <c r="D19" s="212"/>
      <c r="E19" s="212"/>
      <c r="F19" s="212"/>
      <c r="G19" s="215"/>
      <c r="H19" s="108"/>
      <c r="I19" s="126"/>
      <c r="J19" s="475"/>
      <c r="K19" s="215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36" customHeight="1" x14ac:dyDescent="0.45">
      <c r="A20" s="82"/>
      <c r="B20" s="125">
        <v>7</v>
      </c>
      <c r="C20" s="474" t="s">
        <v>410</v>
      </c>
      <c r="D20" s="212"/>
      <c r="E20" s="212"/>
      <c r="F20" s="212"/>
      <c r="G20" s="215"/>
      <c r="H20" s="108"/>
      <c r="I20" s="126"/>
      <c r="J20" s="475"/>
      <c r="K20" s="215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36" customHeight="1" x14ac:dyDescent="0.45">
      <c r="A21" s="82"/>
      <c r="B21" s="125">
        <v>8</v>
      </c>
      <c r="C21" s="474" t="s">
        <v>411</v>
      </c>
      <c r="D21" s="212"/>
      <c r="E21" s="212"/>
      <c r="F21" s="212"/>
      <c r="G21" s="215"/>
      <c r="H21" s="108"/>
      <c r="I21" s="126"/>
      <c r="J21" s="475"/>
      <c r="K21" s="215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9" customHeight="1" x14ac:dyDescent="0.45">
      <c r="A22" s="82"/>
      <c r="B22" s="125">
        <v>9</v>
      </c>
      <c r="C22" s="474" t="s">
        <v>412</v>
      </c>
      <c r="D22" s="212"/>
      <c r="E22" s="212"/>
      <c r="F22" s="212"/>
      <c r="G22" s="215"/>
      <c r="H22" s="108"/>
      <c r="I22" s="126"/>
      <c r="J22" s="475"/>
      <c r="K22" s="215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9" customHeight="1" x14ac:dyDescent="0.45">
      <c r="A23" s="82"/>
      <c r="B23" s="125">
        <v>10</v>
      </c>
      <c r="C23" s="474" t="s">
        <v>413</v>
      </c>
      <c r="D23" s="212"/>
      <c r="E23" s="212"/>
      <c r="F23" s="212"/>
      <c r="G23" s="215"/>
      <c r="H23" s="108"/>
      <c r="I23" s="126"/>
      <c r="J23" s="124"/>
      <c r="K23" s="127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9" customHeight="1" x14ac:dyDescent="0.45">
      <c r="A24" s="82"/>
      <c r="B24" s="125">
        <v>11</v>
      </c>
      <c r="C24" s="474" t="s">
        <v>414</v>
      </c>
      <c r="D24" s="212"/>
      <c r="E24" s="212"/>
      <c r="F24" s="212"/>
      <c r="G24" s="215"/>
      <c r="H24" s="108"/>
      <c r="I24" s="126"/>
      <c r="J24" s="124"/>
      <c r="K24" s="127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9" customHeight="1" x14ac:dyDescent="0.45">
      <c r="A25" s="82"/>
      <c r="B25" s="125">
        <v>12</v>
      </c>
      <c r="C25" s="474" t="s">
        <v>415</v>
      </c>
      <c r="D25" s="212"/>
      <c r="E25" s="212"/>
      <c r="F25" s="212"/>
      <c r="G25" s="215"/>
      <c r="H25" s="108"/>
      <c r="I25" s="126"/>
      <c r="J25" s="124"/>
      <c r="K25" s="127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22.5" customHeight="1" x14ac:dyDescent="0.45">
      <c r="A26" s="82"/>
      <c r="B26" s="128"/>
      <c r="C26" s="128"/>
      <c r="D26" s="128"/>
      <c r="E26" s="129"/>
      <c r="F26" s="129"/>
      <c r="G26" s="129"/>
      <c r="H26" s="130"/>
      <c r="I26" s="130"/>
      <c r="J26" s="130"/>
      <c r="K26" s="130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26.25" customHeight="1" x14ac:dyDescent="0.45">
      <c r="A27" s="82"/>
      <c r="B27" s="478" t="s">
        <v>45</v>
      </c>
      <c r="C27" s="476"/>
      <c r="D27" s="221"/>
      <c r="E27" s="221"/>
      <c r="F27" s="221"/>
      <c r="G27" s="221"/>
      <c r="H27" s="221"/>
      <c r="I27" s="221"/>
      <c r="J27" s="221"/>
      <c r="K27" s="254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8.5" customHeight="1" x14ac:dyDescent="0.45">
      <c r="A28" s="82"/>
      <c r="B28" s="384"/>
      <c r="C28" s="301"/>
      <c r="D28" s="235"/>
      <c r="E28" s="235"/>
      <c r="F28" s="235"/>
      <c r="G28" s="235"/>
      <c r="H28" s="235"/>
      <c r="I28" s="235"/>
      <c r="J28" s="235"/>
      <c r="K28" s="2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22.5" customHeight="1" x14ac:dyDescent="0.45">
      <c r="A29" s="82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3" customHeight="1" x14ac:dyDescent="0.45">
      <c r="A30" s="82"/>
      <c r="B30" s="478" t="s">
        <v>416</v>
      </c>
      <c r="C30" s="476"/>
      <c r="D30" s="221"/>
      <c r="E30" s="221"/>
      <c r="F30" s="221"/>
      <c r="G30" s="221"/>
      <c r="H30" s="221"/>
      <c r="I30" s="221"/>
      <c r="J30" s="221"/>
      <c r="K30" s="254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77.5" customHeight="1" x14ac:dyDescent="0.45">
      <c r="A31" s="82"/>
      <c r="B31" s="384"/>
      <c r="C31" s="301"/>
      <c r="D31" s="235"/>
      <c r="E31" s="235"/>
      <c r="F31" s="235"/>
      <c r="G31" s="235"/>
      <c r="H31" s="235"/>
      <c r="I31" s="235"/>
      <c r="J31" s="235"/>
      <c r="K31" s="2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4.5" customHeight="1" x14ac:dyDescent="0.45">
      <c r="A32" s="82"/>
      <c r="B32" s="477" t="s">
        <v>417</v>
      </c>
      <c r="C32" s="212"/>
      <c r="D32" s="212"/>
      <c r="E32" s="212"/>
      <c r="F32" s="215"/>
      <c r="G32" s="131"/>
      <c r="H32" s="131"/>
      <c r="I32" s="131"/>
      <c r="J32" s="131"/>
      <c r="K32" s="13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4.5" customHeight="1" x14ac:dyDescent="0.45">
      <c r="A33" s="82"/>
      <c r="B33" s="477" t="s">
        <v>418</v>
      </c>
      <c r="C33" s="212"/>
      <c r="D33" s="212"/>
      <c r="E33" s="212"/>
      <c r="F33" s="215"/>
      <c r="G33" s="441"/>
      <c r="H33" s="212"/>
      <c r="I33" s="212"/>
      <c r="J33" s="107" t="s">
        <v>67</v>
      </c>
      <c r="K33" s="126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37.5" customHeight="1" x14ac:dyDescent="0.45">
      <c r="A34" s="82"/>
      <c r="B34" s="477" t="s">
        <v>354</v>
      </c>
      <c r="C34" s="212"/>
      <c r="D34" s="212"/>
      <c r="E34" s="212"/>
      <c r="F34" s="215"/>
      <c r="G34" s="441"/>
      <c r="H34" s="212"/>
      <c r="I34" s="212"/>
      <c r="J34" s="212"/>
      <c r="K34" s="215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473" t="s">
        <v>52</v>
      </c>
      <c r="C35" s="240"/>
      <c r="D35" s="240"/>
      <c r="E35" s="240"/>
      <c r="F35" s="240"/>
      <c r="G35" s="240"/>
      <c r="H35" s="240"/>
      <c r="I35" s="240"/>
      <c r="J35" s="240"/>
      <c r="K35" s="240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646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2"/>
      <c r="B1" s="488"/>
      <c r="C1" s="491" t="s">
        <v>0</v>
      </c>
      <c r="D1" s="224"/>
      <c r="E1" s="224"/>
      <c r="F1" s="285"/>
      <c r="G1" s="133" t="s">
        <v>1</v>
      </c>
      <c r="H1" s="294" t="s">
        <v>419</v>
      </c>
      <c r="I1" s="232"/>
      <c r="J1" s="96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2.75" customHeight="1" x14ac:dyDescent="0.45">
      <c r="A2" s="82"/>
      <c r="B2" s="489"/>
      <c r="C2" s="300"/>
      <c r="D2" s="240"/>
      <c r="E2" s="240"/>
      <c r="F2" s="293"/>
      <c r="G2" s="9" t="s">
        <v>3</v>
      </c>
      <c r="H2" s="313">
        <v>1</v>
      </c>
      <c r="I2" s="213"/>
      <c r="J2" s="27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3.5" customHeight="1" x14ac:dyDescent="0.45">
      <c r="A3" s="82"/>
      <c r="B3" s="489"/>
      <c r="C3" s="301"/>
      <c r="D3" s="235"/>
      <c r="E3" s="235"/>
      <c r="F3" s="282"/>
      <c r="G3" s="9" t="s">
        <v>5</v>
      </c>
      <c r="H3" s="267" t="s">
        <v>6</v>
      </c>
      <c r="I3" s="213"/>
      <c r="J3" s="96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9.5" customHeight="1" x14ac:dyDescent="0.45">
      <c r="A4" s="82"/>
      <c r="B4" s="489"/>
      <c r="C4" s="278" t="s">
        <v>420</v>
      </c>
      <c r="D4" s="240"/>
      <c r="E4" s="240"/>
      <c r="F4" s="293"/>
      <c r="G4" s="387" t="s">
        <v>7</v>
      </c>
      <c r="H4" s="267" t="s">
        <v>8</v>
      </c>
      <c r="I4" s="213"/>
      <c r="J4" s="96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" customHeight="1" x14ac:dyDescent="0.45">
      <c r="A5" s="82"/>
      <c r="B5" s="490"/>
      <c r="C5" s="227"/>
      <c r="D5" s="227"/>
      <c r="E5" s="227"/>
      <c r="F5" s="290"/>
      <c r="G5" s="486"/>
      <c r="H5" s="487" t="s">
        <v>9</v>
      </c>
      <c r="I5" s="246"/>
      <c r="J5" s="12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 x14ac:dyDescent="0.45">
      <c r="A6" s="82"/>
      <c r="B6" s="134" t="s">
        <v>421</v>
      </c>
      <c r="C6" s="482" t="str">
        <f>OP!$M$11</f>
        <v>OP-L-123</v>
      </c>
      <c r="D6" s="235"/>
      <c r="E6" s="235"/>
      <c r="F6" s="282"/>
      <c r="G6" s="135" t="s">
        <v>206</v>
      </c>
      <c r="H6" s="480"/>
      <c r="I6" s="282"/>
      <c r="J6" s="136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7" t="s">
        <v>422</v>
      </c>
      <c r="C7" s="482" t="str">
        <f>OP!$G$9</f>
        <v>SUERO MULTIPEPTIDOS</v>
      </c>
      <c r="D7" s="235"/>
      <c r="E7" s="235"/>
      <c r="F7" s="282"/>
      <c r="G7" s="138" t="s">
        <v>423</v>
      </c>
      <c r="H7" s="481" t="str">
        <f>OP!$M$10</f>
        <v>252521</v>
      </c>
      <c r="I7" s="282"/>
      <c r="J7" s="136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5.75" customHeight="1" x14ac:dyDescent="0.45">
      <c r="A8" s="82"/>
      <c r="B8" s="137" t="s">
        <v>424</v>
      </c>
      <c r="C8" s="495" t="str">
        <f>OP!B15</f>
        <v>AGUA DESIONIZADA</v>
      </c>
      <c r="D8" s="212"/>
      <c r="E8" s="212"/>
      <c r="F8" s="215"/>
      <c r="G8" s="139" t="s">
        <v>425</v>
      </c>
      <c r="H8" s="482" t="str">
        <f>OP!J15</f>
        <v>AD-252521</v>
      </c>
      <c r="I8" s="282"/>
      <c r="J8" s="136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5.75" customHeight="1" x14ac:dyDescent="0.45">
      <c r="A9" s="82"/>
      <c r="B9" s="140" t="s">
        <v>426</v>
      </c>
      <c r="C9" s="484">
        <f>OP!N15</f>
        <v>31077.9</v>
      </c>
      <c r="D9" s="235"/>
      <c r="E9" s="235"/>
      <c r="F9" s="235"/>
      <c r="G9" s="141"/>
      <c r="H9" s="136"/>
      <c r="I9" s="142"/>
      <c r="J9" s="136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5.75" customHeight="1" x14ac:dyDescent="0.45">
      <c r="A10" s="82"/>
      <c r="B10" s="140" t="s">
        <v>427</v>
      </c>
      <c r="C10" s="485"/>
      <c r="D10" s="235"/>
      <c r="E10" s="235"/>
      <c r="F10" s="235"/>
      <c r="G10" s="136"/>
      <c r="H10" s="136"/>
      <c r="I10" s="142"/>
      <c r="J10" s="136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45">
      <c r="A11" s="82"/>
      <c r="B11" s="140" t="s">
        <v>428</v>
      </c>
      <c r="C11" s="485"/>
      <c r="D11" s="235"/>
      <c r="E11" s="235"/>
      <c r="F11" s="235"/>
      <c r="G11" s="141" t="s">
        <v>429</v>
      </c>
      <c r="H11" s="143"/>
      <c r="I11" s="144"/>
      <c r="J11" s="136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 x14ac:dyDescent="0.45">
      <c r="A12" s="82"/>
      <c r="B12" s="140" t="s">
        <v>430</v>
      </c>
      <c r="C12" s="485"/>
      <c r="D12" s="235"/>
      <c r="E12" s="235"/>
      <c r="F12" s="235"/>
      <c r="G12" s="141" t="s">
        <v>204</v>
      </c>
      <c r="H12" s="143"/>
      <c r="I12" s="144"/>
      <c r="J12" s="136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45">
      <c r="A13" s="82"/>
      <c r="B13" s="145" t="s">
        <v>431</v>
      </c>
      <c r="C13" s="146"/>
      <c r="D13" s="146"/>
      <c r="E13" s="146"/>
      <c r="F13" s="147"/>
      <c r="G13" s="146"/>
      <c r="H13" s="146"/>
      <c r="I13" s="148"/>
      <c r="J13" s="136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45">
      <c r="A14" s="82"/>
      <c r="B14" s="12"/>
      <c r="C14" s="12"/>
      <c r="D14" s="12"/>
      <c r="E14" s="12"/>
      <c r="F14" s="12"/>
      <c r="G14" s="12"/>
      <c r="H14" s="12"/>
      <c r="I14" s="12"/>
      <c r="J14" s="1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5.75" customHeight="1" x14ac:dyDescent="0.45">
      <c r="A15" s="82"/>
      <c r="B15" s="12"/>
      <c r="C15" s="12"/>
      <c r="D15" s="149"/>
      <c r="E15" s="12"/>
      <c r="F15" s="12"/>
      <c r="G15" s="12"/>
      <c r="H15" s="12"/>
      <c r="I15" s="12"/>
      <c r="J15" s="1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45">
      <c r="A16" s="82"/>
      <c r="B16" s="488"/>
      <c r="C16" s="491" t="s">
        <v>0</v>
      </c>
      <c r="D16" s="224"/>
      <c r="E16" s="224"/>
      <c r="F16" s="285"/>
      <c r="G16" s="133" t="s">
        <v>1</v>
      </c>
      <c r="H16" s="294" t="s">
        <v>419</v>
      </c>
      <c r="I16" s="232"/>
      <c r="J16" s="1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89"/>
      <c r="C17" s="300"/>
      <c r="D17" s="240"/>
      <c r="E17" s="240"/>
      <c r="F17" s="293"/>
      <c r="G17" s="9" t="s">
        <v>3</v>
      </c>
      <c r="H17" s="313">
        <v>1</v>
      </c>
      <c r="I17" s="213"/>
      <c r="J17" s="1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45">
      <c r="A18" s="82"/>
      <c r="B18" s="489"/>
      <c r="C18" s="301"/>
      <c r="D18" s="235"/>
      <c r="E18" s="235"/>
      <c r="F18" s="282"/>
      <c r="G18" s="9" t="s">
        <v>5</v>
      </c>
      <c r="H18" s="267" t="s">
        <v>6</v>
      </c>
      <c r="I18" s="213"/>
      <c r="J18" s="1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489"/>
      <c r="C19" s="494" t="s">
        <v>420</v>
      </c>
      <c r="D19" s="240"/>
      <c r="E19" s="240"/>
      <c r="F19" s="293"/>
      <c r="G19" s="387" t="s">
        <v>7</v>
      </c>
      <c r="H19" s="267" t="s">
        <v>8</v>
      </c>
      <c r="I19" s="213"/>
      <c r="J19" s="1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490"/>
      <c r="C20" s="227"/>
      <c r="D20" s="227"/>
      <c r="E20" s="227"/>
      <c r="F20" s="290"/>
      <c r="G20" s="486"/>
      <c r="H20" s="487" t="s">
        <v>9</v>
      </c>
      <c r="I20" s="246"/>
      <c r="J20" s="1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134" t="s">
        <v>421</v>
      </c>
      <c r="C21" s="482" t="str">
        <f>OP!$M$11</f>
        <v>OP-L-123</v>
      </c>
      <c r="D21" s="235"/>
      <c r="E21" s="235"/>
      <c r="F21" s="282"/>
      <c r="G21" s="135" t="s">
        <v>206</v>
      </c>
      <c r="H21" s="480"/>
      <c r="I21" s="282"/>
      <c r="J21" s="1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37" t="s">
        <v>422</v>
      </c>
      <c r="C22" s="482" t="str">
        <f>OP!$G$9</f>
        <v>SUERO MULTIPEPTIDOS</v>
      </c>
      <c r="D22" s="235"/>
      <c r="E22" s="235"/>
      <c r="F22" s="282"/>
      <c r="G22" s="138" t="s">
        <v>423</v>
      </c>
      <c r="H22" s="481" t="str">
        <f>OP!$M$10</f>
        <v>252521</v>
      </c>
      <c r="I22" s="282"/>
      <c r="J22" s="1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37" t="s">
        <v>424</v>
      </c>
      <c r="C23" s="495" t="str">
        <f>OP!B16</f>
        <v>NIACINAMIDA</v>
      </c>
      <c r="D23" s="212"/>
      <c r="E23" s="212"/>
      <c r="F23" s="215"/>
      <c r="G23" s="139" t="s">
        <v>425</v>
      </c>
      <c r="H23" s="482" t="str">
        <f>OP!J16</f>
        <v>LYPH250726</v>
      </c>
      <c r="I23" s="282"/>
      <c r="J23" s="1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140" t="s">
        <v>426</v>
      </c>
      <c r="C24" s="484">
        <f>OP!N16</f>
        <v>1750</v>
      </c>
      <c r="D24" s="235"/>
      <c r="E24" s="235"/>
      <c r="F24" s="235"/>
      <c r="G24" s="141"/>
      <c r="H24" s="136"/>
      <c r="I24" s="142"/>
      <c r="J24" s="1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40" t="s">
        <v>427</v>
      </c>
      <c r="C25" s="492"/>
      <c r="D25" s="235"/>
      <c r="E25" s="235"/>
      <c r="F25" s="235"/>
      <c r="G25" s="136"/>
      <c r="H25" s="136"/>
      <c r="I25" s="142"/>
      <c r="J25" s="1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140" t="s">
        <v>428</v>
      </c>
      <c r="C26" s="492"/>
      <c r="D26" s="235"/>
      <c r="E26" s="235"/>
      <c r="F26" s="235"/>
      <c r="G26" s="141" t="s">
        <v>429</v>
      </c>
      <c r="H26" s="143"/>
      <c r="I26" s="144"/>
      <c r="J26" s="1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140" t="s">
        <v>430</v>
      </c>
      <c r="C27" s="492"/>
      <c r="D27" s="235"/>
      <c r="E27" s="235"/>
      <c r="F27" s="235"/>
      <c r="G27" s="141" t="s">
        <v>204</v>
      </c>
      <c r="H27" s="143"/>
      <c r="I27" s="144"/>
      <c r="J27" s="1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145" t="s">
        <v>431</v>
      </c>
      <c r="C28" s="150"/>
      <c r="D28" s="150"/>
      <c r="E28" s="150"/>
      <c r="F28" s="151"/>
      <c r="G28" s="146"/>
      <c r="H28" s="146"/>
      <c r="I28" s="148"/>
      <c r="J28" s="1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12"/>
      <c r="C29" s="68"/>
      <c r="D29" s="68"/>
      <c r="E29" s="68"/>
      <c r="F29" s="68"/>
      <c r="G29" s="12"/>
      <c r="H29" s="12"/>
      <c r="I29" s="12"/>
      <c r="J29" s="1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2"/>
      <c r="C30" s="68"/>
      <c r="D30" s="68"/>
      <c r="E30" s="68"/>
      <c r="F30" s="68"/>
      <c r="G30" s="12"/>
      <c r="H30" s="12"/>
      <c r="I30" s="12"/>
      <c r="J30" s="1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497"/>
      <c r="C31" s="500" t="s">
        <v>0</v>
      </c>
      <c r="D31" s="224"/>
      <c r="E31" s="224"/>
      <c r="F31" s="225"/>
      <c r="G31" s="153" t="s">
        <v>1</v>
      </c>
      <c r="H31" s="275" t="s">
        <v>419</v>
      </c>
      <c r="I31" s="259"/>
      <c r="J31" s="1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498"/>
      <c r="C32" s="274"/>
      <c r="D32" s="240"/>
      <c r="E32" s="240"/>
      <c r="F32" s="263"/>
      <c r="G32" s="153" t="s">
        <v>3</v>
      </c>
      <c r="H32" s="501">
        <v>1</v>
      </c>
      <c r="I32" s="259"/>
      <c r="J32" s="1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498"/>
      <c r="C33" s="226"/>
      <c r="D33" s="227"/>
      <c r="E33" s="227"/>
      <c r="F33" s="228"/>
      <c r="G33" s="153" t="s">
        <v>5</v>
      </c>
      <c r="H33" s="275" t="s">
        <v>6</v>
      </c>
      <c r="I33" s="259"/>
      <c r="J33" s="1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498"/>
      <c r="C34" s="500" t="s">
        <v>420</v>
      </c>
      <c r="D34" s="224"/>
      <c r="E34" s="224"/>
      <c r="F34" s="225"/>
      <c r="G34" s="502" t="s">
        <v>7</v>
      </c>
      <c r="H34" s="275" t="s">
        <v>8</v>
      </c>
      <c r="I34" s="259"/>
      <c r="J34" s="1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499"/>
      <c r="C35" s="226"/>
      <c r="D35" s="227"/>
      <c r="E35" s="227"/>
      <c r="F35" s="228"/>
      <c r="G35" s="499"/>
      <c r="H35" s="496" t="s">
        <v>9</v>
      </c>
      <c r="I35" s="259"/>
      <c r="J35" s="1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34" t="s">
        <v>421</v>
      </c>
      <c r="C36" s="482" t="str">
        <f>OP!$M$11</f>
        <v>OP-L-123</v>
      </c>
      <c r="D36" s="235"/>
      <c r="E36" s="235"/>
      <c r="F36" s="282"/>
      <c r="G36" s="135" t="s">
        <v>206</v>
      </c>
      <c r="H36" s="480"/>
      <c r="I36" s="282"/>
      <c r="J36" s="1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7" t="s">
        <v>422</v>
      </c>
      <c r="C37" s="482" t="str">
        <f>OP!$G$9</f>
        <v>SUERO MULTIPEPTIDOS</v>
      </c>
      <c r="D37" s="235"/>
      <c r="E37" s="235"/>
      <c r="F37" s="282"/>
      <c r="G37" s="138" t="s">
        <v>423</v>
      </c>
      <c r="H37" s="481" t="str">
        <f>OP!$M$10</f>
        <v>252521</v>
      </c>
      <c r="I37" s="282"/>
      <c r="J37" s="1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7" t="s">
        <v>424</v>
      </c>
      <c r="C38" s="495" t="str">
        <f>OP!B17</f>
        <v>PROPILENGLICOL</v>
      </c>
      <c r="D38" s="212"/>
      <c r="E38" s="212"/>
      <c r="F38" s="215"/>
      <c r="G38" s="139" t="s">
        <v>425</v>
      </c>
      <c r="H38" s="482" t="str">
        <f>OP!J17</f>
        <v>D357P4J1B3</v>
      </c>
      <c r="I38" s="282"/>
      <c r="J38" s="1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40" t="s">
        <v>426</v>
      </c>
      <c r="C39" s="484">
        <f>OP!N17</f>
        <v>875</v>
      </c>
      <c r="D39" s="235"/>
      <c r="E39" s="235"/>
      <c r="F39" s="235"/>
      <c r="G39" s="141"/>
      <c r="H39" s="136"/>
      <c r="I39" s="142"/>
      <c r="J39" s="1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40" t="s">
        <v>427</v>
      </c>
      <c r="C40" s="492"/>
      <c r="D40" s="235"/>
      <c r="E40" s="235"/>
      <c r="F40" s="235"/>
      <c r="G40" s="136"/>
      <c r="H40" s="136"/>
      <c r="I40" s="142"/>
      <c r="J40" s="1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40" t="s">
        <v>428</v>
      </c>
      <c r="C41" s="492"/>
      <c r="D41" s="235"/>
      <c r="E41" s="235"/>
      <c r="F41" s="235"/>
      <c r="G41" s="141" t="s">
        <v>429</v>
      </c>
      <c r="H41" s="143"/>
      <c r="I41" s="144"/>
      <c r="J41" s="1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40" t="s">
        <v>430</v>
      </c>
      <c r="C42" s="492"/>
      <c r="D42" s="235"/>
      <c r="E42" s="235"/>
      <c r="F42" s="235"/>
      <c r="G42" s="141" t="s">
        <v>204</v>
      </c>
      <c r="H42" s="143"/>
      <c r="I42" s="144"/>
      <c r="J42" s="1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45" t="s">
        <v>431</v>
      </c>
      <c r="C43" s="150"/>
      <c r="D43" s="150"/>
      <c r="E43" s="150"/>
      <c r="F43" s="151"/>
      <c r="G43" s="146"/>
      <c r="H43" s="146"/>
      <c r="I43" s="148"/>
      <c r="J43" s="1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68"/>
      <c r="D44" s="68"/>
      <c r="E44" s="68"/>
      <c r="F44" s="68"/>
      <c r="G44" s="12"/>
      <c r="H44" s="12"/>
      <c r="I44" s="12"/>
      <c r="J44" s="1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488"/>
      <c r="C45" s="493" t="s">
        <v>0</v>
      </c>
      <c r="D45" s="224"/>
      <c r="E45" s="224"/>
      <c r="F45" s="285"/>
      <c r="G45" s="133" t="s">
        <v>1</v>
      </c>
      <c r="H45" s="294" t="s">
        <v>419</v>
      </c>
      <c r="I45" s="232"/>
      <c r="J45" s="1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489"/>
      <c r="C46" s="300"/>
      <c r="D46" s="240"/>
      <c r="E46" s="240"/>
      <c r="F46" s="293"/>
      <c r="G46" s="9" t="s">
        <v>3</v>
      </c>
      <c r="H46" s="313">
        <v>1</v>
      </c>
      <c r="I46" s="213"/>
      <c r="J46" s="1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489"/>
      <c r="C47" s="301"/>
      <c r="D47" s="235"/>
      <c r="E47" s="235"/>
      <c r="F47" s="282"/>
      <c r="G47" s="9" t="s">
        <v>5</v>
      </c>
      <c r="H47" s="267" t="s">
        <v>6</v>
      </c>
      <c r="I47" s="213"/>
      <c r="J47" s="1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489"/>
      <c r="C48" s="494" t="s">
        <v>420</v>
      </c>
      <c r="D48" s="240"/>
      <c r="E48" s="240"/>
      <c r="F48" s="293"/>
      <c r="G48" s="387" t="s">
        <v>7</v>
      </c>
      <c r="H48" s="267" t="s">
        <v>8</v>
      </c>
      <c r="I48" s="213"/>
      <c r="J48" s="1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490"/>
      <c r="C49" s="227"/>
      <c r="D49" s="227"/>
      <c r="E49" s="227"/>
      <c r="F49" s="290"/>
      <c r="G49" s="486"/>
      <c r="H49" s="487" t="s">
        <v>9</v>
      </c>
      <c r="I49" s="246"/>
      <c r="J49" s="1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4" t="s">
        <v>421</v>
      </c>
      <c r="C50" s="482" t="str">
        <f>OP!$M$11</f>
        <v>OP-L-123</v>
      </c>
      <c r="D50" s="235"/>
      <c r="E50" s="235"/>
      <c r="F50" s="282"/>
      <c r="G50" s="135" t="s">
        <v>206</v>
      </c>
      <c r="H50" s="480"/>
      <c r="I50" s="282"/>
      <c r="J50" s="1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7" t="s">
        <v>422</v>
      </c>
      <c r="C51" s="482" t="str">
        <f>OP!$G$9</f>
        <v>SUERO MULTIPEPTIDOS</v>
      </c>
      <c r="D51" s="235"/>
      <c r="E51" s="235"/>
      <c r="F51" s="282"/>
      <c r="G51" s="138" t="s">
        <v>423</v>
      </c>
      <c r="H51" s="481" t="str">
        <f>OP!$M$10</f>
        <v>252521</v>
      </c>
      <c r="I51" s="282"/>
      <c r="J51" s="1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7" t="s">
        <v>424</v>
      </c>
      <c r="C52" s="483" t="str">
        <f>OP!B18</f>
        <v>GLUCOSAMINA (NAG)</v>
      </c>
      <c r="D52" s="212"/>
      <c r="E52" s="212"/>
      <c r="F52" s="215"/>
      <c r="G52" s="139" t="s">
        <v>425</v>
      </c>
      <c r="H52" s="482" t="str">
        <f>OP!J18</f>
        <v>YT-20251213</v>
      </c>
      <c r="I52" s="282"/>
      <c r="J52" s="1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40" t="s">
        <v>426</v>
      </c>
      <c r="C53" s="484">
        <f>OP!N18</f>
        <v>350</v>
      </c>
      <c r="D53" s="235"/>
      <c r="E53" s="235"/>
      <c r="F53" s="235"/>
      <c r="G53" s="141"/>
      <c r="H53" s="136"/>
      <c r="I53" s="142"/>
      <c r="J53" s="1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40" t="s">
        <v>427</v>
      </c>
      <c r="C54" s="492"/>
      <c r="D54" s="235"/>
      <c r="E54" s="235"/>
      <c r="F54" s="235"/>
      <c r="G54" s="136"/>
      <c r="H54" s="136"/>
      <c r="I54" s="142"/>
      <c r="J54" s="1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40" t="s">
        <v>428</v>
      </c>
      <c r="C55" s="492"/>
      <c r="D55" s="235"/>
      <c r="E55" s="235"/>
      <c r="F55" s="235"/>
      <c r="G55" s="141" t="s">
        <v>429</v>
      </c>
      <c r="H55" s="143"/>
      <c r="I55" s="144"/>
      <c r="J55" s="1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40" t="s">
        <v>430</v>
      </c>
      <c r="C56" s="492"/>
      <c r="D56" s="235"/>
      <c r="E56" s="235"/>
      <c r="F56" s="235"/>
      <c r="G56" s="141" t="s">
        <v>204</v>
      </c>
      <c r="H56" s="143"/>
      <c r="I56" s="144"/>
      <c r="J56" s="1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45" t="s">
        <v>431</v>
      </c>
      <c r="C57" s="150"/>
      <c r="D57" s="150"/>
      <c r="E57" s="150"/>
      <c r="F57" s="151"/>
      <c r="G57" s="146"/>
      <c r="H57" s="146"/>
      <c r="I57" s="148"/>
      <c r="J57" s="1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68"/>
      <c r="D58" s="68"/>
      <c r="E58" s="68"/>
      <c r="F58" s="68"/>
      <c r="G58" s="12"/>
      <c r="H58" s="12"/>
      <c r="I58" s="12"/>
      <c r="J58" s="1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488"/>
      <c r="C59" s="493" t="s">
        <v>0</v>
      </c>
      <c r="D59" s="224"/>
      <c r="E59" s="224"/>
      <c r="F59" s="285"/>
      <c r="G59" s="133" t="s">
        <v>1</v>
      </c>
      <c r="H59" s="294" t="s">
        <v>419</v>
      </c>
      <c r="I59" s="232"/>
      <c r="J59" s="1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489"/>
      <c r="C60" s="300"/>
      <c r="D60" s="240"/>
      <c r="E60" s="240"/>
      <c r="F60" s="293"/>
      <c r="G60" s="9" t="s">
        <v>3</v>
      </c>
      <c r="H60" s="313">
        <v>1</v>
      </c>
      <c r="I60" s="213"/>
      <c r="J60" s="1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489"/>
      <c r="C61" s="301"/>
      <c r="D61" s="235"/>
      <c r="E61" s="235"/>
      <c r="F61" s="282"/>
      <c r="G61" s="9" t="s">
        <v>5</v>
      </c>
      <c r="H61" s="267" t="s">
        <v>6</v>
      </c>
      <c r="I61" s="213"/>
      <c r="J61" s="1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489"/>
      <c r="C62" s="494" t="s">
        <v>420</v>
      </c>
      <c r="D62" s="240"/>
      <c r="E62" s="240"/>
      <c r="F62" s="293"/>
      <c r="G62" s="387" t="s">
        <v>7</v>
      </c>
      <c r="H62" s="267" t="s">
        <v>8</v>
      </c>
      <c r="I62" s="213"/>
      <c r="J62" s="1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490"/>
      <c r="C63" s="227"/>
      <c r="D63" s="227"/>
      <c r="E63" s="227"/>
      <c r="F63" s="290"/>
      <c r="G63" s="486"/>
      <c r="H63" s="487" t="s">
        <v>9</v>
      </c>
      <c r="I63" s="246"/>
      <c r="J63" s="1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4" t="s">
        <v>421</v>
      </c>
      <c r="C64" s="482" t="str">
        <f>OP!$M$11</f>
        <v>OP-L-123</v>
      </c>
      <c r="D64" s="235"/>
      <c r="E64" s="235"/>
      <c r="F64" s="282"/>
      <c r="G64" s="135" t="s">
        <v>206</v>
      </c>
      <c r="H64" s="480"/>
      <c r="I64" s="282"/>
      <c r="J64" s="1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7" t="s">
        <v>422</v>
      </c>
      <c r="C65" s="482" t="str">
        <f>OP!$G$9</f>
        <v>SUERO MULTIPEPTIDOS</v>
      </c>
      <c r="D65" s="235"/>
      <c r="E65" s="235"/>
      <c r="F65" s="282"/>
      <c r="G65" s="138" t="s">
        <v>423</v>
      </c>
      <c r="H65" s="481" t="str">
        <f>OP!$M$10</f>
        <v>252521</v>
      </c>
      <c r="I65" s="282"/>
      <c r="J65" s="1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7" t="s">
        <v>424</v>
      </c>
      <c r="C66" s="483" t="str">
        <f>OP!B19</f>
        <v>BIOSURE FE</v>
      </c>
      <c r="D66" s="212"/>
      <c r="E66" s="212"/>
      <c r="F66" s="215"/>
      <c r="G66" s="139" t="s">
        <v>425</v>
      </c>
      <c r="H66" s="482">
        <f>OP!J19</f>
        <v>250127005</v>
      </c>
      <c r="I66" s="282"/>
      <c r="J66" s="1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40" t="s">
        <v>426</v>
      </c>
      <c r="C67" s="484">
        <f>OP!N19</f>
        <v>350</v>
      </c>
      <c r="D67" s="235"/>
      <c r="E67" s="235"/>
      <c r="F67" s="235"/>
      <c r="G67" s="141"/>
      <c r="H67" s="136"/>
      <c r="I67" s="142"/>
      <c r="J67" s="1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40" t="s">
        <v>427</v>
      </c>
      <c r="C68" s="492"/>
      <c r="D68" s="235"/>
      <c r="E68" s="235"/>
      <c r="F68" s="235"/>
      <c r="G68" s="136"/>
      <c r="H68" s="136"/>
      <c r="I68" s="142"/>
      <c r="J68" s="1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40" t="s">
        <v>428</v>
      </c>
      <c r="C69" s="492"/>
      <c r="D69" s="235"/>
      <c r="E69" s="235"/>
      <c r="F69" s="235"/>
      <c r="G69" s="141" t="s">
        <v>429</v>
      </c>
      <c r="H69" s="143"/>
      <c r="I69" s="144"/>
      <c r="J69" s="1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40" t="s">
        <v>430</v>
      </c>
      <c r="C70" s="492"/>
      <c r="D70" s="235"/>
      <c r="E70" s="235"/>
      <c r="F70" s="235"/>
      <c r="G70" s="141" t="s">
        <v>204</v>
      </c>
      <c r="H70" s="143"/>
      <c r="I70" s="144"/>
      <c r="J70" s="1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45" t="s">
        <v>431</v>
      </c>
      <c r="C71" s="150"/>
      <c r="D71" s="150"/>
      <c r="E71" s="150"/>
      <c r="F71" s="151"/>
      <c r="G71" s="146"/>
      <c r="H71" s="146"/>
      <c r="I71" s="148"/>
      <c r="J71" s="1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68"/>
      <c r="D72" s="68"/>
      <c r="E72" s="68"/>
      <c r="F72" s="68"/>
      <c r="G72" s="12"/>
      <c r="H72" s="12"/>
      <c r="I72" s="12"/>
      <c r="J72" s="1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68"/>
      <c r="D73" s="68"/>
      <c r="E73" s="68"/>
      <c r="F73" s="68"/>
      <c r="G73" s="12"/>
      <c r="H73" s="12"/>
      <c r="I73" s="12"/>
      <c r="J73" s="1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488"/>
      <c r="C75" s="491" t="s">
        <v>0</v>
      </c>
      <c r="D75" s="224"/>
      <c r="E75" s="224"/>
      <c r="F75" s="285"/>
      <c r="G75" s="133" t="s">
        <v>1</v>
      </c>
      <c r="H75" s="294" t="s">
        <v>419</v>
      </c>
      <c r="I75" s="232"/>
      <c r="J75" s="1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489"/>
      <c r="C76" s="300"/>
      <c r="D76" s="240"/>
      <c r="E76" s="240"/>
      <c r="F76" s="293"/>
      <c r="G76" s="9" t="s">
        <v>3</v>
      </c>
      <c r="H76" s="313">
        <v>1</v>
      </c>
      <c r="I76" s="213"/>
      <c r="J76" s="1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489"/>
      <c r="C77" s="301"/>
      <c r="D77" s="235"/>
      <c r="E77" s="235"/>
      <c r="F77" s="282"/>
      <c r="G77" s="9" t="s">
        <v>5</v>
      </c>
      <c r="H77" s="267" t="s">
        <v>6</v>
      </c>
      <c r="I77" s="213"/>
      <c r="J77" s="1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489"/>
      <c r="C78" s="278" t="s">
        <v>420</v>
      </c>
      <c r="D78" s="240"/>
      <c r="E78" s="240"/>
      <c r="F78" s="293"/>
      <c r="G78" s="387" t="s">
        <v>7</v>
      </c>
      <c r="H78" s="267" t="s">
        <v>8</v>
      </c>
      <c r="I78" s="213"/>
      <c r="J78" s="1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490"/>
      <c r="C79" s="227"/>
      <c r="D79" s="227"/>
      <c r="E79" s="227"/>
      <c r="F79" s="290"/>
      <c r="G79" s="486"/>
      <c r="H79" s="487" t="s">
        <v>9</v>
      </c>
      <c r="I79" s="246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4" t="s">
        <v>421</v>
      </c>
      <c r="C80" s="482" t="str">
        <f>OP!$M$11</f>
        <v>OP-L-123</v>
      </c>
      <c r="D80" s="235"/>
      <c r="E80" s="235"/>
      <c r="F80" s="282"/>
      <c r="G80" s="135" t="s">
        <v>206</v>
      </c>
      <c r="H80" s="480"/>
      <c r="I80" s="282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7" t="s">
        <v>422</v>
      </c>
      <c r="C81" s="482" t="str">
        <f>OP!$G$9</f>
        <v>SUERO MULTIPEPTIDOS</v>
      </c>
      <c r="D81" s="235"/>
      <c r="E81" s="235"/>
      <c r="F81" s="282"/>
      <c r="G81" s="138" t="s">
        <v>423</v>
      </c>
      <c r="H81" s="481" t="str">
        <f>OP!$M$10</f>
        <v>252521</v>
      </c>
      <c r="I81" s="282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7" t="s">
        <v>424</v>
      </c>
      <c r="C82" s="483" t="str">
        <f>OP!B20</f>
        <v>GLUCONOLACTONA</v>
      </c>
      <c r="D82" s="212"/>
      <c r="E82" s="212"/>
      <c r="F82" s="215"/>
      <c r="G82" s="139" t="s">
        <v>425</v>
      </c>
      <c r="H82" s="482" t="str">
        <f>OP!J20</f>
        <v>YT-G20250419</v>
      </c>
      <c r="I82" s="282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40" t="s">
        <v>426</v>
      </c>
      <c r="C83" s="484">
        <f>OP!N20</f>
        <v>175</v>
      </c>
      <c r="D83" s="235"/>
      <c r="E83" s="235"/>
      <c r="F83" s="235"/>
      <c r="G83" s="141"/>
      <c r="H83" s="136"/>
      <c r="I83" s="142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40" t="s">
        <v>427</v>
      </c>
      <c r="C84" s="485"/>
      <c r="D84" s="235"/>
      <c r="E84" s="235"/>
      <c r="F84" s="235"/>
      <c r="G84" s="136"/>
      <c r="H84" s="136"/>
      <c r="I84" s="142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40" t="s">
        <v>428</v>
      </c>
      <c r="C85" s="485"/>
      <c r="D85" s="235"/>
      <c r="E85" s="235"/>
      <c r="F85" s="235"/>
      <c r="G85" s="141" t="s">
        <v>429</v>
      </c>
      <c r="H85" s="143"/>
      <c r="I85" s="144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40" t="s">
        <v>430</v>
      </c>
      <c r="C86" s="485"/>
      <c r="D86" s="235"/>
      <c r="E86" s="235"/>
      <c r="F86" s="235"/>
      <c r="G86" s="141" t="s">
        <v>204</v>
      </c>
      <c r="H86" s="143"/>
      <c r="I86" s="144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45" t="s">
        <v>431</v>
      </c>
      <c r="C87" s="146"/>
      <c r="D87" s="146"/>
      <c r="E87" s="146"/>
      <c r="F87" s="147"/>
      <c r="G87" s="146"/>
      <c r="H87" s="146"/>
      <c r="I87" s="148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488"/>
      <c r="C89" s="491" t="s">
        <v>0</v>
      </c>
      <c r="D89" s="224"/>
      <c r="E89" s="224"/>
      <c r="F89" s="285"/>
      <c r="G89" s="133" t="s">
        <v>1</v>
      </c>
      <c r="H89" s="294" t="s">
        <v>419</v>
      </c>
      <c r="I89" s="232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489"/>
      <c r="C90" s="300"/>
      <c r="D90" s="240"/>
      <c r="E90" s="240"/>
      <c r="F90" s="293"/>
      <c r="G90" s="9" t="s">
        <v>3</v>
      </c>
      <c r="H90" s="313">
        <v>1</v>
      </c>
      <c r="I90" s="213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489"/>
      <c r="C91" s="301"/>
      <c r="D91" s="235"/>
      <c r="E91" s="235"/>
      <c r="F91" s="282"/>
      <c r="G91" s="9" t="s">
        <v>5</v>
      </c>
      <c r="H91" s="267" t="s">
        <v>6</v>
      </c>
      <c r="I91" s="213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489"/>
      <c r="C92" s="278" t="s">
        <v>420</v>
      </c>
      <c r="D92" s="240"/>
      <c r="E92" s="240"/>
      <c r="F92" s="293"/>
      <c r="G92" s="387" t="s">
        <v>7</v>
      </c>
      <c r="H92" s="267" t="s">
        <v>8</v>
      </c>
      <c r="I92" s="213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490"/>
      <c r="C93" s="227"/>
      <c r="D93" s="227"/>
      <c r="E93" s="227"/>
      <c r="F93" s="290"/>
      <c r="G93" s="486"/>
      <c r="H93" s="487" t="s">
        <v>9</v>
      </c>
      <c r="I93" s="246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4" t="s">
        <v>421</v>
      </c>
      <c r="C94" s="482" t="str">
        <f>OP!$M$11</f>
        <v>OP-L-123</v>
      </c>
      <c r="D94" s="235"/>
      <c r="E94" s="235"/>
      <c r="F94" s="282"/>
      <c r="G94" s="135" t="s">
        <v>206</v>
      </c>
      <c r="H94" s="480"/>
      <c r="I94" s="282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7" t="s">
        <v>422</v>
      </c>
      <c r="C95" s="482" t="str">
        <f>OP!$G$9</f>
        <v>SUERO MULTIPEPTIDOS</v>
      </c>
      <c r="D95" s="235"/>
      <c r="E95" s="235"/>
      <c r="F95" s="282"/>
      <c r="G95" s="138" t="s">
        <v>423</v>
      </c>
      <c r="H95" s="481" t="str">
        <f>OP!$M$10</f>
        <v>252521</v>
      </c>
      <c r="I95" s="282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7" t="s">
        <v>424</v>
      </c>
      <c r="C96" s="483" t="str">
        <f>OP!B21</f>
        <v>COPPER TRIPEPTIDE 1</v>
      </c>
      <c r="D96" s="212"/>
      <c r="E96" s="212"/>
      <c r="F96" s="215"/>
      <c r="G96" s="139" t="s">
        <v>425</v>
      </c>
      <c r="H96" s="482">
        <f>OP!J21</f>
        <v>0</v>
      </c>
      <c r="I96" s="282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40" t="s">
        <v>426</v>
      </c>
      <c r="C97" s="484">
        <f>OP!N21</f>
        <v>35</v>
      </c>
      <c r="D97" s="235"/>
      <c r="E97" s="235"/>
      <c r="F97" s="235"/>
      <c r="G97" s="141"/>
      <c r="H97" s="136"/>
      <c r="I97" s="142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40" t="s">
        <v>427</v>
      </c>
      <c r="C98" s="485"/>
      <c r="D98" s="235"/>
      <c r="E98" s="235"/>
      <c r="F98" s="235"/>
      <c r="G98" s="136"/>
      <c r="H98" s="136"/>
      <c r="I98" s="142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40" t="s">
        <v>428</v>
      </c>
      <c r="C99" s="485"/>
      <c r="D99" s="235"/>
      <c r="E99" s="235"/>
      <c r="F99" s="235"/>
      <c r="G99" s="141" t="s">
        <v>429</v>
      </c>
      <c r="H99" s="143"/>
      <c r="I99" s="144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40" t="s">
        <v>430</v>
      </c>
      <c r="C100" s="485"/>
      <c r="D100" s="235"/>
      <c r="E100" s="235"/>
      <c r="F100" s="235"/>
      <c r="G100" s="141" t="s">
        <v>204</v>
      </c>
      <c r="H100" s="143"/>
      <c r="I100" s="144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45" t="s">
        <v>431</v>
      </c>
      <c r="C101" s="146"/>
      <c r="D101" s="146"/>
      <c r="E101" s="146"/>
      <c r="F101" s="147"/>
      <c r="G101" s="146"/>
      <c r="H101" s="146"/>
      <c r="I101" s="148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488"/>
      <c r="C103" s="491" t="s">
        <v>0</v>
      </c>
      <c r="D103" s="224"/>
      <c r="E103" s="224"/>
      <c r="F103" s="285"/>
      <c r="G103" s="133" t="s">
        <v>1</v>
      </c>
      <c r="H103" s="294" t="s">
        <v>419</v>
      </c>
      <c r="I103" s="23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489"/>
      <c r="C104" s="300"/>
      <c r="D104" s="240"/>
      <c r="E104" s="240"/>
      <c r="F104" s="293"/>
      <c r="G104" s="9" t="s">
        <v>3</v>
      </c>
      <c r="H104" s="313">
        <v>1</v>
      </c>
      <c r="I104" s="213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489"/>
      <c r="C105" s="301"/>
      <c r="D105" s="235"/>
      <c r="E105" s="235"/>
      <c r="F105" s="282"/>
      <c r="G105" s="9" t="s">
        <v>5</v>
      </c>
      <c r="H105" s="267" t="s">
        <v>6</v>
      </c>
      <c r="I105" s="213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489"/>
      <c r="C106" s="278" t="s">
        <v>420</v>
      </c>
      <c r="D106" s="240"/>
      <c r="E106" s="240"/>
      <c r="F106" s="293"/>
      <c r="G106" s="387" t="s">
        <v>7</v>
      </c>
      <c r="H106" s="267" t="s">
        <v>8</v>
      </c>
      <c r="I106" s="213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490"/>
      <c r="C107" s="227"/>
      <c r="D107" s="227"/>
      <c r="E107" s="227"/>
      <c r="F107" s="290"/>
      <c r="G107" s="486"/>
      <c r="H107" s="487" t="s">
        <v>9</v>
      </c>
      <c r="I107" s="246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4" t="s">
        <v>421</v>
      </c>
      <c r="C108" s="482" t="str">
        <f>OP!$M$11</f>
        <v>OP-L-123</v>
      </c>
      <c r="D108" s="235"/>
      <c r="E108" s="235"/>
      <c r="F108" s="282"/>
      <c r="G108" s="135" t="s">
        <v>206</v>
      </c>
      <c r="H108" s="480"/>
      <c r="I108" s="2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7" t="s">
        <v>422</v>
      </c>
      <c r="C109" s="482" t="str">
        <f>OP!$G$9</f>
        <v>SUERO MULTIPEPTIDOS</v>
      </c>
      <c r="D109" s="235"/>
      <c r="E109" s="235"/>
      <c r="F109" s="282"/>
      <c r="G109" s="138" t="s">
        <v>423</v>
      </c>
      <c r="H109" s="481" t="str">
        <f>OP!$M$10</f>
        <v>252521</v>
      </c>
      <c r="I109" s="2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7" t="s">
        <v>424</v>
      </c>
      <c r="C110" s="483" t="str">
        <f>OP!B22</f>
        <v>PALMITOYL TRIPEPTIDE 1</v>
      </c>
      <c r="D110" s="212"/>
      <c r="E110" s="212"/>
      <c r="F110" s="215"/>
      <c r="G110" s="139" t="s">
        <v>425</v>
      </c>
      <c r="H110" s="482" t="str">
        <f>OP!J22</f>
        <v>LYPH250603</v>
      </c>
      <c r="I110" s="2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40" t="s">
        <v>426</v>
      </c>
      <c r="C111" s="484">
        <f>OP!N22</f>
        <v>3.5000000000000004</v>
      </c>
      <c r="D111" s="235"/>
      <c r="E111" s="235"/>
      <c r="F111" s="235"/>
      <c r="G111" s="141"/>
      <c r="H111" s="136"/>
      <c r="I111" s="14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40" t="s">
        <v>427</v>
      </c>
      <c r="C112" s="485"/>
      <c r="D112" s="235"/>
      <c r="E112" s="235"/>
      <c r="F112" s="235"/>
      <c r="G112" s="136"/>
      <c r="H112" s="136"/>
      <c r="I112" s="14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40" t="s">
        <v>428</v>
      </c>
      <c r="C113" s="485"/>
      <c r="D113" s="235"/>
      <c r="E113" s="235"/>
      <c r="F113" s="235"/>
      <c r="G113" s="141" t="s">
        <v>429</v>
      </c>
      <c r="H113" s="143"/>
      <c r="I113" s="144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40" t="s">
        <v>430</v>
      </c>
      <c r="C114" s="485"/>
      <c r="D114" s="235"/>
      <c r="E114" s="235"/>
      <c r="F114" s="235"/>
      <c r="G114" s="141" t="s">
        <v>204</v>
      </c>
      <c r="H114" s="143"/>
      <c r="I114" s="144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45" t="s">
        <v>431</v>
      </c>
      <c r="C115" s="146"/>
      <c r="D115" s="146"/>
      <c r="E115" s="146"/>
      <c r="F115" s="147"/>
      <c r="G115" s="146"/>
      <c r="H115" s="146"/>
      <c r="I115" s="148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488"/>
      <c r="C117" s="491" t="s">
        <v>0</v>
      </c>
      <c r="D117" s="224"/>
      <c r="E117" s="224"/>
      <c r="F117" s="285"/>
      <c r="G117" s="133" t="s">
        <v>1</v>
      </c>
      <c r="H117" s="294" t="s">
        <v>419</v>
      </c>
      <c r="I117" s="23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489"/>
      <c r="C118" s="300"/>
      <c r="D118" s="240"/>
      <c r="E118" s="240"/>
      <c r="F118" s="293"/>
      <c r="G118" s="9" t="s">
        <v>3</v>
      </c>
      <c r="H118" s="313">
        <v>1</v>
      </c>
      <c r="I118" s="213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489"/>
      <c r="C119" s="301"/>
      <c r="D119" s="235"/>
      <c r="E119" s="235"/>
      <c r="F119" s="282"/>
      <c r="G119" s="9" t="s">
        <v>5</v>
      </c>
      <c r="H119" s="267" t="s">
        <v>6</v>
      </c>
      <c r="I119" s="213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489"/>
      <c r="C120" s="278" t="s">
        <v>420</v>
      </c>
      <c r="D120" s="240"/>
      <c r="E120" s="240"/>
      <c r="F120" s="293"/>
      <c r="G120" s="387" t="s">
        <v>7</v>
      </c>
      <c r="H120" s="267" t="s">
        <v>8</v>
      </c>
      <c r="I120" s="213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490"/>
      <c r="C121" s="227"/>
      <c r="D121" s="227"/>
      <c r="E121" s="227"/>
      <c r="F121" s="290"/>
      <c r="G121" s="486"/>
      <c r="H121" s="487" t="s">
        <v>9</v>
      </c>
      <c r="I121" s="246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4" t="s">
        <v>421</v>
      </c>
      <c r="C122" s="482" t="str">
        <f>OP!$M$11</f>
        <v>OP-L-123</v>
      </c>
      <c r="D122" s="235"/>
      <c r="E122" s="235"/>
      <c r="F122" s="282"/>
      <c r="G122" s="135" t="s">
        <v>206</v>
      </c>
      <c r="H122" s="480"/>
      <c r="I122" s="2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7" t="s">
        <v>422</v>
      </c>
      <c r="C123" s="482" t="str">
        <f>OP!$G$9</f>
        <v>SUERO MULTIPEPTIDOS</v>
      </c>
      <c r="D123" s="235"/>
      <c r="E123" s="235"/>
      <c r="F123" s="282"/>
      <c r="G123" s="138" t="s">
        <v>423</v>
      </c>
      <c r="H123" s="481" t="str">
        <f>OP!$M$10</f>
        <v>252521</v>
      </c>
      <c r="I123" s="2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7" t="s">
        <v>424</v>
      </c>
      <c r="C124" s="483" t="str">
        <f>OP!B23</f>
        <v>PALMITOYL TETRAPEPTIDE 7</v>
      </c>
      <c r="D124" s="212"/>
      <c r="E124" s="212"/>
      <c r="F124" s="215"/>
      <c r="G124" s="139" t="s">
        <v>425</v>
      </c>
      <c r="H124" s="482" t="str">
        <f>OP!J23</f>
        <v>LYPH250702</v>
      </c>
      <c r="I124" s="2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40" t="s">
        <v>426</v>
      </c>
      <c r="C125" s="484">
        <f>OP!N23</f>
        <v>3.5000000000000004</v>
      </c>
      <c r="D125" s="235"/>
      <c r="E125" s="235"/>
      <c r="F125" s="235"/>
      <c r="G125" s="141"/>
      <c r="H125" s="136"/>
      <c r="I125" s="14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40" t="s">
        <v>427</v>
      </c>
      <c r="C126" s="485"/>
      <c r="D126" s="235"/>
      <c r="E126" s="235"/>
      <c r="F126" s="235"/>
      <c r="G126" s="136"/>
      <c r="H126" s="136"/>
      <c r="I126" s="14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40" t="s">
        <v>428</v>
      </c>
      <c r="C127" s="485"/>
      <c r="D127" s="235"/>
      <c r="E127" s="235"/>
      <c r="F127" s="235"/>
      <c r="G127" s="141" t="s">
        <v>429</v>
      </c>
      <c r="H127" s="143"/>
      <c r="I127" s="144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40" t="s">
        <v>430</v>
      </c>
      <c r="C128" s="485"/>
      <c r="D128" s="235"/>
      <c r="E128" s="235"/>
      <c r="F128" s="235"/>
      <c r="G128" s="141" t="s">
        <v>204</v>
      </c>
      <c r="H128" s="143"/>
      <c r="I128" s="144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45" t="s">
        <v>431</v>
      </c>
      <c r="C129" s="146"/>
      <c r="D129" s="146"/>
      <c r="E129" s="146"/>
      <c r="F129" s="147"/>
      <c r="G129" s="146"/>
      <c r="H129" s="146"/>
      <c r="I129" s="148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488"/>
      <c r="C131" s="491" t="s">
        <v>0</v>
      </c>
      <c r="D131" s="224"/>
      <c r="E131" s="224"/>
      <c r="F131" s="285"/>
      <c r="G131" s="133" t="s">
        <v>1</v>
      </c>
      <c r="H131" s="294" t="s">
        <v>419</v>
      </c>
      <c r="I131" s="23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489"/>
      <c r="C132" s="300"/>
      <c r="D132" s="240"/>
      <c r="E132" s="240"/>
      <c r="F132" s="293"/>
      <c r="G132" s="9" t="s">
        <v>3</v>
      </c>
      <c r="H132" s="313">
        <v>1</v>
      </c>
      <c r="I132" s="213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489"/>
      <c r="C133" s="301"/>
      <c r="D133" s="235"/>
      <c r="E133" s="235"/>
      <c r="F133" s="282"/>
      <c r="G133" s="9" t="s">
        <v>5</v>
      </c>
      <c r="H133" s="267" t="s">
        <v>6</v>
      </c>
      <c r="I133" s="213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489"/>
      <c r="C134" s="278" t="s">
        <v>420</v>
      </c>
      <c r="D134" s="240"/>
      <c r="E134" s="240"/>
      <c r="F134" s="293"/>
      <c r="G134" s="387" t="s">
        <v>7</v>
      </c>
      <c r="H134" s="267" t="s">
        <v>8</v>
      </c>
      <c r="I134" s="213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490"/>
      <c r="C135" s="227"/>
      <c r="D135" s="227"/>
      <c r="E135" s="227"/>
      <c r="F135" s="290"/>
      <c r="G135" s="486"/>
      <c r="H135" s="487" t="s">
        <v>9</v>
      </c>
      <c r="I135" s="246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4" t="s">
        <v>421</v>
      </c>
      <c r="C136" s="482" t="str">
        <f>OP!$M$11</f>
        <v>OP-L-123</v>
      </c>
      <c r="D136" s="235"/>
      <c r="E136" s="235"/>
      <c r="F136" s="282"/>
      <c r="G136" s="135" t="s">
        <v>206</v>
      </c>
      <c r="H136" s="480"/>
      <c r="I136" s="2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7" t="s">
        <v>422</v>
      </c>
      <c r="C137" s="482" t="str">
        <f>OP!$G$9</f>
        <v>SUERO MULTIPEPTIDOS</v>
      </c>
      <c r="D137" s="235"/>
      <c r="E137" s="235"/>
      <c r="F137" s="282"/>
      <c r="G137" s="138" t="s">
        <v>423</v>
      </c>
      <c r="H137" s="481" t="str">
        <f>OP!$M$10</f>
        <v>252521</v>
      </c>
      <c r="I137" s="2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7" t="s">
        <v>424</v>
      </c>
      <c r="C138" s="483" t="str">
        <f>OP!B24</f>
        <v>PALMITOYL PENTAPEPTIDE 4</v>
      </c>
      <c r="D138" s="212"/>
      <c r="E138" s="212"/>
      <c r="F138" s="215"/>
      <c r="G138" s="139" t="s">
        <v>425</v>
      </c>
      <c r="H138" s="482" t="str">
        <f>OP!J24</f>
        <v>YT-20250310</v>
      </c>
      <c r="I138" s="2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40" t="s">
        <v>426</v>
      </c>
      <c r="C139" s="484">
        <f>OP!N24</f>
        <v>1.7500000000000002</v>
      </c>
      <c r="D139" s="235"/>
      <c r="E139" s="235"/>
      <c r="F139" s="235"/>
      <c r="G139" s="141"/>
      <c r="H139" s="136"/>
      <c r="I139" s="14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40" t="s">
        <v>427</v>
      </c>
      <c r="C140" s="485"/>
      <c r="D140" s="235"/>
      <c r="E140" s="235"/>
      <c r="F140" s="235"/>
      <c r="G140" s="136"/>
      <c r="H140" s="136"/>
      <c r="I140" s="14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40" t="s">
        <v>428</v>
      </c>
      <c r="C141" s="485"/>
      <c r="D141" s="235"/>
      <c r="E141" s="235"/>
      <c r="F141" s="235"/>
      <c r="G141" s="141" t="s">
        <v>429</v>
      </c>
      <c r="H141" s="143"/>
      <c r="I141" s="144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40" t="s">
        <v>430</v>
      </c>
      <c r="C142" s="485"/>
      <c r="D142" s="235"/>
      <c r="E142" s="235"/>
      <c r="F142" s="235"/>
      <c r="G142" s="141" t="s">
        <v>204</v>
      </c>
      <c r="H142" s="143"/>
      <c r="I142" s="144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45" t="s">
        <v>431</v>
      </c>
      <c r="C143" s="146"/>
      <c r="D143" s="146"/>
      <c r="E143" s="146"/>
      <c r="F143" s="147"/>
      <c r="G143" s="146"/>
      <c r="H143" s="146"/>
      <c r="I143" s="148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488"/>
      <c r="C145" s="491" t="s">
        <v>0</v>
      </c>
      <c r="D145" s="224"/>
      <c r="E145" s="224"/>
      <c r="F145" s="285"/>
      <c r="G145" s="133" t="s">
        <v>1</v>
      </c>
      <c r="H145" s="294" t="s">
        <v>419</v>
      </c>
      <c r="I145" s="23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489"/>
      <c r="C146" s="300"/>
      <c r="D146" s="240"/>
      <c r="E146" s="240"/>
      <c r="F146" s="293"/>
      <c r="G146" s="9" t="s">
        <v>3</v>
      </c>
      <c r="H146" s="313">
        <v>1</v>
      </c>
      <c r="I146" s="213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489"/>
      <c r="C147" s="301"/>
      <c r="D147" s="235"/>
      <c r="E147" s="235"/>
      <c r="F147" s="282"/>
      <c r="G147" s="9" t="s">
        <v>5</v>
      </c>
      <c r="H147" s="267" t="s">
        <v>6</v>
      </c>
      <c r="I147" s="213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489"/>
      <c r="C148" s="278" t="s">
        <v>420</v>
      </c>
      <c r="D148" s="240"/>
      <c r="E148" s="240"/>
      <c r="F148" s="293"/>
      <c r="G148" s="387" t="s">
        <v>7</v>
      </c>
      <c r="H148" s="267" t="s">
        <v>8</v>
      </c>
      <c r="I148" s="213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490"/>
      <c r="C149" s="227"/>
      <c r="D149" s="227"/>
      <c r="E149" s="227"/>
      <c r="F149" s="290"/>
      <c r="G149" s="486"/>
      <c r="H149" s="487" t="s">
        <v>9</v>
      </c>
      <c r="I149" s="246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4" t="s">
        <v>421</v>
      </c>
      <c r="C150" s="482" t="str">
        <f>OP!$M$11</f>
        <v>OP-L-123</v>
      </c>
      <c r="D150" s="235"/>
      <c r="E150" s="235"/>
      <c r="F150" s="282"/>
      <c r="G150" s="135" t="s">
        <v>206</v>
      </c>
      <c r="H150" s="480"/>
      <c r="I150" s="2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7" t="s">
        <v>422</v>
      </c>
      <c r="C151" s="482" t="str">
        <f>OP!$G$9</f>
        <v>SUERO MULTIPEPTIDOS</v>
      </c>
      <c r="D151" s="235"/>
      <c r="E151" s="235"/>
      <c r="F151" s="282"/>
      <c r="G151" s="138" t="s">
        <v>423</v>
      </c>
      <c r="H151" s="481" t="str">
        <f>OP!$M$10</f>
        <v>252521</v>
      </c>
      <c r="I151" s="2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7" t="s">
        <v>424</v>
      </c>
      <c r="C152" s="483" t="str">
        <f>OP!B25</f>
        <v>ACETYL HEXAPEPTIDE 8</v>
      </c>
      <c r="D152" s="212"/>
      <c r="E152" s="212"/>
      <c r="F152" s="215"/>
      <c r="G152" s="139" t="s">
        <v>425</v>
      </c>
      <c r="H152" s="482" t="str">
        <f>OP!J25</f>
        <v>YT-AH20250320</v>
      </c>
      <c r="I152" s="2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40" t="s">
        <v>426</v>
      </c>
      <c r="C153" s="484">
        <f>OP!N25</f>
        <v>10.5</v>
      </c>
      <c r="D153" s="235"/>
      <c r="E153" s="235"/>
      <c r="F153" s="235"/>
      <c r="G153" s="141"/>
      <c r="H153" s="136"/>
      <c r="I153" s="14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40" t="s">
        <v>427</v>
      </c>
      <c r="C154" s="485"/>
      <c r="D154" s="235"/>
      <c r="E154" s="235"/>
      <c r="F154" s="235"/>
      <c r="G154" s="136"/>
      <c r="H154" s="136"/>
      <c r="I154" s="14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40" t="s">
        <v>428</v>
      </c>
      <c r="C155" s="485"/>
      <c r="D155" s="235"/>
      <c r="E155" s="235"/>
      <c r="F155" s="235"/>
      <c r="G155" s="141" t="s">
        <v>429</v>
      </c>
      <c r="H155" s="143"/>
      <c r="I155" s="144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40" t="s">
        <v>430</v>
      </c>
      <c r="C156" s="485"/>
      <c r="D156" s="235"/>
      <c r="E156" s="235"/>
      <c r="F156" s="235"/>
      <c r="G156" s="141" t="s">
        <v>204</v>
      </c>
      <c r="H156" s="143"/>
      <c r="I156" s="144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45" t="s">
        <v>431</v>
      </c>
      <c r="C157" s="146"/>
      <c r="D157" s="146"/>
      <c r="E157" s="146"/>
      <c r="F157" s="147"/>
      <c r="G157" s="146"/>
      <c r="H157" s="146"/>
      <c r="I157" s="148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488"/>
      <c r="C159" s="491" t="s">
        <v>0</v>
      </c>
      <c r="D159" s="224"/>
      <c r="E159" s="224"/>
      <c r="F159" s="285"/>
      <c r="G159" s="133" t="s">
        <v>1</v>
      </c>
      <c r="H159" s="294" t="s">
        <v>419</v>
      </c>
      <c r="I159" s="23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489"/>
      <c r="C160" s="300"/>
      <c r="D160" s="240"/>
      <c r="E160" s="240"/>
      <c r="F160" s="293"/>
      <c r="G160" s="9" t="s">
        <v>3</v>
      </c>
      <c r="H160" s="313">
        <v>1</v>
      </c>
      <c r="I160" s="213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489"/>
      <c r="C161" s="301"/>
      <c r="D161" s="235"/>
      <c r="E161" s="235"/>
      <c r="F161" s="282"/>
      <c r="G161" s="9" t="s">
        <v>5</v>
      </c>
      <c r="H161" s="267" t="s">
        <v>6</v>
      </c>
      <c r="I161" s="213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489"/>
      <c r="C162" s="278" t="s">
        <v>420</v>
      </c>
      <c r="D162" s="240"/>
      <c r="E162" s="240"/>
      <c r="F162" s="293"/>
      <c r="G162" s="387" t="s">
        <v>7</v>
      </c>
      <c r="H162" s="267" t="s">
        <v>8</v>
      </c>
      <c r="I162" s="213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490"/>
      <c r="C163" s="227"/>
      <c r="D163" s="227"/>
      <c r="E163" s="227"/>
      <c r="F163" s="290"/>
      <c r="G163" s="486"/>
      <c r="H163" s="487" t="s">
        <v>9</v>
      </c>
      <c r="I163" s="246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4" t="s">
        <v>421</v>
      </c>
      <c r="C164" s="482" t="str">
        <f>OP!$M$11</f>
        <v>OP-L-123</v>
      </c>
      <c r="D164" s="235"/>
      <c r="E164" s="235"/>
      <c r="F164" s="282"/>
      <c r="G164" s="135" t="s">
        <v>206</v>
      </c>
      <c r="H164" s="480"/>
      <c r="I164" s="2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7" t="s">
        <v>422</v>
      </c>
      <c r="C165" s="482" t="str">
        <f>OP!$G$9</f>
        <v>SUERO MULTIPEPTIDOS</v>
      </c>
      <c r="D165" s="235"/>
      <c r="E165" s="235"/>
      <c r="F165" s="282"/>
      <c r="G165" s="138" t="s">
        <v>423</v>
      </c>
      <c r="H165" s="481" t="str">
        <f>OP!$M$10</f>
        <v>252521</v>
      </c>
      <c r="I165" s="2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7" t="s">
        <v>424</v>
      </c>
      <c r="C166" s="483" t="str">
        <f>OP!B26</f>
        <v>ACETYL TETRAPEPTIDE 5</v>
      </c>
      <c r="D166" s="212"/>
      <c r="E166" s="212"/>
      <c r="F166" s="215"/>
      <c r="G166" s="139" t="s">
        <v>425</v>
      </c>
      <c r="H166" s="482" t="str">
        <f>OP!J26</f>
        <v>YT-PT20250318</v>
      </c>
      <c r="I166" s="2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40" t="s">
        <v>426</v>
      </c>
      <c r="C167" s="484">
        <f>OP!N26</f>
        <v>0.35000000000000003</v>
      </c>
      <c r="D167" s="235"/>
      <c r="E167" s="235"/>
      <c r="F167" s="235"/>
      <c r="G167" s="141"/>
      <c r="H167" s="136"/>
      <c r="I167" s="14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40" t="s">
        <v>427</v>
      </c>
      <c r="C168" s="485"/>
      <c r="D168" s="235"/>
      <c r="E168" s="235"/>
      <c r="F168" s="235"/>
      <c r="G168" s="136"/>
      <c r="H168" s="136"/>
      <c r="I168" s="14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40" t="s">
        <v>428</v>
      </c>
      <c r="C169" s="485"/>
      <c r="D169" s="235"/>
      <c r="E169" s="235"/>
      <c r="F169" s="235"/>
      <c r="G169" s="141" t="s">
        <v>429</v>
      </c>
      <c r="H169" s="143"/>
      <c r="I169" s="144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40" t="s">
        <v>430</v>
      </c>
      <c r="C170" s="485"/>
      <c r="D170" s="235"/>
      <c r="E170" s="235"/>
      <c r="F170" s="235"/>
      <c r="G170" s="141" t="s">
        <v>204</v>
      </c>
      <c r="H170" s="143"/>
      <c r="I170" s="144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45" t="s">
        <v>431</v>
      </c>
      <c r="C171" s="146"/>
      <c r="D171" s="146"/>
      <c r="E171" s="146"/>
      <c r="F171" s="147"/>
      <c r="G171" s="146"/>
      <c r="H171" s="146"/>
      <c r="I171" s="148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488"/>
      <c r="C173" s="491" t="s">
        <v>0</v>
      </c>
      <c r="D173" s="224"/>
      <c r="E173" s="224"/>
      <c r="F173" s="285"/>
      <c r="G173" s="133" t="s">
        <v>1</v>
      </c>
      <c r="H173" s="294" t="s">
        <v>419</v>
      </c>
      <c r="I173" s="23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489"/>
      <c r="C174" s="300"/>
      <c r="D174" s="240"/>
      <c r="E174" s="240"/>
      <c r="F174" s="293"/>
      <c r="G174" s="9" t="s">
        <v>3</v>
      </c>
      <c r="H174" s="313">
        <v>1</v>
      </c>
      <c r="I174" s="213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489"/>
      <c r="C175" s="301"/>
      <c r="D175" s="235"/>
      <c r="E175" s="235"/>
      <c r="F175" s="282"/>
      <c r="G175" s="9" t="s">
        <v>5</v>
      </c>
      <c r="H175" s="267" t="s">
        <v>6</v>
      </c>
      <c r="I175" s="213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489"/>
      <c r="C176" s="278" t="s">
        <v>420</v>
      </c>
      <c r="D176" s="240"/>
      <c r="E176" s="240"/>
      <c r="F176" s="293"/>
      <c r="G176" s="387" t="s">
        <v>7</v>
      </c>
      <c r="H176" s="267" t="s">
        <v>8</v>
      </c>
      <c r="I176" s="213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490"/>
      <c r="C177" s="227"/>
      <c r="D177" s="227"/>
      <c r="E177" s="227"/>
      <c r="F177" s="290"/>
      <c r="G177" s="486"/>
      <c r="H177" s="487" t="s">
        <v>9</v>
      </c>
      <c r="I177" s="246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4" t="s">
        <v>421</v>
      </c>
      <c r="C178" s="482" t="str">
        <f>OP!$M$11</f>
        <v>OP-L-123</v>
      </c>
      <c r="D178" s="235"/>
      <c r="E178" s="235"/>
      <c r="F178" s="282"/>
      <c r="G178" s="135" t="s">
        <v>206</v>
      </c>
      <c r="H178" s="480"/>
      <c r="I178" s="2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7" t="s">
        <v>422</v>
      </c>
      <c r="C179" s="482" t="str">
        <f>OP!$G$9</f>
        <v>SUERO MULTIPEPTIDOS</v>
      </c>
      <c r="D179" s="235"/>
      <c r="E179" s="235"/>
      <c r="F179" s="282"/>
      <c r="G179" s="138" t="s">
        <v>423</v>
      </c>
      <c r="H179" s="481" t="str">
        <f>OP!$M$10</f>
        <v>252521</v>
      </c>
      <c r="I179" s="2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7" t="s">
        <v>424</v>
      </c>
      <c r="C180" s="483" t="str">
        <f>OP!B27</f>
        <v>DIPÉPTIDO DIAMINOBUTIROIL BENZALAMIDA DIACETATO</v>
      </c>
      <c r="D180" s="212"/>
      <c r="E180" s="212"/>
      <c r="F180" s="215"/>
      <c r="G180" s="139" t="s">
        <v>425</v>
      </c>
      <c r="H180" s="482" t="str">
        <f>OP!J27</f>
        <v>LYPH250721</v>
      </c>
      <c r="I180" s="2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40" t="s">
        <v>426</v>
      </c>
      <c r="C181" s="484">
        <f>OP!N27</f>
        <v>3.5000000000000004</v>
      </c>
      <c r="D181" s="235"/>
      <c r="E181" s="235"/>
      <c r="F181" s="235"/>
      <c r="G181" s="141"/>
      <c r="H181" s="136"/>
      <c r="I181" s="14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40" t="s">
        <v>427</v>
      </c>
      <c r="C182" s="485"/>
      <c r="D182" s="235"/>
      <c r="E182" s="235"/>
      <c r="F182" s="235"/>
      <c r="G182" s="136"/>
      <c r="H182" s="136"/>
      <c r="I182" s="14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40" t="s">
        <v>428</v>
      </c>
      <c r="C183" s="485"/>
      <c r="D183" s="235"/>
      <c r="E183" s="235"/>
      <c r="F183" s="235"/>
      <c r="G183" s="141" t="s">
        <v>429</v>
      </c>
      <c r="H183" s="143"/>
      <c r="I183" s="144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40" t="s">
        <v>430</v>
      </c>
      <c r="C184" s="485"/>
      <c r="D184" s="235"/>
      <c r="E184" s="235"/>
      <c r="F184" s="235"/>
      <c r="G184" s="141" t="s">
        <v>204</v>
      </c>
      <c r="H184" s="143"/>
      <c r="I184" s="144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45" t="s">
        <v>431</v>
      </c>
      <c r="C185" s="146"/>
      <c r="D185" s="146"/>
      <c r="E185" s="146"/>
      <c r="F185" s="147"/>
      <c r="G185" s="146"/>
      <c r="H185" s="146"/>
      <c r="I185" s="148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488"/>
      <c r="C187" s="491" t="s">
        <v>0</v>
      </c>
      <c r="D187" s="224"/>
      <c r="E187" s="224"/>
      <c r="F187" s="285"/>
      <c r="G187" s="133" t="s">
        <v>1</v>
      </c>
      <c r="H187" s="294" t="s">
        <v>419</v>
      </c>
      <c r="I187" s="23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489"/>
      <c r="C188" s="300"/>
      <c r="D188" s="240"/>
      <c r="E188" s="240"/>
      <c r="F188" s="293"/>
      <c r="G188" s="9" t="s">
        <v>3</v>
      </c>
      <c r="H188" s="313">
        <v>1</v>
      </c>
      <c r="I188" s="213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489"/>
      <c r="C189" s="301"/>
      <c r="D189" s="235"/>
      <c r="E189" s="235"/>
      <c r="F189" s="282"/>
      <c r="G189" s="9" t="s">
        <v>5</v>
      </c>
      <c r="H189" s="267" t="s">
        <v>6</v>
      </c>
      <c r="I189" s="213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489"/>
      <c r="C190" s="278" t="s">
        <v>420</v>
      </c>
      <c r="D190" s="240"/>
      <c r="E190" s="240"/>
      <c r="F190" s="293"/>
      <c r="G190" s="387" t="s">
        <v>7</v>
      </c>
      <c r="H190" s="267" t="s">
        <v>8</v>
      </c>
      <c r="I190" s="213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490"/>
      <c r="C191" s="227"/>
      <c r="D191" s="227"/>
      <c r="E191" s="227"/>
      <c r="F191" s="290"/>
      <c r="G191" s="486"/>
      <c r="H191" s="487" t="s">
        <v>9</v>
      </c>
      <c r="I191" s="246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4" t="s">
        <v>421</v>
      </c>
      <c r="C192" s="482" t="str">
        <f>OP!$M$11</f>
        <v>OP-L-123</v>
      </c>
      <c r="D192" s="235"/>
      <c r="E192" s="235"/>
      <c r="F192" s="282"/>
      <c r="G192" s="135" t="s">
        <v>206</v>
      </c>
      <c r="H192" s="480"/>
      <c r="I192" s="2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7" t="s">
        <v>422</v>
      </c>
      <c r="C193" s="482" t="str">
        <f>OP!$G$9</f>
        <v>SUERO MULTIPEPTIDOS</v>
      </c>
      <c r="D193" s="235"/>
      <c r="E193" s="235"/>
      <c r="F193" s="282"/>
      <c r="G193" s="138" t="s">
        <v>423</v>
      </c>
      <c r="H193" s="481" t="str">
        <f>OP!$M$10</f>
        <v>252521</v>
      </c>
      <c r="I193" s="2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7" t="s">
        <v>424</v>
      </c>
      <c r="C194" s="483" t="str">
        <f>OP!B28</f>
        <v>PDRN (SODIUM DNA)</v>
      </c>
      <c r="D194" s="212"/>
      <c r="E194" s="212"/>
      <c r="F194" s="215"/>
      <c r="G194" s="139" t="s">
        <v>425</v>
      </c>
      <c r="H194" s="482" t="str">
        <f>OP!J28</f>
        <v>T-20250107</v>
      </c>
      <c r="I194" s="2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40" t="s">
        <v>426</v>
      </c>
      <c r="C195" s="484">
        <f>OP!N28</f>
        <v>3.5000000000000004</v>
      </c>
      <c r="D195" s="235"/>
      <c r="E195" s="235"/>
      <c r="F195" s="235"/>
      <c r="G195" s="141"/>
      <c r="H195" s="136"/>
      <c r="I195" s="14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40" t="s">
        <v>427</v>
      </c>
      <c r="C196" s="485"/>
      <c r="D196" s="235"/>
      <c r="E196" s="235"/>
      <c r="F196" s="235"/>
      <c r="G196" s="136"/>
      <c r="H196" s="136"/>
      <c r="I196" s="14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40" t="s">
        <v>428</v>
      </c>
      <c r="C197" s="485"/>
      <c r="D197" s="235"/>
      <c r="E197" s="235"/>
      <c r="F197" s="235"/>
      <c r="G197" s="141" t="s">
        <v>429</v>
      </c>
      <c r="H197" s="143"/>
      <c r="I197" s="144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40" t="s">
        <v>430</v>
      </c>
      <c r="C198" s="485"/>
      <c r="D198" s="235"/>
      <c r="E198" s="235"/>
      <c r="F198" s="235"/>
      <c r="G198" s="141" t="s">
        <v>204</v>
      </c>
      <c r="H198" s="143"/>
      <c r="I198" s="144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45" t="s">
        <v>431</v>
      </c>
      <c r="C199" s="146"/>
      <c r="D199" s="146"/>
      <c r="E199" s="146"/>
      <c r="F199" s="147"/>
      <c r="G199" s="146"/>
      <c r="H199" s="146"/>
      <c r="I199" s="148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488"/>
      <c r="C201" s="491" t="s">
        <v>0</v>
      </c>
      <c r="D201" s="224"/>
      <c r="E201" s="224"/>
      <c r="F201" s="285"/>
      <c r="G201" s="133" t="s">
        <v>1</v>
      </c>
      <c r="H201" s="294" t="s">
        <v>419</v>
      </c>
      <c r="I201" s="23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489"/>
      <c r="C202" s="300"/>
      <c r="D202" s="240"/>
      <c r="E202" s="240"/>
      <c r="F202" s="293"/>
      <c r="G202" s="9" t="s">
        <v>3</v>
      </c>
      <c r="H202" s="313">
        <v>1</v>
      </c>
      <c r="I202" s="213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489"/>
      <c r="C203" s="301"/>
      <c r="D203" s="235"/>
      <c r="E203" s="235"/>
      <c r="F203" s="282"/>
      <c r="G203" s="9" t="s">
        <v>5</v>
      </c>
      <c r="H203" s="267" t="s">
        <v>6</v>
      </c>
      <c r="I203" s="213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489"/>
      <c r="C204" s="278" t="s">
        <v>420</v>
      </c>
      <c r="D204" s="240"/>
      <c r="E204" s="240"/>
      <c r="F204" s="293"/>
      <c r="G204" s="387" t="s">
        <v>7</v>
      </c>
      <c r="H204" s="267" t="s">
        <v>8</v>
      </c>
      <c r="I204" s="213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490"/>
      <c r="C205" s="227"/>
      <c r="D205" s="227"/>
      <c r="E205" s="227"/>
      <c r="F205" s="290"/>
      <c r="G205" s="486"/>
      <c r="H205" s="487" t="s">
        <v>9</v>
      </c>
      <c r="I205" s="246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4" t="s">
        <v>421</v>
      </c>
      <c r="C206" s="482" t="str">
        <f>OP!$M$11</f>
        <v>OP-L-123</v>
      </c>
      <c r="D206" s="235"/>
      <c r="E206" s="235"/>
      <c r="F206" s="282"/>
      <c r="G206" s="135" t="s">
        <v>206</v>
      </c>
      <c r="H206" s="480"/>
      <c r="I206" s="2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7" t="s">
        <v>422</v>
      </c>
      <c r="C207" s="482" t="str">
        <f>OP!$G$9</f>
        <v>SUERO MULTIPEPTIDOS</v>
      </c>
      <c r="D207" s="235"/>
      <c r="E207" s="235"/>
      <c r="F207" s="282"/>
      <c r="G207" s="138" t="s">
        <v>423</v>
      </c>
      <c r="H207" s="481" t="str">
        <f>OP!$M$10</f>
        <v>252521</v>
      </c>
      <c r="I207" s="2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7" t="s">
        <v>424</v>
      </c>
      <c r="C208" s="483" t="str">
        <f>OP!B29</f>
        <v>ADENOSINA</v>
      </c>
      <c r="D208" s="212"/>
      <c r="E208" s="212"/>
      <c r="F208" s="215"/>
      <c r="G208" s="139" t="s">
        <v>425</v>
      </c>
      <c r="H208" s="482" t="str">
        <f>OP!J29</f>
        <v>YT-20250521</v>
      </c>
      <c r="I208" s="2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40" t="s">
        <v>426</v>
      </c>
      <c r="C209" s="484">
        <f>OP!N29</f>
        <v>3.5000000000000004</v>
      </c>
      <c r="D209" s="235"/>
      <c r="E209" s="235"/>
      <c r="F209" s="235"/>
      <c r="G209" s="141"/>
      <c r="H209" s="136"/>
      <c r="I209" s="14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40" t="s">
        <v>427</v>
      </c>
      <c r="C210" s="485"/>
      <c r="D210" s="235"/>
      <c r="E210" s="235"/>
      <c r="F210" s="235"/>
      <c r="G210" s="136"/>
      <c r="H210" s="136"/>
      <c r="I210" s="14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40" t="s">
        <v>428</v>
      </c>
      <c r="C211" s="485"/>
      <c r="D211" s="235"/>
      <c r="E211" s="235"/>
      <c r="F211" s="235"/>
      <c r="G211" s="141" t="s">
        <v>429</v>
      </c>
      <c r="H211" s="143"/>
      <c r="I211" s="144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40" t="s">
        <v>430</v>
      </c>
      <c r="C212" s="485"/>
      <c r="D212" s="235"/>
      <c r="E212" s="235"/>
      <c r="F212" s="235"/>
      <c r="G212" s="141" t="s">
        <v>204</v>
      </c>
      <c r="H212" s="143"/>
      <c r="I212" s="144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45" t="s">
        <v>431</v>
      </c>
      <c r="C213" s="146"/>
      <c r="D213" s="146"/>
      <c r="E213" s="146"/>
      <c r="F213" s="147"/>
      <c r="G213" s="146"/>
      <c r="H213" s="146"/>
      <c r="I213" s="148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488"/>
      <c r="C215" s="491" t="s">
        <v>0</v>
      </c>
      <c r="D215" s="224"/>
      <c r="E215" s="224"/>
      <c r="F215" s="285"/>
      <c r="G215" s="133" t="s">
        <v>1</v>
      </c>
      <c r="H215" s="294" t="s">
        <v>419</v>
      </c>
      <c r="I215" s="23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489"/>
      <c r="C216" s="300"/>
      <c r="D216" s="240"/>
      <c r="E216" s="240"/>
      <c r="F216" s="293"/>
      <c r="G216" s="9" t="s">
        <v>3</v>
      </c>
      <c r="H216" s="313">
        <v>1</v>
      </c>
      <c r="I216" s="213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489"/>
      <c r="C217" s="301"/>
      <c r="D217" s="235"/>
      <c r="E217" s="235"/>
      <c r="F217" s="282"/>
      <c r="G217" s="9" t="s">
        <v>5</v>
      </c>
      <c r="H217" s="267" t="s">
        <v>6</v>
      </c>
      <c r="I217" s="213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489"/>
      <c r="C218" s="278" t="s">
        <v>420</v>
      </c>
      <c r="D218" s="240"/>
      <c r="E218" s="240"/>
      <c r="F218" s="293"/>
      <c r="G218" s="387" t="s">
        <v>7</v>
      </c>
      <c r="H218" s="267" t="s">
        <v>8</v>
      </c>
      <c r="I218" s="213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490"/>
      <c r="C219" s="227"/>
      <c r="D219" s="227"/>
      <c r="E219" s="227"/>
      <c r="F219" s="290"/>
      <c r="G219" s="486"/>
      <c r="H219" s="487" t="s">
        <v>9</v>
      </c>
      <c r="I219" s="246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4" t="s">
        <v>421</v>
      </c>
      <c r="C220" s="482" t="str">
        <f>OP!$M$11</f>
        <v>OP-L-123</v>
      </c>
      <c r="D220" s="235"/>
      <c r="E220" s="235"/>
      <c r="F220" s="282"/>
      <c r="G220" s="135" t="s">
        <v>206</v>
      </c>
      <c r="H220" s="480"/>
      <c r="I220" s="2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7" t="s">
        <v>422</v>
      </c>
      <c r="C221" s="482" t="str">
        <f>OP!$G$9</f>
        <v>SUERO MULTIPEPTIDOS</v>
      </c>
      <c r="D221" s="235"/>
      <c r="E221" s="235"/>
      <c r="F221" s="282"/>
      <c r="G221" s="138" t="s">
        <v>423</v>
      </c>
      <c r="H221" s="481" t="str">
        <f>OP!$M$10</f>
        <v>252521</v>
      </c>
      <c r="I221" s="2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7" t="s">
        <v>424</v>
      </c>
      <c r="C222" s="483" t="str">
        <f>OP!B30</f>
        <v>GLICINA</v>
      </c>
      <c r="D222" s="212"/>
      <c r="E222" s="212"/>
      <c r="F222" s="215"/>
      <c r="G222" s="139" t="s">
        <v>425</v>
      </c>
      <c r="H222" s="482" t="str">
        <f>OP!J30</f>
        <v>YT-20220925</v>
      </c>
      <c r="I222" s="2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40" t="s">
        <v>426</v>
      </c>
      <c r="C223" s="484">
        <f>OP!N30</f>
        <v>17.5</v>
      </c>
      <c r="D223" s="235"/>
      <c r="E223" s="235"/>
      <c r="F223" s="235"/>
      <c r="G223" s="141"/>
      <c r="H223" s="136"/>
      <c r="I223" s="14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40" t="s">
        <v>427</v>
      </c>
      <c r="C224" s="485"/>
      <c r="D224" s="235"/>
      <c r="E224" s="235"/>
      <c r="F224" s="235"/>
      <c r="G224" s="136"/>
      <c r="H224" s="136"/>
      <c r="I224" s="14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40" t="s">
        <v>428</v>
      </c>
      <c r="C225" s="485"/>
      <c r="D225" s="235"/>
      <c r="E225" s="235"/>
      <c r="F225" s="235"/>
      <c r="G225" s="141" t="s">
        <v>429</v>
      </c>
      <c r="H225" s="143"/>
      <c r="I225" s="144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40" t="s">
        <v>430</v>
      </c>
      <c r="C226" s="485"/>
      <c r="D226" s="235"/>
      <c r="E226" s="235"/>
      <c r="F226" s="235"/>
      <c r="G226" s="141" t="s">
        <v>204</v>
      </c>
      <c r="H226" s="143"/>
      <c r="I226" s="144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45" t="s">
        <v>431</v>
      </c>
      <c r="C227" s="146"/>
      <c r="D227" s="146"/>
      <c r="E227" s="146"/>
      <c r="F227" s="147"/>
      <c r="G227" s="146"/>
      <c r="H227" s="146"/>
      <c r="I227" s="148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488"/>
      <c r="C229" s="491" t="s">
        <v>0</v>
      </c>
      <c r="D229" s="224"/>
      <c r="E229" s="224"/>
      <c r="F229" s="285"/>
      <c r="G229" s="133" t="s">
        <v>1</v>
      </c>
      <c r="H229" s="294" t="s">
        <v>419</v>
      </c>
      <c r="I229" s="23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489"/>
      <c r="C230" s="300"/>
      <c r="D230" s="240"/>
      <c r="E230" s="240"/>
      <c r="F230" s="293"/>
      <c r="G230" s="9" t="s">
        <v>3</v>
      </c>
      <c r="H230" s="313">
        <v>1</v>
      </c>
      <c r="I230" s="213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489"/>
      <c r="C231" s="301"/>
      <c r="D231" s="235"/>
      <c r="E231" s="235"/>
      <c r="F231" s="282"/>
      <c r="G231" s="9" t="s">
        <v>5</v>
      </c>
      <c r="H231" s="267" t="s">
        <v>6</v>
      </c>
      <c r="I231" s="213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489"/>
      <c r="C232" s="278" t="s">
        <v>420</v>
      </c>
      <c r="D232" s="240"/>
      <c r="E232" s="240"/>
      <c r="F232" s="293"/>
      <c r="G232" s="387" t="s">
        <v>7</v>
      </c>
      <c r="H232" s="267" t="s">
        <v>8</v>
      </c>
      <c r="I232" s="213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490"/>
      <c r="C233" s="227"/>
      <c r="D233" s="227"/>
      <c r="E233" s="227"/>
      <c r="F233" s="290"/>
      <c r="G233" s="486"/>
      <c r="H233" s="487" t="s">
        <v>9</v>
      </c>
      <c r="I233" s="246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4" t="s">
        <v>421</v>
      </c>
      <c r="C234" s="482" t="str">
        <f>OP!$M$11</f>
        <v>OP-L-123</v>
      </c>
      <c r="D234" s="235"/>
      <c r="E234" s="235"/>
      <c r="F234" s="282"/>
      <c r="G234" s="135" t="s">
        <v>206</v>
      </c>
      <c r="H234" s="480"/>
      <c r="I234" s="2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7" t="s">
        <v>422</v>
      </c>
      <c r="C235" s="482" t="str">
        <f>OP!$G$9</f>
        <v>SUERO MULTIPEPTIDOS</v>
      </c>
      <c r="D235" s="235"/>
      <c r="E235" s="235"/>
      <c r="F235" s="282"/>
      <c r="G235" s="138" t="s">
        <v>423</v>
      </c>
      <c r="H235" s="481" t="str">
        <f>OP!$M$10</f>
        <v>252521</v>
      </c>
      <c r="I235" s="2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7" t="s">
        <v>424</v>
      </c>
      <c r="C236" s="483" t="str">
        <f>OP!B31</f>
        <v>GLUTATION</v>
      </c>
      <c r="D236" s="212"/>
      <c r="E236" s="212"/>
      <c r="F236" s="215"/>
      <c r="G236" s="139" t="s">
        <v>425</v>
      </c>
      <c r="H236" s="482" t="str">
        <f>OP!J31</f>
        <v>YT-20250406</v>
      </c>
      <c r="I236" s="2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40" t="s">
        <v>426</v>
      </c>
      <c r="C237" s="484">
        <f>OP!N31</f>
        <v>3.5000000000000004</v>
      </c>
      <c r="D237" s="235"/>
      <c r="E237" s="235"/>
      <c r="F237" s="235"/>
      <c r="G237" s="141"/>
      <c r="H237" s="136"/>
      <c r="I237" s="14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40" t="s">
        <v>427</v>
      </c>
      <c r="C238" s="485"/>
      <c r="D238" s="235"/>
      <c r="E238" s="235"/>
      <c r="F238" s="235"/>
      <c r="G238" s="136"/>
      <c r="H238" s="136"/>
      <c r="I238" s="14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40" t="s">
        <v>428</v>
      </c>
      <c r="C239" s="485"/>
      <c r="D239" s="235"/>
      <c r="E239" s="235"/>
      <c r="F239" s="235"/>
      <c r="G239" s="141" t="s">
        <v>429</v>
      </c>
      <c r="H239" s="143"/>
      <c r="I239" s="144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40" t="s">
        <v>430</v>
      </c>
      <c r="C240" s="485"/>
      <c r="D240" s="235"/>
      <c r="E240" s="235"/>
      <c r="F240" s="235"/>
      <c r="G240" s="141" t="s">
        <v>204</v>
      </c>
      <c r="H240" s="143"/>
      <c r="I240" s="144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45" t="s">
        <v>431</v>
      </c>
      <c r="C241" s="146"/>
      <c r="D241" s="146"/>
      <c r="E241" s="146"/>
      <c r="F241" s="147"/>
      <c r="G241" s="146"/>
      <c r="H241" s="146"/>
      <c r="I241" s="148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488"/>
      <c r="C243" s="491" t="s">
        <v>0</v>
      </c>
      <c r="D243" s="224"/>
      <c r="E243" s="224"/>
      <c r="F243" s="285"/>
      <c r="G243" s="133" t="s">
        <v>1</v>
      </c>
      <c r="H243" s="294" t="s">
        <v>419</v>
      </c>
      <c r="I243" s="23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489"/>
      <c r="C244" s="300"/>
      <c r="D244" s="240"/>
      <c r="E244" s="240"/>
      <c r="F244" s="293"/>
      <c r="G244" s="9" t="s">
        <v>3</v>
      </c>
      <c r="H244" s="313">
        <v>1</v>
      </c>
      <c r="I244" s="213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489"/>
      <c r="C245" s="301"/>
      <c r="D245" s="235"/>
      <c r="E245" s="235"/>
      <c r="F245" s="282"/>
      <c r="G245" s="9" t="s">
        <v>5</v>
      </c>
      <c r="H245" s="267" t="s">
        <v>6</v>
      </c>
      <c r="I245" s="213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489"/>
      <c r="C246" s="278" t="s">
        <v>420</v>
      </c>
      <c r="D246" s="240"/>
      <c r="E246" s="240"/>
      <c r="F246" s="293"/>
      <c r="G246" s="387" t="s">
        <v>7</v>
      </c>
      <c r="H246" s="267" t="s">
        <v>8</v>
      </c>
      <c r="I246" s="213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490"/>
      <c r="C247" s="227"/>
      <c r="D247" s="227"/>
      <c r="E247" s="227"/>
      <c r="F247" s="290"/>
      <c r="G247" s="486"/>
      <c r="H247" s="487" t="s">
        <v>9</v>
      </c>
      <c r="I247" s="246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4" t="s">
        <v>421</v>
      </c>
      <c r="C248" s="482" t="str">
        <f>OP!$M$11</f>
        <v>OP-L-123</v>
      </c>
      <c r="D248" s="235"/>
      <c r="E248" s="235"/>
      <c r="F248" s="282"/>
      <c r="G248" s="135" t="s">
        <v>206</v>
      </c>
      <c r="H248" s="480"/>
      <c r="I248" s="2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7" t="s">
        <v>422</v>
      </c>
      <c r="C249" s="482" t="str">
        <f>OP!$G$9</f>
        <v>SUERO MULTIPEPTIDOS</v>
      </c>
      <c r="D249" s="235"/>
      <c r="E249" s="235"/>
      <c r="F249" s="282"/>
      <c r="G249" s="138" t="s">
        <v>423</v>
      </c>
      <c r="H249" s="481" t="str">
        <f>OP!$M$10</f>
        <v>252521</v>
      </c>
      <c r="I249" s="2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7" t="s">
        <v>424</v>
      </c>
      <c r="C250" s="483" t="str">
        <f>OP!B32</f>
        <v>PALMITOYL TRIPEPTIDE 5</v>
      </c>
      <c r="D250" s="212"/>
      <c r="E250" s="212"/>
      <c r="F250" s="215"/>
      <c r="G250" s="139" t="s">
        <v>425</v>
      </c>
      <c r="H250" s="482" t="str">
        <f>OP!J32</f>
        <v>YT-PT20250419</v>
      </c>
      <c r="I250" s="2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40" t="s">
        <v>426</v>
      </c>
      <c r="C251" s="484">
        <f>OP!N32</f>
        <v>3.5000000000000004</v>
      </c>
      <c r="D251" s="235"/>
      <c r="E251" s="235"/>
      <c r="F251" s="235"/>
      <c r="G251" s="141"/>
      <c r="H251" s="136"/>
      <c r="I251" s="14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40" t="s">
        <v>427</v>
      </c>
      <c r="C252" s="485"/>
      <c r="D252" s="235"/>
      <c r="E252" s="235"/>
      <c r="F252" s="235"/>
      <c r="G252" s="136"/>
      <c r="H252" s="136"/>
      <c r="I252" s="14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40" t="s">
        <v>428</v>
      </c>
      <c r="C253" s="485"/>
      <c r="D253" s="235"/>
      <c r="E253" s="235"/>
      <c r="F253" s="235"/>
      <c r="G253" s="141" t="s">
        <v>429</v>
      </c>
      <c r="H253" s="143"/>
      <c r="I253" s="144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40" t="s">
        <v>430</v>
      </c>
      <c r="C254" s="485"/>
      <c r="D254" s="235"/>
      <c r="E254" s="235"/>
      <c r="F254" s="235"/>
      <c r="G254" s="141" t="s">
        <v>204</v>
      </c>
      <c r="H254" s="143"/>
      <c r="I254" s="144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45" t="s">
        <v>431</v>
      </c>
      <c r="C255" s="146"/>
      <c r="D255" s="146"/>
      <c r="E255" s="146"/>
      <c r="F255" s="147"/>
      <c r="G255" s="146"/>
      <c r="H255" s="146"/>
      <c r="I255" s="148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488"/>
      <c r="C257" s="491" t="s">
        <v>0</v>
      </c>
      <c r="D257" s="224"/>
      <c r="E257" s="224"/>
      <c r="F257" s="285"/>
      <c r="G257" s="133" t="s">
        <v>1</v>
      </c>
      <c r="H257" s="294" t="s">
        <v>419</v>
      </c>
      <c r="I257" s="23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489"/>
      <c r="C258" s="300"/>
      <c r="D258" s="240"/>
      <c r="E258" s="240"/>
      <c r="F258" s="293"/>
      <c r="G258" s="9" t="s">
        <v>3</v>
      </c>
      <c r="H258" s="313">
        <v>1</v>
      </c>
      <c r="I258" s="213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489"/>
      <c r="C259" s="301"/>
      <c r="D259" s="235"/>
      <c r="E259" s="235"/>
      <c r="F259" s="282"/>
      <c r="G259" s="9" t="s">
        <v>5</v>
      </c>
      <c r="H259" s="267" t="s">
        <v>6</v>
      </c>
      <c r="I259" s="213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489"/>
      <c r="C260" s="278" t="s">
        <v>420</v>
      </c>
      <c r="D260" s="240"/>
      <c r="E260" s="240"/>
      <c r="F260" s="293"/>
      <c r="G260" s="387" t="s">
        <v>7</v>
      </c>
      <c r="H260" s="267" t="s">
        <v>8</v>
      </c>
      <c r="I260" s="213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490"/>
      <c r="C261" s="227"/>
      <c r="D261" s="227"/>
      <c r="E261" s="227"/>
      <c r="F261" s="290"/>
      <c r="G261" s="486"/>
      <c r="H261" s="487" t="s">
        <v>9</v>
      </c>
      <c r="I261" s="246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4" t="s">
        <v>421</v>
      </c>
      <c r="C262" s="482" t="str">
        <f>OP!$M$11</f>
        <v>OP-L-123</v>
      </c>
      <c r="D262" s="235"/>
      <c r="E262" s="235"/>
      <c r="F262" s="282"/>
      <c r="G262" s="135" t="s">
        <v>206</v>
      </c>
      <c r="H262" s="480"/>
      <c r="I262" s="2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7" t="s">
        <v>422</v>
      </c>
      <c r="C263" s="482" t="str">
        <f>OP!$G$9</f>
        <v>SUERO MULTIPEPTIDOS</v>
      </c>
      <c r="D263" s="235"/>
      <c r="E263" s="235"/>
      <c r="F263" s="282"/>
      <c r="G263" s="138" t="s">
        <v>423</v>
      </c>
      <c r="H263" s="481" t="str">
        <f>OP!$M$10</f>
        <v>252521</v>
      </c>
      <c r="I263" s="2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7" t="s">
        <v>424</v>
      </c>
      <c r="C264" s="483" t="str">
        <f>OP!B33</f>
        <v>ACIDO HIALURONICO 50KD</v>
      </c>
      <c r="D264" s="212"/>
      <c r="E264" s="212"/>
      <c r="F264" s="215"/>
      <c r="G264" s="139" t="s">
        <v>425</v>
      </c>
      <c r="H264" s="482" t="str">
        <f>OP!J33</f>
        <v>YT-HA20250622</v>
      </c>
      <c r="I264" s="2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40" t="s">
        <v>426</v>
      </c>
      <c r="C265" s="484">
        <f>OP!N33</f>
        <v>70</v>
      </c>
      <c r="D265" s="235"/>
      <c r="E265" s="235"/>
      <c r="F265" s="235"/>
      <c r="G265" s="141"/>
      <c r="H265" s="136"/>
      <c r="I265" s="14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40" t="s">
        <v>427</v>
      </c>
      <c r="C266" s="485"/>
      <c r="D266" s="235"/>
      <c r="E266" s="235"/>
      <c r="F266" s="235"/>
      <c r="G266" s="136"/>
      <c r="H266" s="136"/>
      <c r="I266" s="14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40" t="s">
        <v>428</v>
      </c>
      <c r="C267" s="485"/>
      <c r="D267" s="235"/>
      <c r="E267" s="235"/>
      <c r="F267" s="235"/>
      <c r="G267" s="141" t="s">
        <v>429</v>
      </c>
      <c r="H267" s="143"/>
      <c r="I267" s="144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40" t="s">
        <v>430</v>
      </c>
      <c r="C268" s="485"/>
      <c r="D268" s="235"/>
      <c r="E268" s="235"/>
      <c r="F268" s="235"/>
      <c r="G268" s="141" t="s">
        <v>204</v>
      </c>
      <c r="H268" s="143"/>
      <c r="I268" s="144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45" t="s">
        <v>431</v>
      </c>
      <c r="C269" s="146"/>
      <c r="D269" s="146"/>
      <c r="E269" s="146"/>
      <c r="F269" s="147"/>
      <c r="G269" s="146"/>
      <c r="H269" s="146"/>
      <c r="I269" s="148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488"/>
      <c r="C271" s="491" t="s">
        <v>0</v>
      </c>
      <c r="D271" s="224"/>
      <c r="E271" s="224"/>
      <c r="F271" s="285"/>
      <c r="G271" s="133" t="s">
        <v>1</v>
      </c>
      <c r="H271" s="294" t="s">
        <v>419</v>
      </c>
      <c r="I271" s="23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489"/>
      <c r="C272" s="300"/>
      <c r="D272" s="240"/>
      <c r="E272" s="240"/>
      <c r="F272" s="293"/>
      <c r="G272" s="9" t="s">
        <v>3</v>
      </c>
      <c r="H272" s="313">
        <v>1</v>
      </c>
      <c r="I272" s="213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489"/>
      <c r="C273" s="301"/>
      <c r="D273" s="235"/>
      <c r="E273" s="235"/>
      <c r="F273" s="282"/>
      <c r="G273" s="9" t="s">
        <v>5</v>
      </c>
      <c r="H273" s="267" t="s">
        <v>6</v>
      </c>
      <c r="I273" s="213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489"/>
      <c r="C274" s="278" t="s">
        <v>420</v>
      </c>
      <c r="D274" s="240"/>
      <c r="E274" s="240"/>
      <c r="F274" s="293"/>
      <c r="G274" s="387" t="s">
        <v>7</v>
      </c>
      <c r="H274" s="267" t="s">
        <v>8</v>
      </c>
      <c r="I274" s="213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490"/>
      <c r="C275" s="227"/>
      <c r="D275" s="227"/>
      <c r="E275" s="227"/>
      <c r="F275" s="290"/>
      <c r="G275" s="486"/>
      <c r="H275" s="487" t="s">
        <v>9</v>
      </c>
      <c r="I275" s="246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134" t="s">
        <v>421</v>
      </c>
      <c r="C276" s="482" t="str">
        <f>OP!$M$11</f>
        <v>OP-L-123</v>
      </c>
      <c r="D276" s="235"/>
      <c r="E276" s="235"/>
      <c r="F276" s="282"/>
      <c r="G276" s="135" t="s">
        <v>206</v>
      </c>
      <c r="H276" s="480"/>
      <c r="I276" s="2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37" t="s">
        <v>422</v>
      </c>
      <c r="C277" s="482" t="str">
        <f>OP!$G$9</f>
        <v>SUERO MULTIPEPTIDOS</v>
      </c>
      <c r="D277" s="235"/>
      <c r="E277" s="235"/>
      <c r="F277" s="282"/>
      <c r="G277" s="138" t="s">
        <v>423</v>
      </c>
      <c r="H277" s="481" t="str">
        <f>OP!$M$10</f>
        <v>252521</v>
      </c>
      <c r="I277" s="2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137" t="s">
        <v>424</v>
      </c>
      <c r="C278" s="483" t="str">
        <f>OP!B34</f>
        <v>ACIDO HIALURONICO 1500KD</v>
      </c>
      <c r="D278" s="212"/>
      <c r="E278" s="212"/>
      <c r="F278" s="215"/>
      <c r="G278" s="139" t="s">
        <v>425</v>
      </c>
      <c r="H278" s="482" t="str">
        <f>OP!J34</f>
        <v>YT-HA20250326</v>
      </c>
      <c r="I278" s="2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140" t="s">
        <v>426</v>
      </c>
      <c r="C279" s="484">
        <f>OP!N34</f>
        <v>35</v>
      </c>
      <c r="D279" s="235"/>
      <c r="E279" s="235"/>
      <c r="F279" s="235"/>
      <c r="G279" s="141"/>
      <c r="H279" s="136"/>
      <c r="I279" s="14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140" t="s">
        <v>427</v>
      </c>
      <c r="C280" s="485"/>
      <c r="D280" s="235"/>
      <c r="E280" s="235"/>
      <c r="F280" s="235"/>
      <c r="G280" s="136"/>
      <c r="H280" s="136"/>
      <c r="I280" s="14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140" t="s">
        <v>428</v>
      </c>
      <c r="C281" s="485"/>
      <c r="D281" s="235"/>
      <c r="E281" s="235"/>
      <c r="F281" s="235"/>
      <c r="G281" s="141" t="s">
        <v>429</v>
      </c>
      <c r="H281" s="143"/>
      <c r="I281" s="144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140" t="s">
        <v>430</v>
      </c>
      <c r="C282" s="485"/>
      <c r="D282" s="235"/>
      <c r="E282" s="235"/>
      <c r="F282" s="235"/>
      <c r="G282" s="141" t="s">
        <v>204</v>
      </c>
      <c r="H282" s="143"/>
      <c r="I282" s="144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145" t="s">
        <v>431</v>
      </c>
      <c r="C283" s="146"/>
      <c r="D283" s="146"/>
      <c r="E283" s="146"/>
      <c r="F283" s="147"/>
      <c r="G283" s="146"/>
      <c r="H283" s="146"/>
      <c r="I283" s="148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488"/>
      <c r="C285" s="491" t="s">
        <v>0</v>
      </c>
      <c r="D285" s="224"/>
      <c r="E285" s="224"/>
      <c r="F285" s="285"/>
      <c r="G285" s="133" t="s">
        <v>1</v>
      </c>
      <c r="H285" s="294" t="s">
        <v>419</v>
      </c>
      <c r="I285" s="23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489"/>
      <c r="C286" s="300"/>
      <c r="D286" s="240"/>
      <c r="E286" s="240"/>
      <c r="F286" s="293"/>
      <c r="G286" s="9" t="s">
        <v>3</v>
      </c>
      <c r="H286" s="313">
        <v>1</v>
      </c>
      <c r="I286" s="213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489"/>
      <c r="C287" s="301"/>
      <c r="D287" s="235"/>
      <c r="E287" s="235"/>
      <c r="F287" s="282"/>
      <c r="G287" s="9" t="s">
        <v>5</v>
      </c>
      <c r="H287" s="267" t="s">
        <v>6</v>
      </c>
      <c r="I287" s="213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489"/>
      <c r="C288" s="278" t="s">
        <v>420</v>
      </c>
      <c r="D288" s="240"/>
      <c r="E288" s="240"/>
      <c r="F288" s="293"/>
      <c r="G288" s="387" t="s">
        <v>7</v>
      </c>
      <c r="H288" s="267" t="s">
        <v>8</v>
      </c>
      <c r="I288" s="213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490"/>
      <c r="C289" s="227"/>
      <c r="D289" s="227"/>
      <c r="E289" s="227"/>
      <c r="F289" s="290"/>
      <c r="G289" s="486"/>
      <c r="H289" s="487" t="s">
        <v>9</v>
      </c>
      <c r="I289" s="246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134" t="s">
        <v>421</v>
      </c>
      <c r="C290" s="482" t="str">
        <f>OP!$M$11</f>
        <v>OP-L-123</v>
      </c>
      <c r="D290" s="235"/>
      <c r="E290" s="235"/>
      <c r="F290" s="282"/>
      <c r="G290" s="135" t="s">
        <v>206</v>
      </c>
      <c r="H290" s="480"/>
      <c r="I290" s="2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137" t="s">
        <v>422</v>
      </c>
      <c r="C291" s="482" t="str">
        <f>OP!$G$9</f>
        <v>SUERO MULTIPEPTIDOS</v>
      </c>
      <c r="D291" s="235"/>
      <c r="E291" s="235"/>
      <c r="F291" s="282"/>
      <c r="G291" s="138" t="s">
        <v>423</v>
      </c>
      <c r="H291" s="481" t="str">
        <f>OP!$M$10</f>
        <v>252521</v>
      </c>
      <c r="I291" s="2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137" t="s">
        <v>424</v>
      </c>
      <c r="C292" s="483" t="str">
        <f>OP!B35</f>
        <v>ACIDO HIALURONICO 300KD</v>
      </c>
      <c r="D292" s="212"/>
      <c r="E292" s="212"/>
      <c r="F292" s="215"/>
      <c r="G292" s="139" t="s">
        <v>425</v>
      </c>
      <c r="H292" s="482" t="str">
        <f>OP!J35</f>
        <v>YT-20241203</v>
      </c>
      <c r="I292" s="2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140" t="s">
        <v>426</v>
      </c>
      <c r="C293" s="484">
        <f>OP!N35</f>
        <v>70</v>
      </c>
      <c r="D293" s="235"/>
      <c r="E293" s="235"/>
      <c r="F293" s="235"/>
      <c r="G293" s="141"/>
      <c r="H293" s="136"/>
      <c r="I293" s="14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140" t="s">
        <v>427</v>
      </c>
      <c r="C294" s="485"/>
      <c r="D294" s="235"/>
      <c r="E294" s="235"/>
      <c r="F294" s="235"/>
      <c r="G294" s="136"/>
      <c r="H294" s="136"/>
      <c r="I294" s="14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140" t="s">
        <v>428</v>
      </c>
      <c r="C295" s="485"/>
      <c r="D295" s="235"/>
      <c r="E295" s="235"/>
      <c r="F295" s="235"/>
      <c r="G295" s="141" t="s">
        <v>429</v>
      </c>
      <c r="H295" s="143"/>
      <c r="I295" s="144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140" t="s">
        <v>430</v>
      </c>
      <c r="C296" s="485"/>
      <c r="D296" s="235"/>
      <c r="E296" s="235"/>
      <c r="F296" s="235"/>
      <c r="G296" s="141" t="s">
        <v>204</v>
      </c>
      <c r="H296" s="143"/>
      <c r="I296" s="144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145" t="s">
        <v>431</v>
      </c>
      <c r="C297" s="146"/>
      <c r="D297" s="146"/>
      <c r="E297" s="146"/>
      <c r="F297" s="147"/>
      <c r="G297" s="146"/>
      <c r="H297" s="146"/>
      <c r="I297" s="148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488"/>
      <c r="C299" s="491" t="s">
        <v>0</v>
      </c>
      <c r="D299" s="224"/>
      <c r="E299" s="224"/>
      <c r="F299" s="285"/>
      <c r="G299" s="133" t="s">
        <v>1</v>
      </c>
      <c r="H299" s="294" t="s">
        <v>419</v>
      </c>
      <c r="I299" s="23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489"/>
      <c r="C300" s="300"/>
      <c r="D300" s="240"/>
      <c r="E300" s="240"/>
      <c r="F300" s="293"/>
      <c r="G300" s="9" t="s">
        <v>3</v>
      </c>
      <c r="H300" s="313">
        <v>1</v>
      </c>
      <c r="I300" s="213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489"/>
      <c r="C301" s="301"/>
      <c r="D301" s="235"/>
      <c r="E301" s="235"/>
      <c r="F301" s="282"/>
      <c r="G301" s="9" t="s">
        <v>5</v>
      </c>
      <c r="H301" s="267" t="s">
        <v>6</v>
      </c>
      <c r="I301" s="213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489"/>
      <c r="C302" s="278" t="s">
        <v>420</v>
      </c>
      <c r="D302" s="240"/>
      <c r="E302" s="240"/>
      <c r="F302" s="293"/>
      <c r="G302" s="387" t="s">
        <v>7</v>
      </c>
      <c r="H302" s="267" t="s">
        <v>8</v>
      </c>
      <c r="I302" s="213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490"/>
      <c r="C303" s="227"/>
      <c r="D303" s="227"/>
      <c r="E303" s="227"/>
      <c r="F303" s="290"/>
      <c r="G303" s="486"/>
      <c r="H303" s="487" t="s">
        <v>9</v>
      </c>
      <c r="I303" s="246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134" t="s">
        <v>421</v>
      </c>
      <c r="C304" s="482" t="str">
        <f>OP!$M$11</f>
        <v>OP-L-123</v>
      </c>
      <c r="D304" s="235"/>
      <c r="E304" s="235"/>
      <c r="F304" s="282"/>
      <c r="G304" s="135" t="s">
        <v>206</v>
      </c>
      <c r="H304" s="480"/>
      <c r="I304" s="2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137" t="s">
        <v>422</v>
      </c>
      <c r="C305" s="482" t="str">
        <f>OP!$G$9</f>
        <v>SUERO MULTIPEPTIDOS</v>
      </c>
      <c r="D305" s="235"/>
      <c r="E305" s="235"/>
      <c r="F305" s="282"/>
      <c r="G305" s="138" t="s">
        <v>423</v>
      </c>
      <c r="H305" s="481" t="str">
        <f>OP!$M$10</f>
        <v>252521</v>
      </c>
      <c r="I305" s="2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137" t="s">
        <v>424</v>
      </c>
      <c r="C306" s="483" t="str">
        <f>OP!B36</f>
        <v>PEPTIDOS DE COLAGENO POLVO</v>
      </c>
      <c r="D306" s="212"/>
      <c r="E306" s="212"/>
      <c r="F306" s="215"/>
      <c r="G306" s="139" t="s">
        <v>425</v>
      </c>
      <c r="H306" s="482" t="str">
        <f>OP!J36</f>
        <v>YT202507325</v>
      </c>
      <c r="I306" s="2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140" t="s">
        <v>426</v>
      </c>
      <c r="C307" s="484">
        <f>OP!N36</f>
        <v>17.5</v>
      </c>
      <c r="D307" s="235"/>
      <c r="E307" s="235"/>
      <c r="F307" s="235"/>
      <c r="G307" s="141"/>
      <c r="H307" s="136"/>
      <c r="I307" s="14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140" t="s">
        <v>427</v>
      </c>
      <c r="C308" s="485"/>
      <c r="D308" s="235"/>
      <c r="E308" s="235"/>
      <c r="F308" s="235"/>
      <c r="G308" s="136"/>
      <c r="H308" s="136"/>
      <c r="I308" s="14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140" t="s">
        <v>428</v>
      </c>
      <c r="C309" s="485"/>
      <c r="D309" s="235"/>
      <c r="E309" s="235"/>
      <c r="F309" s="235"/>
      <c r="G309" s="141" t="s">
        <v>429</v>
      </c>
      <c r="H309" s="143"/>
      <c r="I309" s="144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140" t="s">
        <v>430</v>
      </c>
      <c r="C310" s="485"/>
      <c r="D310" s="235"/>
      <c r="E310" s="235"/>
      <c r="F310" s="235"/>
      <c r="G310" s="141" t="s">
        <v>204</v>
      </c>
      <c r="H310" s="143"/>
      <c r="I310" s="144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145" t="s">
        <v>431</v>
      </c>
      <c r="C311" s="146"/>
      <c r="D311" s="146"/>
      <c r="E311" s="146"/>
      <c r="F311" s="147"/>
      <c r="G311" s="146"/>
      <c r="H311" s="146"/>
      <c r="I311" s="148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488"/>
      <c r="C313" s="491" t="s">
        <v>0</v>
      </c>
      <c r="D313" s="224"/>
      <c r="E313" s="224"/>
      <c r="F313" s="285"/>
      <c r="G313" s="133" t="s">
        <v>1</v>
      </c>
      <c r="H313" s="294" t="s">
        <v>419</v>
      </c>
      <c r="I313" s="23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489"/>
      <c r="C314" s="300"/>
      <c r="D314" s="240"/>
      <c r="E314" s="240"/>
      <c r="F314" s="293"/>
      <c r="G314" s="9" t="s">
        <v>3</v>
      </c>
      <c r="H314" s="313">
        <v>1</v>
      </c>
      <c r="I314" s="213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489"/>
      <c r="C315" s="301"/>
      <c r="D315" s="235"/>
      <c r="E315" s="235"/>
      <c r="F315" s="282"/>
      <c r="G315" s="9" t="s">
        <v>5</v>
      </c>
      <c r="H315" s="267" t="s">
        <v>6</v>
      </c>
      <c r="I315" s="213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489"/>
      <c r="C316" s="278" t="s">
        <v>420</v>
      </c>
      <c r="D316" s="240"/>
      <c r="E316" s="240"/>
      <c r="F316" s="293"/>
      <c r="G316" s="387" t="s">
        <v>7</v>
      </c>
      <c r="H316" s="267" t="s">
        <v>8</v>
      </c>
      <c r="I316" s="213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490"/>
      <c r="C317" s="227"/>
      <c r="D317" s="227"/>
      <c r="E317" s="227"/>
      <c r="F317" s="290"/>
      <c r="G317" s="486"/>
      <c r="H317" s="487" t="s">
        <v>9</v>
      </c>
      <c r="I317" s="246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134" t="s">
        <v>421</v>
      </c>
      <c r="C318" s="482" t="str">
        <f>OP!$M$11</f>
        <v>OP-L-123</v>
      </c>
      <c r="D318" s="235"/>
      <c r="E318" s="235"/>
      <c r="F318" s="282"/>
      <c r="G318" s="135" t="s">
        <v>206</v>
      </c>
      <c r="H318" s="480"/>
      <c r="I318" s="2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137" t="s">
        <v>422</v>
      </c>
      <c r="C319" s="482" t="str">
        <f>OP!$G$9</f>
        <v>SUERO MULTIPEPTIDOS</v>
      </c>
      <c r="D319" s="235"/>
      <c r="E319" s="235"/>
      <c r="F319" s="282"/>
      <c r="G319" s="138" t="s">
        <v>423</v>
      </c>
      <c r="H319" s="481" t="str">
        <f>OP!$M$10</f>
        <v>252521</v>
      </c>
      <c r="I319" s="2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137" t="s">
        <v>424</v>
      </c>
      <c r="C320" s="483" t="str">
        <f>OP!B37</f>
        <v>EDTA DISODICO</v>
      </c>
      <c r="D320" s="212"/>
      <c r="E320" s="212"/>
      <c r="F320" s="215"/>
      <c r="G320" s="139" t="s">
        <v>425</v>
      </c>
      <c r="H320" s="482">
        <f>OP!J37</f>
        <v>20240815</v>
      </c>
      <c r="I320" s="2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140" t="s">
        <v>426</v>
      </c>
      <c r="C321" s="484">
        <f>OP!N37</f>
        <v>17.5</v>
      </c>
      <c r="D321" s="235"/>
      <c r="E321" s="235"/>
      <c r="F321" s="235"/>
      <c r="G321" s="141"/>
      <c r="H321" s="136"/>
      <c r="I321" s="14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140" t="s">
        <v>427</v>
      </c>
      <c r="C322" s="485"/>
      <c r="D322" s="235"/>
      <c r="E322" s="235"/>
      <c r="F322" s="235"/>
      <c r="G322" s="136"/>
      <c r="H322" s="136"/>
      <c r="I322" s="14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140" t="s">
        <v>428</v>
      </c>
      <c r="C323" s="485"/>
      <c r="D323" s="235"/>
      <c r="E323" s="235"/>
      <c r="F323" s="235"/>
      <c r="G323" s="141" t="s">
        <v>429</v>
      </c>
      <c r="H323" s="143"/>
      <c r="I323" s="144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140" t="s">
        <v>430</v>
      </c>
      <c r="C324" s="485"/>
      <c r="D324" s="235"/>
      <c r="E324" s="235"/>
      <c r="F324" s="235"/>
      <c r="G324" s="141" t="s">
        <v>204</v>
      </c>
      <c r="H324" s="143"/>
      <c r="I324" s="144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145" t="s">
        <v>431</v>
      </c>
      <c r="C325" s="146"/>
      <c r="D325" s="146"/>
      <c r="E325" s="146"/>
      <c r="F325" s="147"/>
      <c r="G325" s="146"/>
      <c r="H325" s="146"/>
      <c r="I325" s="148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488"/>
      <c r="C327" s="491" t="s">
        <v>0</v>
      </c>
      <c r="D327" s="224"/>
      <c r="E327" s="224"/>
      <c r="F327" s="285"/>
      <c r="G327" s="133" t="s">
        <v>1</v>
      </c>
      <c r="H327" s="294" t="s">
        <v>419</v>
      </c>
      <c r="I327" s="23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489"/>
      <c r="C328" s="300"/>
      <c r="D328" s="240"/>
      <c r="E328" s="240"/>
      <c r="F328" s="293"/>
      <c r="G328" s="9" t="s">
        <v>3</v>
      </c>
      <c r="H328" s="313">
        <v>1</v>
      </c>
      <c r="I328" s="213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489"/>
      <c r="C329" s="301"/>
      <c r="D329" s="235"/>
      <c r="E329" s="235"/>
      <c r="F329" s="282"/>
      <c r="G329" s="9" t="s">
        <v>5</v>
      </c>
      <c r="H329" s="267" t="s">
        <v>6</v>
      </c>
      <c r="I329" s="213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489"/>
      <c r="C330" s="278" t="s">
        <v>420</v>
      </c>
      <c r="D330" s="240"/>
      <c r="E330" s="240"/>
      <c r="F330" s="293"/>
      <c r="G330" s="387" t="s">
        <v>7</v>
      </c>
      <c r="H330" s="267" t="s">
        <v>8</v>
      </c>
      <c r="I330" s="213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490"/>
      <c r="C331" s="227"/>
      <c r="D331" s="227"/>
      <c r="E331" s="227"/>
      <c r="F331" s="290"/>
      <c r="G331" s="486"/>
      <c r="H331" s="487" t="s">
        <v>9</v>
      </c>
      <c r="I331" s="246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134" t="s">
        <v>421</v>
      </c>
      <c r="C332" s="482" t="str">
        <f>OP!$M$11</f>
        <v>OP-L-123</v>
      </c>
      <c r="D332" s="235"/>
      <c r="E332" s="235"/>
      <c r="F332" s="282"/>
      <c r="G332" s="135" t="s">
        <v>206</v>
      </c>
      <c r="H332" s="480"/>
      <c r="I332" s="2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137" t="s">
        <v>422</v>
      </c>
      <c r="C333" s="482" t="str">
        <f>OP!$G$9</f>
        <v>SUERO MULTIPEPTIDOS</v>
      </c>
      <c r="D333" s="235"/>
      <c r="E333" s="235"/>
      <c r="F333" s="282"/>
      <c r="G333" s="138" t="s">
        <v>423</v>
      </c>
      <c r="H333" s="481" t="str">
        <f>OP!$M$10</f>
        <v>252521</v>
      </c>
      <c r="I333" s="2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137" t="s">
        <v>424</v>
      </c>
      <c r="C334" s="483" t="str">
        <f>OP!B38</f>
        <v>GRANSIL VX 419</v>
      </c>
      <c r="D334" s="212"/>
      <c r="E334" s="212"/>
      <c r="F334" s="215"/>
      <c r="G334" s="139" t="s">
        <v>425</v>
      </c>
      <c r="H334" s="482" t="str">
        <f>OP!J38</f>
        <v>980305S1125</v>
      </c>
      <c r="I334" s="2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140" t="s">
        <v>426</v>
      </c>
      <c r="C335" s="484">
        <f>OP!N38</f>
        <v>87.5</v>
      </c>
      <c r="D335" s="235"/>
      <c r="E335" s="235"/>
      <c r="F335" s="235"/>
      <c r="G335" s="141"/>
      <c r="H335" s="136"/>
      <c r="I335" s="14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140" t="s">
        <v>427</v>
      </c>
      <c r="C336" s="485"/>
      <c r="D336" s="235"/>
      <c r="E336" s="235"/>
      <c r="F336" s="235"/>
      <c r="G336" s="136"/>
      <c r="H336" s="136"/>
      <c r="I336" s="14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140" t="s">
        <v>428</v>
      </c>
      <c r="C337" s="485"/>
      <c r="D337" s="235"/>
      <c r="E337" s="235"/>
      <c r="F337" s="235"/>
      <c r="G337" s="141" t="s">
        <v>429</v>
      </c>
      <c r="H337" s="143"/>
      <c r="I337" s="144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140" t="s">
        <v>430</v>
      </c>
      <c r="C338" s="485"/>
      <c r="D338" s="235"/>
      <c r="E338" s="235"/>
      <c r="F338" s="235"/>
      <c r="G338" s="141" t="s">
        <v>204</v>
      </c>
      <c r="H338" s="143"/>
      <c r="I338" s="144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145" t="s">
        <v>431</v>
      </c>
      <c r="C339" s="146"/>
      <c r="D339" s="146"/>
      <c r="E339" s="146"/>
      <c r="F339" s="147"/>
      <c r="G339" s="146"/>
      <c r="H339" s="146"/>
      <c r="I339" s="148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488"/>
      <c r="C341" s="491" t="s">
        <v>0</v>
      </c>
      <c r="D341" s="224"/>
      <c r="E341" s="224"/>
      <c r="F341" s="285"/>
      <c r="G341" s="133" t="s">
        <v>1</v>
      </c>
      <c r="H341" s="294" t="s">
        <v>419</v>
      </c>
      <c r="I341" s="23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489"/>
      <c r="C342" s="300"/>
      <c r="D342" s="240"/>
      <c r="E342" s="240"/>
      <c r="F342" s="293"/>
      <c r="G342" s="9" t="s">
        <v>3</v>
      </c>
      <c r="H342" s="313">
        <v>1</v>
      </c>
      <c r="I342" s="213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489"/>
      <c r="C343" s="301"/>
      <c r="D343" s="235"/>
      <c r="E343" s="235"/>
      <c r="F343" s="282"/>
      <c r="G343" s="9" t="s">
        <v>5</v>
      </c>
      <c r="H343" s="267" t="s">
        <v>6</v>
      </c>
      <c r="I343" s="213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489"/>
      <c r="C344" s="278" t="s">
        <v>420</v>
      </c>
      <c r="D344" s="240"/>
      <c r="E344" s="240"/>
      <c r="F344" s="293"/>
      <c r="G344" s="387" t="s">
        <v>7</v>
      </c>
      <c r="H344" s="267" t="s">
        <v>8</v>
      </c>
      <c r="I344" s="213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490"/>
      <c r="C345" s="227"/>
      <c r="D345" s="227"/>
      <c r="E345" s="227"/>
      <c r="F345" s="290"/>
      <c r="G345" s="486"/>
      <c r="H345" s="487" t="s">
        <v>9</v>
      </c>
      <c r="I345" s="246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134" t="s">
        <v>421</v>
      </c>
      <c r="C346" s="482" t="str">
        <f>OP!$M$11</f>
        <v>OP-L-123</v>
      </c>
      <c r="D346" s="235"/>
      <c r="E346" s="235"/>
      <c r="F346" s="282"/>
      <c r="G346" s="135" t="s">
        <v>206</v>
      </c>
      <c r="H346" s="480"/>
      <c r="I346" s="2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137" t="s">
        <v>422</v>
      </c>
      <c r="C347" s="482" t="str">
        <f>OP!$G$9</f>
        <v>SUERO MULTIPEPTIDOS</v>
      </c>
      <c r="D347" s="235"/>
      <c r="E347" s="235"/>
      <c r="F347" s="282"/>
      <c r="G347" s="138" t="s">
        <v>423</v>
      </c>
      <c r="H347" s="481" t="str">
        <f>OP!$M$10</f>
        <v>252521</v>
      </c>
      <c r="I347" s="2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137" t="s">
        <v>424</v>
      </c>
      <c r="C348" s="483" t="str">
        <f>OP!B39</f>
        <v>TRIETANOLAMINA 85%</v>
      </c>
      <c r="D348" s="212"/>
      <c r="E348" s="212"/>
      <c r="F348" s="215"/>
      <c r="G348" s="139" t="s">
        <v>425</v>
      </c>
      <c r="H348" s="482" t="str">
        <f>OP!J39</f>
        <v>DIR-152124</v>
      </c>
      <c r="I348" s="2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140" t="s">
        <v>426</v>
      </c>
      <c r="C349" s="484">
        <f>OP!N39</f>
        <v>35</v>
      </c>
      <c r="D349" s="235"/>
      <c r="E349" s="235"/>
      <c r="F349" s="235"/>
      <c r="G349" s="141"/>
      <c r="H349" s="136"/>
      <c r="I349" s="14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140" t="s">
        <v>427</v>
      </c>
      <c r="C350" s="485"/>
      <c r="D350" s="235"/>
      <c r="E350" s="235"/>
      <c r="F350" s="235"/>
      <c r="G350" s="136"/>
      <c r="H350" s="136"/>
      <c r="I350" s="14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140" t="s">
        <v>428</v>
      </c>
      <c r="C351" s="485"/>
      <c r="D351" s="235"/>
      <c r="E351" s="235"/>
      <c r="F351" s="235"/>
      <c r="G351" s="141" t="s">
        <v>429</v>
      </c>
      <c r="H351" s="143"/>
      <c r="I351" s="144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140" t="s">
        <v>430</v>
      </c>
      <c r="C352" s="485"/>
      <c r="D352" s="235"/>
      <c r="E352" s="235"/>
      <c r="F352" s="235"/>
      <c r="G352" s="141" t="s">
        <v>204</v>
      </c>
      <c r="H352" s="143"/>
      <c r="I352" s="144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145" t="s">
        <v>431</v>
      </c>
      <c r="C353" s="146"/>
      <c r="D353" s="146"/>
      <c r="E353" s="146"/>
      <c r="F353" s="147"/>
      <c r="G353" s="146"/>
      <c r="H353" s="146"/>
      <c r="I353" s="148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488"/>
      <c r="C355" s="491" t="s">
        <v>0</v>
      </c>
      <c r="D355" s="224"/>
      <c r="E355" s="224"/>
      <c r="F355" s="285"/>
      <c r="G355" s="133" t="s">
        <v>1</v>
      </c>
      <c r="H355" s="294" t="s">
        <v>419</v>
      </c>
      <c r="I355" s="23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489"/>
      <c r="C356" s="300"/>
      <c r="D356" s="240"/>
      <c r="E356" s="240"/>
      <c r="F356" s="293"/>
      <c r="G356" s="9" t="s">
        <v>3</v>
      </c>
      <c r="H356" s="313">
        <v>1</v>
      </c>
      <c r="I356" s="213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489"/>
      <c r="C357" s="301"/>
      <c r="D357" s="235"/>
      <c r="E357" s="235"/>
      <c r="F357" s="282"/>
      <c r="G357" s="9" t="s">
        <v>5</v>
      </c>
      <c r="H357" s="267" t="s">
        <v>6</v>
      </c>
      <c r="I357" s="213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489"/>
      <c r="C358" s="278" t="s">
        <v>420</v>
      </c>
      <c r="D358" s="240"/>
      <c r="E358" s="240"/>
      <c r="F358" s="293"/>
      <c r="G358" s="387" t="s">
        <v>7</v>
      </c>
      <c r="H358" s="267" t="s">
        <v>8</v>
      </c>
      <c r="I358" s="213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490"/>
      <c r="C359" s="227"/>
      <c r="D359" s="227"/>
      <c r="E359" s="227"/>
      <c r="F359" s="290"/>
      <c r="G359" s="486"/>
      <c r="H359" s="487" t="s">
        <v>9</v>
      </c>
      <c r="I359" s="246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134" t="s">
        <v>421</v>
      </c>
      <c r="C360" s="482" t="str">
        <f>OP!$M$11</f>
        <v>OP-L-123</v>
      </c>
      <c r="D360" s="235"/>
      <c r="E360" s="235"/>
      <c r="F360" s="282"/>
      <c r="G360" s="135" t="s">
        <v>206</v>
      </c>
      <c r="H360" s="480"/>
      <c r="I360" s="2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137" t="s">
        <v>422</v>
      </c>
      <c r="C361" s="482" t="str">
        <f>OP!$G$9</f>
        <v>SUERO MULTIPEPTIDOS</v>
      </c>
      <c r="D361" s="235"/>
      <c r="E361" s="235"/>
      <c r="F361" s="282"/>
      <c r="G361" s="138" t="s">
        <v>423</v>
      </c>
      <c r="H361" s="481" t="str">
        <f>OP!$M$10</f>
        <v>252521</v>
      </c>
      <c r="I361" s="2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137" t="s">
        <v>424</v>
      </c>
      <c r="C362" s="483">
        <f>OP!B144</f>
        <v>0</v>
      </c>
      <c r="D362" s="212"/>
      <c r="E362" s="212"/>
      <c r="F362" s="215"/>
      <c r="G362" s="139" t="s">
        <v>425</v>
      </c>
      <c r="H362" s="482">
        <f>OP!J144</f>
        <v>0</v>
      </c>
      <c r="I362" s="2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140" t="s">
        <v>426</v>
      </c>
      <c r="C363" s="484">
        <f>OP!N144</f>
        <v>0</v>
      </c>
      <c r="D363" s="235"/>
      <c r="E363" s="235"/>
      <c r="F363" s="235"/>
      <c r="G363" s="141"/>
      <c r="H363" s="136"/>
      <c r="I363" s="14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140" t="s">
        <v>427</v>
      </c>
      <c r="C364" s="485"/>
      <c r="D364" s="235"/>
      <c r="E364" s="235"/>
      <c r="F364" s="235"/>
      <c r="G364" s="136"/>
      <c r="H364" s="136"/>
      <c r="I364" s="14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140" t="s">
        <v>428</v>
      </c>
      <c r="C365" s="485"/>
      <c r="D365" s="235"/>
      <c r="E365" s="235"/>
      <c r="F365" s="235"/>
      <c r="G365" s="141" t="s">
        <v>429</v>
      </c>
      <c r="H365" s="143"/>
      <c r="I365" s="144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140" t="s">
        <v>430</v>
      </c>
      <c r="C366" s="485"/>
      <c r="D366" s="235"/>
      <c r="E366" s="235"/>
      <c r="F366" s="235"/>
      <c r="G366" s="141" t="s">
        <v>204</v>
      </c>
      <c r="H366" s="143"/>
      <c r="I366" s="144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145" t="s">
        <v>431</v>
      </c>
      <c r="C367" s="146"/>
      <c r="D367" s="146"/>
      <c r="E367" s="146"/>
      <c r="F367" s="147"/>
      <c r="G367" s="146"/>
      <c r="H367" s="146"/>
      <c r="I367" s="148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488"/>
      <c r="C369" s="491" t="s">
        <v>0</v>
      </c>
      <c r="D369" s="224"/>
      <c r="E369" s="224"/>
      <c r="F369" s="285"/>
      <c r="G369" s="133" t="s">
        <v>1</v>
      </c>
      <c r="H369" s="294" t="s">
        <v>419</v>
      </c>
      <c r="I369" s="23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489"/>
      <c r="C370" s="300"/>
      <c r="D370" s="240"/>
      <c r="E370" s="240"/>
      <c r="F370" s="293"/>
      <c r="G370" s="9" t="s">
        <v>3</v>
      </c>
      <c r="H370" s="313">
        <v>1</v>
      </c>
      <c r="I370" s="213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489"/>
      <c r="C371" s="301"/>
      <c r="D371" s="235"/>
      <c r="E371" s="235"/>
      <c r="F371" s="282"/>
      <c r="G371" s="9" t="s">
        <v>5</v>
      </c>
      <c r="H371" s="267" t="s">
        <v>6</v>
      </c>
      <c r="I371" s="213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489"/>
      <c r="C372" s="278" t="s">
        <v>420</v>
      </c>
      <c r="D372" s="240"/>
      <c r="E372" s="240"/>
      <c r="F372" s="293"/>
      <c r="G372" s="387" t="s">
        <v>7</v>
      </c>
      <c r="H372" s="267" t="s">
        <v>8</v>
      </c>
      <c r="I372" s="213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490"/>
      <c r="C373" s="227"/>
      <c r="D373" s="227"/>
      <c r="E373" s="227"/>
      <c r="F373" s="290"/>
      <c r="G373" s="486"/>
      <c r="H373" s="487" t="s">
        <v>9</v>
      </c>
      <c r="I373" s="246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134" t="s">
        <v>421</v>
      </c>
      <c r="C374" s="482" t="str">
        <f>OP!$M$11</f>
        <v>OP-L-123</v>
      </c>
      <c r="D374" s="235"/>
      <c r="E374" s="235"/>
      <c r="F374" s="282"/>
      <c r="G374" s="135" t="s">
        <v>206</v>
      </c>
      <c r="H374" s="480"/>
      <c r="I374" s="2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137" t="s">
        <v>422</v>
      </c>
      <c r="C375" s="482" t="str">
        <f>OP!$G$9</f>
        <v>SUERO MULTIPEPTIDOS</v>
      </c>
      <c r="D375" s="235"/>
      <c r="E375" s="235"/>
      <c r="F375" s="282"/>
      <c r="G375" s="138" t="s">
        <v>423</v>
      </c>
      <c r="H375" s="481" t="str">
        <f>OP!$M$10</f>
        <v>252521</v>
      </c>
      <c r="I375" s="2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137" t="s">
        <v>424</v>
      </c>
      <c r="C376" s="483">
        <f>OP!B158</f>
        <v>0</v>
      </c>
      <c r="D376" s="212"/>
      <c r="E376" s="212"/>
      <c r="F376" s="215"/>
      <c r="G376" s="139" t="s">
        <v>425</v>
      </c>
      <c r="H376" s="482">
        <f>OP!J158</f>
        <v>0</v>
      </c>
      <c r="I376" s="2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140" t="s">
        <v>426</v>
      </c>
      <c r="C377" s="484">
        <f>OP!N158</f>
        <v>0</v>
      </c>
      <c r="D377" s="235"/>
      <c r="E377" s="235"/>
      <c r="F377" s="235"/>
      <c r="G377" s="141"/>
      <c r="H377" s="136"/>
      <c r="I377" s="14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140" t="s">
        <v>427</v>
      </c>
      <c r="C378" s="485"/>
      <c r="D378" s="235"/>
      <c r="E378" s="235"/>
      <c r="F378" s="235"/>
      <c r="G378" s="136"/>
      <c r="H378" s="136"/>
      <c r="I378" s="14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140" t="s">
        <v>428</v>
      </c>
      <c r="C379" s="485"/>
      <c r="D379" s="235"/>
      <c r="E379" s="235"/>
      <c r="F379" s="235"/>
      <c r="G379" s="141" t="s">
        <v>429</v>
      </c>
      <c r="H379" s="143"/>
      <c r="I379" s="144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140" t="s">
        <v>430</v>
      </c>
      <c r="C380" s="485"/>
      <c r="D380" s="235"/>
      <c r="E380" s="235"/>
      <c r="F380" s="235"/>
      <c r="G380" s="141" t="s">
        <v>204</v>
      </c>
      <c r="H380" s="143"/>
      <c r="I380" s="144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145" t="s">
        <v>431</v>
      </c>
      <c r="C381" s="146"/>
      <c r="D381" s="146"/>
      <c r="E381" s="146"/>
      <c r="F381" s="147"/>
      <c r="G381" s="146"/>
      <c r="H381" s="146"/>
      <c r="I381" s="148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</sheetData>
  <mergeCells count="513"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H218:I218"/>
    <mergeCell ref="H219:I219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23:F123"/>
    <mergeCell ref="C124:F124"/>
    <mergeCell ref="C125:F125"/>
    <mergeCell ref="C126:F126"/>
    <mergeCell ref="C127:F127"/>
    <mergeCell ref="C128:F128"/>
    <mergeCell ref="H235:I235"/>
    <mergeCell ref="H236:I236"/>
    <mergeCell ref="H243:I243"/>
    <mergeCell ref="H244:I244"/>
    <mergeCell ref="H245:I245"/>
    <mergeCell ref="H246:I246"/>
    <mergeCell ref="H247:I247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H360:I360"/>
    <mergeCell ref="H361:I361"/>
    <mergeCell ref="H362:I362"/>
    <mergeCell ref="H369:I369"/>
    <mergeCell ref="H370:I370"/>
    <mergeCell ref="H371:I371"/>
    <mergeCell ref="H372:I372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C238:F238"/>
    <mergeCell ref="C239:F239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H373:I373"/>
    <mergeCell ref="H374:I37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2:F373"/>
    <mergeCell ref="H234:I234"/>
    <mergeCell ref="C232:F233"/>
    <mergeCell ref="C234:F234"/>
    <mergeCell ref="C235:F235"/>
    <mergeCell ref="C236:F236"/>
    <mergeCell ref="C237:F237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C277:F277"/>
    <mergeCell ref="H277:I277"/>
    <mergeCell ref="H278:I278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B271:B275"/>
    <mergeCell ref="C271:F273"/>
    <mergeCell ref="H271:I271"/>
    <mergeCell ref="H272:I272"/>
    <mergeCell ref="H273:I273"/>
    <mergeCell ref="B327:B331"/>
    <mergeCell ref="C327:F329"/>
    <mergeCell ref="H327:I327"/>
    <mergeCell ref="H328:I328"/>
    <mergeCell ref="H329:I329"/>
    <mergeCell ref="H330:I330"/>
    <mergeCell ref="H331:I331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H317:I317"/>
    <mergeCell ref="H318:I318"/>
    <mergeCell ref="B313:B317"/>
    <mergeCell ref="C313:F315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H304:I304"/>
    <mergeCell ref="H305:I305"/>
    <mergeCell ref="H306:I306"/>
    <mergeCell ref="H313:I313"/>
    <mergeCell ref="C332:F332"/>
    <mergeCell ref="H332:I332"/>
    <mergeCell ref="C333:F333"/>
    <mergeCell ref="H333:I333"/>
    <mergeCell ref="H334:I334"/>
    <mergeCell ref="C304:F304"/>
    <mergeCell ref="C305:F305"/>
    <mergeCell ref="C306:F306"/>
    <mergeCell ref="C307:F307"/>
    <mergeCell ref="C308:F308"/>
    <mergeCell ref="C309:F309"/>
    <mergeCell ref="C310:F310"/>
    <mergeCell ref="C321:F321"/>
    <mergeCell ref="C322:F322"/>
    <mergeCell ref="C330:F331"/>
    <mergeCell ref="G330:G331"/>
    <mergeCell ref="C323:F323"/>
    <mergeCell ref="C324:F324"/>
    <mergeCell ref="C334:F334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994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15.75" customHeight="1" x14ac:dyDescent="0.45">
      <c r="A1" s="82"/>
      <c r="B1" s="12"/>
      <c r="C1" s="12"/>
      <c r="D1" s="12"/>
      <c r="E1" s="12"/>
      <c r="F1" s="12"/>
      <c r="G1" s="12"/>
      <c r="H1" s="12"/>
      <c r="I1" s="12"/>
      <c r="J1" s="1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8.75" customHeight="1" x14ac:dyDescent="0.45">
      <c r="A2" s="82"/>
      <c r="B2" s="304"/>
      <c r="C2" s="513" t="s">
        <v>0</v>
      </c>
      <c r="D2" s="155" t="s">
        <v>1</v>
      </c>
      <c r="E2" s="155" t="s">
        <v>432</v>
      </c>
      <c r="F2" s="156"/>
      <c r="G2" s="437"/>
      <c r="H2" s="513" t="s">
        <v>0</v>
      </c>
      <c r="I2" s="155" t="s">
        <v>1</v>
      </c>
      <c r="J2" s="157" t="s">
        <v>432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0.25" customHeight="1" x14ac:dyDescent="0.45">
      <c r="A3" s="82"/>
      <c r="B3" s="300"/>
      <c r="C3" s="498"/>
      <c r="D3" s="154" t="s">
        <v>3</v>
      </c>
      <c r="E3" s="158">
        <v>1</v>
      </c>
      <c r="F3" s="12"/>
      <c r="G3" s="274"/>
      <c r="H3" s="498"/>
      <c r="I3" s="154" t="s">
        <v>3</v>
      </c>
      <c r="J3" s="159">
        <v>1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" customHeight="1" x14ac:dyDescent="0.45">
      <c r="A4" s="82"/>
      <c r="B4" s="300"/>
      <c r="C4" s="499"/>
      <c r="D4" s="153" t="s">
        <v>5</v>
      </c>
      <c r="E4" s="153" t="s">
        <v>6</v>
      </c>
      <c r="F4" s="12"/>
      <c r="G4" s="274"/>
      <c r="H4" s="499"/>
      <c r="I4" s="153" t="s">
        <v>5</v>
      </c>
      <c r="J4" s="160" t="s">
        <v>6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8.75" customHeight="1" x14ac:dyDescent="0.45">
      <c r="A5" s="82"/>
      <c r="B5" s="300"/>
      <c r="C5" s="497" t="s">
        <v>433</v>
      </c>
      <c r="D5" s="512" t="s">
        <v>7</v>
      </c>
      <c r="E5" s="161" t="s">
        <v>8</v>
      </c>
      <c r="F5" s="12"/>
      <c r="G5" s="274"/>
      <c r="H5" s="497" t="s">
        <v>433</v>
      </c>
      <c r="I5" s="512" t="s">
        <v>7</v>
      </c>
      <c r="J5" s="162" t="s">
        <v>8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" customHeight="1" x14ac:dyDescent="0.45">
      <c r="A6" s="82"/>
      <c r="B6" s="300"/>
      <c r="C6" s="499"/>
      <c r="D6" s="315"/>
      <c r="E6" s="163" t="s">
        <v>9</v>
      </c>
      <c r="F6" s="12"/>
      <c r="G6" s="274"/>
      <c r="H6" s="499"/>
      <c r="I6" s="315"/>
      <c r="J6" s="164" t="s">
        <v>9</v>
      </c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36" customHeight="1" x14ac:dyDescent="0.45">
      <c r="A7" s="82"/>
      <c r="B7" s="165" t="s">
        <v>434</v>
      </c>
      <c r="C7" s="264" t="str">
        <f>'INSPECCIÓN ETIQUETAS'!C8</f>
        <v>SUERO MULTIPEPTIDOS</v>
      </c>
      <c r="D7" s="224"/>
      <c r="E7" s="225"/>
      <c r="F7" s="166"/>
      <c r="G7" s="167" t="s">
        <v>434</v>
      </c>
      <c r="H7" s="264" t="str">
        <f t="shared" ref="H7:H10" si="0">C7</f>
        <v>SUERO MULTIPEPTIDOS</v>
      </c>
      <c r="I7" s="224"/>
      <c r="J7" s="285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35.25" customHeight="1" x14ac:dyDescent="0.45">
      <c r="A8" s="82"/>
      <c r="B8" s="168" t="s">
        <v>362</v>
      </c>
      <c r="C8" s="169" t="str">
        <f>'INSPECCIÓN ETIQUETAS'!C10</f>
        <v>252521</v>
      </c>
      <c r="D8" s="170" t="s">
        <v>206</v>
      </c>
      <c r="E8" s="171"/>
      <c r="F8" s="166"/>
      <c r="G8" s="170" t="s">
        <v>362</v>
      </c>
      <c r="H8" s="169" t="str">
        <f t="shared" si="0"/>
        <v>252521</v>
      </c>
      <c r="I8" s="170" t="s">
        <v>206</v>
      </c>
      <c r="J8" s="17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33" customHeight="1" x14ac:dyDescent="0.45">
      <c r="A9" s="82"/>
      <c r="B9" s="165" t="s">
        <v>435</v>
      </c>
      <c r="C9" s="514" t="str">
        <f>'INSPECCIÓN ETIQUETAS'!C9</f>
        <v>OP-L-123</v>
      </c>
      <c r="D9" s="258"/>
      <c r="E9" s="259"/>
      <c r="F9" s="166"/>
      <c r="G9" s="167" t="s">
        <v>435</v>
      </c>
      <c r="H9" s="514" t="str">
        <f t="shared" si="0"/>
        <v>OP-L-123</v>
      </c>
      <c r="I9" s="258"/>
      <c r="J9" s="276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32.25" customHeight="1" x14ac:dyDescent="0.45">
      <c r="A10" s="82"/>
      <c r="B10" s="165" t="s">
        <v>436</v>
      </c>
      <c r="C10" s="515">
        <f>OP!P12</f>
        <v>35</v>
      </c>
      <c r="D10" s="258"/>
      <c r="E10" s="259"/>
      <c r="F10" s="173"/>
      <c r="G10" s="167" t="s">
        <v>436</v>
      </c>
      <c r="H10" s="515">
        <f t="shared" si="0"/>
        <v>35</v>
      </c>
      <c r="I10" s="258"/>
      <c r="J10" s="276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45">
      <c r="A11" s="82"/>
      <c r="B11" s="504" t="s">
        <v>31</v>
      </c>
      <c r="C11" s="507"/>
      <c r="D11" s="224"/>
      <c r="E11" s="225"/>
      <c r="F11" s="173"/>
      <c r="G11" s="508" t="s">
        <v>31</v>
      </c>
      <c r="H11" s="507"/>
      <c r="I11" s="224"/>
      <c r="J11" s="285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82"/>
      <c r="B12" s="505"/>
      <c r="C12" s="274"/>
      <c r="D12" s="240"/>
      <c r="E12" s="263"/>
      <c r="F12" s="166"/>
      <c r="G12" s="498"/>
      <c r="H12" s="274"/>
      <c r="I12" s="240"/>
      <c r="J12" s="293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45">
      <c r="A13" s="82"/>
      <c r="B13" s="505"/>
      <c r="C13" s="274"/>
      <c r="D13" s="240"/>
      <c r="E13" s="263"/>
      <c r="F13" s="166"/>
      <c r="G13" s="498"/>
      <c r="H13" s="274"/>
      <c r="I13" s="240"/>
      <c r="J13" s="293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45">
      <c r="A14" s="82"/>
      <c r="B14" s="506"/>
      <c r="C14" s="226"/>
      <c r="D14" s="227"/>
      <c r="E14" s="228"/>
      <c r="F14" s="166"/>
      <c r="G14" s="499"/>
      <c r="H14" s="226"/>
      <c r="I14" s="227"/>
      <c r="J14" s="290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21" customHeight="1" x14ac:dyDescent="0.45">
      <c r="A15" s="82"/>
      <c r="B15" s="174" t="s">
        <v>86</v>
      </c>
      <c r="C15" s="510"/>
      <c r="D15" s="258"/>
      <c r="E15" s="259"/>
      <c r="F15" s="12"/>
      <c r="G15" s="175" t="s">
        <v>86</v>
      </c>
      <c r="H15" s="510"/>
      <c r="I15" s="258"/>
      <c r="J15" s="276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45">
      <c r="A16" s="82"/>
      <c r="B16" s="11"/>
      <c r="C16" s="12"/>
      <c r="D16" s="12"/>
      <c r="E16" s="12"/>
      <c r="F16" s="12"/>
      <c r="G16" s="12"/>
      <c r="H16" s="12"/>
      <c r="I16" s="12"/>
      <c r="J16" s="176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91"/>
      <c r="C17" s="497" t="s">
        <v>0</v>
      </c>
      <c r="D17" s="153" t="s">
        <v>1</v>
      </c>
      <c r="E17" s="153" t="s">
        <v>432</v>
      </c>
      <c r="F17" s="12"/>
      <c r="G17" s="511"/>
      <c r="H17" s="497" t="s">
        <v>0</v>
      </c>
      <c r="I17" s="153" t="s">
        <v>1</v>
      </c>
      <c r="J17" s="160" t="s">
        <v>432</v>
      </c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45">
      <c r="A18" s="82"/>
      <c r="B18" s="300"/>
      <c r="C18" s="498"/>
      <c r="D18" s="154" t="s">
        <v>3</v>
      </c>
      <c r="E18" s="158">
        <v>1</v>
      </c>
      <c r="F18" s="12"/>
      <c r="G18" s="274"/>
      <c r="H18" s="498"/>
      <c r="I18" s="154" t="s">
        <v>3</v>
      </c>
      <c r="J18" s="159">
        <v>1</v>
      </c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300"/>
      <c r="C19" s="499"/>
      <c r="D19" s="153" t="s">
        <v>5</v>
      </c>
      <c r="E19" s="153" t="s">
        <v>6</v>
      </c>
      <c r="F19" s="12"/>
      <c r="G19" s="274"/>
      <c r="H19" s="499"/>
      <c r="I19" s="153" t="s">
        <v>5</v>
      </c>
      <c r="J19" s="160" t="s">
        <v>6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300"/>
      <c r="C20" s="497" t="s">
        <v>433</v>
      </c>
      <c r="D20" s="512" t="s">
        <v>7</v>
      </c>
      <c r="E20" s="161" t="s">
        <v>8</v>
      </c>
      <c r="F20" s="12"/>
      <c r="G20" s="274"/>
      <c r="H20" s="497" t="s">
        <v>433</v>
      </c>
      <c r="I20" s="512" t="s">
        <v>7</v>
      </c>
      <c r="J20" s="162" t="s">
        <v>8</v>
      </c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300"/>
      <c r="C21" s="499"/>
      <c r="D21" s="315"/>
      <c r="E21" s="163" t="s">
        <v>9</v>
      </c>
      <c r="F21" s="12"/>
      <c r="G21" s="274"/>
      <c r="H21" s="499"/>
      <c r="I21" s="315"/>
      <c r="J21" s="164" t="s">
        <v>9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4.5" customHeight="1" x14ac:dyDescent="0.45">
      <c r="A22" s="82"/>
      <c r="B22" s="165" t="s">
        <v>434</v>
      </c>
      <c r="C22" s="503"/>
      <c r="D22" s="224"/>
      <c r="E22" s="225"/>
      <c r="F22" s="166"/>
      <c r="G22" s="167" t="s">
        <v>434</v>
      </c>
      <c r="H22" s="503"/>
      <c r="I22" s="224"/>
      <c r="J22" s="285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5.25" customHeight="1" x14ac:dyDescent="0.45">
      <c r="A23" s="82"/>
      <c r="B23" s="168" t="s">
        <v>362</v>
      </c>
      <c r="C23" s="76"/>
      <c r="D23" s="170" t="s">
        <v>206</v>
      </c>
      <c r="E23" s="171"/>
      <c r="F23" s="166"/>
      <c r="G23" s="170" t="s">
        <v>362</v>
      </c>
      <c r="H23" s="76"/>
      <c r="I23" s="170" t="s">
        <v>206</v>
      </c>
      <c r="J23" s="17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6" customHeight="1" x14ac:dyDescent="0.45">
      <c r="A24" s="82"/>
      <c r="B24" s="165" t="s">
        <v>435</v>
      </c>
      <c r="C24" s="376"/>
      <c r="D24" s="258"/>
      <c r="E24" s="259"/>
      <c r="F24" s="166"/>
      <c r="G24" s="167" t="s">
        <v>435</v>
      </c>
      <c r="H24" s="376"/>
      <c r="I24" s="258"/>
      <c r="J24" s="276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42.75" customHeight="1" x14ac:dyDescent="0.45">
      <c r="A25" s="82"/>
      <c r="B25" s="165" t="s">
        <v>436</v>
      </c>
      <c r="C25" s="376"/>
      <c r="D25" s="258"/>
      <c r="E25" s="259"/>
      <c r="F25" s="173"/>
      <c r="G25" s="167" t="s">
        <v>436</v>
      </c>
      <c r="H25" s="376"/>
      <c r="I25" s="258"/>
      <c r="J25" s="276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504" t="s">
        <v>31</v>
      </c>
      <c r="C26" s="507"/>
      <c r="D26" s="224"/>
      <c r="E26" s="225"/>
      <c r="F26" s="173"/>
      <c r="G26" s="508" t="s">
        <v>31</v>
      </c>
      <c r="H26" s="507"/>
      <c r="I26" s="224"/>
      <c r="J26" s="285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505"/>
      <c r="C27" s="274"/>
      <c r="D27" s="240"/>
      <c r="E27" s="263"/>
      <c r="F27" s="166"/>
      <c r="G27" s="498"/>
      <c r="H27" s="274"/>
      <c r="I27" s="240"/>
      <c r="J27" s="293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505"/>
      <c r="C28" s="274"/>
      <c r="D28" s="240"/>
      <c r="E28" s="263"/>
      <c r="F28" s="166"/>
      <c r="G28" s="498"/>
      <c r="H28" s="274"/>
      <c r="I28" s="240"/>
      <c r="J28" s="293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506"/>
      <c r="C29" s="226"/>
      <c r="D29" s="227"/>
      <c r="E29" s="228"/>
      <c r="F29" s="166"/>
      <c r="G29" s="499"/>
      <c r="H29" s="226"/>
      <c r="I29" s="227"/>
      <c r="J29" s="290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8.75" customHeight="1" x14ac:dyDescent="0.45">
      <c r="A30" s="82"/>
      <c r="B30" s="174" t="s">
        <v>86</v>
      </c>
      <c r="C30" s="510"/>
      <c r="D30" s="258"/>
      <c r="E30" s="259"/>
      <c r="F30" s="12"/>
      <c r="G30" s="175" t="s">
        <v>86</v>
      </c>
      <c r="H30" s="510"/>
      <c r="I30" s="258"/>
      <c r="J30" s="276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11"/>
      <c r="C31" s="12"/>
      <c r="D31" s="12"/>
      <c r="E31" s="12"/>
      <c r="F31" s="12"/>
      <c r="G31" s="12"/>
      <c r="H31" s="12"/>
      <c r="I31" s="12"/>
      <c r="J31" s="176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491"/>
      <c r="C32" s="497" t="s">
        <v>0</v>
      </c>
      <c r="D32" s="153" t="s">
        <v>1</v>
      </c>
      <c r="E32" s="153" t="s">
        <v>432</v>
      </c>
      <c r="F32" s="12"/>
      <c r="G32" s="511"/>
      <c r="H32" s="497" t="s">
        <v>0</v>
      </c>
      <c r="I32" s="153" t="s">
        <v>1</v>
      </c>
      <c r="J32" s="160" t="s">
        <v>432</v>
      </c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300"/>
      <c r="C33" s="498"/>
      <c r="D33" s="154" t="s">
        <v>3</v>
      </c>
      <c r="E33" s="158">
        <v>1</v>
      </c>
      <c r="F33" s="12"/>
      <c r="G33" s="274"/>
      <c r="H33" s="498"/>
      <c r="I33" s="154" t="s">
        <v>3</v>
      </c>
      <c r="J33" s="159">
        <v>1</v>
      </c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300"/>
      <c r="C34" s="499"/>
      <c r="D34" s="153" t="s">
        <v>5</v>
      </c>
      <c r="E34" s="153" t="s">
        <v>6</v>
      </c>
      <c r="F34" s="12"/>
      <c r="G34" s="274"/>
      <c r="H34" s="499"/>
      <c r="I34" s="153" t="s">
        <v>5</v>
      </c>
      <c r="J34" s="160" t="s">
        <v>6</v>
      </c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300"/>
      <c r="C35" s="497" t="s">
        <v>433</v>
      </c>
      <c r="D35" s="512" t="s">
        <v>7</v>
      </c>
      <c r="E35" s="161" t="s">
        <v>8</v>
      </c>
      <c r="F35" s="12"/>
      <c r="G35" s="274"/>
      <c r="H35" s="497" t="s">
        <v>433</v>
      </c>
      <c r="I35" s="512" t="s">
        <v>7</v>
      </c>
      <c r="J35" s="162" t="s">
        <v>8</v>
      </c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300"/>
      <c r="C36" s="499"/>
      <c r="D36" s="315"/>
      <c r="E36" s="163" t="s">
        <v>9</v>
      </c>
      <c r="F36" s="12"/>
      <c r="G36" s="274"/>
      <c r="H36" s="499"/>
      <c r="I36" s="315"/>
      <c r="J36" s="164" t="s">
        <v>9</v>
      </c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4.75" customHeight="1" x14ac:dyDescent="0.45">
      <c r="A37" s="82"/>
      <c r="B37" s="165" t="s">
        <v>434</v>
      </c>
      <c r="C37" s="503"/>
      <c r="D37" s="224"/>
      <c r="E37" s="225"/>
      <c r="F37" s="166"/>
      <c r="G37" s="167" t="s">
        <v>434</v>
      </c>
      <c r="H37" s="503"/>
      <c r="I37" s="224"/>
      <c r="J37" s="285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45.75" customHeight="1" x14ac:dyDescent="0.45">
      <c r="A38" s="82"/>
      <c r="B38" s="168" t="s">
        <v>362</v>
      </c>
      <c r="C38" s="76"/>
      <c r="D38" s="170" t="s">
        <v>206</v>
      </c>
      <c r="E38" s="171"/>
      <c r="F38" s="166"/>
      <c r="G38" s="170" t="s">
        <v>362</v>
      </c>
      <c r="H38" s="376"/>
      <c r="I38" s="258"/>
      <c r="J38" s="276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34.5" customHeight="1" x14ac:dyDescent="0.45">
      <c r="A39" s="82"/>
      <c r="B39" s="165" t="s">
        <v>435</v>
      </c>
      <c r="C39" s="376"/>
      <c r="D39" s="258"/>
      <c r="E39" s="259"/>
      <c r="F39" s="166"/>
      <c r="G39" s="167" t="s">
        <v>435</v>
      </c>
      <c r="H39" s="376"/>
      <c r="I39" s="258"/>
      <c r="J39" s="276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38.25" customHeight="1" x14ac:dyDescent="0.45">
      <c r="A40" s="82"/>
      <c r="B40" s="165" t="s">
        <v>436</v>
      </c>
      <c r="C40" s="376"/>
      <c r="D40" s="258"/>
      <c r="E40" s="259"/>
      <c r="F40" s="173"/>
      <c r="G40" s="167" t="s">
        <v>436</v>
      </c>
      <c r="H40" s="376"/>
      <c r="I40" s="258"/>
      <c r="J40" s="276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504" t="s">
        <v>31</v>
      </c>
      <c r="C41" s="507"/>
      <c r="D41" s="224"/>
      <c r="E41" s="225"/>
      <c r="F41" s="173"/>
      <c r="G41" s="508" t="s">
        <v>31</v>
      </c>
      <c r="H41" s="507"/>
      <c r="I41" s="224"/>
      <c r="J41" s="285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505"/>
      <c r="C42" s="274"/>
      <c r="D42" s="240"/>
      <c r="E42" s="263"/>
      <c r="F42" s="166"/>
      <c r="G42" s="498"/>
      <c r="H42" s="274"/>
      <c r="I42" s="240"/>
      <c r="J42" s="293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505"/>
      <c r="C43" s="274"/>
      <c r="D43" s="240"/>
      <c r="E43" s="263"/>
      <c r="F43" s="166"/>
      <c r="G43" s="498"/>
      <c r="H43" s="274"/>
      <c r="I43" s="240"/>
      <c r="J43" s="293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506"/>
      <c r="C44" s="226"/>
      <c r="D44" s="227"/>
      <c r="E44" s="228"/>
      <c r="F44" s="166"/>
      <c r="G44" s="499"/>
      <c r="H44" s="226"/>
      <c r="I44" s="227"/>
      <c r="J44" s="290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8.75" customHeight="1" x14ac:dyDescent="0.45">
      <c r="A45" s="82"/>
      <c r="B45" s="174" t="s">
        <v>86</v>
      </c>
      <c r="C45" s="510"/>
      <c r="D45" s="258"/>
      <c r="E45" s="259"/>
      <c r="F45" s="12"/>
      <c r="G45" s="175" t="s">
        <v>86</v>
      </c>
      <c r="H45" s="510"/>
      <c r="I45" s="258"/>
      <c r="J45" s="276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1"/>
      <c r="C46" s="12"/>
      <c r="D46" s="12"/>
      <c r="E46" s="12"/>
      <c r="F46" s="12"/>
      <c r="G46" s="12"/>
      <c r="H46" s="12"/>
      <c r="I46" s="12"/>
      <c r="J46" s="176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491"/>
      <c r="C47" s="497" t="s">
        <v>0</v>
      </c>
      <c r="D47" s="153" t="s">
        <v>1</v>
      </c>
      <c r="E47" s="153" t="s">
        <v>432</v>
      </c>
      <c r="F47" s="12"/>
      <c r="G47" s="511"/>
      <c r="H47" s="497" t="s">
        <v>0</v>
      </c>
      <c r="I47" s="153" t="s">
        <v>1</v>
      </c>
      <c r="J47" s="160" t="s">
        <v>432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300"/>
      <c r="C48" s="498"/>
      <c r="D48" s="154" t="s">
        <v>3</v>
      </c>
      <c r="E48" s="158">
        <v>1</v>
      </c>
      <c r="F48" s="12"/>
      <c r="G48" s="274"/>
      <c r="H48" s="498"/>
      <c r="I48" s="154" t="s">
        <v>3</v>
      </c>
      <c r="J48" s="159">
        <v>1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300"/>
      <c r="C49" s="499"/>
      <c r="D49" s="153" t="s">
        <v>5</v>
      </c>
      <c r="E49" s="153" t="s">
        <v>6</v>
      </c>
      <c r="F49" s="12"/>
      <c r="G49" s="274"/>
      <c r="H49" s="499"/>
      <c r="I49" s="153" t="s">
        <v>5</v>
      </c>
      <c r="J49" s="160" t="s">
        <v>6</v>
      </c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300"/>
      <c r="C50" s="497" t="s">
        <v>433</v>
      </c>
      <c r="D50" s="512" t="s">
        <v>7</v>
      </c>
      <c r="E50" s="161" t="s">
        <v>8</v>
      </c>
      <c r="F50" s="12"/>
      <c r="G50" s="274"/>
      <c r="H50" s="497" t="s">
        <v>433</v>
      </c>
      <c r="I50" s="512" t="s">
        <v>7</v>
      </c>
      <c r="J50" s="162" t="s">
        <v>8</v>
      </c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300"/>
      <c r="C51" s="499"/>
      <c r="D51" s="315"/>
      <c r="E51" s="163" t="s">
        <v>9</v>
      </c>
      <c r="F51" s="12"/>
      <c r="G51" s="274"/>
      <c r="H51" s="499"/>
      <c r="I51" s="315"/>
      <c r="J51" s="164" t="s">
        <v>9</v>
      </c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3" customHeight="1" x14ac:dyDescent="0.45">
      <c r="A52" s="82"/>
      <c r="B52" s="165" t="s">
        <v>434</v>
      </c>
      <c r="C52" s="503"/>
      <c r="D52" s="224"/>
      <c r="E52" s="225"/>
      <c r="F52" s="166"/>
      <c r="G52" s="167" t="s">
        <v>434</v>
      </c>
      <c r="H52" s="503"/>
      <c r="I52" s="224"/>
      <c r="J52" s="285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33" customHeight="1" x14ac:dyDescent="0.45">
      <c r="A53" s="82"/>
      <c r="B53" s="168" t="s">
        <v>362</v>
      </c>
      <c r="C53" s="76"/>
      <c r="D53" s="170" t="s">
        <v>206</v>
      </c>
      <c r="E53" s="171"/>
      <c r="F53" s="166"/>
      <c r="G53" s="170" t="s">
        <v>362</v>
      </c>
      <c r="H53" s="76"/>
      <c r="I53" s="170" t="s">
        <v>206</v>
      </c>
      <c r="J53" s="17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45" customHeight="1" x14ac:dyDescent="0.45">
      <c r="A54" s="82"/>
      <c r="B54" s="165" t="s">
        <v>435</v>
      </c>
      <c r="C54" s="376"/>
      <c r="D54" s="258"/>
      <c r="E54" s="259"/>
      <c r="F54" s="166"/>
      <c r="G54" s="167" t="s">
        <v>435</v>
      </c>
      <c r="H54" s="376"/>
      <c r="I54" s="258"/>
      <c r="J54" s="276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36" customHeight="1" x14ac:dyDescent="0.45">
      <c r="A55" s="82"/>
      <c r="B55" s="165" t="s">
        <v>436</v>
      </c>
      <c r="C55" s="376"/>
      <c r="D55" s="258"/>
      <c r="E55" s="259"/>
      <c r="F55" s="173"/>
      <c r="G55" s="167" t="s">
        <v>436</v>
      </c>
      <c r="H55" s="376"/>
      <c r="I55" s="258"/>
      <c r="J55" s="276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504" t="s">
        <v>31</v>
      </c>
      <c r="C56" s="507"/>
      <c r="D56" s="224"/>
      <c r="E56" s="225"/>
      <c r="F56" s="173"/>
      <c r="G56" s="508" t="s">
        <v>31</v>
      </c>
      <c r="H56" s="507"/>
      <c r="I56" s="224"/>
      <c r="J56" s="285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505"/>
      <c r="C57" s="274"/>
      <c r="D57" s="240"/>
      <c r="E57" s="263"/>
      <c r="F57" s="166"/>
      <c r="G57" s="498"/>
      <c r="H57" s="274"/>
      <c r="I57" s="240"/>
      <c r="J57" s="293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505"/>
      <c r="C58" s="274"/>
      <c r="D58" s="240"/>
      <c r="E58" s="263"/>
      <c r="F58" s="166"/>
      <c r="G58" s="498"/>
      <c r="H58" s="274"/>
      <c r="I58" s="240"/>
      <c r="J58" s="293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06"/>
      <c r="C59" s="226"/>
      <c r="D59" s="227"/>
      <c r="E59" s="228"/>
      <c r="F59" s="166"/>
      <c r="G59" s="499"/>
      <c r="H59" s="226"/>
      <c r="I59" s="227"/>
      <c r="J59" s="290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21" customHeight="1" x14ac:dyDescent="0.45">
      <c r="A60" s="82"/>
      <c r="B60" s="177" t="s">
        <v>86</v>
      </c>
      <c r="C60" s="509"/>
      <c r="D60" s="230"/>
      <c r="E60" s="232"/>
      <c r="F60" s="178"/>
      <c r="G60" s="179" t="s">
        <v>86</v>
      </c>
      <c r="H60" s="509"/>
      <c r="I60" s="230"/>
      <c r="J60" s="261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2"/>
      <c r="C240" s="12"/>
      <c r="D240" s="12"/>
      <c r="E240" s="12"/>
      <c r="F240" s="12"/>
      <c r="G240" s="12"/>
      <c r="H240" s="12"/>
      <c r="I240" s="12"/>
      <c r="J240" s="1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2"/>
      <c r="C241" s="12"/>
      <c r="D241" s="12"/>
      <c r="E241" s="12"/>
      <c r="F241" s="12"/>
      <c r="G241" s="12"/>
      <c r="H241" s="12"/>
      <c r="I241" s="12"/>
      <c r="J241" s="1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2"/>
      <c r="C242" s="12"/>
      <c r="D242" s="12"/>
      <c r="E242" s="12"/>
      <c r="F242" s="12"/>
      <c r="G242" s="12"/>
      <c r="H242" s="12"/>
      <c r="I242" s="12"/>
      <c r="J242" s="1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2"/>
      <c r="C243" s="12"/>
      <c r="D243" s="12"/>
      <c r="E243" s="12"/>
      <c r="F243" s="12"/>
      <c r="G243" s="12"/>
      <c r="H243" s="12"/>
      <c r="I243" s="12"/>
      <c r="J243" s="1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2"/>
      <c r="C244" s="12"/>
      <c r="D244" s="12"/>
      <c r="E244" s="12"/>
      <c r="F244" s="12"/>
      <c r="G244" s="12"/>
      <c r="H244" s="12"/>
      <c r="I244" s="12"/>
      <c r="J244" s="1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2"/>
      <c r="C245" s="12"/>
      <c r="D245" s="12"/>
      <c r="E245" s="12"/>
      <c r="F245" s="12"/>
      <c r="G245" s="12"/>
      <c r="H245" s="12"/>
      <c r="I245" s="12"/>
      <c r="J245" s="1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2"/>
      <c r="C246" s="12"/>
      <c r="D246" s="12"/>
      <c r="E246" s="12"/>
      <c r="F246" s="12"/>
      <c r="G246" s="12"/>
      <c r="H246" s="12"/>
      <c r="I246" s="12"/>
      <c r="J246" s="1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2"/>
      <c r="C247" s="12"/>
      <c r="D247" s="12"/>
      <c r="E247" s="12"/>
      <c r="F247" s="12"/>
      <c r="G247" s="12"/>
      <c r="H247" s="12"/>
      <c r="I247" s="12"/>
      <c r="J247" s="1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"/>
      <c r="C248" s="12"/>
      <c r="D248" s="12"/>
      <c r="E248" s="12"/>
      <c r="F248" s="12"/>
      <c r="G248" s="12"/>
      <c r="H248" s="12"/>
      <c r="I248" s="12"/>
      <c r="J248" s="1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"/>
      <c r="C249" s="12"/>
      <c r="D249" s="12"/>
      <c r="E249" s="12"/>
      <c r="F249" s="12"/>
      <c r="G249" s="12"/>
      <c r="H249" s="12"/>
      <c r="I249" s="12"/>
      <c r="J249" s="1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"/>
      <c r="C250" s="12"/>
      <c r="D250" s="12"/>
      <c r="E250" s="12"/>
      <c r="F250" s="12"/>
      <c r="G250" s="12"/>
      <c r="H250" s="12"/>
      <c r="I250" s="12"/>
      <c r="J250" s="1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2"/>
      <c r="C251" s="12"/>
      <c r="D251" s="12"/>
      <c r="E251" s="12"/>
      <c r="F251" s="12"/>
      <c r="G251" s="12"/>
      <c r="H251" s="12"/>
      <c r="I251" s="12"/>
      <c r="J251" s="1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2"/>
      <c r="C252" s="12"/>
      <c r="D252" s="12"/>
      <c r="E252" s="12"/>
      <c r="F252" s="12"/>
      <c r="G252" s="12"/>
      <c r="H252" s="12"/>
      <c r="I252" s="12"/>
      <c r="J252" s="1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2"/>
      <c r="C253" s="12"/>
      <c r="D253" s="12"/>
      <c r="E253" s="12"/>
      <c r="F253" s="12"/>
      <c r="G253" s="12"/>
      <c r="H253" s="12"/>
      <c r="I253" s="12"/>
      <c r="J253" s="1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2"/>
      <c r="C254" s="12"/>
      <c r="D254" s="12"/>
      <c r="E254" s="12"/>
      <c r="F254" s="12"/>
      <c r="G254" s="12"/>
      <c r="H254" s="12"/>
      <c r="I254" s="12"/>
      <c r="J254" s="1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2"/>
      <c r="C255" s="12"/>
      <c r="D255" s="12"/>
      <c r="E255" s="12"/>
      <c r="F255" s="12"/>
      <c r="G255" s="12"/>
      <c r="H255" s="12"/>
      <c r="I255" s="12"/>
      <c r="J255" s="1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2"/>
      <c r="C256" s="12"/>
      <c r="D256" s="12"/>
      <c r="E256" s="12"/>
      <c r="F256" s="12"/>
      <c r="G256" s="12"/>
      <c r="H256" s="12"/>
      <c r="I256" s="12"/>
      <c r="J256" s="1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2"/>
      <c r="C257" s="12"/>
      <c r="D257" s="12"/>
      <c r="E257" s="12"/>
      <c r="F257" s="12"/>
      <c r="G257" s="12"/>
      <c r="H257" s="12"/>
      <c r="I257" s="12"/>
      <c r="J257" s="1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2"/>
      <c r="C258" s="12"/>
      <c r="D258" s="12"/>
      <c r="E258" s="12"/>
      <c r="F258" s="12"/>
      <c r="G258" s="12"/>
      <c r="H258" s="12"/>
      <c r="I258" s="12"/>
      <c r="J258" s="1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2"/>
      <c r="C259" s="12"/>
      <c r="D259" s="12"/>
      <c r="E259" s="12"/>
      <c r="F259" s="12"/>
      <c r="G259" s="12"/>
      <c r="H259" s="12"/>
      <c r="I259" s="12"/>
      <c r="J259" s="1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2"/>
      <c r="C260" s="12"/>
      <c r="D260" s="12"/>
      <c r="E260" s="12"/>
      <c r="F260" s="12"/>
      <c r="G260" s="12"/>
      <c r="H260" s="12"/>
      <c r="I260" s="12"/>
      <c r="J260" s="1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</sheetData>
  <mergeCells count="81">
    <mergeCell ref="B32:B36"/>
    <mergeCell ref="C32:C34"/>
    <mergeCell ref="G32:G36"/>
    <mergeCell ref="H32:H34"/>
    <mergeCell ref="C35:C36"/>
    <mergeCell ref="H35:H36"/>
    <mergeCell ref="I35:I36"/>
    <mergeCell ref="C41:E44"/>
    <mergeCell ref="G41:G44"/>
    <mergeCell ref="D35:D36"/>
    <mergeCell ref="C37:E37"/>
    <mergeCell ref="H37:J37"/>
    <mergeCell ref="H38:J38"/>
    <mergeCell ref="C39:E39"/>
    <mergeCell ref="H39:J39"/>
    <mergeCell ref="C40:E40"/>
    <mergeCell ref="H40:J40"/>
    <mergeCell ref="B41:B44"/>
    <mergeCell ref="H47:H49"/>
    <mergeCell ref="H50:H51"/>
    <mergeCell ref="H41:J44"/>
    <mergeCell ref="H45:J45"/>
    <mergeCell ref="B47:B51"/>
    <mergeCell ref="C47:C49"/>
    <mergeCell ref="G47:G51"/>
    <mergeCell ref="C50:C51"/>
    <mergeCell ref="I50:I51"/>
    <mergeCell ref="D50:D51"/>
    <mergeCell ref="C45:E45"/>
    <mergeCell ref="B11:B14"/>
    <mergeCell ref="C11:E14"/>
    <mergeCell ref="C15:E15"/>
    <mergeCell ref="H7:J7"/>
    <mergeCell ref="H9:J9"/>
    <mergeCell ref="H10:J10"/>
    <mergeCell ref="G11:G14"/>
    <mergeCell ref="H11:J14"/>
    <mergeCell ref="I5:I6"/>
    <mergeCell ref="D5:D6"/>
    <mergeCell ref="C7:E7"/>
    <mergeCell ref="C9:E9"/>
    <mergeCell ref="C10:E10"/>
    <mergeCell ref="B2:B6"/>
    <mergeCell ref="C2:C4"/>
    <mergeCell ref="G2:G6"/>
    <mergeCell ref="H2:H4"/>
    <mergeCell ref="C5:C6"/>
    <mergeCell ref="H5:H6"/>
    <mergeCell ref="H24:J24"/>
    <mergeCell ref="H25:J25"/>
    <mergeCell ref="G26:G29"/>
    <mergeCell ref="H26:J29"/>
    <mergeCell ref="H15:J15"/>
    <mergeCell ref="H30:J30"/>
    <mergeCell ref="B17:B21"/>
    <mergeCell ref="C17:C19"/>
    <mergeCell ref="G17:G21"/>
    <mergeCell ref="H17:H19"/>
    <mergeCell ref="C20:C21"/>
    <mergeCell ref="H20:H21"/>
    <mergeCell ref="I20:I21"/>
    <mergeCell ref="D20:D21"/>
    <mergeCell ref="C22:E22"/>
    <mergeCell ref="C24:E24"/>
    <mergeCell ref="C25:E25"/>
    <mergeCell ref="B26:B29"/>
    <mergeCell ref="C26:E29"/>
    <mergeCell ref="C30:E30"/>
    <mergeCell ref="H22:J22"/>
    <mergeCell ref="B56:B59"/>
    <mergeCell ref="C56:E59"/>
    <mergeCell ref="G56:G59"/>
    <mergeCell ref="H56:J59"/>
    <mergeCell ref="C60:E60"/>
    <mergeCell ref="H60:J60"/>
    <mergeCell ref="C52:E52"/>
    <mergeCell ref="H52:J52"/>
    <mergeCell ref="C54:E54"/>
    <mergeCell ref="H54:J54"/>
    <mergeCell ref="C55:E55"/>
    <mergeCell ref="H55:J55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1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3"/>
      <c r="B1" s="443"/>
      <c r="C1" s="254"/>
      <c r="D1" s="443" t="s">
        <v>0</v>
      </c>
      <c r="E1" s="221"/>
      <c r="F1" s="221"/>
      <c r="G1" s="221"/>
      <c r="H1" s="221"/>
      <c r="I1" s="254"/>
      <c r="J1" s="101" t="s">
        <v>1</v>
      </c>
      <c r="K1" s="101" t="s">
        <v>437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300"/>
      <c r="C2" s="293"/>
      <c r="D2" s="300"/>
      <c r="E2" s="240"/>
      <c r="F2" s="240"/>
      <c r="G2" s="240"/>
      <c r="H2" s="240"/>
      <c r="I2" s="293"/>
      <c r="J2" s="101" t="s">
        <v>3</v>
      </c>
      <c r="K2" s="102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300"/>
      <c r="C3" s="293"/>
      <c r="D3" s="301"/>
      <c r="E3" s="235"/>
      <c r="F3" s="235"/>
      <c r="G3" s="235"/>
      <c r="H3" s="235"/>
      <c r="I3" s="282"/>
      <c r="J3" s="101" t="s">
        <v>5</v>
      </c>
      <c r="K3" s="101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15.75" customHeight="1" x14ac:dyDescent="0.45">
      <c r="A4" s="82"/>
      <c r="B4" s="300"/>
      <c r="C4" s="293"/>
      <c r="D4" s="443" t="s">
        <v>438</v>
      </c>
      <c r="E4" s="221"/>
      <c r="F4" s="221"/>
      <c r="G4" s="221"/>
      <c r="H4" s="221"/>
      <c r="I4" s="254"/>
      <c r="J4" s="447" t="s">
        <v>7</v>
      </c>
      <c r="K4" s="101" t="s">
        <v>230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82"/>
      <c r="B5" s="301"/>
      <c r="C5" s="282"/>
      <c r="D5" s="301"/>
      <c r="E5" s="235"/>
      <c r="F5" s="235"/>
      <c r="G5" s="235"/>
      <c r="H5" s="235"/>
      <c r="I5" s="282"/>
      <c r="J5" s="384"/>
      <c r="K5" s="103" t="s">
        <v>231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8"/>
      <c r="C6" s="96"/>
      <c r="D6" s="96"/>
      <c r="E6" s="96"/>
      <c r="F6" s="96"/>
      <c r="G6" s="96"/>
      <c r="H6" s="96"/>
      <c r="I6" s="96"/>
      <c r="J6" s="96"/>
      <c r="K6" s="180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1"/>
      <c r="C7" s="12"/>
      <c r="D7" s="12"/>
      <c r="E7" s="12"/>
      <c r="F7" s="12"/>
      <c r="G7" s="12"/>
      <c r="H7" s="12"/>
      <c r="I7" s="12"/>
      <c r="J7" s="12"/>
      <c r="K7" s="176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07" t="s">
        <v>439</v>
      </c>
      <c r="C8" s="266" t="str">
        <f>'INSPECCIÓN ETIQUETAS'!C8</f>
        <v>SUERO MULTIPEPTIDOS</v>
      </c>
      <c r="D8" s="212"/>
      <c r="E8" s="212"/>
      <c r="F8" s="213"/>
      <c r="G8" s="107" t="s">
        <v>440</v>
      </c>
      <c r="H8" s="266" t="str">
        <f>'LISTA CHEQUEO'!F10</f>
        <v>ANIMUS LAB</v>
      </c>
      <c r="I8" s="212"/>
      <c r="J8" s="212"/>
      <c r="K8" s="215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5" customHeight="1" x14ac:dyDescent="0.45">
      <c r="A9" s="82"/>
      <c r="B9" s="107" t="s">
        <v>21</v>
      </c>
      <c r="C9" s="461" t="str">
        <f>'INSPECCIÓN ETIQUETAS'!H8</f>
        <v>NSOC35967-24CO</v>
      </c>
      <c r="D9" s="215"/>
      <c r="E9" s="107" t="s">
        <v>370</v>
      </c>
      <c r="F9" s="461" t="str">
        <f>'INSPECCIÓN ETIQUETAS'!C9</f>
        <v>OP-L-123</v>
      </c>
      <c r="G9" s="215"/>
      <c r="H9" s="441" t="s">
        <v>369</v>
      </c>
      <c r="I9" s="215"/>
      <c r="J9" s="458" t="str">
        <f>'INSPECCIÓN ETIQUETAS'!C10</f>
        <v>252521</v>
      </c>
      <c r="K9" s="215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7" customHeight="1" x14ac:dyDescent="0.55000000000000004">
      <c r="A10" s="82"/>
      <c r="B10" s="107" t="s">
        <v>441</v>
      </c>
      <c r="C10" s="519"/>
      <c r="D10" s="215"/>
      <c r="E10" s="107" t="s">
        <v>442</v>
      </c>
      <c r="F10" s="517"/>
      <c r="G10" s="215"/>
      <c r="H10" s="441" t="s">
        <v>443</v>
      </c>
      <c r="I10" s="215"/>
      <c r="J10" s="516"/>
      <c r="K10" s="215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71.25" customHeight="1" x14ac:dyDescent="0.55000000000000004">
      <c r="A11" s="82"/>
      <c r="B11" s="107" t="s">
        <v>444</v>
      </c>
      <c r="C11" s="519"/>
      <c r="D11" s="215"/>
      <c r="E11" s="107" t="s">
        <v>445</v>
      </c>
      <c r="F11" s="517"/>
      <c r="G11" s="215"/>
      <c r="H11" s="441" t="s">
        <v>446</v>
      </c>
      <c r="I11" s="215"/>
      <c r="J11" s="516"/>
      <c r="K11" s="215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3.75" customHeight="1" x14ac:dyDescent="0.45">
      <c r="A12" s="82"/>
      <c r="B12" s="9" t="s">
        <v>447</v>
      </c>
      <c r="C12" s="518"/>
      <c r="D12" s="212"/>
      <c r="E12" s="212"/>
      <c r="F12" s="212"/>
      <c r="G12" s="212"/>
      <c r="H12" s="212"/>
      <c r="I12" s="212"/>
      <c r="J12" s="212"/>
      <c r="K12" s="215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3.75" customHeight="1" x14ac:dyDescent="0.45">
      <c r="A13" s="82"/>
      <c r="B13" s="181"/>
      <c r="C13" s="123"/>
      <c r="D13" s="123"/>
      <c r="E13" s="123"/>
      <c r="F13" s="123"/>
      <c r="G13" s="123"/>
      <c r="H13" s="123"/>
      <c r="I13" s="123"/>
      <c r="J13" s="123"/>
      <c r="K13" s="1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7.5" customHeight="1" x14ac:dyDescent="0.45">
      <c r="A14" s="82"/>
      <c r="B14" s="441" t="s">
        <v>27</v>
      </c>
      <c r="C14" s="212"/>
      <c r="D14" s="212"/>
      <c r="E14" s="212"/>
      <c r="F14" s="212"/>
      <c r="G14" s="212"/>
      <c r="H14" s="212"/>
      <c r="I14" s="212"/>
      <c r="J14" s="212"/>
      <c r="K14" s="215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07" t="s">
        <v>69</v>
      </c>
      <c r="C15" s="441" t="s">
        <v>448</v>
      </c>
      <c r="D15" s="212"/>
      <c r="E15" s="212"/>
      <c r="F15" s="212"/>
      <c r="G15" s="215"/>
      <c r="H15" s="441" t="s">
        <v>30</v>
      </c>
      <c r="I15" s="215"/>
      <c r="J15" s="441" t="s">
        <v>31</v>
      </c>
      <c r="K15" s="215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48" customHeight="1" x14ac:dyDescent="0.45">
      <c r="A16" s="82"/>
      <c r="B16" s="107" t="s">
        <v>343</v>
      </c>
      <c r="C16" s="474" t="s">
        <v>449</v>
      </c>
      <c r="D16" s="212"/>
      <c r="E16" s="212"/>
      <c r="F16" s="212"/>
      <c r="G16" s="215"/>
      <c r="H16" s="441"/>
      <c r="I16" s="215"/>
      <c r="J16" s="475"/>
      <c r="K16" s="215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51.75" customHeight="1" x14ac:dyDescent="0.45">
      <c r="A17" s="82"/>
      <c r="B17" s="107" t="s">
        <v>450</v>
      </c>
      <c r="C17" s="474" t="s">
        <v>451</v>
      </c>
      <c r="D17" s="212"/>
      <c r="E17" s="212"/>
      <c r="F17" s="212"/>
      <c r="G17" s="215"/>
      <c r="H17" s="441"/>
      <c r="I17" s="215"/>
      <c r="J17" s="124"/>
      <c r="K17" s="127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63.75" customHeight="1" x14ac:dyDescent="0.45">
      <c r="A18" s="82"/>
      <c r="B18" s="107" t="s">
        <v>452</v>
      </c>
      <c r="C18" s="474" t="s">
        <v>453</v>
      </c>
      <c r="D18" s="212"/>
      <c r="E18" s="212"/>
      <c r="F18" s="212"/>
      <c r="G18" s="215"/>
      <c r="H18" s="441"/>
      <c r="I18" s="215"/>
      <c r="J18" s="124"/>
      <c r="K18" s="127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50.25" customHeight="1" x14ac:dyDescent="0.45">
      <c r="A19" s="82"/>
      <c r="B19" s="107" t="s">
        <v>454</v>
      </c>
      <c r="C19" s="474" t="s">
        <v>455</v>
      </c>
      <c r="D19" s="212"/>
      <c r="E19" s="212"/>
      <c r="F19" s="212"/>
      <c r="G19" s="215"/>
      <c r="H19" s="441"/>
      <c r="I19" s="215"/>
      <c r="J19" s="124"/>
      <c r="K19" s="127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107" t="s">
        <v>456</v>
      </c>
      <c r="C20" s="474" t="s">
        <v>457</v>
      </c>
      <c r="D20" s="212"/>
      <c r="E20" s="212"/>
      <c r="F20" s="212"/>
      <c r="G20" s="215"/>
      <c r="H20" s="441"/>
      <c r="I20" s="215"/>
      <c r="J20" s="124"/>
      <c r="K20" s="127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54" customHeight="1" x14ac:dyDescent="0.45">
      <c r="A21" s="82"/>
      <c r="B21" s="117" t="s">
        <v>458</v>
      </c>
      <c r="C21" s="474" t="s">
        <v>459</v>
      </c>
      <c r="D21" s="212"/>
      <c r="E21" s="212"/>
      <c r="F21" s="212"/>
      <c r="G21" s="215"/>
      <c r="H21" s="441"/>
      <c r="I21" s="215"/>
      <c r="J21" s="475"/>
      <c r="K21" s="215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45.75" customHeight="1" x14ac:dyDescent="0.45">
      <c r="A22" s="82"/>
      <c r="B22" s="125" t="s">
        <v>460</v>
      </c>
      <c r="C22" s="474" t="s">
        <v>461</v>
      </c>
      <c r="D22" s="212"/>
      <c r="E22" s="212"/>
      <c r="F22" s="212"/>
      <c r="G22" s="215"/>
      <c r="H22" s="441"/>
      <c r="I22" s="215"/>
      <c r="J22" s="475"/>
      <c r="K22" s="215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51" customHeight="1" x14ac:dyDescent="0.45">
      <c r="A23" s="82"/>
      <c r="B23" s="125" t="s">
        <v>462</v>
      </c>
      <c r="C23" s="474" t="s">
        <v>463</v>
      </c>
      <c r="D23" s="212"/>
      <c r="E23" s="212"/>
      <c r="F23" s="212"/>
      <c r="G23" s="215"/>
      <c r="H23" s="441"/>
      <c r="I23" s="215"/>
      <c r="J23" s="475"/>
      <c r="K23" s="215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54" customHeight="1" x14ac:dyDescent="0.45">
      <c r="A24" s="82"/>
      <c r="B24" s="125" t="s">
        <v>464</v>
      </c>
      <c r="C24" s="474" t="s">
        <v>465</v>
      </c>
      <c r="D24" s="212"/>
      <c r="E24" s="212"/>
      <c r="F24" s="212"/>
      <c r="G24" s="215"/>
      <c r="H24" s="441"/>
      <c r="I24" s="215"/>
      <c r="J24" s="475"/>
      <c r="K24" s="215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54" customHeight="1" x14ac:dyDescent="0.45">
      <c r="A25" s="82"/>
      <c r="B25" s="125" t="s">
        <v>466</v>
      </c>
      <c r="C25" s="474" t="s">
        <v>467</v>
      </c>
      <c r="D25" s="212"/>
      <c r="E25" s="212"/>
      <c r="F25" s="212"/>
      <c r="G25" s="215"/>
      <c r="H25" s="441"/>
      <c r="I25" s="215"/>
      <c r="J25" s="475"/>
      <c r="K25" s="215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54" customHeight="1" x14ac:dyDescent="0.45">
      <c r="A26" s="82"/>
      <c r="B26" s="125" t="s">
        <v>468</v>
      </c>
      <c r="C26" s="457" t="s">
        <v>469</v>
      </c>
      <c r="D26" s="212"/>
      <c r="E26" s="212"/>
      <c r="F26" s="212"/>
      <c r="G26" s="215"/>
      <c r="H26" s="441"/>
      <c r="I26" s="215"/>
      <c r="J26" s="475"/>
      <c r="K26" s="215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9.5" customHeight="1" x14ac:dyDescent="0.45">
      <c r="A27" s="82"/>
      <c r="B27" s="125" t="s">
        <v>470</v>
      </c>
      <c r="C27" s="457" t="s">
        <v>471</v>
      </c>
      <c r="D27" s="212"/>
      <c r="E27" s="212"/>
      <c r="F27" s="212"/>
      <c r="G27" s="215"/>
      <c r="H27" s="441"/>
      <c r="I27" s="215"/>
      <c r="J27" s="475"/>
      <c r="K27" s="215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72.75" customHeight="1" x14ac:dyDescent="0.45">
      <c r="A28" s="82"/>
      <c r="B28" s="125" t="s">
        <v>454</v>
      </c>
      <c r="C28" s="457" t="s">
        <v>472</v>
      </c>
      <c r="D28" s="212"/>
      <c r="E28" s="212"/>
      <c r="F28" s="212"/>
      <c r="G28" s="215"/>
      <c r="H28" s="441"/>
      <c r="I28" s="215"/>
      <c r="J28" s="124"/>
      <c r="K28" s="127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5.5" customHeight="1" x14ac:dyDescent="0.45">
      <c r="A29" s="82"/>
      <c r="B29" s="125" t="s">
        <v>473</v>
      </c>
      <c r="C29" s="457" t="s">
        <v>474</v>
      </c>
      <c r="D29" s="212"/>
      <c r="E29" s="212"/>
      <c r="F29" s="212"/>
      <c r="G29" s="215"/>
      <c r="H29" s="441"/>
      <c r="I29" s="215"/>
      <c r="J29" s="475"/>
      <c r="K29" s="215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2.5" customHeight="1" x14ac:dyDescent="0.45">
      <c r="A30" s="82"/>
      <c r="B30" s="109"/>
      <c r="C30" s="128"/>
      <c r="D30" s="128"/>
      <c r="E30" s="129"/>
      <c r="F30" s="129"/>
      <c r="G30" s="129"/>
      <c r="H30" s="130"/>
      <c r="I30" s="130"/>
      <c r="J30" s="130"/>
      <c r="K30" s="183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5.75" customHeight="1" x14ac:dyDescent="0.45">
      <c r="A31" s="82"/>
      <c r="B31" s="478" t="s">
        <v>45</v>
      </c>
      <c r="C31" s="476"/>
      <c r="D31" s="221"/>
      <c r="E31" s="221"/>
      <c r="F31" s="221"/>
      <c r="G31" s="221"/>
      <c r="H31" s="221"/>
      <c r="I31" s="221"/>
      <c r="J31" s="221"/>
      <c r="K31" s="254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65.25" customHeight="1" x14ac:dyDescent="0.45">
      <c r="A32" s="82"/>
      <c r="B32" s="384"/>
      <c r="C32" s="301"/>
      <c r="D32" s="235"/>
      <c r="E32" s="235"/>
      <c r="F32" s="235"/>
      <c r="G32" s="235"/>
      <c r="H32" s="235"/>
      <c r="I32" s="235"/>
      <c r="J32" s="235"/>
      <c r="K32" s="2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22.5" customHeight="1" x14ac:dyDescent="0.45">
      <c r="A33" s="82"/>
      <c r="B33" s="181"/>
      <c r="C33" s="123"/>
      <c r="D33" s="123"/>
      <c r="E33" s="123"/>
      <c r="F33" s="123"/>
      <c r="G33" s="123"/>
      <c r="H33" s="123"/>
      <c r="I33" s="123"/>
      <c r="J33" s="123"/>
      <c r="K33" s="1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81"/>
      <c r="C34" s="123"/>
      <c r="D34" s="123"/>
      <c r="E34" s="123"/>
      <c r="F34" s="123"/>
      <c r="G34" s="123"/>
      <c r="H34" s="123"/>
      <c r="I34" s="123"/>
      <c r="J34" s="123"/>
      <c r="K34" s="1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36" customHeight="1" x14ac:dyDescent="0.45">
      <c r="A35" s="82"/>
      <c r="B35" s="444" t="s">
        <v>254</v>
      </c>
      <c r="C35" s="212"/>
      <c r="D35" s="184"/>
      <c r="E35" s="441" t="s">
        <v>255</v>
      </c>
      <c r="F35" s="215"/>
      <c r="G35" s="185"/>
      <c r="H35" s="441" t="s">
        <v>256</v>
      </c>
      <c r="I35" s="215"/>
      <c r="J35" s="186"/>
      <c r="K35" s="107" t="s">
        <v>257</v>
      </c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36" customHeight="1" x14ac:dyDescent="0.45">
      <c r="A36" s="82"/>
      <c r="B36" s="444" t="s">
        <v>284</v>
      </c>
      <c r="C36" s="215"/>
      <c r="D36" s="114"/>
      <c r="E36" s="187"/>
      <c r="F36" s="187"/>
      <c r="G36" s="188"/>
      <c r="H36" s="520" t="s">
        <v>475</v>
      </c>
      <c r="I36" s="282"/>
      <c r="J36" s="189"/>
      <c r="K36" s="190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31.5" customHeight="1" x14ac:dyDescent="0.45">
      <c r="A37" s="82"/>
      <c r="B37" s="444" t="s">
        <v>418</v>
      </c>
      <c r="C37" s="215"/>
      <c r="D37" s="521"/>
      <c r="E37" s="235"/>
      <c r="F37" s="235"/>
      <c r="G37" s="282"/>
      <c r="H37" s="520" t="s">
        <v>476</v>
      </c>
      <c r="I37" s="282"/>
      <c r="J37" s="521"/>
      <c r="K37" s="2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1.5" customHeight="1" x14ac:dyDescent="0.45">
      <c r="A38" s="82"/>
      <c r="B38" s="444" t="s">
        <v>477</v>
      </c>
      <c r="C38" s="215"/>
      <c r="D38" s="522"/>
      <c r="E38" s="212"/>
      <c r="F38" s="212"/>
      <c r="G38" s="212"/>
      <c r="H38" s="212"/>
      <c r="I38" s="212"/>
      <c r="J38" s="212"/>
      <c r="K38" s="215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81"/>
      <c r="C39" s="123"/>
      <c r="D39" s="123"/>
      <c r="E39" s="123"/>
      <c r="F39" s="123"/>
      <c r="G39" s="123"/>
      <c r="H39" s="123"/>
      <c r="I39" s="123"/>
      <c r="J39" s="123"/>
      <c r="K39" s="1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281" t="s">
        <v>52</v>
      </c>
      <c r="C40" s="235"/>
      <c r="D40" s="235"/>
      <c r="E40" s="235"/>
      <c r="F40" s="235"/>
      <c r="G40" s="235"/>
      <c r="H40" s="235"/>
      <c r="I40" s="235"/>
      <c r="J40" s="235"/>
      <c r="K40" s="2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 spans="1:26" ht="15.75" customHeight="1" x14ac:dyDescent="0.45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</sheetData>
  <mergeCells count="74"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  <mergeCell ref="C26:G26"/>
    <mergeCell ref="H26:I26"/>
    <mergeCell ref="J26:K26"/>
    <mergeCell ref="C27:G27"/>
    <mergeCell ref="H27:I27"/>
    <mergeCell ref="J27:K27"/>
    <mergeCell ref="H28:I28"/>
    <mergeCell ref="E35:F35"/>
    <mergeCell ref="H35:I35"/>
    <mergeCell ref="C28:G28"/>
    <mergeCell ref="C29:G29"/>
    <mergeCell ref="H29:I29"/>
    <mergeCell ref="J29:K29"/>
    <mergeCell ref="B31:B32"/>
    <mergeCell ref="C31:K32"/>
    <mergeCell ref="B35:C35"/>
    <mergeCell ref="D38:K38"/>
    <mergeCell ref="B40:K40"/>
    <mergeCell ref="B36:C36"/>
    <mergeCell ref="H36:I36"/>
    <mergeCell ref="B37:C37"/>
    <mergeCell ref="D37:G37"/>
    <mergeCell ref="H37:I37"/>
    <mergeCell ref="J37:K37"/>
    <mergeCell ref="B38:C38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0:D10"/>
    <mergeCell ref="C11:D11"/>
    <mergeCell ref="F10:G10"/>
    <mergeCell ref="H10:I10"/>
    <mergeCell ref="C17:G17"/>
    <mergeCell ref="H17:I17"/>
    <mergeCell ref="C18:G18"/>
    <mergeCell ref="H18:I18"/>
    <mergeCell ref="C19:G19"/>
    <mergeCell ref="H19:I19"/>
    <mergeCell ref="C22:G22"/>
    <mergeCell ref="H22:I22"/>
    <mergeCell ref="J22:K22"/>
    <mergeCell ref="H20:I20"/>
    <mergeCell ref="C20:G20"/>
    <mergeCell ref="C21:G21"/>
    <mergeCell ref="H21:I21"/>
    <mergeCell ref="J21:K21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91"/>
      <c r="B1" s="528"/>
      <c r="C1" s="529" t="s">
        <v>0</v>
      </c>
      <c r="D1" s="224"/>
      <c r="E1" s="224"/>
      <c r="F1" s="224"/>
      <c r="G1" s="224"/>
      <c r="H1" s="225"/>
      <c r="I1" s="192" t="s">
        <v>1</v>
      </c>
      <c r="J1" s="193" t="s">
        <v>478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91"/>
      <c r="B2" s="240"/>
      <c r="C2" s="274"/>
      <c r="D2" s="240"/>
      <c r="E2" s="240"/>
      <c r="F2" s="240"/>
      <c r="G2" s="240"/>
      <c r="H2" s="263"/>
      <c r="I2" s="104" t="s">
        <v>3</v>
      </c>
      <c r="J2" s="194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91"/>
      <c r="B3" s="240"/>
      <c r="C3" s="311"/>
      <c r="D3" s="235"/>
      <c r="E3" s="235"/>
      <c r="F3" s="235"/>
      <c r="G3" s="235"/>
      <c r="H3" s="315"/>
      <c r="I3" s="195" t="s">
        <v>5</v>
      </c>
      <c r="J3" s="195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96"/>
      <c r="B4" s="240"/>
      <c r="C4" s="529" t="s">
        <v>479</v>
      </c>
      <c r="D4" s="224"/>
      <c r="E4" s="224"/>
      <c r="F4" s="224"/>
      <c r="G4" s="224"/>
      <c r="H4" s="225"/>
      <c r="I4" s="530" t="s">
        <v>7</v>
      </c>
      <c r="J4" s="197" t="s">
        <v>230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96"/>
      <c r="B5" s="227"/>
      <c r="C5" s="226"/>
      <c r="D5" s="227"/>
      <c r="E5" s="227"/>
      <c r="F5" s="227"/>
      <c r="G5" s="227"/>
      <c r="H5" s="228"/>
      <c r="I5" s="499"/>
      <c r="J5" s="198" t="s">
        <v>231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6"/>
      <c r="C6" s="96"/>
      <c r="D6" s="96"/>
      <c r="E6" s="96"/>
      <c r="F6" s="96"/>
      <c r="G6" s="96"/>
      <c r="H6" s="96"/>
      <c r="I6" s="96"/>
      <c r="J6" s="12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2"/>
      <c r="C7" s="12"/>
      <c r="D7" s="12"/>
      <c r="E7" s="12"/>
      <c r="F7" s="12"/>
      <c r="G7" s="12"/>
      <c r="H7" s="12"/>
      <c r="I7" s="12"/>
      <c r="J7" s="1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11"/>
      <c r="C8" s="497" t="s">
        <v>0</v>
      </c>
      <c r="D8" s="153" t="s">
        <v>1</v>
      </c>
      <c r="E8" s="153" t="s">
        <v>478</v>
      </c>
      <c r="F8" s="12"/>
      <c r="G8" s="511"/>
      <c r="H8" s="497" t="s">
        <v>0</v>
      </c>
      <c r="I8" s="153" t="s">
        <v>1</v>
      </c>
      <c r="J8" s="153" t="s">
        <v>478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74"/>
      <c r="C9" s="498"/>
      <c r="D9" s="154" t="s">
        <v>3</v>
      </c>
      <c r="E9" s="158">
        <v>1</v>
      </c>
      <c r="F9" s="12"/>
      <c r="G9" s="274"/>
      <c r="H9" s="498"/>
      <c r="I9" s="154" t="s">
        <v>3</v>
      </c>
      <c r="J9" s="158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74"/>
      <c r="C10" s="497" t="s">
        <v>479</v>
      </c>
      <c r="D10" s="199" t="s">
        <v>5</v>
      </c>
      <c r="E10" s="153" t="s">
        <v>6</v>
      </c>
      <c r="F10" s="12"/>
      <c r="G10" s="274"/>
      <c r="H10" s="497" t="s">
        <v>479</v>
      </c>
      <c r="I10" s="199" t="s">
        <v>5</v>
      </c>
      <c r="J10" s="153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74"/>
      <c r="C11" s="498"/>
      <c r="D11" s="512" t="s">
        <v>7</v>
      </c>
      <c r="E11" s="161" t="s">
        <v>230</v>
      </c>
      <c r="F11" s="12"/>
      <c r="G11" s="274"/>
      <c r="H11" s="498"/>
      <c r="I11" s="512" t="s">
        <v>7</v>
      </c>
      <c r="J11" s="161" t="s">
        <v>230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96"/>
      <c r="B12" s="274"/>
      <c r="C12" s="525"/>
      <c r="D12" s="315"/>
      <c r="E12" s="163" t="s">
        <v>231</v>
      </c>
      <c r="F12" s="12"/>
      <c r="G12" s="274"/>
      <c r="H12" s="525"/>
      <c r="I12" s="315"/>
      <c r="J12" s="163" t="s">
        <v>231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5" customHeight="1" x14ac:dyDescent="0.45">
      <c r="A13" s="82"/>
      <c r="B13" s="152" t="s">
        <v>434</v>
      </c>
      <c r="C13" s="527"/>
      <c r="D13" s="224"/>
      <c r="E13" s="225"/>
      <c r="F13" s="166"/>
      <c r="G13" s="152" t="s">
        <v>434</v>
      </c>
      <c r="H13" s="526"/>
      <c r="I13" s="258"/>
      <c r="J13" s="259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9.25" customHeight="1" x14ac:dyDescent="0.45">
      <c r="A14" s="82"/>
      <c r="B14" s="200" t="s">
        <v>362</v>
      </c>
      <c r="C14" s="201"/>
      <c r="D14" s="202" t="s">
        <v>480</v>
      </c>
      <c r="E14" s="201"/>
      <c r="F14" s="166"/>
      <c r="G14" s="203" t="s">
        <v>362</v>
      </c>
      <c r="H14" s="201"/>
      <c r="I14" s="202" t="s">
        <v>480</v>
      </c>
      <c r="J14" s="201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52" t="s">
        <v>435</v>
      </c>
      <c r="C15" s="204"/>
      <c r="D15" s="205" t="s">
        <v>481</v>
      </c>
      <c r="E15" s="204"/>
      <c r="F15" s="166"/>
      <c r="G15" s="152" t="s">
        <v>435</v>
      </c>
      <c r="H15" s="204"/>
      <c r="I15" s="205" t="s">
        <v>481</v>
      </c>
      <c r="J15" s="204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52" t="s">
        <v>482</v>
      </c>
      <c r="C16" s="201"/>
      <c r="D16" s="202" t="s">
        <v>483</v>
      </c>
      <c r="E16" s="201"/>
      <c r="F16" s="173"/>
      <c r="G16" s="152" t="s">
        <v>484</v>
      </c>
      <c r="H16" s="201"/>
      <c r="I16" s="202" t="s">
        <v>483</v>
      </c>
      <c r="J16" s="201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0" customHeight="1" x14ac:dyDescent="0.45">
      <c r="A17" s="82"/>
      <c r="B17" s="497" t="s">
        <v>485</v>
      </c>
      <c r="C17" s="527"/>
      <c r="D17" s="224"/>
      <c r="E17" s="225"/>
      <c r="F17" s="173"/>
      <c r="G17" s="497" t="s">
        <v>485</v>
      </c>
      <c r="H17" s="527"/>
      <c r="I17" s="224"/>
      <c r="J17" s="225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9.75" customHeight="1" x14ac:dyDescent="0.45">
      <c r="A18" s="82"/>
      <c r="B18" s="498"/>
      <c r="C18" s="274"/>
      <c r="D18" s="240"/>
      <c r="E18" s="263"/>
      <c r="F18" s="173"/>
      <c r="G18" s="498"/>
      <c r="H18" s="274"/>
      <c r="I18" s="240"/>
      <c r="J18" s="263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4" x14ac:dyDescent="0.45">
      <c r="A19" s="82"/>
      <c r="B19" s="498"/>
      <c r="C19" s="274"/>
      <c r="D19" s="240"/>
      <c r="E19" s="263"/>
      <c r="F19" s="173"/>
      <c r="G19" s="498"/>
      <c r="H19" s="274"/>
      <c r="I19" s="240"/>
      <c r="J19" s="263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3.5" customHeight="1" x14ac:dyDescent="0.45">
      <c r="A20" s="82"/>
      <c r="B20" s="499"/>
      <c r="C20" s="226"/>
      <c r="D20" s="227"/>
      <c r="E20" s="228"/>
      <c r="F20" s="173"/>
      <c r="G20" s="499"/>
      <c r="H20" s="226"/>
      <c r="I20" s="227"/>
      <c r="J20" s="228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497" t="s">
        <v>417</v>
      </c>
      <c r="C21" s="523"/>
      <c r="D21" s="524" t="s">
        <v>486</v>
      </c>
      <c r="E21" s="523"/>
      <c r="F21" s="173"/>
      <c r="G21" s="497" t="s">
        <v>417</v>
      </c>
      <c r="H21" s="523"/>
      <c r="I21" s="524" t="s">
        <v>486</v>
      </c>
      <c r="J21" s="52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" customHeight="1" x14ac:dyDescent="0.45">
      <c r="A22" s="82"/>
      <c r="B22" s="498"/>
      <c r="C22" s="498"/>
      <c r="D22" s="263"/>
      <c r="E22" s="499"/>
      <c r="F22" s="166"/>
      <c r="G22" s="498"/>
      <c r="H22" s="498"/>
      <c r="I22" s="263"/>
      <c r="J22" s="499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498"/>
      <c r="C23" s="498"/>
      <c r="D23" s="497" t="s">
        <v>206</v>
      </c>
      <c r="E23" s="523"/>
      <c r="F23" s="166"/>
      <c r="G23" s="498"/>
      <c r="H23" s="498"/>
      <c r="I23" s="497" t="s">
        <v>206</v>
      </c>
      <c r="J23" s="523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499"/>
      <c r="C24" s="499"/>
      <c r="D24" s="499"/>
      <c r="E24" s="499"/>
      <c r="F24" s="166"/>
      <c r="G24" s="499"/>
      <c r="H24" s="499"/>
      <c r="I24" s="499"/>
      <c r="J24" s="499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2"/>
      <c r="C25" s="12"/>
      <c r="D25" s="12"/>
      <c r="E25" s="12"/>
      <c r="F25" s="12"/>
      <c r="G25" s="12"/>
      <c r="H25" s="12"/>
      <c r="I25" s="12"/>
      <c r="J25" s="1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8" customHeight="1" x14ac:dyDescent="0.45">
      <c r="A26" s="82"/>
      <c r="B26" s="511"/>
      <c r="C26" s="497" t="s">
        <v>0</v>
      </c>
      <c r="D26" s="153" t="s">
        <v>1</v>
      </c>
      <c r="E26" s="153" t="s">
        <v>478</v>
      </c>
      <c r="F26" s="12"/>
      <c r="G26" s="511"/>
      <c r="H26" s="497" t="s">
        <v>0</v>
      </c>
      <c r="I26" s="153" t="s">
        <v>1</v>
      </c>
      <c r="J26" s="153" t="s">
        <v>478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8.75" customHeight="1" x14ac:dyDescent="0.45">
      <c r="A27" s="82"/>
      <c r="B27" s="274"/>
      <c r="C27" s="498"/>
      <c r="D27" s="154" t="s">
        <v>3</v>
      </c>
      <c r="E27" s="158">
        <v>1</v>
      </c>
      <c r="F27" s="12"/>
      <c r="G27" s="274"/>
      <c r="H27" s="498"/>
      <c r="I27" s="154" t="s">
        <v>3</v>
      </c>
      <c r="J27" s="158">
        <v>1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7.25" customHeight="1" x14ac:dyDescent="0.45">
      <c r="A28" s="82"/>
      <c r="B28" s="274"/>
      <c r="C28" s="497" t="s">
        <v>479</v>
      </c>
      <c r="D28" s="199" t="s">
        <v>5</v>
      </c>
      <c r="E28" s="153" t="s">
        <v>6</v>
      </c>
      <c r="F28" s="12"/>
      <c r="G28" s="274"/>
      <c r="H28" s="497" t="s">
        <v>479</v>
      </c>
      <c r="I28" s="199" t="s">
        <v>5</v>
      </c>
      <c r="J28" s="153" t="s">
        <v>6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7.25" customHeight="1" x14ac:dyDescent="0.45">
      <c r="A29" s="82"/>
      <c r="B29" s="274"/>
      <c r="C29" s="498"/>
      <c r="D29" s="512" t="s">
        <v>7</v>
      </c>
      <c r="E29" s="161" t="s">
        <v>230</v>
      </c>
      <c r="F29" s="12"/>
      <c r="G29" s="274"/>
      <c r="H29" s="498"/>
      <c r="I29" s="512" t="s">
        <v>7</v>
      </c>
      <c r="J29" s="161" t="s">
        <v>230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274"/>
      <c r="C30" s="525"/>
      <c r="D30" s="315"/>
      <c r="E30" s="163" t="s">
        <v>231</v>
      </c>
      <c r="F30" s="12"/>
      <c r="G30" s="274"/>
      <c r="H30" s="525"/>
      <c r="I30" s="315"/>
      <c r="J30" s="163" t="s">
        <v>231</v>
      </c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3.5" customHeight="1" x14ac:dyDescent="0.45">
      <c r="A31" s="82"/>
      <c r="B31" s="152" t="s">
        <v>434</v>
      </c>
      <c r="C31" s="526"/>
      <c r="D31" s="258"/>
      <c r="E31" s="259"/>
      <c r="F31" s="166"/>
      <c r="G31" s="152" t="s">
        <v>434</v>
      </c>
      <c r="H31" s="526"/>
      <c r="I31" s="258"/>
      <c r="J31" s="259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0" customHeight="1" x14ac:dyDescent="0.45">
      <c r="A32" s="82"/>
      <c r="B32" s="203" t="s">
        <v>362</v>
      </c>
      <c r="C32" s="201"/>
      <c r="D32" s="202" t="s">
        <v>480</v>
      </c>
      <c r="E32" s="201"/>
      <c r="F32" s="166"/>
      <c r="G32" s="203" t="s">
        <v>362</v>
      </c>
      <c r="H32" s="201"/>
      <c r="I32" s="202" t="s">
        <v>480</v>
      </c>
      <c r="J32" s="201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6" customHeight="1" x14ac:dyDescent="0.45">
      <c r="A33" s="82"/>
      <c r="B33" s="152" t="s">
        <v>435</v>
      </c>
      <c r="C33" s="204"/>
      <c r="D33" s="205" t="s">
        <v>481</v>
      </c>
      <c r="E33" s="204"/>
      <c r="F33" s="166"/>
      <c r="G33" s="152" t="s">
        <v>435</v>
      </c>
      <c r="H33" s="204"/>
      <c r="I33" s="205" t="s">
        <v>481</v>
      </c>
      <c r="J33" s="204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42.75" customHeight="1" x14ac:dyDescent="0.45">
      <c r="A34" s="82"/>
      <c r="B34" s="152" t="s">
        <v>484</v>
      </c>
      <c r="C34" s="201"/>
      <c r="D34" s="202" t="s">
        <v>483</v>
      </c>
      <c r="E34" s="201"/>
      <c r="F34" s="173"/>
      <c r="G34" s="152" t="s">
        <v>484</v>
      </c>
      <c r="H34" s="201"/>
      <c r="I34" s="202" t="s">
        <v>483</v>
      </c>
      <c r="J34" s="201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2" customHeight="1" x14ac:dyDescent="0.45">
      <c r="A35" s="82"/>
      <c r="B35" s="497" t="s">
        <v>485</v>
      </c>
      <c r="C35" s="527"/>
      <c r="D35" s="224"/>
      <c r="E35" s="225"/>
      <c r="F35" s="173"/>
      <c r="G35" s="497" t="s">
        <v>485</v>
      </c>
      <c r="H35" s="527"/>
      <c r="I35" s="224"/>
      <c r="J35" s="225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2" customHeight="1" x14ac:dyDescent="0.45">
      <c r="A36" s="82"/>
      <c r="B36" s="498"/>
      <c r="C36" s="274"/>
      <c r="D36" s="240"/>
      <c r="E36" s="263"/>
      <c r="F36" s="173"/>
      <c r="G36" s="498"/>
      <c r="H36" s="274"/>
      <c r="I36" s="240"/>
      <c r="J36" s="263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9" customHeight="1" x14ac:dyDescent="0.45">
      <c r="A37" s="82"/>
      <c r="B37" s="498"/>
      <c r="C37" s="274"/>
      <c r="D37" s="240"/>
      <c r="E37" s="263"/>
      <c r="F37" s="173"/>
      <c r="G37" s="498"/>
      <c r="H37" s="274"/>
      <c r="I37" s="240"/>
      <c r="J37" s="26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4" customHeight="1" x14ac:dyDescent="0.45">
      <c r="A38" s="82"/>
      <c r="B38" s="499"/>
      <c r="C38" s="226"/>
      <c r="D38" s="227"/>
      <c r="E38" s="228"/>
      <c r="F38" s="173"/>
      <c r="G38" s="499"/>
      <c r="H38" s="226"/>
      <c r="I38" s="227"/>
      <c r="J38" s="228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497" t="s">
        <v>417</v>
      </c>
      <c r="C39" s="523"/>
      <c r="D39" s="524" t="s">
        <v>486</v>
      </c>
      <c r="E39" s="523"/>
      <c r="F39" s="173"/>
      <c r="G39" s="497" t="s">
        <v>417</v>
      </c>
      <c r="H39" s="523"/>
      <c r="I39" s="524" t="s">
        <v>486</v>
      </c>
      <c r="J39" s="52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498"/>
      <c r="C40" s="498"/>
      <c r="D40" s="263"/>
      <c r="E40" s="499"/>
      <c r="F40" s="166"/>
      <c r="G40" s="498"/>
      <c r="H40" s="498"/>
      <c r="I40" s="263"/>
      <c r="J40" s="499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498"/>
      <c r="C41" s="498"/>
      <c r="D41" s="497" t="s">
        <v>206</v>
      </c>
      <c r="E41" s="523"/>
      <c r="F41" s="166"/>
      <c r="G41" s="498"/>
      <c r="H41" s="498"/>
      <c r="I41" s="497" t="s">
        <v>206</v>
      </c>
      <c r="J41" s="523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499"/>
      <c r="C42" s="499"/>
      <c r="D42" s="499"/>
      <c r="E42" s="499"/>
      <c r="F42" s="166"/>
      <c r="G42" s="499"/>
      <c r="H42" s="499"/>
      <c r="I42" s="499"/>
      <c r="J42" s="499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" customHeight="1" x14ac:dyDescent="0.45">
      <c r="A44" s="82"/>
      <c r="B44" s="511"/>
      <c r="C44" s="497" t="s">
        <v>0</v>
      </c>
      <c r="D44" s="153" t="s">
        <v>1</v>
      </c>
      <c r="E44" s="153" t="s">
        <v>478</v>
      </c>
      <c r="F44" s="12"/>
      <c r="G44" s="511"/>
      <c r="H44" s="497" t="s">
        <v>0</v>
      </c>
      <c r="I44" s="153" t="s">
        <v>1</v>
      </c>
      <c r="J44" s="153" t="s">
        <v>478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274"/>
      <c r="C45" s="498"/>
      <c r="D45" s="154" t="s">
        <v>3</v>
      </c>
      <c r="E45" s="158">
        <v>1</v>
      </c>
      <c r="F45" s="12"/>
      <c r="G45" s="274"/>
      <c r="H45" s="498"/>
      <c r="I45" s="154" t="s">
        <v>3</v>
      </c>
      <c r="J45" s="158">
        <v>1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274"/>
      <c r="C46" s="497" t="s">
        <v>479</v>
      </c>
      <c r="D46" s="199" t="s">
        <v>5</v>
      </c>
      <c r="E46" s="153" t="s">
        <v>6</v>
      </c>
      <c r="F46" s="12"/>
      <c r="G46" s="274"/>
      <c r="H46" s="497" t="s">
        <v>479</v>
      </c>
      <c r="I46" s="199" t="s">
        <v>5</v>
      </c>
      <c r="J46" s="153" t="s">
        <v>6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21" customHeight="1" x14ac:dyDescent="0.45">
      <c r="A47" s="82"/>
      <c r="B47" s="274"/>
      <c r="C47" s="498"/>
      <c r="D47" s="512" t="s">
        <v>7</v>
      </c>
      <c r="E47" s="161" t="s">
        <v>230</v>
      </c>
      <c r="F47" s="12"/>
      <c r="G47" s="274"/>
      <c r="H47" s="498"/>
      <c r="I47" s="512" t="s">
        <v>7</v>
      </c>
      <c r="J47" s="161" t="s">
        <v>230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8.75" customHeight="1" x14ac:dyDescent="0.45">
      <c r="A48" s="82"/>
      <c r="B48" s="274"/>
      <c r="C48" s="525"/>
      <c r="D48" s="315"/>
      <c r="E48" s="163" t="s">
        <v>231</v>
      </c>
      <c r="F48" s="12"/>
      <c r="G48" s="274"/>
      <c r="H48" s="525"/>
      <c r="I48" s="315"/>
      <c r="J48" s="163" t="s">
        <v>231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46.5" customHeight="1" x14ac:dyDescent="0.45">
      <c r="A49" s="82"/>
      <c r="B49" s="152" t="s">
        <v>434</v>
      </c>
      <c r="C49" s="526"/>
      <c r="D49" s="258"/>
      <c r="E49" s="259"/>
      <c r="F49" s="166"/>
      <c r="G49" s="152" t="s">
        <v>434</v>
      </c>
      <c r="H49" s="526"/>
      <c r="I49" s="258"/>
      <c r="J49" s="259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29.25" customHeight="1" x14ac:dyDescent="0.45">
      <c r="A50" s="82"/>
      <c r="B50" s="203" t="s">
        <v>362</v>
      </c>
      <c r="C50" s="201"/>
      <c r="D50" s="202" t="s">
        <v>480</v>
      </c>
      <c r="E50" s="201"/>
      <c r="F50" s="166"/>
      <c r="G50" s="203" t="s">
        <v>362</v>
      </c>
      <c r="H50" s="201"/>
      <c r="I50" s="202" t="s">
        <v>480</v>
      </c>
      <c r="J50" s="201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34.5" customHeight="1" x14ac:dyDescent="0.45">
      <c r="A51" s="82"/>
      <c r="B51" s="152" t="s">
        <v>435</v>
      </c>
      <c r="C51" s="204"/>
      <c r="D51" s="205" t="s">
        <v>481</v>
      </c>
      <c r="E51" s="204"/>
      <c r="F51" s="166"/>
      <c r="G51" s="152" t="s">
        <v>435</v>
      </c>
      <c r="H51" s="204"/>
      <c r="I51" s="205" t="s">
        <v>481</v>
      </c>
      <c r="J51" s="204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8.25" customHeight="1" x14ac:dyDescent="0.45">
      <c r="A52" s="82"/>
      <c r="B52" s="152" t="s">
        <v>484</v>
      </c>
      <c r="C52" s="201"/>
      <c r="D52" s="202" t="s">
        <v>483</v>
      </c>
      <c r="E52" s="201"/>
      <c r="F52" s="173"/>
      <c r="G52" s="152" t="s">
        <v>484</v>
      </c>
      <c r="H52" s="201"/>
      <c r="I52" s="202" t="s">
        <v>483</v>
      </c>
      <c r="J52" s="201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8.75" customHeight="1" x14ac:dyDescent="0.45">
      <c r="A53" s="82"/>
      <c r="B53" s="497" t="s">
        <v>485</v>
      </c>
      <c r="C53" s="527"/>
      <c r="D53" s="224"/>
      <c r="E53" s="225"/>
      <c r="F53" s="173"/>
      <c r="G53" s="497" t="s">
        <v>485</v>
      </c>
      <c r="H53" s="527"/>
      <c r="I53" s="224"/>
      <c r="J53" s="225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6.5" customHeight="1" x14ac:dyDescent="0.45">
      <c r="A54" s="82"/>
      <c r="B54" s="498"/>
      <c r="C54" s="274"/>
      <c r="D54" s="240"/>
      <c r="E54" s="263"/>
      <c r="F54" s="173"/>
      <c r="G54" s="498"/>
      <c r="H54" s="274"/>
      <c r="I54" s="240"/>
      <c r="J54" s="263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9.75" customHeight="1" x14ac:dyDescent="0.45">
      <c r="A55" s="82"/>
      <c r="B55" s="498"/>
      <c r="C55" s="274"/>
      <c r="D55" s="240"/>
      <c r="E55" s="263"/>
      <c r="F55" s="173"/>
      <c r="G55" s="498"/>
      <c r="H55" s="274"/>
      <c r="I55" s="240"/>
      <c r="J55" s="26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3.5" customHeight="1" x14ac:dyDescent="0.45">
      <c r="A56" s="82"/>
      <c r="B56" s="499"/>
      <c r="C56" s="226"/>
      <c r="D56" s="227"/>
      <c r="E56" s="228"/>
      <c r="F56" s="173"/>
      <c r="G56" s="499"/>
      <c r="H56" s="226"/>
      <c r="I56" s="227"/>
      <c r="J56" s="228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497" t="s">
        <v>417</v>
      </c>
      <c r="C57" s="523"/>
      <c r="D57" s="524" t="s">
        <v>486</v>
      </c>
      <c r="E57" s="523"/>
      <c r="F57" s="173"/>
      <c r="G57" s="497" t="s">
        <v>417</v>
      </c>
      <c r="H57" s="523"/>
      <c r="I57" s="524" t="s">
        <v>486</v>
      </c>
      <c r="J57" s="523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498"/>
      <c r="C58" s="498"/>
      <c r="D58" s="263"/>
      <c r="E58" s="499"/>
      <c r="F58" s="166"/>
      <c r="G58" s="498"/>
      <c r="H58" s="498"/>
      <c r="I58" s="263"/>
      <c r="J58" s="499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498"/>
      <c r="C59" s="498"/>
      <c r="D59" s="497" t="s">
        <v>206</v>
      </c>
      <c r="E59" s="523"/>
      <c r="F59" s="166"/>
      <c r="G59" s="498"/>
      <c r="H59" s="498"/>
      <c r="I59" s="497" t="s">
        <v>206</v>
      </c>
      <c r="J59" s="523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499"/>
      <c r="C60" s="499"/>
      <c r="D60" s="499"/>
      <c r="E60" s="499"/>
      <c r="F60" s="166"/>
      <c r="G60" s="499"/>
      <c r="H60" s="499"/>
      <c r="I60" s="499"/>
      <c r="J60" s="499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21" customHeight="1" x14ac:dyDescent="0.45">
      <c r="A62" s="82"/>
      <c r="B62" s="511"/>
      <c r="C62" s="497" t="s">
        <v>0</v>
      </c>
      <c r="D62" s="153" t="s">
        <v>1</v>
      </c>
      <c r="E62" s="153" t="s">
        <v>478</v>
      </c>
      <c r="F62" s="12"/>
      <c r="G62" s="511"/>
      <c r="H62" s="497" t="s">
        <v>0</v>
      </c>
      <c r="I62" s="153" t="s">
        <v>1</v>
      </c>
      <c r="J62" s="153" t="s">
        <v>478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21" customHeight="1" x14ac:dyDescent="0.45">
      <c r="A63" s="82"/>
      <c r="B63" s="274"/>
      <c r="C63" s="498"/>
      <c r="D63" s="154" t="s">
        <v>3</v>
      </c>
      <c r="E63" s="158">
        <v>1</v>
      </c>
      <c r="F63" s="12"/>
      <c r="G63" s="274"/>
      <c r="H63" s="498"/>
      <c r="I63" s="154" t="s">
        <v>3</v>
      </c>
      <c r="J63" s="158">
        <v>1</v>
      </c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21" customHeight="1" x14ac:dyDescent="0.45">
      <c r="A64" s="82"/>
      <c r="B64" s="274"/>
      <c r="C64" s="497" t="s">
        <v>479</v>
      </c>
      <c r="D64" s="199" t="s">
        <v>5</v>
      </c>
      <c r="E64" s="153" t="s">
        <v>6</v>
      </c>
      <c r="F64" s="12"/>
      <c r="G64" s="274"/>
      <c r="H64" s="497" t="s">
        <v>479</v>
      </c>
      <c r="I64" s="199" t="s">
        <v>5</v>
      </c>
      <c r="J64" s="153" t="s">
        <v>6</v>
      </c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22.5" customHeight="1" x14ac:dyDescent="0.45">
      <c r="A65" s="82"/>
      <c r="B65" s="274"/>
      <c r="C65" s="498"/>
      <c r="D65" s="512" t="s">
        <v>7</v>
      </c>
      <c r="E65" s="161" t="s">
        <v>230</v>
      </c>
      <c r="F65" s="12"/>
      <c r="G65" s="274"/>
      <c r="H65" s="498"/>
      <c r="I65" s="512" t="s">
        <v>7</v>
      </c>
      <c r="J65" s="161" t="s">
        <v>230</v>
      </c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8.75" customHeight="1" x14ac:dyDescent="0.45">
      <c r="A66" s="82"/>
      <c r="B66" s="274"/>
      <c r="C66" s="525"/>
      <c r="D66" s="315"/>
      <c r="E66" s="163" t="s">
        <v>231</v>
      </c>
      <c r="F66" s="12"/>
      <c r="G66" s="274"/>
      <c r="H66" s="525"/>
      <c r="I66" s="315"/>
      <c r="J66" s="163" t="s">
        <v>231</v>
      </c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45" customHeight="1" x14ac:dyDescent="0.45">
      <c r="A67" s="82"/>
      <c r="B67" s="152" t="s">
        <v>434</v>
      </c>
      <c r="C67" s="526"/>
      <c r="D67" s="258"/>
      <c r="E67" s="259"/>
      <c r="F67" s="166"/>
      <c r="G67" s="152" t="s">
        <v>434</v>
      </c>
      <c r="H67" s="526"/>
      <c r="I67" s="258"/>
      <c r="J67" s="259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30" customHeight="1" x14ac:dyDescent="0.45">
      <c r="A68" s="82"/>
      <c r="B68" s="203" t="s">
        <v>362</v>
      </c>
      <c r="C68" s="201"/>
      <c r="D68" s="202" t="s">
        <v>480</v>
      </c>
      <c r="E68" s="201"/>
      <c r="F68" s="166"/>
      <c r="G68" s="203" t="s">
        <v>362</v>
      </c>
      <c r="H68" s="201"/>
      <c r="I68" s="202" t="s">
        <v>480</v>
      </c>
      <c r="J68" s="201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45" customHeight="1" x14ac:dyDescent="0.45">
      <c r="A69" s="82"/>
      <c r="B69" s="152" t="s">
        <v>435</v>
      </c>
      <c r="C69" s="204"/>
      <c r="D69" s="205" t="s">
        <v>481</v>
      </c>
      <c r="E69" s="204"/>
      <c r="F69" s="166"/>
      <c r="G69" s="152" t="s">
        <v>435</v>
      </c>
      <c r="H69" s="204"/>
      <c r="I69" s="205" t="s">
        <v>481</v>
      </c>
      <c r="J69" s="204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36" customHeight="1" x14ac:dyDescent="0.45">
      <c r="A70" s="82"/>
      <c r="B70" s="152" t="s">
        <v>484</v>
      </c>
      <c r="C70" s="201"/>
      <c r="D70" s="202" t="s">
        <v>483</v>
      </c>
      <c r="E70" s="201"/>
      <c r="F70" s="173"/>
      <c r="G70" s="152" t="s">
        <v>484</v>
      </c>
      <c r="H70" s="201"/>
      <c r="I70" s="202" t="s">
        <v>483</v>
      </c>
      <c r="J70" s="201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2" customHeight="1" x14ac:dyDescent="0.45">
      <c r="A71" s="82"/>
      <c r="B71" s="497" t="s">
        <v>485</v>
      </c>
      <c r="C71" s="527"/>
      <c r="D71" s="224"/>
      <c r="E71" s="225"/>
      <c r="F71" s="173"/>
      <c r="G71" s="497" t="s">
        <v>485</v>
      </c>
      <c r="H71" s="527"/>
      <c r="I71" s="224"/>
      <c r="J71" s="225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3" customHeight="1" x14ac:dyDescent="0.45">
      <c r="A72" s="82"/>
      <c r="B72" s="498"/>
      <c r="C72" s="274"/>
      <c r="D72" s="240"/>
      <c r="E72" s="263"/>
      <c r="F72" s="173"/>
      <c r="G72" s="498"/>
      <c r="H72" s="274"/>
      <c r="I72" s="240"/>
      <c r="J72" s="26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6.5" customHeight="1" x14ac:dyDescent="0.45">
      <c r="A73" s="82"/>
      <c r="B73" s="498"/>
      <c r="C73" s="274"/>
      <c r="D73" s="240"/>
      <c r="E73" s="263"/>
      <c r="F73" s="173"/>
      <c r="G73" s="498"/>
      <c r="H73" s="274"/>
      <c r="I73" s="240"/>
      <c r="J73" s="26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25.5" customHeight="1" x14ac:dyDescent="0.45">
      <c r="A74" s="82"/>
      <c r="B74" s="499"/>
      <c r="C74" s="226"/>
      <c r="D74" s="227"/>
      <c r="E74" s="228"/>
      <c r="F74" s="173"/>
      <c r="G74" s="499"/>
      <c r="H74" s="226"/>
      <c r="I74" s="227"/>
      <c r="J74" s="228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497" t="s">
        <v>417</v>
      </c>
      <c r="C75" s="523"/>
      <c r="D75" s="524" t="s">
        <v>486</v>
      </c>
      <c r="E75" s="523"/>
      <c r="F75" s="173"/>
      <c r="G75" s="497" t="s">
        <v>417</v>
      </c>
      <c r="H75" s="523"/>
      <c r="I75" s="524" t="s">
        <v>486</v>
      </c>
      <c r="J75" s="52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498"/>
      <c r="C76" s="498"/>
      <c r="D76" s="263"/>
      <c r="E76" s="499"/>
      <c r="F76" s="166"/>
      <c r="G76" s="498"/>
      <c r="H76" s="498"/>
      <c r="I76" s="263"/>
      <c r="J76" s="499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498"/>
      <c r="C77" s="498"/>
      <c r="D77" s="497" t="s">
        <v>206</v>
      </c>
      <c r="E77" s="523"/>
      <c r="F77" s="166"/>
      <c r="G77" s="498"/>
      <c r="H77" s="498"/>
      <c r="I77" s="497" t="s">
        <v>206</v>
      </c>
      <c r="J77" s="52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499"/>
      <c r="C78" s="499"/>
      <c r="D78" s="499"/>
      <c r="E78" s="499"/>
      <c r="F78" s="166"/>
      <c r="G78" s="499"/>
      <c r="H78" s="499"/>
      <c r="I78" s="499"/>
      <c r="J78" s="499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2"/>
      <c r="C240" s="12"/>
      <c r="D240" s="12"/>
      <c r="E240" s="12"/>
      <c r="F240" s="12"/>
      <c r="G240" s="12"/>
      <c r="H240" s="12"/>
      <c r="I240" s="12"/>
      <c r="J240" s="1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2"/>
      <c r="C241" s="12"/>
      <c r="D241" s="12"/>
      <c r="E241" s="12"/>
      <c r="F241" s="12"/>
      <c r="G241" s="12"/>
      <c r="H241" s="12"/>
      <c r="I241" s="12"/>
      <c r="J241" s="1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2"/>
      <c r="C242" s="12"/>
      <c r="D242" s="12"/>
      <c r="E242" s="12"/>
      <c r="F242" s="12"/>
      <c r="G242" s="12"/>
      <c r="H242" s="12"/>
      <c r="I242" s="12"/>
      <c r="J242" s="1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2"/>
      <c r="C243" s="12"/>
      <c r="D243" s="12"/>
      <c r="E243" s="12"/>
      <c r="F243" s="12"/>
      <c r="G243" s="12"/>
      <c r="H243" s="12"/>
      <c r="I243" s="12"/>
      <c r="J243" s="1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2"/>
      <c r="C244" s="12"/>
      <c r="D244" s="12"/>
      <c r="E244" s="12"/>
      <c r="F244" s="12"/>
      <c r="G244" s="12"/>
      <c r="H244" s="12"/>
      <c r="I244" s="12"/>
      <c r="J244" s="1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2"/>
      <c r="C245" s="12"/>
      <c r="D245" s="12"/>
      <c r="E245" s="12"/>
      <c r="F245" s="12"/>
      <c r="G245" s="12"/>
      <c r="H245" s="12"/>
      <c r="I245" s="12"/>
      <c r="J245" s="1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2"/>
      <c r="C246" s="12"/>
      <c r="D246" s="12"/>
      <c r="E246" s="12"/>
      <c r="F246" s="12"/>
      <c r="G246" s="12"/>
      <c r="H246" s="12"/>
      <c r="I246" s="12"/>
      <c r="J246" s="1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2"/>
      <c r="C247" s="12"/>
      <c r="D247" s="12"/>
      <c r="E247" s="12"/>
      <c r="F247" s="12"/>
      <c r="G247" s="12"/>
      <c r="H247" s="12"/>
      <c r="I247" s="12"/>
      <c r="J247" s="1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"/>
      <c r="C248" s="12"/>
      <c r="D248" s="12"/>
      <c r="E248" s="12"/>
      <c r="F248" s="12"/>
      <c r="G248" s="12"/>
      <c r="H248" s="12"/>
      <c r="I248" s="12"/>
      <c r="J248" s="1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"/>
      <c r="C249" s="12"/>
      <c r="D249" s="12"/>
      <c r="E249" s="12"/>
      <c r="F249" s="12"/>
      <c r="G249" s="12"/>
      <c r="H249" s="12"/>
      <c r="I249" s="12"/>
      <c r="J249" s="1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"/>
      <c r="C250" s="12"/>
      <c r="D250" s="12"/>
      <c r="E250" s="12"/>
      <c r="F250" s="12"/>
      <c r="G250" s="12"/>
      <c r="H250" s="12"/>
      <c r="I250" s="12"/>
      <c r="J250" s="1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2"/>
      <c r="C251" s="12"/>
      <c r="D251" s="12"/>
      <c r="E251" s="12"/>
      <c r="F251" s="12"/>
      <c r="G251" s="12"/>
      <c r="H251" s="12"/>
      <c r="I251" s="12"/>
      <c r="J251" s="1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2"/>
      <c r="C252" s="12"/>
      <c r="D252" s="12"/>
      <c r="E252" s="12"/>
      <c r="F252" s="12"/>
      <c r="G252" s="12"/>
      <c r="H252" s="12"/>
      <c r="I252" s="12"/>
      <c r="J252" s="1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2"/>
      <c r="C253" s="12"/>
      <c r="D253" s="12"/>
      <c r="E253" s="12"/>
      <c r="F253" s="12"/>
      <c r="G253" s="12"/>
      <c r="H253" s="12"/>
      <c r="I253" s="12"/>
      <c r="J253" s="1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2"/>
      <c r="C254" s="12"/>
      <c r="D254" s="12"/>
      <c r="E254" s="12"/>
      <c r="F254" s="12"/>
      <c r="G254" s="12"/>
      <c r="H254" s="12"/>
      <c r="I254" s="12"/>
      <c r="J254" s="1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2"/>
      <c r="C255" s="12"/>
      <c r="D255" s="12"/>
      <c r="E255" s="12"/>
      <c r="F255" s="12"/>
      <c r="G255" s="12"/>
      <c r="H255" s="12"/>
      <c r="I255" s="12"/>
      <c r="J255" s="1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2"/>
      <c r="C256" s="12"/>
      <c r="D256" s="12"/>
      <c r="E256" s="12"/>
      <c r="F256" s="12"/>
      <c r="G256" s="12"/>
      <c r="H256" s="12"/>
      <c r="I256" s="12"/>
      <c r="J256" s="1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2"/>
      <c r="C257" s="12"/>
      <c r="D257" s="12"/>
      <c r="E257" s="12"/>
      <c r="F257" s="12"/>
      <c r="G257" s="12"/>
      <c r="H257" s="12"/>
      <c r="I257" s="12"/>
      <c r="J257" s="1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2"/>
      <c r="C258" s="12"/>
      <c r="D258" s="12"/>
      <c r="E258" s="12"/>
      <c r="F258" s="12"/>
      <c r="G258" s="12"/>
      <c r="H258" s="12"/>
      <c r="I258" s="12"/>
      <c r="J258" s="1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2"/>
      <c r="C259" s="12"/>
      <c r="D259" s="12"/>
      <c r="E259" s="12"/>
      <c r="F259" s="12"/>
      <c r="G259" s="12"/>
      <c r="H259" s="12"/>
      <c r="I259" s="12"/>
      <c r="J259" s="1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2"/>
      <c r="C260" s="12"/>
      <c r="D260" s="12"/>
      <c r="E260" s="12"/>
      <c r="F260" s="12"/>
      <c r="G260" s="12"/>
      <c r="H260" s="12"/>
      <c r="I260" s="12"/>
      <c r="J260" s="1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2"/>
      <c r="C261" s="12"/>
      <c r="D261" s="12"/>
      <c r="E261" s="12"/>
      <c r="F261" s="12"/>
      <c r="G261" s="12"/>
      <c r="H261" s="12"/>
      <c r="I261" s="12"/>
      <c r="J261" s="1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2"/>
      <c r="C262" s="12"/>
      <c r="D262" s="12"/>
      <c r="E262" s="12"/>
      <c r="F262" s="12"/>
      <c r="G262" s="12"/>
      <c r="H262" s="12"/>
      <c r="I262" s="12"/>
      <c r="J262" s="1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2"/>
      <c r="C263" s="12"/>
      <c r="D263" s="12"/>
      <c r="E263" s="12"/>
      <c r="F263" s="12"/>
      <c r="G263" s="12"/>
      <c r="H263" s="12"/>
      <c r="I263" s="12"/>
      <c r="J263" s="1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2"/>
      <c r="C264" s="12"/>
      <c r="D264" s="12"/>
      <c r="E264" s="12"/>
      <c r="F264" s="12"/>
      <c r="G264" s="12"/>
      <c r="H264" s="12"/>
      <c r="I264" s="12"/>
      <c r="J264" s="1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2"/>
      <c r="C265" s="12"/>
      <c r="D265" s="12"/>
      <c r="E265" s="12"/>
      <c r="F265" s="12"/>
      <c r="G265" s="12"/>
      <c r="H265" s="12"/>
      <c r="I265" s="12"/>
      <c r="J265" s="1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2"/>
      <c r="C266" s="12"/>
      <c r="D266" s="12"/>
      <c r="E266" s="12"/>
      <c r="F266" s="12"/>
      <c r="G266" s="12"/>
      <c r="H266" s="12"/>
      <c r="I266" s="12"/>
      <c r="J266" s="1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2"/>
      <c r="C267" s="12"/>
      <c r="D267" s="12"/>
      <c r="E267" s="12"/>
      <c r="F267" s="12"/>
      <c r="G267" s="12"/>
      <c r="H267" s="12"/>
      <c r="I267" s="12"/>
      <c r="J267" s="1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2"/>
      <c r="C268" s="12"/>
      <c r="D268" s="12"/>
      <c r="E268" s="12"/>
      <c r="F268" s="12"/>
      <c r="G268" s="12"/>
      <c r="H268" s="12"/>
      <c r="I268" s="12"/>
      <c r="J268" s="1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2"/>
      <c r="C269" s="12"/>
      <c r="D269" s="12"/>
      <c r="E269" s="12"/>
      <c r="F269" s="12"/>
      <c r="G269" s="12"/>
      <c r="H269" s="12"/>
      <c r="I269" s="12"/>
      <c r="J269" s="1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2"/>
      <c r="C270" s="12"/>
      <c r="D270" s="12"/>
      <c r="E270" s="12"/>
      <c r="F270" s="12"/>
      <c r="G270" s="12"/>
      <c r="H270" s="12"/>
      <c r="I270" s="12"/>
      <c r="J270" s="1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12"/>
      <c r="C271" s="12"/>
      <c r="D271" s="12"/>
      <c r="E271" s="12"/>
      <c r="F271" s="12"/>
      <c r="G271" s="12"/>
      <c r="H271" s="12"/>
      <c r="I271" s="12"/>
      <c r="J271" s="1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12"/>
      <c r="C272" s="12"/>
      <c r="D272" s="12"/>
      <c r="E272" s="12"/>
      <c r="F272" s="12"/>
      <c r="G272" s="12"/>
      <c r="H272" s="12"/>
      <c r="I272" s="12"/>
      <c r="J272" s="1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12"/>
      <c r="C273" s="12"/>
      <c r="D273" s="12"/>
      <c r="E273" s="12"/>
      <c r="F273" s="12"/>
      <c r="G273" s="12"/>
      <c r="H273" s="12"/>
      <c r="I273" s="12"/>
      <c r="J273" s="1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12"/>
      <c r="C274" s="12"/>
      <c r="D274" s="12"/>
      <c r="E274" s="12"/>
      <c r="F274" s="12"/>
      <c r="G274" s="12"/>
      <c r="H274" s="12"/>
      <c r="I274" s="12"/>
      <c r="J274" s="1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12"/>
      <c r="C275" s="12"/>
      <c r="D275" s="12"/>
      <c r="E275" s="12"/>
      <c r="F275" s="12"/>
      <c r="G275" s="12"/>
      <c r="H275" s="12"/>
      <c r="I275" s="12"/>
      <c r="J275" s="1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12"/>
      <c r="C276" s="12"/>
      <c r="D276" s="12"/>
      <c r="E276" s="12"/>
      <c r="F276" s="12"/>
      <c r="G276" s="12"/>
      <c r="H276" s="12"/>
      <c r="I276" s="12"/>
      <c r="J276" s="1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2"/>
      <c r="C277" s="12"/>
      <c r="D277" s="12"/>
      <c r="E277" s="12"/>
      <c r="F277" s="12"/>
      <c r="G277" s="12"/>
      <c r="H277" s="12"/>
      <c r="I277" s="12"/>
      <c r="J277" s="1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08"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91"/>
      <c r="B1" s="528"/>
      <c r="C1" s="529" t="s">
        <v>0</v>
      </c>
      <c r="D1" s="224"/>
      <c r="E1" s="224"/>
      <c r="F1" s="224"/>
      <c r="G1" s="224"/>
      <c r="H1" s="225"/>
      <c r="I1" s="192" t="s">
        <v>1</v>
      </c>
      <c r="J1" s="193" t="s">
        <v>487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91"/>
      <c r="B2" s="240"/>
      <c r="C2" s="274"/>
      <c r="D2" s="240"/>
      <c r="E2" s="240"/>
      <c r="F2" s="240"/>
      <c r="G2" s="240"/>
      <c r="H2" s="263"/>
      <c r="I2" s="104" t="s">
        <v>3</v>
      </c>
      <c r="J2" s="194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91"/>
      <c r="B3" s="240"/>
      <c r="C3" s="311"/>
      <c r="D3" s="235"/>
      <c r="E3" s="235"/>
      <c r="F3" s="235"/>
      <c r="G3" s="235"/>
      <c r="H3" s="315"/>
      <c r="I3" s="195" t="s">
        <v>5</v>
      </c>
      <c r="J3" s="195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96"/>
      <c r="B4" s="240"/>
      <c r="C4" s="529" t="s">
        <v>488</v>
      </c>
      <c r="D4" s="224"/>
      <c r="E4" s="224"/>
      <c r="F4" s="224"/>
      <c r="G4" s="224"/>
      <c r="H4" s="225"/>
      <c r="I4" s="530" t="s">
        <v>7</v>
      </c>
      <c r="J4" s="197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96"/>
      <c r="B5" s="227"/>
      <c r="C5" s="226"/>
      <c r="D5" s="227"/>
      <c r="E5" s="227"/>
      <c r="F5" s="227"/>
      <c r="G5" s="227"/>
      <c r="H5" s="228"/>
      <c r="I5" s="499"/>
      <c r="J5" s="198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6"/>
      <c r="C6" s="96"/>
      <c r="D6" s="96"/>
      <c r="E6" s="96"/>
      <c r="F6" s="96"/>
      <c r="G6" s="96"/>
      <c r="H6" s="96"/>
      <c r="I6" s="96"/>
      <c r="J6" s="12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2"/>
      <c r="C7" s="12"/>
      <c r="D7" s="12"/>
      <c r="E7" s="12"/>
      <c r="F7" s="12"/>
      <c r="G7" s="12"/>
      <c r="H7" s="12"/>
      <c r="I7" s="12"/>
      <c r="J7" s="1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11"/>
      <c r="C8" s="497" t="s">
        <v>0</v>
      </c>
      <c r="D8" s="153" t="s">
        <v>1</v>
      </c>
      <c r="E8" s="153" t="s">
        <v>487</v>
      </c>
      <c r="F8" s="12"/>
      <c r="G8" s="511"/>
      <c r="H8" s="497" t="s">
        <v>0</v>
      </c>
      <c r="I8" s="153" t="s">
        <v>1</v>
      </c>
      <c r="J8" s="153" t="s">
        <v>487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74"/>
      <c r="C9" s="498"/>
      <c r="D9" s="154" t="s">
        <v>3</v>
      </c>
      <c r="E9" s="158">
        <v>1</v>
      </c>
      <c r="F9" s="12"/>
      <c r="G9" s="274"/>
      <c r="H9" s="498"/>
      <c r="I9" s="154" t="s">
        <v>3</v>
      </c>
      <c r="J9" s="158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74"/>
      <c r="C10" s="499"/>
      <c r="D10" s="153" t="s">
        <v>5</v>
      </c>
      <c r="E10" s="153" t="s">
        <v>6</v>
      </c>
      <c r="F10" s="12"/>
      <c r="G10" s="274"/>
      <c r="H10" s="499"/>
      <c r="I10" s="153" t="s">
        <v>5</v>
      </c>
      <c r="J10" s="153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74"/>
      <c r="C11" s="497" t="s">
        <v>488</v>
      </c>
      <c r="D11" s="512" t="s">
        <v>7</v>
      </c>
      <c r="E11" s="161" t="s">
        <v>8</v>
      </c>
      <c r="F11" s="12"/>
      <c r="G11" s="274"/>
      <c r="H11" s="497" t="s">
        <v>488</v>
      </c>
      <c r="I11" s="512" t="s">
        <v>7</v>
      </c>
      <c r="J11" s="161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96"/>
      <c r="B12" s="274"/>
      <c r="C12" s="499"/>
      <c r="D12" s="315"/>
      <c r="E12" s="163" t="s">
        <v>9</v>
      </c>
      <c r="F12" s="12"/>
      <c r="G12" s="274"/>
      <c r="H12" s="499"/>
      <c r="I12" s="315"/>
      <c r="J12" s="163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6" customHeight="1" x14ac:dyDescent="0.45">
      <c r="A13" s="82"/>
      <c r="B13" s="167" t="s">
        <v>434</v>
      </c>
      <c r="C13" s="503"/>
      <c r="D13" s="224"/>
      <c r="E13" s="225"/>
      <c r="F13" s="166"/>
      <c r="G13" s="167" t="s">
        <v>434</v>
      </c>
      <c r="H13" s="503"/>
      <c r="I13" s="224"/>
      <c r="J13" s="225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1" customHeight="1" x14ac:dyDescent="0.45">
      <c r="A14" s="82"/>
      <c r="B14" s="170" t="s">
        <v>362</v>
      </c>
      <c r="C14" s="376"/>
      <c r="D14" s="258"/>
      <c r="E14" s="259"/>
      <c r="F14" s="166"/>
      <c r="G14" s="170" t="s">
        <v>362</v>
      </c>
      <c r="H14" s="376"/>
      <c r="I14" s="258"/>
      <c r="J14" s="259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67" t="s">
        <v>489</v>
      </c>
      <c r="C15" s="376"/>
      <c r="D15" s="258"/>
      <c r="E15" s="259"/>
      <c r="F15" s="166"/>
      <c r="G15" s="167" t="s">
        <v>489</v>
      </c>
      <c r="H15" s="376"/>
      <c r="I15" s="258"/>
      <c r="J15" s="259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70" t="s">
        <v>490</v>
      </c>
      <c r="C16" s="206"/>
      <c r="D16" s="206" t="s">
        <v>491</v>
      </c>
      <c r="E16" s="207"/>
      <c r="F16" s="173"/>
      <c r="G16" s="170" t="s">
        <v>490</v>
      </c>
      <c r="H16" s="206"/>
      <c r="I16" s="206" t="s">
        <v>491</v>
      </c>
      <c r="J16" s="207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508" t="s">
        <v>31</v>
      </c>
      <c r="C17" s="507"/>
      <c r="D17" s="224"/>
      <c r="E17" s="225"/>
      <c r="F17" s="173"/>
      <c r="G17" s="508" t="s">
        <v>31</v>
      </c>
      <c r="H17" s="507"/>
      <c r="I17" s="224"/>
      <c r="J17" s="225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498"/>
      <c r="C18" s="274"/>
      <c r="D18" s="240"/>
      <c r="E18" s="263"/>
      <c r="F18" s="166"/>
      <c r="G18" s="498"/>
      <c r="H18" s="274"/>
      <c r="I18" s="240"/>
      <c r="J18" s="263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498"/>
      <c r="C19" s="274"/>
      <c r="D19" s="240"/>
      <c r="E19" s="263"/>
      <c r="F19" s="166"/>
      <c r="G19" s="498"/>
      <c r="H19" s="274"/>
      <c r="I19" s="240"/>
      <c r="J19" s="263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498"/>
      <c r="C20" s="274"/>
      <c r="D20" s="240"/>
      <c r="E20" s="263"/>
      <c r="F20" s="166"/>
      <c r="G20" s="499"/>
      <c r="H20" s="226"/>
      <c r="I20" s="227"/>
      <c r="J20" s="228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1" customHeight="1" x14ac:dyDescent="0.45">
      <c r="A21" s="82"/>
      <c r="B21" s="35" t="s">
        <v>86</v>
      </c>
      <c r="C21" s="510"/>
      <c r="D21" s="258"/>
      <c r="E21" s="259"/>
      <c r="F21" s="12"/>
      <c r="G21" s="35" t="s">
        <v>86</v>
      </c>
      <c r="H21" s="510"/>
      <c r="I21" s="258"/>
      <c r="J21" s="259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1.75" customHeight="1" x14ac:dyDescent="0.45">
      <c r="A22" s="82"/>
      <c r="B22" s="175" t="s">
        <v>87</v>
      </c>
      <c r="C22" s="146"/>
      <c r="D22" s="208" t="s">
        <v>67</v>
      </c>
      <c r="E22" s="209"/>
      <c r="F22" s="12"/>
      <c r="G22" s="175" t="s">
        <v>87</v>
      </c>
      <c r="H22" s="146"/>
      <c r="I22" s="208" t="s">
        <v>67</v>
      </c>
      <c r="J22" s="209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2"/>
      <c r="C23" s="12"/>
      <c r="D23" s="12"/>
      <c r="E23" s="12"/>
      <c r="F23" s="12"/>
      <c r="G23" s="12"/>
      <c r="H23" s="12"/>
      <c r="I23" s="12"/>
      <c r="J23" s="1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511"/>
      <c r="C24" s="497" t="s">
        <v>0</v>
      </c>
      <c r="D24" s="153" t="s">
        <v>1</v>
      </c>
      <c r="E24" s="153" t="s">
        <v>487</v>
      </c>
      <c r="F24" s="12"/>
      <c r="G24" s="511"/>
      <c r="H24" s="497" t="s">
        <v>0</v>
      </c>
      <c r="I24" s="153" t="s">
        <v>1</v>
      </c>
      <c r="J24" s="153" t="s">
        <v>487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74"/>
      <c r="C25" s="498"/>
      <c r="D25" s="154" t="s">
        <v>3</v>
      </c>
      <c r="E25" s="158">
        <v>1</v>
      </c>
      <c r="F25" s="12"/>
      <c r="G25" s="274"/>
      <c r="H25" s="498"/>
      <c r="I25" s="154" t="s">
        <v>3</v>
      </c>
      <c r="J25" s="158">
        <v>1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74"/>
      <c r="C26" s="499"/>
      <c r="D26" s="153" t="s">
        <v>5</v>
      </c>
      <c r="E26" s="153" t="s">
        <v>6</v>
      </c>
      <c r="F26" s="12"/>
      <c r="G26" s="274"/>
      <c r="H26" s="499"/>
      <c r="I26" s="153" t="s">
        <v>5</v>
      </c>
      <c r="J26" s="153" t="s">
        <v>6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74"/>
      <c r="C27" s="497" t="s">
        <v>488</v>
      </c>
      <c r="D27" s="512" t="s">
        <v>7</v>
      </c>
      <c r="E27" s="161" t="s">
        <v>8</v>
      </c>
      <c r="F27" s="12"/>
      <c r="G27" s="274"/>
      <c r="H27" s="497" t="s">
        <v>488</v>
      </c>
      <c r="I27" s="512" t="s">
        <v>7</v>
      </c>
      <c r="J27" s="161" t="s">
        <v>8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274"/>
      <c r="C28" s="499"/>
      <c r="D28" s="315"/>
      <c r="E28" s="163" t="s">
        <v>9</v>
      </c>
      <c r="F28" s="12"/>
      <c r="G28" s="274"/>
      <c r="H28" s="499"/>
      <c r="I28" s="315"/>
      <c r="J28" s="163" t="s">
        <v>9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4.5" customHeight="1" x14ac:dyDescent="0.45">
      <c r="A29" s="82"/>
      <c r="B29" s="167" t="s">
        <v>434</v>
      </c>
      <c r="C29" s="503"/>
      <c r="D29" s="224"/>
      <c r="E29" s="225"/>
      <c r="F29" s="166"/>
      <c r="G29" s="167" t="s">
        <v>434</v>
      </c>
      <c r="H29" s="503"/>
      <c r="I29" s="224"/>
      <c r="J29" s="225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" customHeight="1" x14ac:dyDescent="0.45">
      <c r="A30" s="82"/>
      <c r="B30" s="170" t="s">
        <v>362</v>
      </c>
      <c r="C30" s="376"/>
      <c r="D30" s="258"/>
      <c r="E30" s="259"/>
      <c r="F30" s="166"/>
      <c r="G30" s="170" t="s">
        <v>362</v>
      </c>
      <c r="H30" s="376"/>
      <c r="I30" s="258"/>
      <c r="J30" s="259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36" customHeight="1" x14ac:dyDescent="0.45">
      <c r="A31" s="82"/>
      <c r="B31" s="167" t="s">
        <v>489</v>
      </c>
      <c r="C31" s="376"/>
      <c r="D31" s="258"/>
      <c r="E31" s="259"/>
      <c r="F31" s="166"/>
      <c r="G31" s="167" t="s">
        <v>489</v>
      </c>
      <c r="H31" s="376"/>
      <c r="I31" s="258"/>
      <c r="J31" s="259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2.75" customHeight="1" x14ac:dyDescent="0.45">
      <c r="A32" s="82"/>
      <c r="B32" s="170" t="s">
        <v>490</v>
      </c>
      <c r="C32" s="206"/>
      <c r="D32" s="210" t="s">
        <v>491</v>
      </c>
      <c r="E32" s="207"/>
      <c r="F32" s="173"/>
      <c r="G32" s="170" t="s">
        <v>490</v>
      </c>
      <c r="H32" s="206"/>
      <c r="I32" s="210" t="s">
        <v>491</v>
      </c>
      <c r="J32" s="207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08" t="s">
        <v>31</v>
      </c>
      <c r="C33" s="507"/>
      <c r="D33" s="224"/>
      <c r="E33" s="225"/>
      <c r="F33" s="173"/>
      <c r="G33" s="508" t="s">
        <v>31</v>
      </c>
      <c r="H33" s="507"/>
      <c r="I33" s="224"/>
      <c r="J33" s="225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498"/>
      <c r="C34" s="274"/>
      <c r="D34" s="240"/>
      <c r="E34" s="263"/>
      <c r="F34" s="166"/>
      <c r="G34" s="498"/>
      <c r="H34" s="274"/>
      <c r="I34" s="240"/>
      <c r="J34" s="263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498"/>
      <c r="C35" s="274"/>
      <c r="D35" s="240"/>
      <c r="E35" s="263"/>
      <c r="F35" s="166"/>
      <c r="G35" s="498"/>
      <c r="H35" s="274"/>
      <c r="I35" s="240"/>
      <c r="J35" s="263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498"/>
      <c r="C36" s="274"/>
      <c r="D36" s="240"/>
      <c r="E36" s="263"/>
      <c r="F36" s="166"/>
      <c r="G36" s="499"/>
      <c r="H36" s="226"/>
      <c r="I36" s="227"/>
      <c r="J36" s="228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3.25" customHeight="1" x14ac:dyDescent="0.45">
      <c r="A37" s="82"/>
      <c r="B37" s="35" t="s">
        <v>86</v>
      </c>
      <c r="C37" s="510"/>
      <c r="D37" s="258"/>
      <c r="E37" s="259"/>
      <c r="F37" s="12"/>
      <c r="G37" s="35" t="s">
        <v>86</v>
      </c>
      <c r="H37" s="510"/>
      <c r="I37" s="258"/>
      <c r="J37" s="259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1" customHeight="1" x14ac:dyDescent="0.45">
      <c r="A38" s="82"/>
      <c r="B38" s="175" t="s">
        <v>87</v>
      </c>
      <c r="C38" s="146"/>
      <c r="D38" s="208" t="s">
        <v>67</v>
      </c>
      <c r="E38" s="209"/>
      <c r="F38" s="12"/>
      <c r="G38" s="175" t="s">
        <v>87</v>
      </c>
      <c r="H38" s="146"/>
      <c r="I38" s="208" t="s">
        <v>67</v>
      </c>
      <c r="J38" s="209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2"/>
      <c r="C39" s="12"/>
      <c r="D39" s="12"/>
      <c r="E39" s="12"/>
      <c r="F39" s="12"/>
      <c r="G39" s="12"/>
      <c r="H39" s="12"/>
      <c r="I39" s="12"/>
      <c r="J39" s="1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511"/>
      <c r="C40" s="497" t="s">
        <v>0</v>
      </c>
      <c r="D40" s="153" t="s">
        <v>1</v>
      </c>
      <c r="E40" s="153" t="s">
        <v>487</v>
      </c>
      <c r="F40" s="12"/>
      <c r="G40" s="511"/>
      <c r="H40" s="497" t="s">
        <v>0</v>
      </c>
      <c r="I40" s="153" t="s">
        <v>1</v>
      </c>
      <c r="J40" s="153" t="s">
        <v>487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74"/>
      <c r="C41" s="498"/>
      <c r="D41" s="154" t="s">
        <v>3</v>
      </c>
      <c r="E41" s="158">
        <v>1</v>
      </c>
      <c r="F41" s="12"/>
      <c r="G41" s="274"/>
      <c r="H41" s="498"/>
      <c r="I41" s="154" t="s">
        <v>3</v>
      </c>
      <c r="J41" s="158">
        <v>1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74"/>
      <c r="C42" s="499"/>
      <c r="D42" s="153" t="s">
        <v>5</v>
      </c>
      <c r="E42" s="153" t="s">
        <v>6</v>
      </c>
      <c r="F42" s="12"/>
      <c r="G42" s="274"/>
      <c r="H42" s="499"/>
      <c r="I42" s="153" t="s">
        <v>5</v>
      </c>
      <c r="J42" s="153" t="s">
        <v>6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274"/>
      <c r="C43" s="497" t="s">
        <v>488</v>
      </c>
      <c r="D43" s="512" t="s">
        <v>7</v>
      </c>
      <c r="E43" s="161" t="s">
        <v>8</v>
      </c>
      <c r="F43" s="12"/>
      <c r="G43" s="274"/>
      <c r="H43" s="497" t="s">
        <v>488</v>
      </c>
      <c r="I43" s="512" t="s">
        <v>7</v>
      </c>
      <c r="J43" s="161" t="s">
        <v>8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274"/>
      <c r="C44" s="499"/>
      <c r="D44" s="315"/>
      <c r="E44" s="163" t="s">
        <v>9</v>
      </c>
      <c r="F44" s="12"/>
      <c r="G44" s="274"/>
      <c r="H44" s="499"/>
      <c r="I44" s="315"/>
      <c r="J44" s="163" t="s">
        <v>9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24.75" customHeight="1" x14ac:dyDescent="0.45">
      <c r="A45" s="82"/>
      <c r="B45" s="167" t="s">
        <v>434</v>
      </c>
      <c r="C45" s="503"/>
      <c r="D45" s="224"/>
      <c r="E45" s="225"/>
      <c r="F45" s="166"/>
      <c r="G45" s="167" t="s">
        <v>434</v>
      </c>
      <c r="H45" s="503"/>
      <c r="I45" s="224"/>
      <c r="J45" s="225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22.5" customHeight="1" x14ac:dyDescent="0.45">
      <c r="A46" s="82"/>
      <c r="B46" s="170" t="s">
        <v>362</v>
      </c>
      <c r="C46" s="376"/>
      <c r="D46" s="258"/>
      <c r="E46" s="259"/>
      <c r="F46" s="166"/>
      <c r="G46" s="170" t="s">
        <v>362</v>
      </c>
      <c r="H46" s="376"/>
      <c r="I46" s="258"/>
      <c r="J46" s="259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4.5" customHeight="1" x14ac:dyDescent="0.45">
      <c r="A47" s="82"/>
      <c r="B47" s="167" t="s">
        <v>489</v>
      </c>
      <c r="C47" s="376"/>
      <c r="D47" s="258"/>
      <c r="E47" s="259"/>
      <c r="F47" s="166"/>
      <c r="G47" s="167" t="s">
        <v>489</v>
      </c>
      <c r="H47" s="376"/>
      <c r="I47" s="258"/>
      <c r="J47" s="259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38.25" customHeight="1" x14ac:dyDescent="0.45">
      <c r="A48" s="82"/>
      <c r="B48" s="170" t="s">
        <v>490</v>
      </c>
      <c r="C48" s="206"/>
      <c r="D48" s="206" t="s">
        <v>491</v>
      </c>
      <c r="E48" s="207"/>
      <c r="F48" s="173"/>
      <c r="G48" s="170" t="s">
        <v>490</v>
      </c>
      <c r="H48" s="206"/>
      <c r="I48" s="206" t="s">
        <v>491</v>
      </c>
      <c r="J48" s="207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08" t="s">
        <v>31</v>
      </c>
      <c r="C49" s="507"/>
      <c r="D49" s="224"/>
      <c r="E49" s="225"/>
      <c r="F49" s="173"/>
      <c r="G49" s="508" t="s">
        <v>31</v>
      </c>
      <c r="H49" s="507"/>
      <c r="I49" s="224"/>
      <c r="J49" s="225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498"/>
      <c r="C50" s="274"/>
      <c r="D50" s="240"/>
      <c r="E50" s="263"/>
      <c r="F50" s="166"/>
      <c r="G50" s="498"/>
      <c r="H50" s="274"/>
      <c r="I50" s="240"/>
      <c r="J50" s="263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498"/>
      <c r="C51" s="274"/>
      <c r="D51" s="240"/>
      <c r="E51" s="263"/>
      <c r="F51" s="166"/>
      <c r="G51" s="498"/>
      <c r="H51" s="274"/>
      <c r="I51" s="240"/>
      <c r="J51" s="263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498"/>
      <c r="C52" s="274"/>
      <c r="D52" s="240"/>
      <c r="E52" s="263"/>
      <c r="F52" s="166"/>
      <c r="G52" s="499"/>
      <c r="H52" s="226"/>
      <c r="I52" s="227"/>
      <c r="J52" s="228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22.5" customHeight="1" x14ac:dyDescent="0.45">
      <c r="A53" s="82"/>
      <c r="B53" s="35" t="s">
        <v>86</v>
      </c>
      <c r="C53" s="510"/>
      <c r="D53" s="258"/>
      <c r="E53" s="259"/>
      <c r="F53" s="12"/>
      <c r="G53" s="35" t="s">
        <v>86</v>
      </c>
      <c r="H53" s="510"/>
      <c r="I53" s="258"/>
      <c r="J53" s="259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24" customHeight="1" x14ac:dyDescent="0.45">
      <c r="A54" s="82"/>
      <c r="B54" s="175" t="s">
        <v>87</v>
      </c>
      <c r="C54" s="146"/>
      <c r="D54" s="208" t="s">
        <v>67</v>
      </c>
      <c r="E54" s="209"/>
      <c r="F54" s="12"/>
      <c r="G54" s="175" t="s">
        <v>87</v>
      </c>
      <c r="H54" s="146"/>
      <c r="I54" s="208" t="s">
        <v>67</v>
      </c>
      <c r="J54" s="209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511"/>
      <c r="C56" s="497" t="s">
        <v>0</v>
      </c>
      <c r="D56" s="153" t="s">
        <v>1</v>
      </c>
      <c r="E56" s="153" t="s">
        <v>487</v>
      </c>
      <c r="F56" s="12"/>
      <c r="G56" s="511"/>
      <c r="H56" s="497" t="s">
        <v>0</v>
      </c>
      <c r="I56" s="153" t="s">
        <v>1</v>
      </c>
      <c r="J56" s="153" t="s">
        <v>487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74"/>
      <c r="C57" s="498"/>
      <c r="D57" s="154" t="s">
        <v>3</v>
      </c>
      <c r="E57" s="158">
        <v>1</v>
      </c>
      <c r="F57" s="12"/>
      <c r="G57" s="274"/>
      <c r="H57" s="498"/>
      <c r="I57" s="154" t="s">
        <v>3</v>
      </c>
      <c r="J57" s="158">
        <v>1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274"/>
      <c r="C58" s="499"/>
      <c r="D58" s="153" t="s">
        <v>5</v>
      </c>
      <c r="E58" s="153" t="s">
        <v>6</v>
      </c>
      <c r="F58" s="12"/>
      <c r="G58" s="274"/>
      <c r="H58" s="499"/>
      <c r="I58" s="153" t="s">
        <v>5</v>
      </c>
      <c r="J58" s="153" t="s">
        <v>6</v>
      </c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274"/>
      <c r="C59" s="497" t="s">
        <v>488</v>
      </c>
      <c r="D59" s="512" t="s">
        <v>7</v>
      </c>
      <c r="E59" s="161" t="s">
        <v>8</v>
      </c>
      <c r="F59" s="12"/>
      <c r="G59" s="274"/>
      <c r="H59" s="497" t="s">
        <v>488</v>
      </c>
      <c r="I59" s="512" t="s">
        <v>7</v>
      </c>
      <c r="J59" s="161" t="s">
        <v>8</v>
      </c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274"/>
      <c r="C60" s="499"/>
      <c r="D60" s="315"/>
      <c r="E60" s="163" t="s">
        <v>9</v>
      </c>
      <c r="F60" s="12"/>
      <c r="G60" s="274"/>
      <c r="H60" s="499"/>
      <c r="I60" s="315"/>
      <c r="J60" s="163" t="s">
        <v>9</v>
      </c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3" customHeight="1" x14ac:dyDescent="0.45">
      <c r="A61" s="82"/>
      <c r="B61" s="167" t="s">
        <v>434</v>
      </c>
      <c r="C61" s="503"/>
      <c r="D61" s="224"/>
      <c r="E61" s="225"/>
      <c r="F61" s="166"/>
      <c r="G61" s="167" t="s">
        <v>434</v>
      </c>
      <c r="H61" s="503"/>
      <c r="I61" s="224"/>
      <c r="J61" s="225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33" customHeight="1" x14ac:dyDescent="0.45">
      <c r="A62" s="82"/>
      <c r="B62" s="170" t="s">
        <v>362</v>
      </c>
      <c r="C62" s="376"/>
      <c r="D62" s="258"/>
      <c r="E62" s="259"/>
      <c r="F62" s="166"/>
      <c r="G62" s="170" t="s">
        <v>362</v>
      </c>
      <c r="H62" s="376"/>
      <c r="I62" s="258"/>
      <c r="J62" s="259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45" customHeight="1" x14ac:dyDescent="0.45">
      <c r="A63" s="82"/>
      <c r="B63" s="167" t="s">
        <v>489</v>
      </c>
      <c r="C63" s="376"/>
      <c r="D63" s="258"/>
      <c r="E63" s="259"/>
      <c r="F63" s="166"/>
      <c r="G63" s="167" t="s">
        <v>489</v>
      </c>
      <c r="H63" s="376"/>
      <c r="I63" s="258"/>
      <c r="J63" s="259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36" customHeight="1" x14ac:dyDescent="0.45">
      <c r="A64" s="82"/>
      <c r="B64" s="170" t="s">
        <v>490</v>
      </c>
      <c r="C64" s="206"/>
      <c r="D64" s="206" t="s">
        <v>491</v>
      </c>
      <c r="E64" s="207"/>
      <c r="F64" s="173"/>
      <c r="G64" s="170" t="s">
        <v>490</v>
      </c>
      <c r="H64" s="206"/>
      <c r="I64" s="206" t="s">
        <v>491</v>
      </c>
      <c r="J64" s="207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508" t="s">
        <v>31</v>
      </c>
      <c r="C65" s="507"/>
      <c r="D65" s="224"/>
      <c r="E65" s="225"/>
      <c r="F65" s="173"/>
      <c r="G65" s="508" t="s">
        <v>31</v>
      </c>
      <c r="H65" s="507"/>
      <c r="I65" s="224"/>
      <c r="J65" s="225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498"/>
      <c r="C66" s="274"/>
      <c r="D66" s="240"/>
      <c r="E66" s="263"/>
      <c r="F66" s="166"/>
      <c r="G66" s="498"/>
      <c r="H66" s="274"/>
      <c r="I66" s="240"/>
      <c r="J66" s="263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498"/>
      <c r="C67" s="274"/>
      <c r="D67" s="240"/>
      <c r="E67" s="263"/>
      <c r="F67" s="166"/>
      <c r="G67" s="498"/>
      <c r="H67" s="274"/>
      <c r="I67" s="240"/>
      <c r="J67" s="26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498"/>
      <c r="C68" s="274"/>
      <c r="D68" s="240"/>
      <c r="E68" s="263"/>
      <c r="F68" s="166"/>
      <c r="G68" s="499"/>
      <c r="H68" s="226"/>
      <c r="I68" s="227"/>
      <c r="J68" s="228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24" customHeight="1" x14ac:dyDescent="0.45">
      <c r="A69" s="82"/>
      <c r="B69" s="35" t="s">
        <v>86</v>
      </c>
      <c r="C69" s="510"/>
      <c r="D69" s="258"/>
      <c r="E69" s="259"/>
      <c r="F69" s="12"/>
      <c r="G69" s="35" t="s">
        <v>86</v>
      </c>
      <c r="H69" s="510"/>
      <c r="I69" s="258"/>
      <c r="J69" s="259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23.25" customHeight="1" x14ac:dyDescent="0.45">
      <c r="A70" s="82"/>
      <c r="B70" s="175" t="s">
        <v>87</v>
      </c>
      <c r="C70" s="146"/>
      <c r="D70" s="208" t="s">
        <v>67</v>
      </c>
      <c r="E70" s="209"/>
      <c r="F70" s="12"/>
      <c r="G70" s="175" t="s">
        <v>87</v>
      </c>
      <c r="H70" s="146"/>
      <c r="I70" s="208" t="s">
        <v>67</v>
      </c>
      <c r="J70" s="209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2"/>
      <c r="C240" s="12"/>
      <c r="D240" s="12"/>
      <c r="E240" s="12"/>
      <c r="F240" s="12"/>
      <c r="G240" s="12"/>
      <c r="H240" s="12"/>
      <c r="I240" s="12"/>
      <c r="J240" s="1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2"/>
      <c r="C241" s="12"/>
      <c r="D241" s="12"/>
      <c r="E241" s="12"/>
      <c r="F241" s="12"/>
      <c r="G241" s="12"/>
      <c r="H241" s="12"/>
      <c r="I241" s="12"/>
      <c r="J241" s="1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2"/>
      <c r="C242" s="12"/>
      <c r="D242" s="12"/>
      <c r="E242" s="12"/>
      <c r="F242" s="12"/>
      <c r="G242" s="12"/>
      <c r="H242" s="12"/>
      <c r="I242" s="12"/>
      <c r="J242" s="1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2"/>
      <c r="C243" s="12"/>
      <c r="D243" s="12"/>
      <c r="E243" s="12"/>
      <c r="F243" s="12"/>
      <c r="G243" s="12"/>
      <c r="H243" s="12"/>
      <c r="I243" s="12"/>
      <c r="J243" s="1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2"/>
      <c r="C244" s="12"/>
      <c r="D244" s="12"/>
      <c r="E244" s="12"/>
      <c r="F244" s="12"/>
      <c r="G244" s="12"/>
      <c r="H244" s="12"/>
      <c r="I244" s="12"/>
      <c r="J244" s="1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2"/>
      <c r="C245" s="12"/>
      <c r="D245" s="12"/>
      <c r="E245" s="12"/>
      <c r="F245" s="12"/>
      <c r="G245" s="12"/>
      <c r="H245" s="12"/>
      <c r="I245" s="12"/>
      <c r="J245" s="1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2"/>
      <c r="C246" s="12"/>
      <c r="D246" s="12"/>
      <c r="E246" s="12"/>
      <c r="F246" s="12"/>
      <c r="G246" s="12"/>
      <c r="H246" s="12"/>
      <c r="I246" s="12"/>
      <c r="J246" s="1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2"/>
      <c r="C247" s="12"/>
      <c r="D247" s="12"/>
      <c r="E247" s="12"/>
      <c r="F247" s="12"/>
      <c r="G247" s="12"/>
      <c r="H247" s="12"/>
      <c r="I247" s="12"/>
      <c r="J247" s="1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"/>
      <c r="C248" s="12"/>
      <c r="D248" s="12"/>
      <c r="E248" s="12"/>
      <c r="F248" s="12"/>
      <c r="G248" s="12"/>
      <c r="H248" s="12"/>
      <c r="I248" s="12"/>
      <c r="J248" s="1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"/>
      <c r="C249" s="12"/>
      <c r="D249" s="12"/>
      <c r="E249" s="12"/>
      <c r="F249" s="12"/>
      <c r="G249" s="12"/>
      <c r="H249" s="12"/>
      <c r="I249" s="12"/>
      <c r="J249" s="1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"/>
      <c r="C250" s="12"/>
      <c r="D250" s="12"/>
      <c r="E250" s="12"/>
      <c r="F250" s="12"/>
      <c r="G250" s="12"/>
      <c r="H250" s="12"/>
      <c r="I250" s="12"/>
      <c r="J250" s="1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2"/>
      <c r="C251" s="12"/>
      <c r="D251" s="12"/>
      <c r="E251" s="12"/>
      <c r="F251" s="12"/>
      <c r="G251" s="12"/>
      <c r="H251" s="12"/>
      <c r="I251" s="12"/>
      <c r="J251" s="1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2"/>
      <c r="C252" s="12"/>
      <c r="D252" s="12"/>
      <c r="E252" s="12"/>
      <c r="F252" s="12"/>
      <c r="G252" s="12"/>
      <c r="H252" s="12"/>
      <c r="I252" s="12"/>
      <c r="J252" s="1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2"/>
      <c r="C253" s="12"/>
      <c r="D253" s="12"/>
      <c r="E253" s="12"/>
      <c r="F253" s="12"/>
      <c r="G253" s="12"/>
      <c r="H253" s="12"/>
      <c r="I253" s="12"/>
      <c r="J253" s="1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2"/>
      <c r="C254" s="12"/>
      <c r="D254" s="12"/>
      <c r="E254" s="12"/>
      <c r="F254" s="12"/>
      <c r="G254" s="12"/>
      <c r="H254" s="12"/>
      <c r="I254" s="12"/>
      <c r="J254" s="1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2"/>
      <c r="C255" s="12"/>
      <c r="D255" s="12"/>
      <c r="E255" s="12"/>
      <c r="F255" s="12"/>
      <c r="G255" s="12"/>
      <c r="H255" s="12"/>
      <c r="I255" s="12"/>
      <c r="J255" s="1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2"/>
      <c r="C256" s="12"/>
      <c r="D256" s="12"/>
      <c r="E256" s="12"/>
      <c r="F256" s="12"/>
      <c r="G256" s="12"/>
      <c r="H256" s="12"/>
      <c r="I256" s="12"/>
      <c r="J256" s="1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2"/>
      <c r="C257" s="12"/>
      <c r="D257" s="12"/>
      <c r="E257" s="12"/>
      <c r="F257" s="12"/>
      <c r="G257" s="12"/>
      <c r="H257" s="12"/>
      <c r="I257" s="12"/>
      <c r="J257" s="1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2"/>
      <c r="C258" s="12"/>
      <c r="D258" s="12"/>
      <c r="E258" s="12"/>
      <c r="F258" s="12"/>
      <c r="G258" s="12"/>
      <c r="H258" s="12"/>
      <c r="I258" s="12"/>
      <c r="J258" s="1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2"/>
      <c r="C259" s="12"/>
      <c r="D259" s="12"/>
      <c r="E259" s="12"/>
      <c r="F259" s="12"/>
      <c r="G259" s="12"/>
      <c r="H259" s="12"/>
      <c r="I259" s="12"/>
      <c r="J259" s="1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2"/>
      <c r="C260" s="12"/>
      <c r="D260" s="12"/>
      <c r="E260" s="12"/>
      <c r="F260" s="12"/>
      <c r="G260" s="12"/>
      <c r="H260" s="12"/>
      <c r="I260" s="12"/>
      <c r="J260" s="1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2"/>
      <c r="C261" s="12"/>
      <c r="D261" s="12"/>
      <c r="E261" s="12"/>
      <c r="F261" s="12"/>
      <c r="G261" s="12"/>
      <c r="H261" s="12"/>
      <c r="I261" s="12"/>
      <c r="J261" s="1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2"/>
      <c r="C262" s="12"/>
      <c r="D262" s="12"/>
      <c r="E262" s="12"/>
      <c r="F262" s="12"/>
      <c r="G262" s="12"/>
      <c r="H262" s="12"/>
      <c r="I262" s="12"/>
      <c r="J262" s="1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2"/>
      <c r="C263" s="12"/>
      <c r="D263" s="12"/>
      <c r="E263" s="12"/>
      <c r="F263" s="12"/>
      <c r="G263" s="12"/>
      <c r="H263" s="12"/>
      <c r="I263" s="12"/>
      <c r="J263" s="1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2"/>
      <c r="C264" s="12"/>
      <c r="D264" s="12"/>
      <c r="E264" s="12"/>
      <c r="F264" s="12"/>
      <c r="G264" s="12"/>
      <c r="H264" s="12"/>
      <c r="I264" s="12"/>
      <c r="J264" s="1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2"/>
      <c r="C265" s="12"/>
      <c r="D265" s="12"/>
      <c r="E265" s="12"/>
      <c r="F265" s="12"/>
      <c r="G265" s="12"/>
      <c r="H265" s="12"/>
      <c r="I265" s="12"/>
      <c r="J265" s="1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2"/>
      <c r="C266" s="12"/>
      <c r="D266" s="12"/>
      <c r="E266" s="12"/>
      <c r="F266" s="12"/>
      <c r="G266" s="12"/>
      <c r="H266" s="12"/>
      <c r="I266" s="12"/>
      <c r="J266" s="1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2"/>
      <c r="C267" s="12"/>
      <c r="D267" s="12"/>
      <c r="E267" s="12"/>
      <c r="F267" s="12"/>
      <c r="G267" s="12"/>
      <c r="H267" s="12"/>
      <c r="I267" s="12"/>
      <c r="J267" s="1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2"/>
      <c r="C268" s="12"/>
      <c r="D268" s="12"/>
      <c r="E268" s="12"/>
      <c r="F268" s="12"/>
      <c r="G268" s="12"/>
      <c r="H268" s="12"/>
      <c r="I268" s="12"/>
      <c r="J268" s="1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2"/>
      <c r="C269" s="12"/>
      <c r="D269" s="12"/>
      <c r="E269" s="12"/>
      <c r="F269" s="12"/>
      <c r="G269" s="12"/>
      <c r="H269" s="12"/>
      <c r="I269" s="12"/>
      <c r="J269" s="1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2"/>
      <c r="C270" s="12"/>
      <c r="D270" s="12"/>
      <c r="E270" s="12"/>
      <c r="F270" s="12"/>
      <c r="G270" s="12"/>
      <c r="H270" s="12"/>
      <c r="I270" s="12"/>
      <c r="J270" s="1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INSPECCIÓN ETIQUETAS</vt:lpstr>
      <vt:lpstr>ROTULO DE DISPENSACION</vt:lpstr>
      <vt:lpstr>PRODUCTO EN PROCESO</vt:lpstr>
      <vt:lpstr>INSPECCIÓN DE PRODUCTO FINAL</vt:lpstr>
      <vt:lpstr>ROTULO PT</vt:lpstr>
      <vt:lpstr>ENVASADO NO CONTINUO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2026-03-13T04:32:52Z</dcterms:modified>
</cp:coreProperties>
</file>